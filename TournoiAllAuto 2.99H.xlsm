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FA9580ED-20C6-438E-AFF0-470FB51F898E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 l="1"/>
</calcChain>
</file>

<file path=xl/sharedStrings.xml><?xml version="1.0" encoding="utf-8"?>
<sst xmlns="http://schemas.openxmlformats.org/spreadsheetml/2006/main" count="2544" uniqueCount="59">
  <si>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</si>
  <si>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</si>
  <si>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</si>
  <si>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</si>
  <si>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</si>
  <si>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</si>
  <si>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</si>
  <si>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</si>
  <si>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</si>
  <si>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</si>
  <si>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</si>
  <si>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</si>
  <si>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</si>
  <si>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</si>
  <si>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</si>
  <si>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</si>
  <si>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</si>
  <si>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</si>
  <si>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</si>
  <si>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</si>
  <si>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</si>
  <si>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</si>
  <si>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</si>
  <si>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</si>
  <si>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</si>
  <si>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</si>
  <si>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</si>
  <si>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</si>
  <si>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</si>
  <si>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</si>
  <si>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</si>
  <si>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</si>
  <si>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</si>
  <si>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Ordre Ph</t>
  </si>
  <si>
    <t>Nombre de Match en +</t>
  </si>
  <si>
    <t>Nombre de Tour en +</t>
  </si>
  <si>
    <t>VRAI/FAUX</t>
  </si>
  <si>
    <t>08:00</t>
  </si>
  <si>
    <t>DM</t>
  </si>
  <si>
    <t>DH</t>
  </si>
  <si>
    <t>00:30</t>
  </si>
  <si>
    <t>10:00</t>
  </si>
  <si>
    <t>Version 2.99G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</si>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</sst>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4" t="s">
        <v>13</v>
      </c>
      <c r="B1" s="65"/>
      <c r="C1" s="65"/>
      <c r="D1" s="65"/>
      <c r="E1" s="65"/>
      <c r="F1" s="65"/>
      <c r="G1" s="65"/>
      <c r="H1" s="65"/>
      <c r="I1" s="65"/>
      <c r="J1" s="65"/>
      <c r="K1" s="66"/>
    </row>
    <row r="2" spans="1:11" ht="15" customHeight="1" x14ac:dyDescent="0.25">
      <c r="A2" s="67"/>
      <c r="B2" s="68"/>
      <c r="C2" s="68"/>
      <c r="D2" s="68"/>
      <c r="E2" s="68"/>
      <c r="F2" s="68"/>
      <c r="G2" s="68"/>
      <c r="H2" s="68"/>
      <c r="I2" s="68"/>
      <c r="J2" s="68"/>
      <c r="K2" s="69"/>
    </row>
    <row r="3" spans="1:11" ht="15" customHeight="1" x14ac:dyDescent="0.25">
      <c r="A3" s="67"/>
      <c r="B3" s="68"/>
      <c r="C3" s="68"/>
      <c r="D3" s="68"/>
      <c r="E3" s="68"/>
      <c r="F3" s="68"/>
      <c r="G3" s="68"/>
      <c r="H3" s="68"/>
      <c r="I3" s="68"/>
      <c r="J3" s="68"/>
      <c r="K3" s="69"/>
    </row>
    <row r="4" spans="1:11" ht="15" customHeight="1" x14ac:dyDescent="0.25">
      <c r="A4" s="67"/>
      <c r="B4" s="68"/>
      <c r="C4" s="68"/>
      <c r="D4" s="68"/>
      <c r="E4" s="68"/>
      <c r="F4" s="68"/>
      <c r="G4" s="68"/>
      <c r="H4" s="68"/>
      <c r="I4" s="68"/>
      <c r="J4" s="68"/>
      <c r="K4" s="69"/>
    </row>
    <row r="5" spans="1:11" ht="15" customHeight="1" x14ac:dyDescent="0.25">
      <c r="A5" s="67"/>
      <c r="B5" s="68"/>
      <c r="C5" s="68"/>
      <c r="D5" s="68"/>
      <c r="E5" s="68"/>
      <c r="F5" s="68"/>
      <c r="G5" s="68"/>
      <c r="H5" s="68"/>
      <c r="I5" s="68"/>
      <c r="J5" s="68"/>
      <c r="K5" s="69"/>
    </row>
    <row r="6" spans="1:11" ht="15" customHeight="1" x14ac:dyDescent="0.25">
      <c r="A6" s="67"/>
      <c r="B6" s="68"/>
      <c r="C6" s="68"/>
      <c r="D6" s="68"/>
      <c r="E6" s="68"/>
      <c r="F6" s="68"/>
      <c r="G6" s="68"/>
      <c r="H6" s="68"/>
      <c r="I6" s="68"/>
      <c r="J6" s="68"/>
      <c r="K6" s="69"/>
    </row>
    <row r="7" spans="1:11" ht="15" customHeight="1" x14ac:dyDescent="0.25">
      <c r="A7" s="67"/>
      <c r="B7" s="68"/>
      <c r="C7" s="68"/>
      <c r="D7" s="68"/>
      <c r="E7" s="68"/>
      <c r="F7" s="68"/>
      <c r="G7" s="68"/>
      <c r="H7" s="68"/>
      <c r="I7" s="68"/>
      <c r="J7" s="68"/>
      <c r="K7" s="69"/>
    </row>
    <row r="8" spans="1:11" ht="15" customHeight="1" x14ac:dyDescent="0.25">
      <c r="A8" s="67"/>
      <c r="B8" s="68"/>
      <c r="C8" s="68"/>
      <c r="D8" s="68"/>
      <c r="E8" s="68"/>
      <c r="F8" s="68"/>
      <c r="G8" s="68"/>
      <c r="H8" s="68"/>
      <c r="I8" s="68"/>
      <c r="J8" s="68"/>
      <c r="K8" s="69"/>
    </row>
    <row r="9" spans="1:11" ht="15" customHeight="1" x14ac:dyDescent="0.25">
      <c r="A9" s="67"/>
      <c r="B9" s="68"/>
      <c r="C9" s="68"/>
      <c r="D9" s="68"/>
      <c r="E9" s="68"/>
      <c r="F9" s="68"/>
      <c r="G9" s="68"/>
      <c r="H9" s="68"/>
      <c r="I9" s="68"/>
      <c r="J9" s="68"/>
      <c r="K9" s="69"/>
    </row>
    <row r="10" spans="1:11" ht="15" customHeight="1" x14ac:dyDescent="0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9"/>
    </row>
    <row r="11" spans="1:11" ht="15" customHeight="1" x14ac:dyDescent="0.25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9"/>
    </row>
    <row r="12" spans="1:11" ht="15" customHeight="1" x14ac:dyDescent="0.2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9"/>
    </row>
    <row r="13" spans="1:11" ht="15" customHeight="1" x14ac:dyDescent="0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9"/>
    </row>
    <row r="14" spans="1:11" ht="15" customHeight="1" x14ac:dyDescent="0.25">
      <c r="A14" s="67"/>
      <c r="B14" s="68"/>
      <c r="C14" s="68"/>
      <c r="D14" s="68"/>
      <c r="E14" s="68"/>
      <c r="F14" s="68"/>
      <c r="G14" s="68"/>
      <c r="H14" s="68"/>
      <c r="I14" s="68"/>
      <c r="J14" s="68"/>
      <c r="K14" s="69"/>
    </row>
    <row r="15" spans="1:11" ht="15" customHeight="1" x14ac:dyDescent="0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9"/>
    </row>
    <row r="16" spans="1:11" ht="15" customHeight="1" x14ac:dyDescent="0.25">
      <c r="A16" s="67"/>
      <c r="B16" s="68"/>
      <c r="C16" s="68"/>
      <c r="D16" s="68"/>
      <c r="E16" s="68"/>
      <c r="F16" s="68"/>
      <c r="G16" s="68"/>
      <c r="H16" s="68"/>
      <c r="I16" s="68"/>
      <c r="J16" s="68"/>
      <c r="K16" s="69"/>
    </row>
    <row r="17" spans="1:11" ht="15" customHeight="1" x14ac:dyDescent="0.25">
      <c r="A17" s="67"/>
      <c r="B17" s="68"/>
      <c r="C17" s="68"/>
      <c r="D17" s="68"/>
      <c r="E17" s="68"/>
      <c r="F17" s="68"/>
      <c r="G17" s="68"/>
      <c r="H17" s="68"/>
      <c r="I17" s="68"/>
      <c r="J17" s="68"/>
      <c r="K17" s="69"/>
    </row>
    <row r="18" spans="1:11" ht="15" customHeight="1" x14ac:dyDescent="0.25">
      <c r="A18" s="67"/>
      <c r="B18" s="68"/>
      <c r="C18" s="68"/>
      <c r="D18" s="68"/>
      <c r="E18" s="68"/>
      <c r="F18" s="68"/>
      <c r="G18" s="68"/>
      <c r="H18" s="68"/>
      <c r="I18" s="68"/>
      <c r="J18" s="68"/>
      <c r="K18" s="69"/>
    </row>
    <row r="19" spans="1:11" ht="15" customHeight="1" x14ac:dyDescent="0.25">
      <c r="A19" s="67"/>
      <c r="B19" s="68"/>
      <c r="C19" s="68"/>
      <c r="D19" s="68"/>
      <c r="E19" s="68"/>
      <c r="F19" s="68"/>
      <c r="G19" s="68"/>
      <c r="H19" s="68"/>
      <c r="I19" s="68"/>
      <c r="J19" s="68"/>
      <c r="K19" s="69"/>
    </row>
    <row r="20" spans="1:11" ht="15" customHeight="1" x14ac:dyDescent="0.25">
      <c r="A20" s="67"/>
      <c r="B20" s="68"/>
      <c r="C20" s="68"/>
      <c r="D20" s="68"/>
      <c r="E20" s="68"/>
      <c r="F20" s="68"/>
      <c r="G20" s="68"/>
      <c r="H20" s="68"/>
      <c r="I20" s="68"/>
      <c r="J20" s="68"/>
      <c r="K20" s="69"/>
    </row>
    <row r="21" spans="1:11" ht="15" customHeight="1" x14ac:dyDescent="0.25">
      <c r="A21" s="67"/>
      <c r="B21" s="68"/>
      <c r="C21" s="68"/>
      <c r="D21" s="68"/>
      <c r="E21" s="68"/>
      <c r="F21" s="68"/>
      <c r="G21" s="68"/>
      <c r="H21" s="68"/>
      <c r="I21" s="68"/>
      <c r="J21" s="68"/>
      <c r="K21" s="69"/>
    </row>
    <row r="22" spans="1:11" ht="15" customHeight="1" x14ac:dyDescent="0.25">
      <c r="A22" s="67"/>
      <c r="B22" s="68"/>
      <c r="C22" s="68"/>
      <c r="D22" s="68"/>
      <c r="E22" s="68"/>
      <c r="F22" s="68"/>
      <c r="G22" s="68"/>
      <c r="H22" s="68"/>
      <c r="I22" s="68"/>
      <c r="J22" s="68"/>
      <c r="K22" s="69"/>
    </row>
    <row r="23" spans="1:11" ht="15" customHeight="1" x14ac:dyDescent="0.25">
      <c r="A23" s="61" t="s">
        <v>15</v>
      </c>
      <c r="B23" s="62"/>
      <c r="C23" s="62"/>
      <c r="D23" s="62"/>
      <c r="E23" s="62"/>
      <c r="F23" s="62"/>
      <c r="G23" s="62"/>
      <c r="H23" s="62"/>
      <c r="I23" s="62"/>
      <c r="J23" s="62"/>
      <c r="K23" s="63"/>
    </row>
    <row r="24" spans="1:11" ht="15" customHeight="1" x14ac:dyDescent="0.25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3"/>
    </row>
    <row r="25" spans="1:11" ht="15" customHeight="1" x14ac:dyDescent="0.25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3"/>
    </row>
    <row r="26" spans="1:11" ht="15" customHeight="1" x14ac:dyDescent="0.25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3"/>
    </row>
    <row r="27" spans="1:11" ht="15" customHeight="1" x14ac:dyDescent="0.25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8"/>
    </row>
    <row r="28" spans="1:11" ht="15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1"/>
    </row>
    <row r="29" spans="1:11" ht="15" customHeight="1" x14ac:dyDescent="0.25">
      <c r="A29" s="52" t="s">
        <v>14</v>
      </c>
      <c r="B29" s="53"/>
      <c r="C29" s="53"/>
      <c r="D29" s="53"/>
      <c r="E29" s="53"/>
      <c r="F29" s="53"/>
      <c r="G29" s="53"/>
      <c r="H29" s="53"/>
      <c r="I29" s="53"/>
      <c r="J29" s="53"/>
      <c r="K29" s="54"/>
    </row>
    <row r="30" spans="1:11" ht="15" customHeight="1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7"/>
    </row>
    <row r="31" spans="1:11" ht="15" customHeight="1" thickBot="1" x14ac:dyDescent="0.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60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tabSelected="1" workbookViewId="0">
      <selection activeCell="J10" sqref="J10"/>
    </sheetView>
  </sheetViews>
  <sheetFormatPr baseColWidth="10" defaultRowHeight="15" x14ac:dyDescent="0.25"/>
  <sheetData>
    <row r="1" spans="1:8" x14ac:dyDescent="0.25">
      <c r="A1" s="70" t="s">
        <v>43</v>
      </c>
      <c r="B1" s="70"/>
      <c r="C1" s="70"/>
      <c r="D1" s="70"/>
      <c r="E1" s="70"/>
      <c r="F1" s="70"/>
      <c r="G1" s="70"/>
      <c r="H1" s="70"/>
    </row>
    <row r="2" spans="1:8" x14ac:dyDescent="0.25">
      <c r="A2" s="70"/>
      <c r="B2" s="70"/>
      <c r="C2" s="70"/>
      <c r="D2" s="70"/>
      <c r="E2" s="70"/>
      <c r="F2" s="70"/>
      <c r="G2" s="70"/>
      <c r="H2" s="70"/>
    </row>
    <row r="3" spans="1:8" x14ac:dyDescent="0.25">
      <c r="A3" s="70"/>
      <c r="B3" s="70"/>
      <c r="C3" s="70"/>
      <c r="D3" s="70"/>
      <c r="E3" s="70"/>
      <c r="F3" s="70"/>
      <c r="G3" s="70"/>
      <c r="H3" s="70"/>
    </row>
    <row r="4" spans="1:8" x14ac:dyDescent="0.25">
      <c r="A4" s="71" t="str">
        <f>Parametres!F16</f>
        <v>Version 2.99G</v>
      </c>
      <c r="B4" s="71"/>
      <c r="C4" s="71"/>
      <c r="D4" s="71"/>
      <c r="E4" s="71"/>
      <c r="F4" s="71"/>
      <c r="G4" s="71"/>
      <c r="H4" s="71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M5" sqref="M5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49</v>
      </c>
      <c r="B1" s="1"/>
      <c r="C1" s="74"/>
      <c r="D1" s="24" t="s">
        <v>44</v>
      </c>
      <c r="E1" s="44" t="s">
        <v>45</v>
      </c>
      <c r="F1" s="3" t="s">
        <v>47</v>
      </c>
    </row>
    <row r="2" spans="1:27" ht="15.75" thickBot="1" x14ac:dyDescent="0.3">
      <c r="A2" s="7" t="s">
        <v>40</v>
      </c>
      <c r="C2" s="74"/>
      <c r="D2" s="28">
        <v>4</v>
      </c>
      <c r="E2" s="29" t="s">
        <v>9</v>
      </c>
      <c r="F2" s="23">
        <v>3</v>
      </c>
    </row>
    <row r="3" spans="1:27" ht="15.75" thickBot="1" x14ac:dyDescent="0.3">
      <c r="A3" s="8">
        <v>1.3888888888888889E-3</v>
      </c>
      <c r="C3" s="75"/>
      <c r="D3" s="4" t="s">
        <v>46</v>
      </c>
      <c r="E3" s="38" t="str">
        <f>"Nbre de Catégories : " &amp; B30</f>
        <v>Nbre de Catégories : 2</v>
      </c>
    </row>
    <row r="4" spans="1:27" x14ac:dyDescent="0.25">
      <c r="A4" s="9" t="s">
        <v>50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39</v>
      </c>
      <c r="AA4" s="2" t="s">
        <v>39</v>
      </c>
    </row>
    <row r="5" spans="1:27" ht="15.75" thickBot="1" x14ac:dyDescent="0.3">
      <c r="A5" s="23">
        <v>4</v>
      </c>
      <c r="B5" s="2">
        <v>2</v>
      </c>
      <c r="C5" s="26" t="str">
        <f t="shared" si="0"/>
        <v>B</v>
      </c>
      <c r="D5" s="30">
        <v>8</v>
      </c>
      <c r="E5" s="6" t="s">
        <v>39</v>
      </c>
      <c r="AA5" t="s">
        <v>38</v>
      </c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38</v>
      </c>
      <c r="AA6"/>
    </row>
    <row r="7" spans="1:27" x14ac:dyDescent="0.25">
      <c r="A7" s="10" t="s">
        <v>51</v>
      </c>
      <c r="B7" s="2">
        <v>4</v>
      </c>
      <c r="C7" s="26" t="str">
        <f t="shared" si="0"/>
        <v>D</v>
      </c>
      <c r="D7" s="30">
        <v>8</v>
      </c>
      <c r="E7" s="6" t="s">
        <v>38</v>
      </c>
      <c r="AA7"/>
    </row>
    <row r="8" spans="1:27" ht="15.75" thickBot="1" x14ac:dyDescent="0.3">
      <c r="A8" s="5">
        <f>ROUNDUP(SUM(D4:D29)/16,0)</f>
        <v>2</v>
      </c>
      <c r="B8" s="2">
        <v>5</v>
      </c>
      <c r="C8" s="26" t="str">
        <f t="shared" si="0"/>
        <v/>
      </c>
      <c r="D8" s="30"/>
      <c r="E8" s="6"/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AA12"/>
    </row>
    <row r="13" spans="1:27" x14ac:dyDescent="0.25">
      <c r="A13" s="12" t="str">
        <f>A2</f>
        <v>00:30</v>
      </c>
      <c r="B13" s="2">
        <v>10</v>
      </c>
      <c r="C13" s="26" t="str">
        <f t="shared" si="0"/>
        <v/>
      </c>
      <c r="D13" s="30"/>
      <c r="E13" s="6"/>
      <c r="AA13"/>
    </row>
    <row r="14" spans="1:27" x14ac:dyDescent="0.25">
      <c r="A14" s="11" t="s">
        <v>52</v>
      </c>
      <c r="B14" s="2">
        <v>11</v>
      </c>
      <c r="C14" s="26" t="str">
        <f t="shared" si="0"/>
        <v/>
      </c>
      <c r="D14" s="30"/>
      <c r="E14" s="6"/>
      <c r="AA14"/>
    </row>
    <row r="15" spans="1:27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53</v>
      </c>
      <c r="B16" s="2">
        <v>13</v>
      </c>
      <c r="C16" s="26" t="str">
        <f t="shared" si="0"/>
        <v/>
      </c>
      <c r="D16" s="30"/>
      <c r="E16" s="6"/>
      <c r="F16" s="2" t="s">
        <v>42</v>
      </c>
      <c r="AA16"/>
    </row>
    <row r="17" spans="1:27" x14ac:dyDescent="0.25">
      <c r="A17" s="37">
        <f>(counttour()/E2*(A2+A3)) + (ROUNDUP(IF(B31=TRUE,12*A5,12*A5*B30)/E2,0)*(A2+A3))</f>
        <v>0.51111111111111107</v>
      </c>
      <c r="B17" s="2">
        <v>14</v>
      </c>
      <c r="C17" s="26" t="str">
        <f t="shared" si="0"/>
        <v/>
      </c>
      <c r="D17" s="30"/>
      <c r="E17" s="6"/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72" t="s">
        <v>48</v>
      </c>
      <c r="AA18"/>
    </row>
    <row r="19" spans="1:27" x14ac:dyDescent="0.25">
      <c r="A19" s="12">
        <f>A15+A17+A21</f>
        <v>1.3652777777777778</v>
      </c>
      <c r="B19" s="2">
        <v>16</v>
      </c>
      <c r="C19" s="26" t="str">
        <f t="shared" si="0"/>
        <v/>
      </c>
      <c r="D19" s="30"/>
      <c r="E19" s="6"/>
      <c r="F19" s="72"/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72"/>
      <c r="AA20"/>
    </row>
    <row r="21" spans="1:27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72"/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73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73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73"/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73"/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73"/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3" t="s">
        <v>58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2</v>
      </c>
      <c r="E30" s="33"/>
      <c r="F30" s="73"/>
    </row>
    <row r="31" spans="1:27" x14ac:dyDescent="0.25">
      <c r="A31" s="11" t="s">
        <v>52</v>
      </c>
      <c r="B31" s="36" t="b">
        <v>1</v>
      </c>
      <c r="D31" s="11" t="s">
        <v>34</v>
      </c>
      <c r="F31" s="73"/>
    </row>
    <row r="32" spans="1:27" x14ac:dyDescent="0.25">
      <c r="A32" s="45" t="s">
        <v>41</v>
      </c>
      <c r="B32" s="36" t="b">
        <v>0</v>
      </c>
      <c r="D32" s="29">
        <v>0</v>
      </c>
    </row>
    <row r="33" spans="1:6" x14ac:dyDescent="0.25">
      <c r="A33" s="11" t="s">
        <v>54</v>
      </c>
      <c r="B33" s="36" t="b">
        <v>1</v>
      </c>
      <c r="D33" s="11" t="s">
        <v>35</v>
      </c>
      <c r="F33" s="32"/>
    </row>
    <row r="34" spans="1:6" x14ac:dyDescent="0.25">
      <c r="A34" s="39">
        <f>(counttour()/E2*(A2+A3))+A32</f>
        <v>0.77222222222222214</v>
      </c>
      <c r="B34" s="36" t="b">
        <v>1</v>
      </c>
      <c r="D34" s="29">
        <v>0</v>
      </c>
    </row>
    <row r="35" spans="1:6" x14ac:dyDescent="0.25">
      <c r="A35" s="11" t="s">
        <v>55</v>
      </c>
      <c r="D35" s="11" t="s">
        <v>57</v>
      </c>
    </row>
    <row r="36" spans="1:6" x14ac:dyDescent="0.25">
      <c r="A36" s="45" t="s">
        <v>37</v>
      </c>
      <c r="D36" s="29" t="b">
        <v>1</v>
      </c>
      <c r="E36" s="2" t="s">
        <v>36</v>
      </c>
    </row>
    <row r="37" spans="1:6" x14ac:dyDescent="0.25">
      <c r="A37" s="11" t="s">
        <v>32</v>
      </c>
    </row>
    <row r="38" spans="1:6" x14ac:dyDescent="0.25">
      <c r="A38" s="39">
        <f>A36+(ROUNDUP(IF(B31=TRUE,12*A5,12*A5*B30)/E2,0)*(A2+A3))</f>
        <v>0.48888888888888882</v>
      </c>
    </row>
    <row r="39" spans="1:6" ht="16.5" thickBot="1" x14ac:dyDescent="0.3">
      <c r="A39" s="14"/>
    </row>
    <row r="40" spans="1:6" x14ac:dyDescent="0.25">
      <c r="A40" s="3" t="s">
        <v>56</v>
      </c>
    </row>
    <row r="41" spans="1:6" x14ac:dyDescent="0.25">
      <c r="A41" s="29" t="s">
        <v>9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33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33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33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33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Dell</cp:lastModifiedBy>
  <cp:lastPrinted>2022-04-10T02:39:03Z</cp:lastPrinted>
  <dcterms:created xsi:type="dcterms:W3CDTF">2020-04-24T22:48:13Z</dcterms:created>
  <dcterms:modified xsi:type="dcterms:W3CDTF">2023-01-13T23:18:27Z</dcterms:modified>
</cp:coreProperties>
</file>