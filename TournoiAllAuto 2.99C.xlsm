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835366D6-CA13-49AF-8C81-C6A90A31DF28}" xr6:coauthVersionLast="47" xr6:coauthVersionMax="47" xr10:uidLastSave="{00000000-0000-0000-0000-000000000000}"/>
  <bookViews>
    <workbookView xWindow="-120" yWindow="-120" windowWidth="29040" windowHeight="16440" firstSheet="1" activeTab="8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  <sheet name="INSCRIPTS" sheetId="72" r:id="rId5"/>
    <sheet name="MATCHS" sheetId="73" r:id="rId6"/>
    <sheet name="CLASSEMENTS" sheetId="74" r:id="rId7"/>
    <sheet name="PHASE_FINAL_NO CATEGORIE" sheetId="75" r:id="rId8"/>
    <sheet name="FINAL_MATCHS" sheetId="76" r:id="rId9"/>
    <sheet name="PLACE_FINAL_NO CATEGORIE" sheetId="77" r:id="rId10"/>
  </sheets>
  <functionGroups builtInGroupCount="19"/>
  <externalReferences>
    <externalReference r:id="rId11"/>
  </externalReferenc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4" i="77"/>
  <c r="A13" i="77"/>
  <c r="A12" i="77"/>
  <c r="A11" i="77"/>
  <c r="A10" i="77"/>
  <c r="A9" i="77"/>
  <c r="A8" i="77"/>
  <c r="A7" i="77"/>
  <c r="A6" i="77"/>
  <c r="A5" i="77"/>
  <c r="A4" i="77"/>
  <c r="A3" i="77"/>
  <c r="J9" i="77"/>
  <c r="D8" i="77"/>
  <c r="G7" i="77"/>
  <c r="D77" i="76"/>
  <c r="D75" i="76"/>
  <c r="D73" i="76"/>
  <c r="D71" i="76"/>
  <c r="D69" i="76"/>
  <c r="D67" i="76"/>
  <c r="D65" i="76"/>
  <c r="D63" i="76"/>
  <c r="D61" i="76"/>
  <c r="D59" i="76"/>
  <c r="D57" i="76"/>
  <c r="D55" i="76"/>
  <c r="D53" i="76"/>
  <c r="D51" i="76"/>
  <c r="D49" i="76"/>
  <c r="D47" i="76"/>
  <c r="D45" i="76"/>
  <c r="D43" i="76"/>
  <c r="D41" i="76"/>
  <c r="D39" i="76"/>
  <c r="D37" i="76"/>
  <c r="D35" i="76"/>
  <c r="D33" i="76"/>
  <c r="D31" i="76"/>
  <c r="D29" i="76"/>
  <c r="D27" i="76"/>
  <c r="D25" i="76"/>
  <c r="D23" i="76"/>
  <c r="D21" i="76"/>
  <c r="D19" i="76"/>
  <c r="D17" i="76"/>
  <c r="D15" i="76"/>
  <c r="D13" i="76"/>
  <c r="D11" i="76"/>
  <c r="D9" i="76"/>
  <c r="D7" i="76"/>
  <c r="D5" i="76"/>
  <c r="D3" i="76"/>
  <c r="E12" i="76"/>
  <c r="C12" i="76"/>
  <c r="F12" i="76"/>
  <c r="B12" i="76"/>
  <c r="E10" i="76"/>
  <c r="C10" i="76"/>
  <c r="F10" i="76"/>
  <c r="B10" i="76"/>
  <c r="E8" i="76"/>
  <c r="C8" i="76"/>
  <c r="F8" i="76"/>
  <c r="B8" i="76"/>
  <c r="E6" i="76"/>
  <c r="C6" i="76"/>
  <c r="F6" i="76"/>
  <c r="B6" i="76"/>
  <c r="E4" i="76"/>
  <c r="C4" i="76"/>
  <c r="F4" i="76"/>
  <c r="B4" i="76"/>
  <c r="E2" i="76"/>
  <c r="C2" i="76"/>
  <c r="F2" i="76"/>
  <c r="B2" i="76"/>
  <c r="C213" i="75"/>
  <c r="C212" i="75"/>
  <c r="F211" i="75"/>
  <c r="F210" i="75"/>
  <c r="K211" i="75"/>
  <c r="K210" i="75"/>
  <c r="N213" i="75"/>
  <c r="N212" i="75"/>
  <c r="C200" i="75"/>
  <c r="C199" i="75"/>
  <c r="C196" i="75"/>
  <c r="C195" i="75"/>
  <c r="F202" i="75"/>
  <c r="F201" i="75"/>
  <c r="F194" i="75"/>
  <c r="F193" i="75"/>
  <c r="K202" i="75"/>
  <c r="K201" i="75"/>
  <c r="K194" i="75"/>
  <c r="K193" i="75"/>
  <c r="N200" i="75"/>
  <c r="N199" i="75"/>
  <c r="N196" i="75"/>
  <c r="N195" i="75"/>
  <c r="C183" i="75"/>
  <c r="C182" i="75"/>
  <c r="C179" i="75"/>
  <c r="C178" i="75"/>
  <c r="F185" i="75"/>
  <c r="F184" i="75"/>
  <c r="F177" i="75"/>
  <c r="F176" i="75"/>
  <c r="K185" i="75"/>
  <c r="K184" i="75"/>
  <c r="K177" i="75"/>
  <c r="K176" i="75"/>
  <c r="N183" i="75"/>
  <c r="N182" i="75"/>
  <c r="N179" i="75"/>
  <c r="N178" i="75"/>
  <c r="C166" i="75"/>
  <c r="C165" i="75"/>
  <c r="C162" i="75"/>
  <c r="C161" i="75"/>
  <c r="F168" i="75"/>
  <c r="F167" i="75"/>
  <c r="F160" i="75"/>
  <c r="F159" i="75"/>
  <c r="K168" i="75"/>
  <c r="K167" i="75"/>
  <c r="K160" i="75"/>
  <c r="K159" i="75"/>
  <c r="N166" i="75"/>
  <c r="N165" i="75"/>
  <c r="N162" i="75"/>
  <c r="N161" i="75"/>
  <c r="C149" i="75"/>
  <c r="C148" i="75"/>
  <c r="C145" i="75"/>
  <c r="C144" i="75"/>
  <c r="F151" i="75"/>
  <c r="F150" i="75"/>
  <c r="F143" i="75"/>
  <c r="F142" i="75"/>
  <c r="K151" i="75"/>
  <c r="K150" i="75"/>
  <c r="K143" i="75"/>
  <c r="K142" i="75"/>
  <c r="N149" i="75"/>
  <c r="N148" i="75"/>
  <c r="N145" i="75"/>
  <c r="N144" i="75"/>
  <c r="C132" i="75"/>
  <c r="C131" i="75"/>
  <c r="C128" i="75"/>
  <c r="C127" i="75"/>
  <c r="F134" i="75"/>
  <c r="F133" i="75"/>
  <c r="F126" i="75"/>
  <c r="F125" i="75"/>
  <c r="K134" i="75"/>
  <c r="K133" i="75"/>
  <c r="K126" i="75"/>
  <c r="K125" i="75"/>
  <c r="N132" i="75"/>
  <c r="N131" i="75"/>
  <c r="N128" i="75"/>
  <c r="N127" i="75"/>
  <c r="C115" i="75"/>
  <c r="C114" i="75"/>
  <c r="C111" i="75"/>
  <c r="C110" i="75"/>
  <c r="F117" i="75"/>
  <c r="F116" i="75"/>
  <c r="F109" i="75"/>
  <c r="F108" i="75"/>
  <c r="K117" i="75"/>
  <c r="K116" i="75"/>
  <c r="K109" i="75"/>
  <c r="K108" i="75"/>
  <c r="N115" i="75"/>
  <c r="N114" i="75"/>
  <c r="N111" i="75"/>
  <c r="N110" i="75"/>
  <c r="C98" i="75"/>
  <c r="C97" i="75"/>
  <c r="C94" i="75"/>
  <c r="C93" i="75"/>
  <c r="F100" i="75"/>
  <c r="F99" i="75"/>
  <c r="F92" i="75"/>
  <c r="F91" i="75"/>
  <c r="K100" i="75"/>
  <c r="K99" i="75"/>
  <c r="K92" i="75"/>
  <c r="K91" i="75"/>
  <c r="N98" i="75"/>
  <c r="N97" i="75"/>
  <c r="N94" i="75"/>
  <c r="N93" i="75"/>
  <c r="C81" i="75"/>
  <c r="C80" i="75"/>
  <c r="C77" i="75"/>
  <c r="C76" i="75"/>
  <c r="F83" i="75"/>
  <c r="F82" i="75"/>
  <c r="F75" i="75"/>
  <c r="F74" i="75"/>
  <c r="K83" i="75"/>
  <c r="K82" i="75"/>
  <c r="K75" i="75"/>
  <c r="K74" i="75"/>
  <c r="N81" i="75"/>
  <c r="N80" i="75"/>
  <c r="N77" i="75"/>
  <c r="N76" i="75"/>
  <c r="C64" i="75"/>
  <c r="C63" i="75"/>
  <c r="C60" i="75"/>
  <c r="C59" i="75"/>
  <c r="F66" i="75"/>
  <c r="F65" i="75"/>
  <c r="F58" i="75"/>
  <c r="F57" i="75"/>
  <c r="K66" i="75"/>
  <c r="K65" i="75"/>
  <c r="K58" i="75"/>
  <c r="K57" i="75"/>
  <c r="N64" i="75"/>
  <c r="N63" i="75"/>
  <c r="N60" i="75"/>
  <c r="N59" i="75"/>
  <c r="C47" i="75"/>
  <c r="C46" i="75"/>
  <c r="C43" i="75"/>
  <c r="C42" i="75"/>
  <c r="F49" i="75"/>
  <c r="F48" i="75"/>
  <c r="F41" i="75"/>
  <c r="F40" i="75"/>
  <c r="K49" i="75"/>
  <c r="K48" i="75"/>
  <c r="K41" i="75"/>
  <c r="K40" i="75"/>
  <c r="N47" i="75"/>
  <c r="N46" i="75"/>
  <c r="N43" i="75"/>
  <c r="N42" i="75"/>
  <c r="C30" i="75"/>
  <c r="C29" i="75"/>
  <c r="C26" i="75"/>
  <c r="C25" i="75"/>
  <c r="F32" i="75"/>
  <c r="F31" i="75"/>
  <c r="F24" i="75"/>
  <c r="F23" i="75"/>
  <c r="K32" i="75"/>
  <c r="K31" i="75"/>
  <c r="K24" i="75"/>
  <c r="K23" i="75"/>
  <c r="N30" i="75"/>
  <c r="N29" i="75"/>
  <c r="N26" i="75"/>
  <c r="N25" i="75"/>
  <c r="C13" i="75"/>
  <c r="C12" i="75"/>
  <c r="C9" i="75"/>
  <c r="C8" i="75"/>
  <c r="F15" i="75"/>
  <c r="F14" i="75"/>
  <c r="F7" i="75"/>
  <c r="F6" i="75"/>
  <c r="K15" i="75"/>
  <c r="K14" i="75"/>
  <c r="K7" i="75"/>
  <c r="K6" i="75"/>
  <c r="N13" i="75"/>
  <c r="N12" i="75"/>
  <c r="N9" i="75"/>
  <c r="N8" i="75"/>
  <c r="I7" i="74"/>
  <c r="H7" i="74"/>
  <c r="F7" i="74"/>
  <c r="E7" i="74"/>
  <c r="I6" i="74"/>
  <c r="H6" i="74"/>
  <c r="F6" i="74"/>
  <c r="E6" i="74"/>
  <c r="I5" i="74"/>
  <c r="H5" i="74"/>
  <c r="F5" i="74"/>
  <c r="E5" i="74"/>
  <c r="I4" i="74"/>
  <c r="H4" i="74"/>
  <c r="F4" i="74"/>
  <c r="E4" i="74"/>
  <c r="N7" i="74"/>
  <c r="J7" i="74"/>
  <c r="D7" i="74"/>
  <c r="N6" i="74"/>
  <c r="J6" i="74"/>
  <c r="D6" i="74"/>
  <c r="N5" i="74"/>
  <c r="J5" i="74"/>
  <c r="D5" i="74"/>
  <c r="N4" i="74"/>
  <c r="J4" i="74"/>
  <c r="D4" i="74"/>
  <c r="F10" i="73"/>
  <c r="F8" i="73"/>
  <c r="F4" i="73"/>
  <c r="F12" i="73"/>
  <c r="F6" i="73"/>
  <c r="B4" i="73"/>
  <c r="B12" i="73"/>
  <c r="B8" i="73"/>
  <c r="F2" i="73"/>
  <c r="B10" i="73"/>
  <c r="B6" i="73"/>
  <c r="B2" i="73"/>
  <c r="D11" i="73"/>
  <c r="D9" i="73"/>
  <c r="D7" i="73"/>
  <c r="D5" i="73"/>
  <c r="D3" i="73"/>
  <c r="B30" i="1" a="1"/>
  <c r="B30" i="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<sst xmlns="http://schemas.openxmlformats.org/spreadsheetml/2006/main" count="2613" uniqueCount="77">
  <si>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</si>
  <si>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</si>
  <si>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</si>
  <si>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</si>
  <si>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</si>
  <si>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</si>
  <si>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</si>
  <si>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</si>
  <si>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</si>
  <si>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</si>
  <si>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</si>
  <si>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</si>
  <si>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</si>
  <si>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</si>
  <si>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</si>
  <si>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</si>
  <si>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</si>
  <si>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</si>
  <si>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</si>
  <si>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</si>
  <si>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</si>
  <si>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</si>
  <si>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</si>
  <si>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</si>
  <si>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</si>
  <si>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</si>
  <si>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</si>
  <si>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</si>
  <si>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</si>
  <si>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</si>
  <si>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</si>
  <si>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</si>
  <si>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</si>
  <si>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</si>
  <si>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</si>
  <si>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</si>
  <si>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</si>
  <si>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</si>
  <si>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</si>
  <si>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</si>
  <si>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</si>
  <si>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</si>
  <si>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</si>
  <si>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</si>
  <si>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</si>
  <si>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</si>
  <si>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</si>
  <si>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</si>
  <si>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</si>
  <si>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</si>
  <si>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</si>
  <si>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</si>
  <si>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</si>
  <si>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</si>
  <si>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</si>
  <si>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4A</t>
  </si>
  <si>
    <t>A</t>
  </si>
  <si>
    <t>NO CATEGORIE</t>
  </si>
  <si>
    <t>00:15</t>
  </si>
  <si>
    <t>08:00</t>
  </si>
  <si>
    <t>Version 2.99B</t>
  </si>
  <si>
    <t>1 TERRAIN 1</t>
  </si>
  <si>
    <t>Lettre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</si>
  <si>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</si>
  <si>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</si>
  <si>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</si>
  <si>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</si>
  <si>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</si>
  <si>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</si>
  <si>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</si>
  <si>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</si>
  <si>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PHASE FINAL NO CATEGORIE</t>
  </si>
  <si>
    <t>PHASE FINAL 1</t>
  </si>
  <si>
    <t>TERRAIN 1</t>
  </si>
  <si>
    <t>Place 1 et 2</t>
  </si>
  <si>
    <t>Place 3 et 4</t>
  </si>
  <si>
    <t>CLASSEMENT FINAL NO 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</si>
</sst>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FFFF"/>
      <name val="Calibri"/>
      <family val="2"/>
      <scheme val="minor"/>
    </font>
    <font>
      <sz val="75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4" xfId="0" applyFont="1" applyFill="1" applyBorder="1" applyAlignment="1">
      <alignment horizontal="center" vertical="center"/>
    </xf>
    <xf numFmtId="0" fontId="14" fillId="5" borderId="35" xfId="0" applyFont="1" applyFill="1" applyBorder="1" applyAlignment="1">
      <alignment horizontal="center" vertical="center"/>
    </xf>
    <xf numFmtId="0" fontId="12" fillId="7" borderId="36" xfId="0" applyFont="1" applyFill="1" applyBorder="1" applyAlignment="1">
      <alignment horizontal="center" vertical="center"/>
    </xf>
    <xf numFmtId="0" fontId="9" fillId="5" borderId="37" xfId="0" applyFont="1" applyFill="1" applyBorder="1" applyAlignment="1" applyProtection="1">
      <alignment horizontal="center"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15" fillId="8" borderId="0" xfId="0" applyFont="1" applyFill="1" applyAlignment="1">
      <alignment horizontal="center" vertical="center"/>
    </xf>
    <xf numFmtId="165" fontId="15" fillId="8" borderId="0" xfId="0" applyNumberFormat="1" applyFont="1" applyFill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15" fillId="8" borderId="0" xfId="0" applyFont="1" applyFill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6" fillId="7" borderId="3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1" fontId="0" fillId="4" borderId="0" xfId="0" applyNumberFormat="1" applyFill="1"/>
    <xf numFmtId="1" fontId="16" fillId="7" borderId="30" xfId="0" applyNumberFormat="1" applyFont="1" applyFill="1" applyBorder="1" applyAlignment="1">
      <alignment horizontal="center" vertical="center"/>
    </xf>
    <xf numFmtId="1" fontId="9" fillId="5" borderId="31" xfId="0" applyNumberFormat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0" fontId="12" fillId="7" borderId="11" xfId="0" applyFont="1" applyFill="1" applyBorder="1" applyAlignment="1">
      <alignment horizontal="center" vertical="center"/>
    </xf>
    <xf numFmtId="0" fontId="15" fillId="4" borderId="0" xfId="0" applyFont="1" applyFill="1" applyAlignment="1" applyProtection="1">
      <alignment horizontal="center" vertical="center"/>
      <protection locked="0"/>
    </xf>
    <xf numFmtId="0" fontId="12" fillId="7" borderId="3" xfId="0" applyFont="1" applyFill="1" applyBorder="1" applyAlignment="1" applyProtection="1">
      <alignment horizontal="center" vertical="center"/>
      <protection locked="0"/>
    </xf>
    <xf numFmtId="0" fontId="12" fillId="7" borderId="10" xfId="0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 applyProtection="1">
      <alignment horizontal="center" vertical="center"/>
      <protection locked="0"/>
    </xf>
    <xf numFmtId="0" fontId="12" fillId="7" borderId="11" xfId="0" applyFont="1" applyFill="1" applyBorder="1" applyAlignment="1" applyProtection="1">
      <alignment horizontal="center" vertical="center"/>
      <protection locked="0"/>
    </xf>
    <xf numFmtId="0" fontId="13" fillId="6" borderId="31" xfId="0" applyFont="1" applyFill="1" applyBorder="1" applyAlignment="1">
      <alignment horizontal="center" vertical="center"/>
    </xf>
    <xf numFmtId="0" fontId="13" fillId="9" borderId="3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42" xfId="0" applyFont="1" applyFill="1" applyBorder="1" applyAlignment="1">
      <alignment horizontal="center" vertical="center"/>
    </xf>
    <xf numFmtId="0" fontId="15" fillId="10" borderId="45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8" fillId="10" borderId="42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horizontal="center" vertical="center"/>
    </xf>
    <xf numFmtId="0" fontId="19" fillId="10" borderId="42" xfId="0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/>
    </xf>
    <xf numFmtId="0" fontId="20" fillId="10" borderId="42" xfId="0" applyFont="1" applyFill="1" applyBorder="1" applyAlignment="1">
      <alignment horizontal="center"/>
    </xf>
    <xf numFmtId="0" fontId="20" fillId="10" borderId="44" xfId="0" applyFont="1" applyFill="1" applyBorder="1" applyAlignment="1">
      <alignment horizontal="center"/>
    </xf>
    <xf numFmtId="0" fontId="20" fillId="10" borderId="43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48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7169" name="C4PPinscrip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848C383-7B0C-C197-D9E0-41DF0E05C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8193" name="MAJHEUREB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8BF590B8-EC8F-E486-6234-F9DF829F1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8194" name="C4PPMatch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A75940BD-B877-F5E3-1A3A-1888C583D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9217" name="TRIPOUL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364182B6-75A0-5468-7AB7-118BAEA8C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9218" name="ValiderOrdrePhaseFinale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FC514A99-F3E4-04AD-C35B-BFD653F66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9219" name="C4PPClassemen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41F0B84-A7B6-D307-3487-866F4C36C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0241" name="C4PPph14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CE0110-D87D-A3C7-E471-6716377E1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1265" name="MAJHEUREB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6B47CCD5-ED8B-64D0-6D0F-FF92128AE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1266" name="C4PPMatchph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271DAFA-F91F-EC27-769F-A41FEAEFC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2289" name="C4PPphfinalh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B5C2495D-B6E9-06E4-AC67-02221D5C9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TEGORI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EGORI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63" t="s">
        <v>21</v>
      </c>
      <c r="B1" s="64"/>
      <c r="C1" s="64"/>
      <c r="D1" s="64"/>
      <c r="E1" s="64"/>
      <c r="F1" s="64"/>
      <c r="G1" s="64"/>
      <c r="H1" s="64"/>
      <c r="I1" s="64"/>
      <c r="J1" s="64"/>
      <c r="K1" s="65"/>
    </row>
    <row r="2" spans="1:11" ht="15" customHeight="1" x14ac:dyDescent="0.25">
      <c r="A2" s="66"/>
      <c r="B2" s="67"/>
      <c r="C2" s="67"/>
      <c r="D2" s="67"/>
      <c r="E2" s="67"/>
      <c r="F2" s="67"/>
      <c r="G2" s="67"/>
      <c r="H2" s="67"/>
      <c r="I2" s="67"/>
      <c r="J2" s="67"/>
      <c r="K2" s="68"/>
    </row>
    <row r="3" spans="1:11" ht="15" customHeight="1" x14ac:dyDescent="0.25">
      <c r="A3" s="66"/>
      <c r="B3" s="67"/>
      <c r="C3" s="67"/>
      <c r="D3" s="67"/>
      <c r="E3" s="67"/>
      <c r="F3" s="67"/>
      <c r="G3" s="67"/>
      <c r="H3" s="67"/>
      <c r="I3" s="67"/>
      <c r="J3" s="67"/>
      <c r="K3" s="68"/>
    </row>
    <row r="4" spans="1:11" ht="15" customHeight="1" x14ac:dyDescent="0.25">
      <c r="A4" s="66"/>
      <c r="B4" s="67"/>
      <c r="C4" s="67"/>
      <c r="D4" s="67"/>
      <c r="E4" s="67"/>
      <c r="F4" s="67"/>
      <c r="G4" s="67"/>
      <c r="H4" s="67"/>
      <c r="I4" s="67"/>
      <c r="J4" s="67"/>
      <c r="K4" s="68"/>
    </row>
    <row r="5" spans="1:11" ht="15" customHeight="1" x14ac:dyDescent="0.25">
      <c r="A5" s="66"/>
      <c r="B5" s="67"/>
      <c r="C5" s="67"/>
      <c r="D5" s="67"/>
      <c r="E5" s="67"/>
      <c r="F5" s="67"/>
      <c r="G5" s="67"/>
      <c r="H5" s="67"/>
      <c r="I5" s="67"/>
      <c r="J5" s="67"/>
      <c r="K5" s="68"/>
    </row>
    <row r="6" spans="1:11" ht="15" customHeight="1" x14ac:dyDescent="0.25">
      <c r="A6" s="66"/>
      <c r="B6" s="67"/>
      <c r="C6" s="67"/>
      <c r="D6" s="67"/>
      <c r="E6" s="67"/>
      <c r="F6" s="67"/>
      <c r="G6" s="67"/>
      <c r="H6" s="67"/>
      <c r="I6" s="67"/>
      <c r="J6" s="67"/>
      <c r="K6" s="68"/>
    </row>
    <row r="7" spans="1:11" ht="15" customHeight="1" x14ac:dyDescent="0.25">
      <c r="A7" s="66"/>
      <c r="B7" s="67"/>
      <c r="C7" s="67"/>
      <c r="D7" s="67"/>
      <c r="E7" s="67"/>
      <c r="F7" s="67"/>
      <c r="G7" s="67"/>
      <c r="H7" s="67"/>
      <c r="I7" s="67"/>
      <c r="J7" s="67"/>
      <c r="K7" s="68"/>
    </row>
    <row r="8" spans="1:11" ht="15" customHeight="1" x14ac:dyDescent="0.25">
      <c r="A8" s="66"/>
      <c r="B8" s="67"/>
      <c r="C8" s="67"/>
      <c r="D8" s="67"/>
      <c r="E8" s="67"/>
      <c r="F8" s="67"/>
      <c r="G8" s="67"/>
      <c r="H8" s="67"/>
      <c r="I8" s="67"/>
      <c r="J8" s="67"/>
      <c r="K8" s="68"/>
    </row>
    <row r="9" spans="1:11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8"/>
    </row>
    <row r="10" spans="1:11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8"/>
    </row>
    <row r="11" spans="1:11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8"/>
    </row>
    <row r="12" spans="1:11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8"/>
    </row>
    <row r="13" spans="1:11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8"/>
    </row>
    <row r="14" spans="1:11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8"/>
    </row>
    <row r="15" spans="1:11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8"/>
    </row>
    <row r="17" spans="1:11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8"/>
    </row>
    <row r="19" spans="1:11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8"/>
    </row>
    <row r="20" spans="1:11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8"/>
    </row>
    <row r="21" spans="1:11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8"/>
    </row>
    <row r="22" spans="1:11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8"/>
    </row>
    <row r="23" spans="1:11" ht="15" customHeight="1" x14ac:dyDescent="0.25">
      <c r="A23" s="60" t="s">
        <v>23</v>
      </c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5" customHeight="1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" customHeight="1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7"/>
    </row>
    <row r="28" spans="1:11" ht="15" customHeight="1" thickBo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</row>
    <row r="29" spans="1:11" ht="15" customHeight="1" x14ac:dyDescent="0.25">
      <c r="A29" s="51" t="s">
        <v>22</v>
      </c>
      <c r="B29" s="52"/>
      <c r="C29" s="52"/>
      <c r="D29" s="52"/>
      <c r="E29" s="52"/>
      <c r="F29" s="52"/>
      <c r="G29" s="52"/>
      <c r="H29" s="52"/>
      <c r="I29" s="52"/>
      <c r="J29" s="52"/>
      <c r="K29" s="53"/>
    </row>
    <row r="30" spans="1:11" ht="15" customHeight="1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6"/>
    </row>
    <row r="31" spans="1:11" ht="15" customHeight="1" thickBot="1" x14ac:dyDescent="0.3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226"/>
  <sheetViews>
    <sheetView zoomScale="85" zoomScaleNormal="85" workbookViewId="0"/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10" ht="15.75" thickBot="1" x14ac:dyDescent="0.3">
      <c r="A1" s="3" t="s">
        <v>2</v>
      </c>
      <c r="B1" s="1"/>
      <c r="C1" s="71"/>
      <c r="D1" s="24" t="s">
        <v>0</v>
      </c>
      <c r="E1" s="44" t="s">
        <v>50</v>
      </c>
      <c r="F1" s="3" t="s">
        <v>1</v>
      </c>
      <c r="H1" s="16" t="s">
        <v>42</v>
      </c>
      <c r="I1" s="16" t="s">
        <v>43</v>
      </c>
      <c r="J1" s="16" t="s">
        <v>57</v>
      </c>
    </row>
    <row r="2" spans="1:10" ht="15.75" thickBot="1" x14ac:dyDescent="0.3">
      <c r="A2" s="7" t="s">
        <v>58</v>
      </c>
      <c r="C2" s="71"/>
      <c r="D2" s="28">
        <v>1</v>
      </c>
      <c r="E2" s="29" t="s">
        <v>10</v>
      </c>
      <c r="F2" s="23">
        <v>2</v>
      </c>
    </row>
    <row r="3" spans="1:10" ht="15.75" thickBot="1" x14ac:dyDescent="0.3">
      <c r="A3" s="8">
        <v>1.3888888888888889E-3</v>
      </c>
      <c r="C3" s="72"/>
      <c r="D3" s="4" t="s">
        <v>31</v>
      </c>
      <c r="E3" s="38" t="str">
        <f>"Nbres de Cat : " &amp; B30</f>
        <v>Nbres de Cat : 1</v>
      </c>
      <c r="H3" s="16" t="s">
        <v>44</v>
      </c>
      <c r="I3" s="16" t="s">
        <v>55</v>
      </c>
      <c r="J3" s="16" t="s">
        <v>57</v>
      </c>
    </row>
    <row r="4" spans="1:10" x14ac:dyDescent="0.25">
      <c r="A4" s="9" t="s">
        <v>3</v>
      </c>
      <c r="B4" s="2">
        <v>1</v>
      </c>
      <c r="C4" s="25" t="str">
        <f t="shared" ref="C4:C29" si="0">IF($D$2&gt;=B4,CHAR(64+B4),"")</f>
        <v>A</v>
      </c>
      <c r="D4" s="30">
        <v>4</v>
      </c>
      <c r="E4" s="6" t="s">
        <v>57</v>
      </c>
    </row>
    <row r="5" spans="1:10" ht="15.75" thickBot="1" x14ac:dyDescent="0.3">
      <c r="A5" s="23">
        <v>1</v>
      </c>
      <c r="B5" s="2">
        <v>2</v>
      </c>
      <c r="C5" s="26" t="str">
        <f t="shared" si="0"/>
        <v/>
      </c>
      <c r="D5" s="30"/>
      <c r="E5" s="6"/>
      <c r="H5" s="16" t="s">
        <v>42</v>
      </c>
      <c r="I5" s="16" t="s">
        <v>44</v>
      </c>
      <c r="J5" s="16" t="s">
        <v>57</v>
      </c>
    </row>
    <row r="6" spans="1:10" ht="15.75" thickBot="1" x14ac:dyDescent="0.3">
      <c r="B6" s="2">
        <v>3</v>
      </c>
      <c r="C6" s="26" t="str">
        <f t="shared" si="0"/>
        <v/>
      </c>
      <c r="D6" s="30"/>
      <c r="E6" s="6"/>
    </row>
    <row r="7" spans="1:10" x14ac:dyDescent="0.25">
      <c r="A7" s="10" t="s">
        <v>4</v>
      </c>
      <c r="B7" s="2">
        <v>4</v>
      </c>
      <c r="C7" s="26" t="str">
        <f t="shared" si="0"/>
        <v/>
      </c>
      <c r="D7" s="30"/>
      <c r="E7" s="6"/>
      <c r="H7" s="16" t="s">
        <v>43</v>
      </c>
      <c r="I7" s="16" t="s">
        <v>55</v>
      </c>
      <c r="J7" s="16" t="s">
        <v>57</v>
      </c>
    </row>
    <row r="8" spans="1:10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</row>
    <row r="9" spans="1:10" x14ac:dyDescent="0.25">
      <c r="B9" s="2">
        <v>6</v>
      </c>
      <c r="C9" s="26" t="str">
        <f t="shared" si="0"/>
        <v/>
      </c>
      <c r="D9" s="30"/>
      <c r="E9" s="6"/>
      <c r="H9" s="16" t="s">
        <v>42</v>
      </c>
      <c r="I9" s="16" t="s">
        <v>55</v>
      </c>
      <c r="J9" s="16" t="s">
        <v>57</v>
      </c>
    </row>
    <row r="10" spans="1:10" ht="15.75" thickBot="1" x14ac:dyDescent="0.3">
      <c r="B10" s="2">
        <v>7</v>
      </c>
      <c r="C10" s="26" t="str">
        <f t="shared" si="0"/>
        <v/>
      </c>
      <c r="D10" s="30"/>
      <c r="E10" s="6"/>
    </row>
    <row r="11" spans="1:10" x14ac:dyDescent="0.25">
      <c r="A11" s="3" t="s">
        <v>5</v>
      </c>
      <c r="B11" s="2">
        <v>8</v>
      </c>
      <c r="C11" s="26" t="str">
        <f t="shared" si="0"/>
        <v/>
      </c>
      <c r="D11" s="30"/>
      <c r="E11" s="6"/>
      <c r="H11" s="16" t="s">
        <v>43</v>
      </c>
      <c r="I11" s="16" t="s">
        <v>44</v>
      </c>
      <c r="J11" s="16" t="s">
        <v>57</v>
      </c>
    </row>
    <row r="12" spans="1:10" x14ac:dyDescent="0.25">
      <c r="A12" s="11" t="str">
        <f>A1</f>
        <v>Temps de Match</v>
      </c>
      <c r="B12" s="2">
        <v>9</v>
      </c>
      <c r="C12" s="26" t="str">
        <f t="shared" si="0"/>
        <v/>
      </c>
      <c r="D12" s="30"/>
      <c r="E12" s="6"/>
    </row>
    <row r="13" spans="1:10" x14ac:dyDescent="0.25">
      <c r="A13" s="12" t="str">
        <f>A2</f>
        <v>00:15</v>
      </c>
      <c r="B13" s="2">
        <v>10</v>
      </c>
      <c r="C13" s="26" t="str">
        <f t="shared" si="0"/>
        <v/>
      </c>
      <c r="D13" s="30"/>
      <c r="E13" s="6"/>
    </row>
    <row r="14" spans="1:10" x14ac:dyDescent="0.25">
      <c r="A14" s="11" t="s">
        <v>6</v>
      </c>
      <c r="B14" s="2">
        <v>11</v>
      </c>
      <c r="C14" s="26" t="str">
        <f t="shared" si="0"/>
        <v/>
      </c>
      <c r="D14" s="30"/>
      <c r="E14" s="6"/>
    </row>
    <row r="15" spans="1:10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</row>
    <row r="16" spans="1:10" x14ac:dyDescent="0.25">
      <c r="A16" s="11" t="s">
        <v>7</v>
      </c>
      <c r="B16" s="2">
        <v>13</v>
      </c>
      <c r="C16" s="26" t="str">
        <f t="shared" si="0"/>
        <v/>
      </c>
      <c r="D16" s="30"/>
      <c r="E16" s="6"/>
      <c r="F16" s="2" t="s">
        <v>60</v>
      </c>
    </row>
    <row r="17" spans="1:6" x14ac:dyDescent="0.25">
      <c r="A17" s="37">
        <f>(counttour()/E2*(A2+A3)) + (ROUNDUP(IF(B31=TRUE,12*A5,12*A5*B30)/E2,0)*(A2+A3))</f>
        <v>0.21249999999999999</v>
      </c>
      <c r="B17" s="2">
        <v>14</v>
      </c>
      <c r="C17" s="26" t="str">
        <f t="shared" si="0"/>
        <v/>
      </c>
      <c r="D17" s="30"/>
      <c r="E17" s="6"/>
    </row>
    <row r="18" spans="1:6" x14ac:dyDescent="0.25">
      <c r="A18" s="11" t="s">
        <v>8</v>
      </c>
      <c r="B18" s="2">
        <v>15</v>
      </c>
      <c r="C18" s="26" t="str">
        <f t="shared" si="0"/>
        <v/>
      </c>
      <c r="D18" s="30"/>
      <c r="E18" s="6"/>
      <c r="F18" s="69" t="s">
        <v>20</v>
      </c>
    </row>
    <row r="19" spans="1:6" x14ac:dyDescent="0.25">
      <c r="A19" s="12">
        <f>A15+A17+A21</f>
        <v>1.0666666666666667</v>
      </c>
      <c r="B19" s="2">
        <v>16</v>
      </c>
      <c r="C19" s="26" t="str">
        <f t="shared" si="0"/>
        <v/>
      </c>
      <c r="D19" s="30"/>
      <c r="E19" s="6"/>
      <c r="F19" s="69"/>
    </row>
    <row r="20" spans="1:6" x14ac:dyDescent="0.25">
      <c r="A20" s="11" t="s">
        <v>9</v>
      </c>
      <c r="B20" s="2">
        <v>17</v>
      </c>
      <c r="C20" s="26" t="str">
        <f t="shared" si="0"/>
        <v/>
      </c>
      <c r="D20" s="30"/>
      <c r="E20" s="6"/>
      <c r="F20" s="69"/>
    </row>
    <row r="21" spans="1:6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69"/>
    </row>
    <row r="22" spans="1:6" x14ac:dyDescent="0.25">
      <c r="B22" s="2">
        <v>19</v>
      </c>
      <c r="C22" s="26" t="str">
        <f t="shared" si="0"/>
        <v/>
      </c>
      <c r="D22" s="30"/>
      <c r="E22" s="6"/>
      <c r="F22" s="21"/>
    </row>
    <row r="23" spans="1:6" x14ac:dyDescent="0.25">
      <c r="B23" s="2">
        <v>20</v>
      </c>
      <c r="C23" s="26" t="str">
        <f t="shared" si="0"/>
        <v/>
      </c>
      <c r="D23" s="30"/>
      <c r="E23" s="6"/>
    </row>
    <row r="24" spans="1:6" x14ac:dyDescent="0.25">
      <c r="A24" s="13"/>
      <c r="B24" s="2">
        <v>21</v>
      </c>
      <c r="C24" s="26" t="str">
        <f t="shared" si="0"/>
        <v/>
      </c>
      <c r="D24" s="30"/>
      <c r="E24" s="6"/>
      <c r="F24" s="70" t="s">
        <v>22</v>
      </c>
    </row>
    <row r="25" spans="1:6" ht="15.75" x14ac:dyDescent="0.25">
      <c r="A25" s="14"/>
      <c r="B25" s="2">
        <v>22</v>
      </c>
      <c r="C25" s="26" t="str">
        <f t="shared" si="0"/>
        <v/>
      </c>
      <c r="D25" s="30"/>
      <c r="E25" s="6"/>
      <c r="F25" s="70"/>
    </row>
    <row r="26" spans="1:6" ht="15.75" x14ac:dyDescent="0.25">
      <c r="A26" s="14"/>
      <c r="B26" s="2">
        <v>23</v>
      </c>
      <c r="C26" s="26" t="str">
        <f t="shared" si="0"/>
        <v/>
      </c>
      <c r="D26" s="30"/>
      <c r="E26" s="6"/>
      <c r="F26" s="70"/>
    </row>
    <row r="27" spans="1:6" ht="15.75" x14ac:dyDescent="0.25">
      <c r="A27" s="14"/>
      <c r="B27" s="2">
        <v>24</v>
      </c>
      <c r="C27" s="26" t="str">
        <f t="shared" si="0"/>
        <v/>
      </c>
      <c r="D27" s="30"/>
      <c r="E27" s="6"/>
      <c r="F27" s="70"/>
    </row>
    <row r="28" spans="1:6" ht="15.75" x14ac:dyDescent="0.25">
      <c r="A28" s="14"/>
      <c r="B28" s="2">
        <v>25</v>
      </c>
      <c r="C28" s="26" t="str">
        <f t="shared" si="0"/>
        <v/>
      </c>
      <c r="D28" s="30"/>
      <c r="E28" s="6"/>
      <c r="F28" s="70"/>
    </row>
    <row r="29" spans="1:6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0" t="s">
        <v>24</v>
      </c>
    </row>
    <row r="30" spans="1:6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0"/>
    </row>
    <row r="31" spans="1:6" x14ac:dyDescent="0.25">
      <c r="A31" s="11" t="s">
        <v>6</v>
      </c>
      <c r="B31" s="36" t="b">
        <v>1</v>
      </c>
      <c r="D31" s="11" t="s">
        <v>51</v>
      </c>
      <c r="F31" s="70"/>
    </row>
    <row r="32" spans="1:6" x14ac:dyDescent="0.25">
      <c r="A32" s="7" t="s">
        <v>59</v>
      </c>
      <c r="B32" s="36" t="b">
        <v>0</v>
      </c>
      <c r="D32" s="29">
        <v>0</v>
      </c>
    </row>
    <row r="33" spans="1:6" x14ac:dyDescent="0.25">
      <c r="A33" s="11" t="s">
        <v>45</v>
      </c>
      <c r="B33" s="36" t="b">
        <v>0</v>
      </c>
      <c r="D33" s="11" t="s">
        <v>52</v>
      </c>
      <c r="F33" s="32"/>
    </row>
    <row r="34" spans="1:6" x14ac:dyDescent="0.25">
      <c r="A34" s="39">
        <f>(counttour()/E2*(A2+A3))+A32</f>
        <v>0.40416666666666667</v>
      </c>
      <c r="B34" s="36" t="b">
        <v>0</v>
      </c>
      <c r="D34" s="29">
        <v>0</v>
      </c>
    </row>
    <row r="35" spans="1:6" x14ac:dyDescent="0.25">
      <c r="A35" s="11" t="s">
        <v>46</v>
      </c>
      <c r="D35" s="11" t="s">
        <v>54</v>
      </c>
    </row>
    <row r="36" spans="1:6" x14ac:dyDescent="0.25">
      <c r="A36" s="7" t="s">
        <v>59</v>
      </c>
      <c r="D36" s="29" t="b">
        <v>0</v>
      </c>
      <c r="E36" s="2" t="s">
        <v>53</v>
      </c>
    </row>
    <row r="37" spans="1:6" x14ac:dyDescent="0.25">
      <c r="A37" s="11" t="s">
        <v>47</v>
      </c>
    </row>
    <row r="38" spans="1:6" x14ac:dyDescent="0.25">
      <c r="A38" s="39">
        <f>A36+(ROUNDUP(IF(B31=TRUE,12*A5,12*A5*B30)/E2,0)*(A2+A3))</f>
        <v>0.47499999999999998</v>
      </c>
    </row>
    <row r="39" spans="1:6" ht="16.5" thickBot="1" x14ac:dyDescent="0.3">
      <c r="A39" s="14"/>
    </row>
    <row r="40" spans="1:6" x14ac:dyDescent="0.25">
      <c r="A40" s="3" t="s">
        <v>49</v>
      </c>
    </row>
    <row r="41" spans="1:6" x14ac:dyDescent="0.25">
      <c r="A41" s="29" t="s">
        <v>10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48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48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48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48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26</v>
      </c>
      <c r="B1" s="34" t="s">
        <v>25</v>
      </c>
      <c r="C1" s="34" t="s">
        <v>26</v>
      </c>
      <c r="D1" s="34" t="s">
        <v>27</v>
      </c>
      <c r="E1" s="34" t="s">
        <v>26</v>
      </c>
      <c r="F1" s="34" t="s">
        <v>28</v>
      </c>
      <c r="G1" s="34" t="s">
        <v>26</v>
      </c>
      <c r="H1" s="34" t="s">
        <v>29</v>
      </c>
      <c r="I1" s="34" t="s">
        <v>26</v>
      </c>
      <c r="J1" s="34" t="s">
        <v>30</v>
      </c>
      <c r="K1" s="34" t="s">
        <v>26</v>
      </c>
      <c r="L1" s="34" t="s">
        <v>25</v>
      </c>
      <c r="M1" s="34" t="s">
        <v>26</v>
      </c>
      <c r="N1" s="34" t="s">
        <v>27</v>
      </c>
      <c r="O1" s="34" t="s">
        <v>26</v>
      </c>
      <c r="P1" s="34" t="s">
        <v>28</v>
      </c>
      <c r="Q1" s="34" t="s">
        <v>26</v>
      </c>
      <c r="R1" s="34" t="s">
        <v>29</v>
      </c>
      <c r="S1" s="34" t="s">
        <v>26</v>
      </c>
      <c r="T1" s="34" t="s">
        <v>30</v>
      </c>
      <c r="U1" s="34" t="s">
        <v>26</v>
      </c>
      <c r="V1" s="34" t="s">
        <v>25</v>
      </c>
      <c r="W1" s="34" t="s">
        <v>26</v>
      </c>
      <c r="X1" s="34" t="s">
        <v>27</v>
      </c>
      <c r="Y1" s="34" t="s">
        <v>26</v>
      </c>
      <c r="Z1" s="34" t="s">
        <v>28</v>
      </c>
      <c r="AA1" s="34" t="s">
        <v>26</v>
      </c>
      <c r="AB1" s="34" t="s">
        <v>29</v>
      </c>
      <c r="AC1" s="34" t="s">
        <v>26</v>
      </c>
      <c r="AD1" s="34" t="s">
        <v>30</v>
      </c>
      <c r="AE1" s="34" t="s">
        <v>26</v>
      </c>
      <c r="AF1" s="34" t="s">
        <v>25</v>
      </c>
      <c r="AG1" s="34" t="s">
        <v>26</v>
      </c>
      <c r="AH1" s="34" t="s">
        <v>27</v>
      </c>
      <c r="AI1" s="34" t="s">
        <v>26</v>
      </c>
      <c r="AJ1" s="34" t="s">
        <v>28</v>
      </c>
      <c r="AK1" s="34" t="s">
        <v>26</v>
      </c>
      <c r="AL1" s="34" t="s">
        <v>29</v>
      </c>
      <c r="AM1" s="34" t="s">
        <v>26</v>
      </c>
      <c r="AN1" s="34" t="s">
        <v>30</v>
      </c>
      <c r="AO1" s="34" t="s">
        <v>26</v>
      </c>
      <c r="AP1" s="34" t="s">
        <v>25</v>
      </c>
      <c r="AQ1" s="34" t="s">
        <v>26</v>
      </c>
      <c r="AR1" s="34" t="s">
        <v>27</v>
      </c>
      <c r="AS1" s="34" t="s">
        <v>26</v>
      </c>
      <c r="AT1" s="34" t="s">
        <v>28</v>
      </c>
      <c r="AU1" s="34" t="s">
        <v>26</v>
      </c>
      <c r="AV1" s="34" t="s">
        <v>29</v>
      </c>
      <c r="AW1" s="34" t="s">
        <v>26</v>
      </c>
      <c r="AX1" s="34" t="s">
        <v>30</v>
      </c>
      <c r="AY1" s="34" t="s">
        <v>26</v>
      </c>
      <c r="AZ1" s="34" t="s">
        <v>25</v>
      </c>
      <c r="BA1" s="34" t="s">
        <v>26</v>
      </c>
      <c r="BB1" s="34" t="s">
        <v>27</v>
      </c>
      <c r="BC1" s="34" t="s">
        <v>26</v>
      </c>
      <c r="BD1" s="34" t="s">
        <v>28</v>
      </c>
      <c r="BE1" s="34" t="s">
        <v>26</v>
      </c>
      <c r="BF1" s="34" t="s">
        <v>29</v>
      </c>
      <c r="BG1" s="34" t="s">
        <v>26</v>
      </c>
      <c r="BH1" s="34" t="s">
        <v>30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32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32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32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32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32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32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32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32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32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34</v>
      </c>
      <c r="C13" s="19" t="s">
        <v>12</v>
      </c>
      <c r="D13" s="20" t="s">
        <v>33</v>
      </c>
      <c r="E13" s="19" t="s">
        <v>13</v>
      </c>
      <c r="F13" s="20" t="s">
        <v>32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34</v>
      </c>
      <c r="O13" s="19" t="s">
        <v>11</v>
      </c>
      <c r="P13" s="20" t="s">
        <v>32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33</v>
      </c>
      <c r="AA13" s="19" t="s">
        <v>34</v>
      </c>
      <c r="AB13" s="20" t="s">
        <v>32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32</v>
      </c>
      <c r="AM13" s="19" t="s">
        <v>33</v>
      </c>
      <c r="AN13" s="20" t="s">
        <v>19</v>
      </c>
      <c r="AO13" s="19" t="s">
        <v>34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32</v>
      </c>
      <c r="AZ13" s="20" t="s">
        <v>18</v>
      </c>
      <c r="BA13" s="19" t="s">
        <v>33</v>
      </c>
      <c r="BB13" s="20" t="s">
        <v>17</v>
      </c>
      <c r="BC13" s="19" t="s">
        <v>34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32</v>
      </c>
      <c r="BN13" s="20" t="s">
        <v>16</v>
      </c>
      <c r="BO13" s="19" t="s">
        <v>33</v>
      </c>
      <c r="BP13" s="20" t="s">
        <v>15</v>
      </c>
      <c r="BQ13" s="19" t="s">
        <v>34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32</v>
      </c>
      <c r="CB13" s="20" t="s">
        <v>14</v>
      </c>
      <c r="CC13" s="19" t="s">
        <v>33</v>
      </c>
      <c r="CD13" s="20" t="s">
        <v>13</v>
      </c>
      <c r="CE13" s="19" t="s">
        <v>34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32</v>
      </c>
      <c r="CP13" s="20" t="s">
        <v>12</v>
      </c>
      <c r="CQ13" s="19" t="s">
        <v>33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33</v>
      </c>
      <c r="DD13" s="20" t="s">
        <v>34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34</v>
      </c>
      <c r="DO13" s="19" t="s">
        <v>32</v>
      </c>
      <c r="DP13" s="20" t="s">
        <v>33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34</v>
      </c>
      <c r="DY13" s="19" t="s">
        <v>18</v>
      </c>
      <c r="DZ13" s="20" t="s">
        <v>33</v>
      </c>
      <c r="EA13" s="19" t="s">
        <v>19</v>
      </c>
      <c r="EB13" s="20" t="s">
        <v>32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34</v>
      </c>
      <c r="EI13" s="19" t="s">
        <v>16</v>
      </c>
      <c r="EJ13" s="20" t="s">
        <v>33</v>
      </c>
      <c r="EK13" s="19" t="s">
        <v>17</v>
      </c>
      <c r="EL13" s="20" t="s">
        <v>32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34</v>
      </c>
      <c r="ES13" s="19" t="s">
        <v>14</v>
      </c>
      <c r="ET13" s="20" t="s">
        <v>33</v>
      </c>
      <c r="EU13" s="19" t="s">
        <v>15</v>
      </c>
      <c r="EV13" s="20" t="s">
        <v>32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35</v>
      </c>
      <c r="C14" s="19" t="s">
        <v>11</v>
      </c>
      <c r="D14" s="20" t="s">
        <v>34</v>
      </c>
      <c r="E14" s="19" t="s">
        <v>12</v>
      </c>
      <c r="F14" s="20" t="s">
        <v>33</v>
      </c>
      <c r="G14" s="19" t="s">
        <v>13</v>
      </c>
      <c r="H14" s="20" t="s">
        <v>32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34</v>
      </c>
      <c r="Q14" s="19" t="s">
        <v>35</v>
      </c>
      <c r="R14" s="20" t="s">
        <v>33</v>
      </c>
      <c r="S14" s="19" t="s">
        <v>11</v>
      </c>
      <c r="T14" s="20" t="s">
        <v>32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33</v>
      </c>
      <c r="AE14" s="19" t="s">
        <v>34</v>
      </c>
      <c r="AF14" s="20" t="s">
        <v>32</v>
      </c>
      <c r="AG14" s="19" t="s">
        <v>35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32</v>
      </c>
      <c r="AS14" s="19" t="s">
        <v>33</v>
      </c>
      <c r="AT14" s="20" t="s">
        <v>19</v>
      </c>
      <c r="AU14" s="19" t="s">
        <v>34</v>
      </c>
      <c r="AV14" s="20" t="s">
        <v>18</v>
      </c>
      <c r="AW14" s="19" t="s">
        <v>35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32</v>
      </c>
      <c r="BH14" s="20" t="s">
        <v>18</v>
      </c>
      <c r="BI14" s="19" t="s">
        <v>33</v>
      </c>
      <c r="BJ14" s="20" t="s">
        <v>17</v>
      </c>
      <c r="BK14" s="19" t="s">
        <v>34</v>
      </c>
      <c r="BL14" s="20" t="s">
        <v>16</v>
      </c>
      <c r="BM14" s="19" t="s">
        <v>35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32</v>
      </c>
      <c r="BX14" s="20" t="s">
        <v>16</v>
      </c>
      <c r="BY14" s="19" t="s">
        <v>33</v>
      </c>
      <c r="BZ14" s="20" t="s">
        <v>15</v>
      </c>
      <c r="CA14" s="19" t="s">
        <v>34</v>
      </c>
      <c r="CB14" s="20" t="s">
        <v>14</v>
      </c>
      <c r="CC14" s="19" t="s">
        <v>35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32</v>
      </c>
      <c r="CN14" s="20" t="s">
        <v>14</v>
      </c>
      <c r="CO14" s="19" t="s">
        <v>33</v>
      </c>
      <c r="CP14" s="20" t="s">
        <v>13</v>
      </c>
      <c r="CQ14" s="19" t="s">
        <v>34</v>
      </c>
      <c r="CR14" s="20" t="s">
        <v>12</v>
      </c>
      <c r="CS14" s="19" t="s">
        <v>35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32</v>
      </c>
      <c r="DD14" s="20" t="s">
        <v>12</v>
      </c>
      <c r="DE14" s="19" t="s">
        <v>33</v>
      </c>
      <c r="DF14" s="20" t="s">
        <v>11</v>
      </c>
      <c r="DG14" s="19" t="s">
        <v>34</v>
      </c>
      <c r="DH14" s="20" t="s">
        <v>35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32</v>
      </c>
      <c r="DT14" s="20" t="s">
        <v>35</v>
      </c>
      <c r="DU14" s="19" t="s">
        <v>33</v>
      </c>
      <c r="DV14" s="20" t="s">
        <v>34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35</v>
      </c>
      <c r="EG14" s="19" t="s">
        <v>19</v>
      </c>
      <c r="EH14" s="20" t="s">
        <v>34</v>
      </c>
      <c r="EI14" s="19" t="s">
        <v>32</v>
      </c>
      <c r="EJ14" s="20" t="s">
        <v>33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35</v>
      </c>
      <c r="ES14" s="19" t="s">
        <v>17</v>
      </c>
      <c r="ET14" s="20" t="s">
        <v>34</v>
      </c>
      <c r="EU14" s="19" t="s">
        <v>18</v>
      </c>
      <c r="EV14" s="20" t="s">
        <v>33</v>
      </c>
      <c r="EW14" s="19" t="s">
        <v>19</v>
      </c>
      <c r="EX14" s="20" t="s">
        <v>32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35</v>
      </c>
      <c r="FE14" s="19" t="s">
        <v>15</v>
      </c>
      <c r="FF14" s="20" t="s">
        <v>34</v>
      </c>
      <c r="FG14" s="19" t="s">
        <v>16</v>
      </c>
      <c r="FH14" s="20" t="s">
        <v>33</v>
      </c>
      <c r="FI14" s="19" t="s">
        <v>17</v>
      </c>
      <c r="FJ14" s="20" t="s">
        <v>32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35</v>
      </c>
      <c r="FQ14" s="19" t="s">
        <v>13</v>
      </c>
      <c r="FR14" s="20" t="s">
        <v>34</v>
      </c>
      <c r="FS14" s="19" t="s">
        <v>14</v>
      </c>
      <c r="FT14" s="20" t="s">
        <v>33</v>
      </c>
      <c r="FU14" s="19" t="s">
        <v>15</v>
      </c>
      <c r="FV14" s="20" t="s">
        <v>32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36</v>
      </c>
      <c r="C15" s="19" t="s">
        <v>12</v>
      </c>
      <c r="D15" s="20" t="s">
        <v>35</v>
      </c>
      <c r="E15" s="19" t="s">
        <v>13</v>
      </c>
      <c r="F15" s="20" t="s">
        <v>34</v>
      </c>
      <c r="G15" s="19" t="s">
        <v>14</v>
      </c>
      <c r="H15" s="20" t="s">
        <v>33</v>
      </c>
      <c r="I15" s="19" t="s">
        <v>15</v>
      </c>
      <c r="J15" s="20" t="s">
        <v>32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36</v>
      </c>
      <c r="Q15" s="19" t="s">
        <v>11</v>
      </c>
      <c r="R15" s="20" t="s">
        <v>34</v>
      </c>
      <c r="S15" s="19" t="s">
        <v>12</v>
      </c>
      <c r="T15" s="20" t="s">
        <v>33</v>
      </c>
      <c r="U15" s="19" t="s">
        <v>13</v>
      </c>
      <c r="V15" s="20" t="s">
        <v>32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35</v>
      </c>
      <c r="AE15" s="19" t="s">
        <v>36</v>
      </c>
      <c r="AF15" s="20" t="s">
        <v>34</v>
      </c>
      <c r="AG15" s="19" t="s">
        <v>11</v>
      </c>
      <c r="AH15" s="20" t="s">
        <v>32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34</v>
      </c>
      <c r="AS15" s="19" t="s">
        <v>35</v>
      </c>
      <c r="AT15" s="20" t="s">
        <v>33</v>
      </c>
      <c r="AU15" s="19" t="s">
        <v>36</v>
      </c>
      <c r="AV15" s="20" t="s">
        <v>32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33</v>
      </c>
      <c r="BG15" s="19" t="s">
        <v>34</v>
      </c>
      <c r="BH15" s="20" t="s">
        <v>32</v>
      </c>
      <c r="BI15" s="19" t="s">
        <v>35</v>
      </c>
      <c r="BJ15" s="20" t="s">
        <v>19</v>
      </c>
      <c r="BK15" s="19" t="s">
        <v>36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32</v>
      </c>
      <c r="BU15" s="19" t="s">
        <v>33</v>
      </c>
      <c r="BV15" s="20" t="s">
        <v>19</v>
      </c>
      <c r="BW15" s="19" t="s">
        <v>34</v>
      </c>
      <c r="BX15" s="20" t="s">
        <v>18</v>
      </c>
      <c r="BY15" s="19" t="s">
        <v>35</v>
      </c>
      <c r="BZ15" s="20" t="s">
        <v>17</v>
      </c>
      <c r="CA15" s="19" t="s">
        <v>36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32</v>
      </c>
      <c r="CJ15" s="20" t="s">
        <v>18</v>
      </c>
      <c r="CK15" s="19" t="s">
        <v>33</v>
      </c>
      <c r="CL15" s="20" t="s">
        <v>17</v>
      </c>
      <c r="CM15" s="19" t="s">
        <v>34</v>
      </c>
      <c r="CN15" s="20" t="s">
        <v>16</v>
      </c>
      <c r="CO15" s="19" t="s">
        <v>35</v>
      </c>
      <c r="CP15" s="20" t="s">
        <v>15</v>
      </c>
      <c r="CQ15" s="19" t="s">
        <v>36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32</v>
      </c>
      <c r="CZ15" s="20" t="s">
        <v>16</v>
      </c>
      <c r="DA15" s="19" t="s">
        <v>33</v>
      </c>
      <c r="DB15" s="20" t="s">
        <v>15</v>
      </c>
      <c r="DC15" s="19" t="s">
        <v>34</v>
      </c>
      <c r="DD15" s="20" t="s">
        <v>14</v>
      </c>
      <c r="DE15" s="19" t="s">
        <v>35</v>
      </c>
      <c r="DF15" s="20" t="s">
        <v>13</v>
      </c>
      <c r="DG15" s="19" t="s">
        <v>36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32</v>
      </c>
      <c r="DP15" s="20" t="s">
        <v>14</v>
      </c>
      <c r="DQ15" s="19" t="s">
        <v>33</v>
      </c>
      <c r="DR15" s="20" t="s">
        <v>13</v>
      </c>
      <c r="DS15" s="19" t="s">
        <v>34</v>
      </c>
      <c r="DT15" s="20" t="s">
        <v>12</v>
      </c>
      <c r="DU15" s="19" t="s">
        <v>35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32</v>
      </c>
      <c r="EF15" s="20" t="s">
        <v>12</v>
      </c>
      <c r="EG15" s="19" t="s">
        <v>33</v>
      </c>
      <c r="EH15" s="20" t="s">
        <v>11</v>
      </c>
      <c r="EI15" s="19" t="s">
        <v>35</v>
      </c>
      <c r="EJ15" s="20" t="s">
        <v>36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33</v>
      </c>
      <c r="EV15" s="20" t="s">
        <v>36</v>
      </c>
      <c r="EW15" s="19" t="s">
        <v>34</v>
      </c>
      <c r="EX15" s="20" t="s">
        <v>35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36</v>
      </c>
      <c r="FI15" s="19" t="s">
        <v>32</v>
      </c>
      <c r="FJ15" s="20" t="s">
        <v>35</v>
      </c>
      <c r="FK15" s="19" t="s">
        <v>33</v>
      </c>
      <c r="FL15" s="20" t="s">
        <v>34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36</v>
      </c>
      <c r="FU15" s="19" t="s">
        <v>18</v>
      </c>
      <c r="FV15" s="20" t="s">
        <v>35</v>
      </c>
      <c r="FW15" s="19" t="s">
        <v>19</v>
      </c>
      <c r="FX15" s="20" t="s">
        <v>34</v>
      </c>
      <c r="FY15" s="19" t="s">
        <v>32</v>
      </c>
      <c r="FZ15" s="20" t="s">
        <v>33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36</v>
      </c>
      <c r="GG15" s="19" t="s">
        <v>16</v>
      </c>
      <c r="GH15" s="20" t="s">
        <v>35</v>
      </c>
      <c r="GI15" s="19" t="s">
        <v>17</v>
      </c>
      <c r="GJ15" s="20" t="s">
        <v>34</v>
      </c>
      <c r="GK15" s="19" t="s">
        <v>18</v>
      </c>
      <c r="GL15" s="20" t="s">
        <v>33</v>
      </c>
      <c r="GM15" s="19" t="s">
        <v>19</v>
      </c>
      <c r="GN15" s="20" t="s">
        <v>32</v>
      </c>
      <c r="GO15" s="19" t="s">
        <v>10</v>
      </c>
      <c r="GP15" s="20" t="s">
        <v>11</v>
      </c>
      <c r="GQ15" s="19" t="s">
        <v>13</v>
      </c>
      <c r="GR15" s="20" t="s">
        <v>36</v>
      </c>
      <c r="GS15" s="19" t="s">
        <v>14</v>
      </c>
      <c r="GT15" s="20" t="s">
        <v>35</v>
      </c>
      <c r="GU15" s="19" t="s">
        <v>15</v>
      </c>
      <c r="GV15" s="20" t="s">
        <v>34</v>
      </c>
      <c r="GW15" s="19" t="s">
        <v>16</v>
      </c>
      <c r="GX15" s="20" t="s">
        <v>33</v>
      </c>
      <c r="GY15" s="19" t="s">
        <v>17</v>
      </c>
      <c r="GZ15" s="20" t="s">
        <v>32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32</v>
      </c>
      <c r="L16" s="20" t="s">
        <v>33</v>
      </c>
      <c r="M16" s="19" t="s">
        <v>34</v>
      </c>
      <c r="N16" s="20" t="s">
        <v>35</v>
      </c>
      <c r="O16" s="19" t="s">
        <v>36</v>
      </c>
      <c r="P16" s="20" t="s">
        <v>37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32</v>
      </c>
      <c r="AA16" s="19" t="s">
        <v>19</v>
      </c>
      <c r="AB16" s="20" t="s">
        <v>33</v>
      </c>
      <c r="AC16" s="19" t="s">
        <v>34</v>
      </c>
      <c r="AD16" s="20" t="s">
        <v>36</v>
      </c>
      <c r="AE16" s="19" t="s">
        <v>35</v>
      </c>
      <c r="AF16" s="20" t="s">
        <v>37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33</v>
      </c>
      <c r="AQ16" s="19" t="s">
        <v>19</v>
      </c>
      <c r="AR16" s="20" t="s">
        <v>32</v>
      </c>
      <c r="AS16" s="19" t="s">
        <v>34</v>
      </c>
      <c r="AT16" s="20" t="s">
        <v>37</v>
      </c>
      <c r="AU16" s="19" t="s">
        <v>35</v>
      </c>
      <c r="AV16" s="20" t="s">
        <v>36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34</v>
      </c>
      <c r="BG16" s="19" t="s">
        <v>19</v>
      </c>
      <c r="BH16" s="20" t="s">
        <v>35</v>
      </c>
      <c r="BI16" s="19" t="s">
        <v>32</v>
      </c>
      <c r="BJ16" s="20" t="s">
        <v>36</v>
      </c>
      <c r="BK16" s="19" t="s">
        <v>33</v>
      </c>
      <c r="BL16" s="20" t="s">
        <v>37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35</v>
      </c>
      <c r="BW16" s="19" t="s">
        <v>19</v>
      </c>
      <c r="BX16" s="20" t="s">
        <v>34</v>
      </c>
      <c r="BY16" s="19" t="s">
        <v>32</v>
      </c>
      <c r="BZ16" s="20" t="s">
        <v>37</v>
      </c>
      <c r="CA16" s="19" t="s">
        <v>33</v>
      </c>
      <c r="CB16" s="20" t="s">
        <v>36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36</v>
      </c>
      <c r="CM16" s="19" t="s">
        <v>19</v>
      </c>
      <c r="CN16" s="20" t="s">
        <v>37</v>
      </c>
      <c r="CO16" s="19" t="s">
        <v>32</v>
      </c>
      <c r="CP16" s="20" t="s">
        <v>34</v>
      </c>
      <c r="CQ16" s="19" t="s">
        <v>33</v>
      </c>
      <c r="CR16" s="20" t="s">
        <v>35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37</v>
      </c>
      <c r="DC16" s="19" t="s">
        <v>19</v>
      </c>
      <c r="DD16" s="20" t="s">
        <v>36</v>
      </c>
      <c r="DE16" s="19" t="s">
        <v>32</v>
      </c>
      <c r="DF16" s="20" t="s">
        <v>35</v>
      </c>
      <c r="DG16" s="19" t="s">
        <v>33</v>
      </c>
      <c r="DH16" s="20" t="s">
        <v>34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32</v>
      </c>
      <c r="DO16" s="19" t="s">
        <v>13</v>
      </c>
      <c r="DP16" s="20" t="s">
        <v>33</v>
      </c>
      <c r="DQ16" s="19" t="s">
        <v>14</v>
      </c>
      <c r="DR16" s="20" t="s">
        <v>34</v>
      </c>
      <c r="DS16" s="19" t="s">
        <v>15</v>
      </c>
      <c r="DT16" s="20" t="s">
        <v>35</v>
      </c>
      <c r="DU16" s="19" t="s">
        <v>16</v>
      </c>
      <c r="DV16" s="20" t="s">
        <v>36</v>
      </c>
      <c r="DW16" s="19" t="s">
        <v>17</v>
      </c>
      <c r="DX16" s="20" t="s">
        <v>37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33</v>
      </c>
      <c r="EE16" s="19" t="s">
        <v>13</v>
      </c>
      <c r="EF16" s="20" t="s">
        <v>32</v>
      </c>
      <c r="EG16" s="19" t="s">
        <v>14</v>
      </c>
      <c r="EH16" s="20" t="s">
        <v>35</v>
      </c>
      <c r="EI16" s="19" t="s">
        <v>15</v>
      </c>
      <c r="EJ16" s="20" t="s">
        <v>34</v>
      </c>
      <c r="EK16" s="19" t="s">
        <v>16</v>
      </c>
      <c r="EL16" s="20" t="s">
        <v>37</v>
      </c>
      <c r="EM16" s="19" t="s">
        <v>17</v>
      </c>
      <c r="EN16" s="20" t="s">
        <v>36</v>
      </c>
      <c r="EO16" s="19" t="s">
        <v>10</v>
      </c>
      <c r="EP16" s="20" t="s">
        <v>32</v>
      </c>
      <c r="EQ16" s="19" t="s">
        <v>11</v>
      </c>
      <c r="ER16" s="20" t="s">
        <v>33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36</v>
      </c>
      <c r="EY16" s="19" t="s">
        <v>15</v>
      </c>
      <c r="EZ16" s="20" t="s">
        <v>37</v>
      </c>
      <c r="FA16" s="19" t="s">
        <v>16</v>
      </c>
      <c r="FB16" s="20" t="s">
        <v>34</v>
      </c>
      <c r="FC16" s="19" t="s">
        <v>17</v>
      </c>
      <c r="FD16" s="20" t="s">
        <v>35</v>
      </c>
      <c r="FE16" s="19" t="s">
        <v>10</v>
      </c>
      <c r="FF16" s="20" t="s">
        <v>33</v>
      </c>
      <c r="FG16" s="19" t="s">
        <v>11</v>
      </c>
      <c r="FH16" s="20" t="s">
        <v>32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37</v>
      </c>
      <c r="FO16" s="19" t="s">
        <v>15</v>
      </c>
      <c r="FP16" s="20" t="s">
        <v>36</v>
      </c>
      <c r="FQ16" s="19" t="s">
        <v>16</v>
      </c>
      <c r="FR16" s="20" t="s">
        <v>35</v>
      </c>
      <c r="FS16" s="19" t="s">
        <v>17</v>
      </c>
      <c r="FT16" s="20" t="s">
        <v>34</v>
      </c>
      <c r="FU16" s="19" t="s">
        <v>10</v>
      </c>
      <c r="FV16" s="20" t="s">
        <v>34</v>
      </c>
      <c r="FW16" s="19" t="s">
        <v>11</v>
      </c>
      <c r="FX16" s="20" t="s">
        <v>35</v>
      </c>
      <c r="FY16" s="19" t="s">
        <v>12</v>
      </c>
      <c r="FZ16" s="20" t="s">
        <v>36</v>
      </c>
      <c r="GA16" s="19" t="s">
        <v>13</v>
      </c>
      <c r="GB16" s="20" t="s">
        <v>37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32</v>
      </c>
      <c r="GI16" s="19" t="s">
        <v>17</v>
      </c>
      <c r="GJ16" s="20" t="s">
        <v>33</v>
      </c>
      <c r="GK16" s="19" t="s">
        <v>10</v>
      </c>
      <c r="GL16" s="20" t="s">
        <v>35</v>
      </c>
      <c r="GM16" s="19" t="s">
        <v>11</v>
      </c>
      <c r="GN16" s="20" t="s">
        <v>34</v>
      </c>
      <c r="GO16" s="19" t="s">
        <v>12</v>
      </c>
      <c r="GP16" s="20" t="s">
        <v>37</v>
      </c>
      <c r="GQ16" s="19" t="s">
        <v>13</v>
      </c>
      <c r="GR16" s="20" t="s">
        <v>36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33</v>
      </c>
      <c r="GY16" s="19" t="s">
        <v>17</v>
      </c>
      <c r="GZ16" s="20" t="s">
        <v>32</v>
      </c>
      <c r="HA16" s="19" t="s">
        <v>10</v>
      </c>
      <c r="HB16" s="20" t="s">
        <v>36</v>
      </c>
      <c r="HC16" s="19" t="s">
        <v>11</v>
      </c>
      <c r="HD16" s="20" t="s">
        <v>37</v>
      </c>
      <c r="HE16" s="19" t="s">
        <v>12</v>
      </c>
      <c r="HF16" s="20" t="s">
        <v>34</v>
      </c>
      <c r="HG16" s="19" t="s">
        <v>13</v>
      </c>
      <c r="HH16" s="20" t="s">
        <v>35</v>
      </c>
      <c r="HI16" s="19" t="s">
        <v>14</v>
      </c>
      <c r="HJ16" s="20" t="s">
        <v>32</v>
      </c>
      <c r="HK16" s="19" t="s">
        <v>15</v>
      </c>
      <c r="HL16" s="20" t="s">
        <v>33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37</v>
      </c>
      <c r="HS16" s="19" t="s">
        <v>11</v>
      </c>
      <c r="HT16" s="20" t="s">
        <v>36</v>
      </c>
      <c r="HU16" s="19" t="s">
        <v>12</v>
      </c>
      <c r="HV16" s="20" t="s">
        <v>35</v>
      </c>
      <c r="HW16" s="19" t="s">
        <v>13</v>
      </c>
      <c r="HX16" s="20" t="s">
        <v>34</v>
      </c>
      <c r="HY16" s="19" t="s">
        <v>14</v>
      </c>
      <c r="HZ16" s="20" t="s">
        <v>33</v>
      </c>
      <c r="IA16" s="19" t="s">
        <v>15</v>
      </c>
      <c r="IB16" s="20" t="s">
        <v>32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38</v>
      </c>
      <c r="C17" s="19" t="s">
        <v>12</v>
      </c>
      <c r="D17" s="20" t="s">
        <v>37</v>
      </c>
      <c r="E17" s="19" t="s">
        <v>13</v>
      </c>
      <c r="F17" s="20" t="s">
        <v>36</v>
      </c>
      <c r="G17" s="19" t="s">
        <v>14</v>
      </c>
      <c r="H17" s="20" t="s">
        <v>35</v>
      </c>
      <c r="I17" s="19" t="s">
        <v>15</v>
      </c>
      <c r="J17" s="20" t="s">
        <v>34</v>
      </c>
      <c r="K17" s="19" t="s">
        <v>16</v>
      </c>
      <c r="L17" s="20" t="s">
        <v>33</v>
      </c>
      <c r="M17" s="19" t="s">
        <v>17</v>
      </c>
      <c r="N17" s="20" t="s">
        <v>32</v>
      </c>
      <c r="O17" s="19" t="s">
        <v>18</v>
      </c>
      <c r="P17" s="20" t="s">
        <v>19</v>
      </c>
      <c r="Q17" s="19" t="s">
        <v>10</v>
      </c>
      <c r="R17" s="20" t="s">
        <v>38</v>
      </c>
      <c r="S17" s="19" t="s">
        <v>11</v>
      </c>
      <c r="T17" s="20" t="s">
        <v>36</v>
      </c>
      <c r="U17" s="19" t="s">
        <v>12</v>
      </c>
      <c r="V17" s="20" t="s">
        <v>35</v>
      </c>
      <c r="W17" s="19" t="s">
        <v>13</v>
      </c>
      <c r="X17" s="20" t="s">
        <v>34</v>
      </c>
      <c r="Y17" s="19" t="s">
        <v>14</v>
      </c>
      <c r="Z17" s="20" t="s">
        <v>33</v>
      </c>
      <c r="AA17" s="19" t="s">
        <v>15</v>
      </c>
      <c r="AB17" s="20" t="s">
        <v>32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37</v>
      </c>
      <c r="AI17" s="19" t="s">
        <v>38</v>
      </c>
      <c r="AJ17" s="20" t="s">
        <v>36</v>
      </c>
      <c r="AK17" s="19" t="s">
        <v>11</v>
      </c>
      <c r="AL17" s="20" t="s">
        <v>34</v>
      </c>
      <c r="AM17" s="19" t="s">
        <v>12</v>
      </c>
      <c r="AN17" s="20" t="s">
        <v>33</v>
      </c>
      <c r="AO17" s="19" t="s">
        <v>13</v>
      </c>
      <c r="AP17" s="20" t="s">
        <v>32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36</v>
      </c>
      <c r="AY17" s="19" t="s">
        <v>37</v>
      </c>
      <c r="AZ17" s="20" t="s">
        <v>35</v>
      </c>
      <c r="BA17" s="19" t="s">
        <v>38</v>
      </c>
      <c r="BB17" s="20" t="s">
        <v>34</v>
      </c>
      <c r="BC17" s="19" t="s">
        <v>11</v>
      </c>
      <c r="BD17" s="20" t="s">
        <v>32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35</v>
      </c>
      <c r="BO17" s="19" t="s">
        <v>36</v>
      </c>
      <c r="BP17" s="20" t="s">
        <v>34</v>
      </c>
      <c r="BQ17" s="19" t="s">
        <v>37</v>
      </c>
      <c r="BR17" s="20" t="s">
        <v>33</v>
      </c>
      <c r="BS17" s="19" t="s">
        <v>38</v>
      </c>
      <c r="BT17" s="20" t="s">
        <v>32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34</v>
      </c>
      <c r="CE17" s="19" t="s">
        <v>35</v>
      </c>
      <c r="CF17" s="20" t="s">
        <v>33</v>
      </c>
      <c r="CG17" s="19" t="s">
        <v>36</v>
      </c>
      <c r="CH17" s="20" t="s">
        <v>32</v>
      </c>
      <c r="CI17" s="19" t="s">
        <v>37</v>
      </c>
      <c r="CJ17" s="20" t="s">
        <v>19</v>
      </c>
      <c r="CK17" s="19" t="s">
        <v>38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33</v>
      </c>
      <c r="CU17" s="19" t="s">
        <v>34</v>
      </c>
      <c r="CV17" s="20" t="s">
        <v>32</v>
      </c>
      <c r="CW17" s="19" t="s">
        <v>35</v>
      </c>
      <c r="CX17" s="20" t="s">
        <v>19</v>
      </c>
      <c r="CY17" s="19" t="s">
        <v>36</v>
      </c>
      <c r="CZ17" s="20" t="s">
        <v>18</v>
      </c>
      <c r="DA17" s="19" t="s">
        <v>37</v>
      </c>
      <c r="DB17" s="20" t="s">
        <v>17</v>
      </c>
      <c r="DC17" s="19" t="s">
        <v>38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32</v>
      </c>
      <c r="DK17" s="19" t="s">
        <v>33</v>
      </c>
      <c r="DL17" s="20" t="s">
        <v>19</v>
      </c>
      <c r="DM17" s="19" t="s">
        <v>34</v>
      </c>
      <c r="DN17" s="20" t="s">
        <v>18</v>
      </c>
      <c r="DO17" s="19" t="s">
        <v>35</v>
      </c>
      <c r="DP17" s="20" t="s">
        <v>17</v>
      </c>
      <c r="DQ17" s="19" t="s">
        <v>36</v>
      </c>
      <c r="DR17" s="20" t="s">
        <v>16</v>
      </c>
      <c r="DS17" s="19" t="s">
        <v>37</v>
      </c>
      <c r="DT17" s="20" t="s">
        <v>15</v>
      </c>
      <c r="DU17" s="19" t="s">
        <v>38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32</v>
      </c>
      <c r="EB17" s="20" t="s">
        <v>18</v>
      </c>
      <c r="EC17" s="19" t="s">
        <v>33</v>
      </c>
      <c r="ED17" s="20" t="s">
        <v>17</v>
      </c>
      <c r="EE17" s="19" t="s">
        <v>34</v>
      </c>
      <c r="EF17" s="20" t="s">
        <v>16</v>
      </c>
      <c r="EG17" s="19" t="s">
        <v>35</v>
      </c>
      <c r="EH17" s="20" t="s">
        <v>15</v>
      </c>
      <c r="EI17" s="19" t="s">
        <v>36</v>
      </c>
      <c r="EJ17" s="20" t="s">
        <v>14</v>
      </c>
      <c r="EK17" s="19" t="s">
        <v>37</v>
      </c>
      <c r="EL17" s="20" t="s">
        <v>13</v>
      </c>
      <c r="EM17" s="19" t="s">
        <v>38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32</v>
      </c>
      <c r="ET17" s="20" t="s">
        <v>16</v>
      </c>
      <c r="EU17" s="19" t="s">
        <v>33</v>
      </c>
      <c r="EV17" s="20" t="s">
        <v>15</v>
      </c>
      <c r="EW17" s="19" t="s">
        <v>34</v>
      </c>
      <c r="EX17" s="20" t="s">
        <v>14</v>
      </c>
      <c r="EY17" s="19" t="s">
        <v>35</v>
      </c>
      <c r="EZ17" s="20" t="s">
        <v>13</v>
      </c>
      <c r="FA17" s="19" t="s">
        <v>36</v>
      </c>
      <c r="FB17" s="20" t="s">
        <v>12</v>
      </c>
      <c r="FC17" s="19" t="s">
        <v>37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32</v>
      </c>
      <c r="FL17" s="20" t="s">
        <v>14</v>
      </c>
      <c r="FM17" s="19" t="s">
        <v>33</v>
      </c>
      <c r="FN17" s="20" t="s">
        <v>13</v>
      </c>
      <c r="FO17" s="19" t="s">
        <v>34</v>
      </c>
      <c r="FP17" s="20" t="s">
        <v>12</v>
      </c>
      <c r="FQ17" s="19" t="s">
        <v>35</v>
      </c>
      <c r="FR17" s="20" t="s">
        <v>11</v>
      </c>
      <c r="FS17" s="19" t="s">
        <v>37</v>
      </c>
      <c r="FT17" s="20" t="s">
        <v>38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32</v>
      </c>
      <c r="GD17" s="20" t="s">
        <v>12</v>
      </c>
      <c r="GE17" s="19" t="s">
        <v>33</v>
      </c>
      <c r="GF17" s="20" t="s">
        <v>11</v>
      </c>
      <c r="GG17" s="19" t="s">
        <v>35</v>
      </c>
      <c r="GH17" s="20" t="s">
        <v>38</v>
      </c>
      <c r="GI17" s="19" t="s">
        <v>36</v>
      </c>
      <c r="GJ17" s="20" t="s">
        <v>37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33</v>
      </c>
      <c r="GV17" s="20" t="s">
        <v>38</v>
      </c>
      <c r="GW17" s="19" t="s">
        <v>34</v>
      </c>
      <c r="GX17" s="20" t="s">
        <v>37</v>
      </c>
      <c r="GY17" s="19" t="s">
        <v>35</v>
      </c>
      <c r="GZ17" s="20" t="s">
        <v>36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38</v>
      </c>
      <c r="HK17" s="19" t="s">
        <v>32</v>
      </c>
      <c r="HL17" s="20" t="s">
        <v>37</v>
      </c>
      <c r="HM17" s="19" t="s">
        <v>33</v>
      </c>
      <c r="HN17" s="20" t="s">
        <v>36</v>
      </c>
      <c r="HO17" s="19" t="s">
        <v>34</v>
      </c>
      <c r="HP17" s="20" t="s">
        <v>35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38</v>
      </c>
      <c r="HY17" s="19" t="s">
        <v>18</v>
      </c>
      <c r="HZ17" s="20" t="s">
        <v>37</v>
      </c>
      <c r="IA17" s="19" t="s">
        <v>19</v>
      </c>
      <c r="IB17" s="20" t="s">
        <v>36</v>
      </c>
      <c r="IC17" s="19" t="s">
        <v>32</v>
      </c>
      <c r="ID17" s="20" t="s">
        <v>35</v>
      </c>
      <c r="IE17" s="19" t="s">
        <v>33</v>
      </c>
      <c r="IF17" s="20" t="s">
        <v>34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38</v>
      </c>
      <c r="IM17" s="19" t="s">
        <v>16</v>
      </c>
      <c r="IN17" s="20" t="s">
        <v>37</v>
      </c>
      <c r="IO17" s="19" t="s">
        <v>17</v>
      </c>
      <c r="IP17" s="20" t="s">
        <v>36</v>
      </c>
      <c r="IQ17" s="19" t="s">
        <v>18</v>
      </c>
      <c r="IR17" s="20" t="s">
        <v>35</v>
      </c>
      <c r="IS17" s="19" t="s">
        <v>19</v>
      </c>
      <c r="IT17" s="20" t="s">
        <v>34</v>
      </c>
      <c r="IU17" s="19" t="s">
        <v>32</v>
      </c>
      <c r="IV17" s="20" t="s">
        <v>33</v>
      </c>
      <c r="IW17" s="19" t="s">
        <v>10</v>
      </c>
      <c r="IX17" s="20" t="s">
        <v>11</v>
      </c>
      <c r="IY17" s="19" t="s">
        <v>13</v>
      </c>
      <c r="IZ17" s="20" t="s">
        <v>38</v>
      </c>
      <c r="JA17" s="19" t="s">
        <v>14</v>
      </c>
      <c r="JB17" s="20" t="s">
        <v>37</v>
      </c>
      <c r="JC17" s="19" t="s">
        <v>15</v>
      </c>
      <c r="JD17" s="20" t="s">
        <v>36</v>
      </c>
      <c r="JE17" s="19" t="s">
        <v>16</v>
      </c>
      <c r="JF17" s="20" t="s">
        <v>35</v>
      </c>
      <c r="JG17" s="19" t="s">
        <v>17</v>
      </c>
      <c r="JH17" s="20" t="s">
        <v>34</v>
      </c>
      <c r="JI17" s="19" t="s">
        <v>18</v>
      </c>
      <c r="JJ17" s="20" t="s">
        <v>33</v>
      </c>
      <c r="JK17" s="19" t="s">
        <v>19</v>
      </c>
      <c r="JL17" s="20" t="s">
        <v>32</v>
      </c>
    </row>
    <row r="18" spans="1:380" thickBot="1" x14ac:dyDescent="0.3">
      <c r="A18" s="19" t="s">
        <v>10</v>
      </c>
      <c r="B18" s="20" t="s">
        <v>39</v>
      </c>
      <c r="C18" s="19" t="s">
        <v>11</v>
      </c>
      <c r="D18" s="20" t="s">
        <v>38</v>
      </c>
      <c r="E18" s="19" t="s">
        <v>12</v>
      </c>
      <c r="F18" s="20" t="s">
        <v>37</v>
      </c>
      <c r="G18" s="19" t="s">
        <v>13</v>
      </c>
      <c r="H18" s="20" t="s">
        <v>36</v>
      </c>
      <c r="I18" s="19" t="s">
        <v>14</v>
      </c>
      <c r="J18" s="20" t="s">
        <v>35</v>
      </c>
      <c r="K18" s="19" t="s">
        <v>15</v>
      </c>
      <c r="L18" s="20" t="s">
        <v>34</v>
      </c>
      <c r="M18" s="19" t="s">
        <v>16</v>
      </c>
      <c r="N18" s="20" t="s">
        <v>33</v>
      </c>
      <c r="O18" s="19" t="s">
        <v>17</v>
      </c>
      <c r="P18" s="20" t="s">
        <v>32</v>
      </c>
      <c r="Q18" s="19" t="s">
        <v>18</v>
      </c>
      <c r="R18" s="20" t="s">
        <v>19</v>
      </c>
      <c r="S18" s="19" t="s">
        <v>10</v>
      </c>
      <c r="T18" s="20" t="s">
        <v>38</v>
      </c>
      <c r="U18" s="19" t="s">
        <v>39</v>
      </c>
      <c r="V18" s="20" t="s">
        <v>37</v>
      </c>
      <c r="W18" s="19" t="s">
        <v>11</v>
      </c>
      <c r="X18" s="20" t="s">
        <v>36</v>
      </c>
      <c r="Y18" s="19" t="s">
        <v>12</v>
      </c>
      <c r="Z18" s="20" t="s">
        <v>35</v>
      </c>
      <c r="AA18" s="19" t="s">
        <v>13</v>
      </c>
      <c r="AB18" s="20" t="s">
        <v>34</v>
      </c>
      <c r="AC18" s="19" t="s">
        <v>14</v>
      </c>
      <c r="AD18" s="20" t="s">
        <v>33</v>
      </c>
      <c r="AE18" s="19" t="s">
        <v>15</v>
      </c>
      <c r="AF18" s="20" t="s">
        <v>32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37</v>
      </c>
      <c r="AM18" s="19" t="s">
        <v>38</v>
      </c>
      <c r="AN18" s="20" t="s">
        <v>36</v>
      </c>
      <c r="AO18" s="19" t="s">
        <v>39</v>
      </c>
      <c r="AP18" s="20" t="s">
        <v>35</v>
      </c>
      <c r="AQ18" s="19" t="s">
        <v>11</v>
      </c>
      <c r="AR18" s="20" t="s">
        <v>34</v>
      </c>
      <c r="AS18" s="19" t="s">
        <v>12</v>
      </c>
      <c r="AT18" s="20" t="s">
        <v>33</v>
      </c>
      <c r="AU18" s="19" t="s">
        <v>13</v>
      </c>
      <c r="AV18" s="20" t="s">
        <v>32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36</v>
      </c>
      <c r="BE18" s="19" t="s">
        <v>37</v>
      </c>
      <c r="BF18" s="20" t="s">
        <v>35</v>
      </c>
      <c r="BG18" s="19" t="s">
        <v>38</v>
      </c>
      <c r="BH18" s="20" t="s">
        <v>34</v>
      </c>
      <c r="BI18" s="19" t="s">
        <v>39</v>
      </c>
      <c r="BJ18" s="20" t="s">
        <v>33</v>
      </c>
      <c r="BK18" s="19" t="s">
        <v>11</v>
      </c>
      <c r="BL18" s="20" t="s">
        <v>32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35</v>
      </c>
      <c r="BW18" s="19" t="s">
        <v>36</v>
      </c>
      <c r="BX18" s="20" t="s">
        <v>34</v>
      </c>
      <c r="BY18" s="19" t="s">
        <v>37</v>
      </c>
      <c r="BZ18" s="20" t="s">
        <v>33</v>
      </c>
      <c r="CA18" s="19" t="s">
        <v>38</v>
      </c>
      <c r="CB18" s="20" t="s">
        <v>32</v>
      </c>
      <c r="CC18" s="19" t="s">
        <v>39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34</v>
      </c>
      <c r="CO18" s="19" t="s">
        <v>35</v>
      </c>
      <c r="CP18" s="20" t="s">
        <v>33</v>
      </c>
      <c r="CQ18" s="19" t="s">
        <v>36</v>
      </c>
      <c r="CR18" s="20" t="s">
        <v>32</v>
      </c>
      <c r="CS18" s="19" t="s">
        <v>37</v>
      </c>
      <c r="CT18" s="20" t="s">
        <v>19</v>
      </c>
      <c r="CU18" s="19" t="s">
        <v>38</v>
      </c>
      <c r="CV18" s="20" t="s">
        <v>18</v>
      </c>
      <c r="CW18" s="19" t="s">
        <v>39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33</v>
      </c>
      <c r="DG18" s="19" t="s">
        <v>34</v>
      </c>
      <c r="DH18" s="20" t="s">
        <v>32</v>
      </c>
      <c r="DI18" s="19" t="s">
        <v>35</v>
      </c>
      <c r="DJ18" s="20" t="s">
        <v>19</v>
      </c>
      <c r="DK18" s="19" t="s">
        <v>36</v>
      </c>
      <c r="DL18" s="20" t="s">
        <v>18</v>
      </c>
      <c r="DM18" s="19" t="s">
        <v>37</v>
      </c>
      <c r="DN18" s="20" t="s">
        <v>17</v>
      </c>
      <c r="DO18" s="19" t="s">
        <v>38</v>
      </c>
      <c r="DP18" s="20" t="s">
        <v>16</v>
      </c>
      <c r="DQ18" s="19" t="s">
        <v>39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32</v>
      </c>
      <c r="DY18" s="19" t="s">
        <v>33</v>
      </c>
      <c r="DZ18" s="20" t="s">
        <v>19</v>
      </c>
      <c r="EA18" s="19" t="s">
        <v>34</v>
      </c>
      <c r="EB18" s="20" t="s">
        <v>18</v>
      </c>
      <c r="EC18" s="19" t="s">
        <v>35</v>
      </c>
      <c r="ED18" s="20" t="s">
        <v>17</v>
      </c>
      <c r="EE18" s="19" t="s">
        <v>36</v>
      </c>
      <c r="EF18" s="20" t="s">
        <v>16</v>
      </c>
      <c r="EG18" s="19" t="s">
        <v>37</v>
      </c>
      <c r="EH18" s="20" t="s">
        <v>15</v>
      </c>
      <c r="EI18" s="19" t="s">
        <v>38</v>
      </c>
      <c r="EJ18" s="20" t="s">
        <v>14</v>
      </c>
      <c r="EK18" s="19" t="s">
        <v>39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32</v>
      </c>
      <c r="ER18" s="20" t="s">
        <v>18</v>
      </c>
      <c r="ES18" s="19" t="s">
        <v>33</v>
      </c>
      <c r="ET18" s="20" t="s">
        <v>17</v>
      </c>
      <c r="EU18" s="19" t="s">
        <v>34</v>
      </c>
      <c r="EV18" s="20" t="s">
        <v>16</v>
      </c>
      <c r="EW18" s="19" t="s">
        <v>35</v>
      </c>
      <c r="EX18" s="20" t="s">
        <v>15</v>
      </c>
      <c r="EY18" s="19" t="s">
        <v>36</v>
      </c>
      <c r="EZ18" s="20" t="s">
        <v>14</v>
      </c>
      <c r="FA18" s="19" t="s">
        <v>37</v>
      </c>
      <c r="FB18" s="20" t="s">
        <v>13</v>
      </c>
      <c r="FC18" s="19" t="s">
        <v>38</v>
      </c>
      <c r="FD18" s="20" t="s">
        <v>12</v>
      </c>
      <c r="FE18" s="19" t="s">
        <v>39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32</v>
      </c>
      <c r="FL18" s="20" t="s">
        <v>16</v>
      </c>
      <c r="FM18" s="19" t="s">
        <v>33</v>
      </c>
      <c r="FN18" s="20" t="s">
        <v>15</v>
      </c>
      <c r="FO18" s="19" t="s">
        <v>34</v>
      </c>
      <c r="FP18" s="20" t="s">
        <v>14</v>
      </c>
      <c r="FQ18" s="19" t="s">
        <v>35</v>
      </c>
      <c r="FR18" s="20" t="s">
        <v>13</v>
      </c>
      <c r="FS18" s="19" t="s">
        <v>36</v>
      </c>
      <c r="FT18" s="20" t="s">
        <v>12</v>
      </c>
      <c r="FU18" s="19" t="s">
        <v>37</v>
      </c>
      <c r="FV18" s="20" t="s">
        <v>11</v>
      </c>
      <c r="FW18" s="19" t="s">
        <v>38</v>
      </c>
      <c r="FX18" s="20" t="s">
        <v>39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32</v>
      </c>
      <c r="GF18" s="20" t="s">
        <v>14</v>
      </c>
      <c r="GG18" s="19" t="s">
        <v>33</v>
      </c>
      <c r="GH18" s="20" t="s">
        <v>13</v>
      </c>
      <c r="GI18" s="19" t="s">
        <v>34</v>
      </c>
      <c r="GJ18" s="20" t="s">
        <v>12</v>
      </c>
      <c r="GK18" s="19" t="s">
        <v>35</v>
      </c>
      <c r="GL18" s="20" t="s">
        <v>11</v>
      </c>
      <c r="GM18" s="19" t="s">
        <v>36</v>
      </c>
      <c r="GN18" s="20" t="s">
        <v>39</v>
      </c>
      <c r="GO18" s="19" t="s">
        <v>37</v>
      </c>
      <c r="GP18" s="20" t="s">
        <v>38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32</v>
      </c>
      <c r="GZ18" s="20" t="s">
        <v>12</v>
      </c>
      <c r="HA18" s="19" t="s">
        <v>33</v>
      </c>
      <c r="HB18" s="20" t="s">
        <v>11</v>
      </c>
      <c r="HC18" s="19" t="s">
        <v>34</v>
      </c>
      <c r="HD18" s="20" t="s">
        <v>39</v>
      </c>
      <c r="HE18" s="19" t="s">
        <v>35</v>
      </c>
      <c r="HF18" s="20" t="s">
        <v>38</v>
      </c>
      <c r="HG18" s="19" t="s">
        <v>36</v>
      </c>
      <c r="HH18" s="20" t="s">
        <v>37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32</v>
      </c>
      <c r="HT18" s="20" t="s">
        <v>39</v>
      </c>
      <c r="HU18" s="19" t="s">
        <v>33</v>
      </c>
      <c r="HV18" s="20" t="s">
        <v>38</v>
      </c>
      <c r="HW18" s="19" t="s">
        <v>34</v>
      </c>
      <c r="HX18" s="20" t="s">
        <v>37</v>
      </c>
      <c r="HY18" s="19" t="s">
        <v>35</v>
      </c>
      <c r="HZ18" s="20" t="s">
        <v>36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39</v>
      </c>
      <c r="IK18" s="19" t="s">
        <v>19</v>
      </c>
      <c r="IL18" s="20" t="s">
        <v>38</v>
      </c>
      <c r="IM18" s="19" t="s">
        <v>32</v>
      </c>
      <c r="IN18" s="20" t="s">
        <v>37</v>
      </c>
      <c r="IO18" s="19" t="s">
        <v>33</v>
      </c>
      <c r="IP18" s="20" t="s">
        <v>36</v>
      </c>
      <c r="IQ18" s="19" t="s">
        <v>34</v>
      </c>
      <c r="IR18" s="20" t="s">
        <v>35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39</v>
      </c>
      <c r="JA18" s="19" t="s">
        <v>17</v>
      </c>
      <c r="JB18" s="20" t="s">
        <v>38</v>
      </c>
      <c r="JC18" s="19" t="s">
        <v>18</v>
      </c>
      <c r="JD18" s="20" t="s">
        <v>37</v>
      </c>
      <c r="JE18" s="19" t="s">
        <v>19</v>
      </c>
      <c r="JF18" s="20" t="s">
        <v>36</v>
      </c>
      <c r="JG18" s="19" t="s">
        <v>32</v>
      </c>
      <c r="JH18" s="20" t="s">
        <v>35</v>
      </c>
      <c r="JI18" s="19" t="s">
        <v>33</v>
      </c>
      <c r="JJ18" s="20" t="s">
        <v>34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39</v>
      </c>
      <c r="JQ18" s="19" t="s">
        <v>15</v>
      </c>
      <c r="JR18" s="20" t="s">
        <v>38</v>
      </c>
      <c r="JS18" s="19" t="s">
        <v>16</v>
      </c>
      <c r="JT18" s="20" t="s">
        <v>37</v>
      </c>
      <c r="JU18" s="19" t="s">
        <v>17</v>
      </c>
      <c r="JV18" s="20" t="s">
        <v>36</v>
      </c>
      <c r="JW18" s="19" t="s">
        <v>18</v>
      </c>
      <c r="JX18" s="20" t="s">
        <v>35</v>
      </c>
      <c r="JY18" s="19" t="s">
        <v>19</v>
      </c>
      <c r="JZ18" s="20" t="s">
        <v>34</v>
      </c>
      <c r="KA18" s="19" t="s">
        <v>32</v>
      </c>
      <c r="KB18" s="20" t="s">
        <v>33</v>
      </c>
      <c r="KC18" s="19" t="s">
        <v>10</v>
      </c>
      <c r="KD18" s="20" t="s">
        <v>11</v>
      </c>
      <c r="KE18" s="19" t="s">
        <v>12</v>
      </c>
      <c r="KF18" s="20" t="s">
        <v>39</v>
      </c>
      <c r="KG18" s="19" t="s">
        <v>13</v>
      </c>
      <c r="KH18" s="20" t="s">
        <v>38</v>
      </c>
      <c r="KI18" s="19" t="s">
        <v>14</v>
      </c>
      <c r="KJ18" s="20" t="s">
        <v>37</v>
      </c>
      <c r="KK18" s="19" t="s">
        <v>15</v>
      </c>
      <c r="KL18" s="20" t="s">
        <v>36</v>
      </c>
      <c r="KM18" s="19" t="s">
        <v>16</v>
      </c>
      <c r="KN18" s="20" t="s">
        <v>35</v>
      </c>
      <c r="KO18" s="19" t="s">
        <v>17</v>
      </c>
      <c r="KP18" s="20" t="s">
        <v>34</v>
      </c>
      <c r="KQ18" s="19" t="s">
        <v>18</v>
      </c>
      <c r="KR18" s="20" t="s">
        <v>33</v>
      </c>
      <c r="KS18" s="19" t="s">
        <v>19</v>
      </c>
      <c r="KT18" s="20" t="s">
        <v>32</v>
      </c>
    </row>
    <row r="19" spans="1:380" thickBot="1" x14ac:dyDescent="0.3">
      <c r="A19" s="19" t="s">
        <v>11</v>
      </c>
      <c r="B19" s="20" t="s">
        <v>40</v>
      </c>
      <c r="C19" s="19" t="s">
        <v>12</v>
      </c>
      <c r="D19" s="20" t="s">
        <v>39</v>
      </c>
      <c r="E19" s="19" t="s">
        <v>13</v>
      </c>
      <c r="F19" s="20" t="s">
        <v>38</v>
      </c>
      <c r="G19" s="19" t="s">
        <v>14</v>
      </c>
      <c r="H19" s="20" t="s">
        <v>37</v>
      </c>
      <c r="I19" s="19" t="s">
        <v>15</v>
      </c>
      <c r="J19" s="20" t="s">
        <v>36</v>
      </c>
      <c r="K19" s="19" t="s">
        <v>16</v>
      </c>
      <c r="L19" s="20" t="s">
        <v>35</v>
      </c>
      <c r="M19" s="19" t="s">
        <v>17</v>
      </c>
      <c r="N19" s="20" t="s">
        <v>34</v>
      </c>
      <c r="O19" s="19" t="s">
        <v>18</v>
      </c>
      <c r="P19" s="20" t="s">
        <v>33</v>
      </c>
      <c r="Q19" s="19" t="s">
        <v>19</v>
      </c>
      <c r="R19" s="20" t="s">
        <v>32</v>
      </c>
      <c r="S19" s="19" t="s">
        <v>10</v>
      </c>
      <c r="T19" s="20" t="s">
        <v>40</v>
      </c>
      <c r="U19" s="19" t="s">
        <v>11</v>
      </c>
      <c r="V19" s="20" t="s">
        <v>38</v>
      </c>
      <c r="W19" s="19" t="s">
        <v>12</v>
      </c>
      <c r="X19" s="20" t="s">
        <v>37</v>
      </c>
      <c r="Y19" s="19" t="s">
        <v>13</v>
      </c>
      <c r="Z19" s="20" t="s">
        <v>36</v>
      </c>
      <c r="AA19" s="19" t="s">
        <v>14</v>
      </c>
      <c r="AB19" s="20" t="s">
        <v>35</v>
      </c>
      <c r="AC19" s="19" t="s">
        <v>15</v>
      </c>
      <c r="AD19" s="20" t="s">
        <v>34</v>
      </c>
      <c r="AE19" s="19" t="s">
        <v>16</v>
      </c>
      <c r="AF19" s="20" t="s">
        <v>33</v>
      </c>
      <c r="AG19" s="19" t="s">
        <v>17</v>
      </c>
      <c r="AH19" s="20" t="s">
        <v>32</v>
      </c>
      <c r="AI19" s="19" t="s">
        <v>18</v>
      </c>
      <c r="AJ19" s="20" t="s">
        <v>19</v>
      </c>
      <c r="AK19" s="19" t="s">
        <v>10</v>
      </c>
      <c r="AL19" s="20" t="s">
        <v>39</v>
      </c>
      <c r="AM19" s="19" t="s">
        <v>40</v>
      </c>
      <c r="AN19" s="20" t="s">
        <v>38</v>
      </c>
      <c r="AO19" s="19" t="s">
        <v>11</v>
      </c>
      <c r="AP19" s="20" t="s">
        <v>36</v>
      </c>
      <c r="AQ19" s="19" t="s">
        <v>12</v>
      </c>
      <c r="AR19" s="20" t="s">
        <v>35</v>
      </c>
      <c r="AS19" s="19" t="s">
        <v>13</v>
      </c>
      <c r="AT19" s="20" t="s">
        <v>34</v>
      </c>
      <c r="AU19" s="19" t="s">
        <v>14</v>
      </c>
      <c r="AV19" s="20" t="s">
        <v>33</v>
      </c>
      <c r="AW19" s="19" t="s">
        <v>15</v>
      </c>
      <c r="AX19" s="20" t="s">
        <v>32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38</v>
      </c>
      <c r="BE19" s="19" t="s">
        <v>39</v>
      </c>
      <c r="BF19" s="20" t="s">
        <v>37</v>
      </c>
      <c r="BG19" s="19" t="s">
        <v>40</v>
      </c>
      <c r="BH19" s="20" t="s">
        <v>36</v>
      </c>
      <c r="BI19" s="19" t="s">
        <v>11</v>
      </c>
      <c r="BJ19" s="20" t="s">
        <v>34</v>
      </c>
      <c r="BK19" s="19" t="s">
        <v>12</v>
      </c>
      <c r="BL19" s="20" t="s">
        <v>33</v>
      </c>
      <c r="BM19" s="19" t="s">
        <v>13</v>
      </c>
      <c r="BN19" s="20" t="s">
        <v>32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37</v>
      </c>
      <c r="BW19" s="19" t="s">
        <v>38</v>
      </c>
      <c r="BX19" s="20" t="s">
        <v>36</v>
      </c>
      <c r="BY19" s="19" t="s">
        <v>39</v>
      </c>
      <c r="BZ19" s="20" t="s">
        <v>35</v>
      </c>
      <c r="CA19" s="19" t="s">
        <v>40</v>
      </c>
      <c r="CB19" s="20" t="s">
        <v>34</v>
      </c>
      <c r="CC19" s="19" t="s">
        <v>11</v>
      </c>
      <c r="CD19" s="20" t="s">
        <v>32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36</v>
      </c>
      <c r="CO19" s="19" t="s">
        <v>37</v>
      </c>
      <c r="CP19" s="20" t="s">
        <v>35</v>
      </c>
      <c r="CQ19" s="19" t="s">
        <v>38</v>
      </c>
      <c r="CR19" s="20" t="s">
        <v>34</v>
      </c>
      <c r="CS19" s="19" t="s">
        <v>39</v>
      </c>
      <c r="CT19" s="20" t="s">
        <v>33</v>
      </c>
      <c r="CU19" s="19" t="s">
        <v>40</v>
      </c>
      <c r="CV19" s="20" t="s">
        <v>32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35</v>
      </c>
      <c r="DG19" s="19" t="s">
        <v>36</v>
      </c>
      <c r="DH19" s="20" t="s">
        <v>34</v>
      </c>
      <c r="DI19" s="19" t="s">
        <v>37</v>
      </c>
      <c r="DJ19" s="20" t="s">
        <v>33</v>
      </c>
      <c r="DK19" s="19" t="s">
        <v>38</v>
      </c>
      <c r="DL19" s="20" t="s">
        <v>32</v>
      </c>
      <c r="DM19" s="19" t="s">
        <v>39</v>
      </c>
      <c r="DN19" s="20" t="s">
        <v>19</v>
      </c>
      <c r="DO19" s="19" t="s">
        <v>40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34</v>
      </c>
      <c r="DY19" s="19" t="s">
        <v>35</v>
      </c>
      <c r="DZ19" s="20" t="s">
        <v>33</v>
      </c>
      <c r="EA19" s="19" t="s">
        <v>36</v>
      </c>
      <c r="EB19" s="20" t="s">
        <v>32</v>
      </c>
      <c r="EC19" s="19" t="s">
        <v>37</v>
      </c>
      <c r="ED19" s="20" t="s">
        <v>19</v>
      </c>
      <c r="EE19" s="19" t="s">
        <v>38</v>
      </c>
      <c r="EF19" s="20" t="s">
        <v>18</v>
      </c>
      <c r="EG19" s="19" t="s">
        <v>39</v>
      </c>
      <c r="EH19" s="20" t="s">
        <v>17</v>
      </c>
      <c r="EI19" s="19" t="s">
        <v>40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33</v>
      </c>
      <c r="EQ19" s="19" t="s">
        <v>34</v>
      </c>
      <c r="ER19" s="20" t="s">
        <v>32</v>
      </c>
      <c r="ES19" s="19" t="s">
        <v>35</v>
      </c>
      <c r="ET19" s="20" t="s">
        <v>19</v>
      </c>
      <c r="EU19" s="19" t="s">
        <v>36</v>
      </c>
      <c r="EV19" s="20" t="s">
        <v>18</v>
      </c>
      <c r="EW19" s="19" t="s">
        <v>37</v>
      </c>
      <c r="EX19" s="20" t="s">
        <v>17</v>
      </c>
      <c r="EY19" s="19" t="s">
        <v>38</v>
      </c>
      <c r="EZ19" s="20" t="s">
        <v>16</v>
      </c>
      <c r="FA19" s="19" t="s">
        <v>39</v>
      </c>
      <c r="FB19" s="20" t="s">
        <v>15</v>
      </c>
      <c r="FC19" s="19" t="s">
        <v>40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32</v>
      </c>
      <c r="FI19" s="19" t="s">
        <v>33</v>
      </c>
      <c r="FJ19" s="20" t="s">
        <v>19</v>
      </c>
      <c r="FK19" s="19" t="s">
        <v>34</v>
      </c>
      <c r="FL19" s="20" t="s">
        <v>18</v>
      </c>
      <c r="FM19" s="19" t="s">
        <v>35</v>
      </c>
      <c r="FN19" s="20" t="s">
        <v>17</v>
      </c>
      <c r="FO19" s="19" t="s">
        <v>36</v>
      </c>
      <c r="FP19" s="20" t="s">
        <v>16</v>
      </c>
      <c r="FQ19" s="19" t="s">
        <v>37</v>
      </c>
      <c r="FR19" s="20" t="s">
        <v>15</v>
      </c>
      <c r="FS19" s="19" t="s">
        <v>38</v>
      </c>
      <c r="FT19" s="20" t="s">
        <v>14</v>
      </c>
      <c r="FU19" s="19" t="s">
        <v>39</v>
      </c>
      <c r="FV19" s="20" t="s">
        <v>13</v>
      </c>
      <c r="FW19" s="19" t="s">
        <v>40</v>
      </c>
      <c r="FX19" s="20" t="s">
        <v>12</v>
      </c>
      <c r="FY19" s="19" t="s">
        <v>10</v>
      </c>
      <c r="FZ19" s="20" t="s">
        <v>19</v>
      </c>
      <c r="GA19" s="19" t="s">
        <v>32</v>
      </c>
      <c r="GB19" s="20" t="s">
        <v>18</v>
      </c>
      <c r="GC19" s="19" t="s">
        <v>33</v>
      </c>
      <c r="GD19" s="20" t="s">
        <v>17</v>
      </c>
      <c r="GE19" s="19" t="s">
        <v>34</v>
      </c>
      <c r="GF19" s="20" t="s">
        <v>16</v>
      </c>
      <c r="GG19" s="19" t="s">
        <v>35</v>
      </c>
      <c r="GH19" s="20" t="s">
        <v>15</v>
      </c>
      <c r="GI19" s="19" t="s">
        <v>36</v>
      </c>
      <c r="GJ19" s="20" t="s">
        <v>14</v>
      </c>
      <c r="GK19" s="19" t="s">
        <v>37</v>
      </c>
      <c r="GL19" s="20" t="s">
        <v>13</v>
      </c>
      <c r="GM19" s="19" t="s">
        <v>38</v>
      </c>
      <c r="GN19" s="20" t="s">
        <v>12</v>
      </c>
      <c r="GO19" s="19" t="s">
        <v>39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32</v>
      </c>
      <c r="GV19" s="20" t="s">
        <v>16</v>
      </c>
      <c r="GW19" s="19" t="s">
        <v>33</v>
      </c>
      <c r="GX19" s="20" t="s">
        <v>15</v>
      </c>
      <c r="GY19" s="19" t="s">
        <v>34</v>
      </c>
      <c r="GZ19" s="20" t="s">
        <v>14</v>
      </c>
      <c r="HA19" s="19" t="s">
        <v>35</v>
      </c>
      <c r="HB19" s="20" t="s">
        <v>13</v>
      </c>
      <c r="HC19" s="19" t="s">
        <v>36</v>
      </c>
      <c r="HD19" s="20" t="s">
        <v>12</v>
      </c>
      <c r="HE19" s="19" t="s">
        <v>37</v>
      </c>
      <c r="HF19" s="20" t="s">
        <v>11</v>
      </c>
      <c r="HG19" s="19" t="s">
        <v>39</v>
      </c>
      <c r="HH19" s="20" t="s">
        <v>40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32</v>
      </c>
      <c r="HP19" s="20" t="s">
        <v>14</v>
      </c>
      <c r="HQ19" s="19" t="s">
        <v>33</v>
      </c>
      <c r="HR19" s="20" t="s">
        <v>13</v>
      </c>
      <c r="HS19" s="19" t="s">
        <v>34</v>
      </c>
      <c r="HT19" s="20" t="s">
        <v>12</v>
      </c>
      <c r="HU19" s="19" t="s">
        <v>35</v>
      </c>
      <c r="HV19" s="20" t="s">
        <v>11</v>
      </c>
      <c r="HW19" s="19" t="s">
        <v>37</v>
      </c>
      <c r="HX19" s="20" t="s">
        <v>40</v>
      </c>
      <c r="HY19" s="19" t="s">
        <v>38</v>
      </c>
      <c r="HZ19" s="20" t="s">
        <v>39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32</v>
      </c>
      <c r="IJ19" s="20" t="s">
        <v>12</v>
      </c>
      <c r="IK19" s="19" t="s">
        <v>33</v>
      </c>
      <c r="IL19" s="20" t="s">
        <v>11</v>
      </c>
      <c r="IM19" s="19" t="s">
        <v>35</v>
      </c>
      <c r="IN19" s="20" t="s">
        <v>40</v>
      </c>
      <c r="IO19" s="19" t="s">
        <v>36</v>
      </c>
      <c r="IP19" s="20" t="s">
        <v>39</v>
      </c>
      <c r="IQ19" s="19" t="s">
        <v>37</v>
      </c>
      <c r="IR19" s="20" t="s">
        <v>38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33</v>
      </c>
      <c r="JD19" s="20" t="s">
        <v>40</v>
      </c>
      <c r="JE19" s="19" t="s">
        <v>34</v>
      </c>
      <c r="JF19" s="20" t="s">
        <v>39</v>
      </c>
      <c r="JG19" s="19" t="s">
        <v>35</v>
      </c>
      <c r="JH19" s="20" t="s">
        <v>38</v>
      </c>
      <c r="JI19" s="19" t="s">
        <v>36</v>
      </c>
      <c r="JJ19" s="20" t="s">
        <v>37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40</v>
      </c>
      <c r="JU19" s="19" t="s">
        <v>32</v>
      </c>
      <c r="JV19" s="20" t="s">
        <v>39</v>
      </c>
      <c r="JW19" s="19" t="s">
        <v>33</v>
      </c>
      <c r="JX19" s="20" t="s">
        <v>38</v>
      </c>
      <c r="JY19" s="19" t="s">
        <v>34</v>
      </c>
      <c r="JZ19" s="20" t="s">
        <v>37</v>
      </c>
      <c r="KA19" s="19" t="s">
        <v>35</v>
      </c>
      <c r="KB19" s="20" t="s">
        <v>36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40</v>
      </c>
      <c r="KK19" s="19" t="s">
        <v>18</v>
      </c>
      <c r="KL19" s="20" t="s">
        <v>39</v>
      </c>
      <c r="KM19" s="19" t="s">
        <v>19</v>
      </c>
      <c r="KN19" s="20" t="s">
        <v>38</v>
      </c>
      <c r="KO19" s="19" t="s">
        <v>32</v>
      </c>
      <c r="KP19" s="20" t="s">
        <v>37</v>
      </c>
      <c r="KQ19" s="19" t="s">
        <v>33</v>
      </c>
      <c r="KR19" s="20" t="s">
        <v>36</v>
      </c>
      <c r="KS19" s="19" t="s">
        <v>34</v>
      </c>
      <c r="KT19" s="20" t="s">
        <v>35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40</v>
      </c>
      <c r="LA19" s="19" t="s">
        <v>16</v>
      </c>
      <c r="LB19" s="20" t="s">
        <v>39</v>
      </c>
      <c r="LC19" s="19" t="s">
        <v>17</v>
      </c>
      <c r="LD19" s="20" t="s">
        <v>38</v>
      </c>
      <c r="LE19" s="19" t="s">
        <v>18</v>
      </c>
      <c r="LF19" s="20" t="s">
        <v>37</v>
      </c>
      <c r="LG19" s="19" t="s">
        <v>19</v>
      </c>
      <c r="LH19" s="20" t="s">
        <v>36</v>
      </c>
      <c r="LI19" s="19" t="s">
        <v>32</v>
      </c>
      <c r="LJ19" s="20" t="s">
        <v>35</v>
      </c>
      <c r="LK19" s="19" t="s">
        <v>33</v>
      </c>
      <c r="LL19" s="20" t="s">
        <v>34</v>
      </c>
      <c r="LM19" s="19" t="s">
        <v>10</v>
      </c>
      <c r="LN19" s="20" t="s">
        <v>11</v>
      </c>
      <c r="LO19" s="19" t="s">
        <v>13</v>
      </c>
      <c r="LP19" s="20" t="s">
        <v>40</v>
      </c>
      <c r="LQ19" s="19" t="s">
        <v>14</v>
      </c>
      <c r="LR19" s="20" t="s">
        <v>39</v>
      </c>
      <c r="LS19" s="19" t="s">
        <v>15</v>
      </c>
      <c r="LT19" s="20" t="s">
        <v>38</v>
      </c>
      <c r="LU19" s="19" t="s">
        <v>16</v>
      </c>
      <c r="LV19" s="20" t="s">
        <v>37</v>
      </c>
      <c r="LW19" s="19" t="s">
        <v>17</v>
      </c>
      <c r="LX19" s="20" t="s">
        <v>36</v>
      </c>
      <c r="LY19" s="19" t="s">
        <v>18</v>
      </c>
      <c r="LZ19" s="20" t="s">
        <v>35</v>
      </c>
      <c r="MA19" s="19" t="s">
        <v>19</v>
      </c>
      <c r="MB19" s="20" t="s">
        <v>34</v>
      </c>
      <c r="MC19" s="19" t="s">
        <v>32</v>
      </c>
      <c r="MD19" s="20" t="s">
        <v>33</v>
      </c>
    </row>
    <row r="20" spans="1:380" thickBot="1" x14ac:dyDescent="0.3">
      <c r="A20" s="19" t="s">
        <v>10</v>
      </c>
      <c r="B20" s="20" t="s">
        <v>41</v>
      </c>
      <c r="C20" s="19" t="s">
        <v>11</v>
      </c>
      <c r="D20" s="20" t="s">
        <v>40</v>
      </c>
      <c r="E20" s="19" t="s">
        <v>12</v>
      </c>
      <c r="F20" s="20" t="s">
        <v>39</v>
      </c>
      <c r="G20" s="19" t="s">
        <v>13</v>
      </c>
      <c r="H20" s="20" t="s">
        <v>38</v>
      </c>
      <c r="I20" s="19" t="s">
        <v>14</v>
      </c>
      <c r="J20" s="20" t="s">
        <v>37</v>
      </c>
      <c r="K20" s="19" t="s">
        <v>15</v>
      </c>
      <c r="L20" s="20" t="s">
        <v>36</v>
      </c>
      <c r="M20" s="19" t="s">
        <v>16</v>
      </c>
      <c r="N20" s="20" t="s">
        <v>35</v>
      </c>
      <c r="O20" s="19" t="s">
        <v>17</v>
      </c>
      <c r="P20" s="20" t="s">
        <v>34</v>
      </c>
      <c r="Q20" s="19" t="s">
        <v>18</v>
      </c>
      <c r="R20" s="20" t="s">
        <v>33</v>
      </c>
      <c r="S20" s="19" t="s">
        <v>19</v>
      </c>
      <c r="T20" s="20" t="s">
        <v>32</v>
      </c>
      <c r="U20" s="19" t="s">
        <v>10</v>
      </c>
      <c r="V20" s="20" t="s">
        <v>40</v>
      </c>
      <c r="W20" s="19" t="s">
        <v>41</v>
      </c>
      <c r="X20" s="20" t="s">
        <v>39</v>
      </c>
      <c r="Y20" s="19" t="s">
        <v>11</v>
      </c>
      <c r="Z20" s="20" t="s">
        <v>38</v>
      </c>
      <c r="AA20" s="19" t="s">
        <v>12</v>
      </c>
      <c r="AB20" s="20" t="s">
        <v>37</v>
      </c>
      <c r="AC20" s="19" t="s">
        <v>13</v>
      </c>
      <c r="AD20" s="20" t="s">
        <v>36</v>
      </c>
      <c r="AE20" s="19" t="s">
        <v>14</v>
      </c>
      <c r="AF20" s="20" t="s">
        <v>35</v>
      </c>
      <c r="AG20" s="19" t="s">
        <v>15</v>
      </c>
      <c r="AH20" s="20" t="s">
        <v>34</v>
      </c>
      <c r="AI20" s="19" t="s">
        <v>16</v>
      </c>
      <c r="AJ20" s="20" t="s">
        <v>33</v>
      </c>
      <c r="AK20" s="19" t="s">
        <v>17</v>
      </c>
      <c r="AL20" s="20" t="s">
        <v>32</v>
      </c>
      <c r="AM20" s="19" t="s">
        <v>18</v>
      </c>
      <c r="AN20" s="20" t="s">
        <v>19</v>
      </c>
      <c r="AO20" s="19" t="s">
        <v>10</v>
      </c>
      <c r="AP20" s="20" t="s">
        <v>39</v>
      </c>
      <c r="AQ20" s="19" t="s">
        <v>40</v>
      </c>
      <c r="AR20" s="20" t="s">
        <v>38</v>
      </c>
      <c r="AS20" s="19" t="s">
        <v>41</v>
      </c>
      <c r="AT20" s="20" t="s">
        <v>37</v>
      </c>
      <c r="AU20" s="19" t="s">
        <v>11</v>
      </c>
      <c r="AV20" s="20" t="s">
        <v>36</v>
      </c>
      <c r="AW20" s="19" t="s">
        <v>12</v>
      </c>
      <c r="AX20" s="20" t="s">
        <v>35</v>
      </c>
      <c r="AY20" s="19" t="s">
        <v>13</v>
      </c>
      <c r="AZ20" s="20" t="s">
        <v>34</v>
      </c>
      <c r="BA20" s="19" t="s">
        <v>14</v>
      </c>
      <c r="BB20" s="20" t="s">
        <v>33</v>
      </c>
      <c r="BC20" s="19" t="s">
        <v>15</v>
      </c>
      <c r="BD20" s="20" t="s">
        <v>32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38</v>
      </c>
      <c r="BK20" s="19" t="s">
        <v>39</v>
      </c>
      <c r="BL20" s="20" t="s">
        <v>37</v>
      </c>
      <c r="BM20" s="19" t="s">
        <v>40</v>
      </c>
      <c r="BN20" s="20" t="s">
        <v>36</v>
      </c>
      <c r="BO20" s="19" t="s">
        <v>41</v>
      </c>
      <c r="BP20" s="20" t="s">
        <v>35</v>
      </c>
      <c r="BQ20" s="19" t="s">
        <v>11</v>
      </c>
      <c r="BR20" s="20" t="s">
        <v>34</v>
      </c>
      <c r="BS20" s="19" t="s">
        <v>12</v>
      </c>
      <c r="BT20" s="20" t="s">
        <v>33</v>
      </c>
      <c r="BU20" s="19" t="s">
        <v>13</v>
      </c>
      <c r="BV20" s="20" t="s">
        <v>32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37</v>
      </c>
      <c r="CE20" s="19" t="s">
        <v>38</v>
      </c>
      <c r="CF20" s="20" t="s">
        <v>36</v>
      </c>
      <c r="CG20" s="19" t="s">
        <v>39</v>
      </c>
      <c r="CH20" s="20" t="s">
        <v>35</v>
      </c>
      <c r="CI20" s="19" t="s">
        <v>40</v>
      </c>
      <c r="CJ20" s="20" t="s">
        <v>34</v>
      </c>
      <c r="CK20" s="19" t="s">
        <v>41</v>
      </c>
      <c r="CL20" s="20" t="s">
        <v>33</v>
      </c>
      <c r="CM20" s="19" t="s">
        <v>11</v>
      </c>
      <c r="CN20" s="20" t="s">
        <v>32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36</v>
      </c>
      <c r="CY20" s="19" t="s">
        <v>37</v>
      </c>
      <c r="CZ20" s="20" t="s">
        <v>35</v>
      </c>
      <c r="DA20" s="19" t="s">
        <v>38</v>
      </c>
      <c r="DB20" s="20" t="s">
        <v>34</v>
      </c>
      <c r="DC20" s="19" t="s">
        <v>39</v>
      </c>
      <c r="DD20" s="20" t="s">
        <v>33</v>
      </c>
      <c r="DE20" s="19" t="s">
        <v>40</v>
      </c>
      <c r="DF20" s="20" t="s">
        <v>32</v>
      </c>
      <c r="DG20" s="19" t="s">
        <v>41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35</v>
      </c>
      <c r="DS20" s="19" t="s">
        <v>36</v>
      </c>
      <c r="DT20" s="20" t="s">
        <v>34</v>
      </c>
      <c r="DU20" s="19" t="s">
        <v>37</v>
      </c>
      <c r="DV20" s="20" t="s">
        <v>33</v>
      </c>
      <c r="DW20" s="19" t="s">
        <v>38</v>
      </c>
      <c r="DX20" s="20" t="s">
        <v>32</v>
      </c>
      <c r="DY20" s="19" t="s">
        <v>39</v>
      </c>
      <c r="DZ20" s="20" t="s">
        <v>19</v>
      </c>
      <c r="EA20" s="19" t="s">
        <v>40</v>
      </c>
      <c r="EB20" s="20" t="s">
        <v>18</v>
      </c>
      <c r="EC20" s="19" t="s">
        <v>41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34</v>
      </c>
      <c r="EM20" s="19" t="s">
        <v>35</v>
      </c>
      <c r="EN20" s="20" t="s">
        <v>33</v>
      </c>
      <c r="EO20" s="19" t="s">
        <v>36</v>
      </c>
      <c r="EP20" s="20" t="s">
        <v>32</v>
      </c>
      <c r="EQ20" s="19" t="s">
        <v>37</v>
      </c>
      <c r="ER20" s="20" t="s">
        <v>19</v>
      </c>
      <c r="ES20" s="19" t="s">
        <v>38</v>
      </c>
      <c r="ET20" s="20" t="s">
        <v>18</v>
      </c>
      <c r="EU20" s="19" t="s">
        <v>39</v>
      </c>
      <c r="EV20" s="20" t="s">
        <v>17</v>
      </c>
      <c r="EW20" s="19" t="s">
        <v>40</v>
      </c>
      <c r="EX20" s="20" t="s">
        <v>16</v>
      </c>
      <c r="EY20" s="19" t="s">
        <v>41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33</v>
      </c>
      <c r="FG20" s="19" t="s">
        <v>34</v>
      </c>
      <c r="FH20" s="20" t="s">
        <v>32</v>
      </c>
      <c r="FI20" s="19" t="s">
        <v>35</v>
      </c>
      <c r="FJ20" s="20" t="s">
        <v>19</v>
      </c>
      <c r="FK20" s="19" t="s">
        <v>36</v>
      </c>
      <c r="FL20" s="20" t="s">
        <v>18</v>
      </c>
      <c r="FM20" s="19" t="s">
        <v>37</v>
      </c>
      <c r="FN20" s="20" t="s">
        <v>17</v>
      </c>
      <c r="FO20" s="19" t="s">
        <v>38</v>
      </c>
      <c r="FP20" s="20" t="s">
        <v>16</v>
      </c>
      <c r="FQ20" s="19" t="s">
        <v>39</v>
      </c>
      <c r="FR20" s="20" t="s">
        <v>15</v>
      </c>
      <c r="FS20" s="19" t="s">
        <v>40</v>
      </c>
      <c r="FT20" s="20" t="s">
        <v>14</v>
      </c>
      <c r="FU20" s="19" t="s">
        <v>41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32</v>
      </c>
      <c r="GA20" s="19" t="s">
        <v>33</v>
      </c>
      <c r="GB20" s="20" t="s">
        <v>19</v>
      </c>
      <c r="GC20" s="19" t="s">
        <v>34</v>
      </c>
      <c r="GD20" s="20" t="s">
        <v>18</v>
      </c>
      <c r="GE20" s="19" t="s">
        <v>35</v>
      </c>
      <c r="GF20" s="20" t="s">
        <v>17</v>
      </c>
      <c r="GG20" s="19" t="s">
        <v>36</v>
      </c>
      <c r="GH20" s="20" t="s">
        <v>16</v>
      </c>
      <c r="GI20" s="19" t="s">
        <v>37</v>
      </c>
      <c r="GJ20" s="20" t="s">
        <v>15</v>
      </c>
      <c r="GK20" s="19" t="s">
        <v>38</v>
      </c>
      <c r="GL20" s="20" t="s">
        <v>14</v>
      </c>
      <c r="GM20" s="19" t="s">
        <v>39</v>
      </c>
      <c r="GN20" s="20" t="s">
        <v>13</v>
      </c>
      <c r="GO20" s="19" t="s">
        <v>40</v>
      </c>
      <c r="GP20" s="20" t="s">
        <v>12</v>
      </c>
      <c r="GQ20" s="19" t="s">
        <v>41</v>
      </c>
      <c r="GR20" s="20" t="s">
        <v>11</v>
      </c>
      <c r="GS20" s="19" t="s">
        <v>10</v>
      </c>
      <c r="GT20" s="20" t="s">
        <v>19</v>
      </c>
      <c r="GU20" s="19" t="s">
        <v>32</v>
      </c>
      <c r="GV20" s="20" t="s">
        <v>18</v>
      </c>
      <c r="GW20" s="19" t="s">
        <v>33</v>
      </c>
      <c r="GX20" s="20" t="s">
        <v>17</v>
      </c>
      <c r="GY20" s="19" t="s">
        <v>34</v>
      </c>
      <c r="GZ20" s="20" t="s">
        <v>16</v>
      </c>
      <c r="HA20" s="19" t="s">
        <v>35</v>
      </c>
      <c r="HB20" s="20" t="s">
        <v>15</v>
      </c>
      <c r="HC20" s="19" t="s">
        <v>36</v>
      </c>
      <c r="HD20" s="20" t="s">
        <v>14</v>
      </c>
      <c r="HE20" s="19" t="s">
        <v>37</v>
      </c>
      <c r="HF20" s="20" t="s">
        <v>13</v>
      </c>
      <c r="HG20" s="19" t="s">
        <v>38</v>
      </c>
      <c r="HH20" s="20" t="s">
        <v>12</v>
      </c>
      <c r="HI20" s="19" t="s">
        <v>39</v>
      </c>
      <c r="HJ20" s="20" t="s">
        <v>11</v>
      </c>
      <c r="HK20" s="19" t="s">
        <v>40</v>
      </c>
      <c r="HL20" s="20" t="s">
        <v>41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32</v>
      </c>
      <c r="HR20" s="20" t="s">
        <v>16</v>
      </c>
      <c r="HS20" s="19" t="s">
        <v>33</v>
      </c>
      <c r="HT20" s="20" t="s">
        <v>15</v>
      </c>
      <c r="HU20" s="19" t="s">
        <v>34</v>
      </c>
      <c r="HV20" s="20" t="s">
        <v>14</v>
      </c>
      <c r="HW20" s="19" t="s">
        <v>35</v>
      </c>
      <c r="HX20" s="20" t="s">
        <v>13</v>
      </c>
      <c r="HY20" s="19" t="s">
        <v>36</v>
      </c>
      <c r="HZ20" s="20" t="s">
        <v>12</v>
      </c>
      <c r="IA20" s="19" t="s">
        <v>37</v>
      </c>
      <c r="IB20" s="20" t="s">
        <v>11</v>
      </c>
      <c r="IC20" s="19" t="s">
        <v>38</v>
      </c>
      <c r="ID20" s="20" t="s">
        <v>41</v>
      </c>
      <c r="IE20" s="19" t="s">
        <v>39</v>
      </c>
      <c r="IF20" s="20" t="s">
        <v>40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32</v>
      </c>
      <c r="IN20" s="20" t="s">
        <v>14</v>
      </c>
      <c r="IO20" s="19" t="s">
        <v>33</v>
      </c>
      <c r="IP20" s="20" t="s">
        <v>13</v>
      </c>
      <c r="IQ20" s="19" t="s">
        <v>34</v>
      </c>
      <c r="IR20" s="20" t="s">
        <v>12</v>
      </c>
      <c r="IS20" s="19" t="s">
        <v>35</v>
      </c>
      <c r="IT20" s="20" t="s">
        <v>11</v>
      </c>
      <c r="IU20" s="19" t="s">
        <v>36</v>
      </c>
      <c r="IV20" s="20" t="s">
        <v>41</v>
      </c>
      <c r="IW20" s="19" t="s">
        <v>37</v>
      </c>
      <c r="IX20" s="20" t="s">
        <v>40</v>
      </c>
      <c r="IY20" s="19" t="s">
        <v>38</v>
      </c>
      <c r="IZ20" s="20" t="s">
        <v>39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32</v>
      </c>
      <c r="JJ20" s="20" t="s">
        <v>12</v>
      </c>
      <c r="JK20" s="19" t="s">
        <v>33</v>
      </c>
      <c r="JL20" s="20" t="s">
        <v>11</v>
      </c>
      <c r="JM20" s="19" t="s">
        <v>34</v>
      </c>
      <c r="JN20" s="20" t="s">
        <v>41</v>
      </c>
      <c r="JO20" s="19" t="s">
        <v>35</v>
      </c>
      <c r="JP20" s="20" t="s">
        <v>40</v>
      </c>
      <c r="JQ20" s="19" t="s">
        <v>36</v>
      </c>
      <c r="JR20" s="20" t="s">
        <v>39</v>
      </c>
      <c r="JS20" s="19" t="s">
        <v>37</v>
      </c>
      <c r="JT20" s="20" t="s">
        <v>38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32</v>
      </c>
      <c r="KF20" s="20" t="s">
        <v>41</v>
      </c>
      <c r="KG20" s="19" t="s">
        <v>33</v>
      </c>
      <c r="KH20" s="20" t="s">
        <v>40</v>
      </c>
      <c r="KI20" s="19" t="s">
        <v>34</v>
      </c>
      <c r="KJ20" s="20" t="s">
        <v>39</v>
      </c>
      <c r="KK20" s="19" t="s">
        <v>35</v>
      </c>
      <c r="KL20" s="20" t="s">
        <v>38</v>
      </c>
      <c r="KM20" s="19" t="s">
        <v>36</v>
      </c>
      <c r="KN20" s="20" t="s">
        <v>37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41</v>
      </c>
      <c r="KY20" s="19" t="s">
        <v>19</v>
      </c>
      <c r="KZ20" s="20" t="s">
        <v>40</v>
      </c>
      <c r="LA20" s="19" t="s">
        <v>32</v>
      </c>
      <c r="LB20" s="20" t="s">
        <v>39</v>
      </c>
      <c r="LC20" s="19" t="s">
        <v>33</v>
      </c>
      <c r="LD20" s="20" t="s">
        <v>38</v>
      </c>
      <c r="LE20" s="19" t="s">
        <v>34</v>
      </c>
      <c r="LF20" s="20" t="s">
        <v>37</v>
      </c>
      <c r="LG20" s="19" t="s">
        <v>35</v>
      </c>
      <c r="LH20" s="20" t="s">
        <v>36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41</v>
      </c>
      <c r="LQ20" s="19" t="s">
        <v>17</v>
      </c>
      <c r="LR20" s="20" t="s">
        <v>40</v>
      </c>
      <c r="LS20" s="19" t="s">
        <v>18</v>
      </c>
      <c r="LT20" s="20" t="s">
        <v>39</v>
      </c>
      <c r="LU20" s="19" t="s">
        <v>19</v>
      </c>
      <c r="LV20" s="20" t="s">
        <v>38</v>
      </c>
      <c r="LW20" s="19" t="s">
        <v>32</v>
      </c>
      <c r="LX20" s="20" t="s">
        <v>37</v>
      </c>
      <c r="LY20" s="19" t="s">
        <v>33</v>
      </c>
      <c r="LZ20" s="20" t="s">
        <v>36</v>
      </c>
      <c r="MA20" s="19" t="s">
        <v>34</v>
      </c>
      <c r="MB20" s="20" t="s">
        <v>35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41</v>
      </c>
      <c r="MI20" s="19" t="s">
        <v>15</v>
      </c>
      <c r="MJ20" s="20" t="s">
        <v>40</v>
      </c>
      <c r="MK20" s="19" t="s">
        <v>16</v>
      </c>
      <c r="ML20" s="20" t="s">
        <v>39</v>
      </c>
      <c r="MM20" s="19" t="s">
        <v>17</v>
      </c>
      <c r="MN20" s="20" t="s">
        <v>38</v>
      </c>
      <c r="MO20" s="19" t="s">
        <v>18</v>
      </c>
      <c r="MP20" s="20" t="s">
        <v>37</v>
      </c>
      <c r="MQ20" s="19" t="s">
        <v>19</v>
      </c>
      <c r="MR20" s="20" t="s">
        <v>36</v>
      </c>
      <c r="MS20" s="19" t="s">
        <v>32</v>
      </c>
      <c r="MT20" s="20" t="s">
        <v>35</v>
      </c>
      <c r="MU20" s="19" t="s">
        <v>33</v>
      </c>
      <c r="MV20" s="20" t="s">
        <v>34</v>
      </c>
      <c r="MW20" s="19" t="s">
        <v>10</v>
      </c>
      <c r="MX20" s="20" t="s">
        <v>11</v>
      </c>
      <c r="MY20" s="19" t="s">
        <v>12</v>
      </c>
      <c r="MZ20" s="20" t="s">
        <v>41</v>
      </c>
      <c r="NA20" s="19" t="s">
        <v>13</v>
      </c>
      <c r="NB20" s="20" t="s">
        <v>40</v>
      </c>
      <c r="NC20" s="19" t="s">
        <v>14</v>
      </c>
      <c r="ND20" s="20" t="s">
        <v>39</v>
      </c>
      <c r="NE20" s="19" t="s">
        <v>15</v>
      </c>
      <c r="NF20" s="20" t="s">
        <v>38</v>
      </c>
      <c r="NG20" s="19" t="s">
        <v>16</v>
      </c>
      <c r="NH20" s="20" t="s">
        <v>37</v>
      </c>
      <c r="NI20" s="19" t="s">
        <v>17</v>
      </c>
      <c r="NJ20" s="20" t="s">
        <v>36</v>
      </c>
      <c r="NK20" s="19" t="s">
        <v>18</v>
      </c>
      <c r="NL20" s="20" t="s">
        <v>35</v>
      </c>
      <c r="NM20" s="19" t="s">
        <v>19</v>
      </c>
      <c r="NN20" s="20" t="s">
        <v>34</v>
      </c>
      <c r="NO20" s="19" t="s">
        <v>32</v>
      </c>
      <c r="NP20" s="20" t="s">
        <v>33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1435-AC99-48CE-862E-D6FA9FF25C32}">
  <sheetPr codeName="Feuil5"/>
  <dimension ref="B1:C5"/>
  <sheetViews>
    <sheetView workbookViewId="0">
      <selection activeCell="C4" sqref="C4"/>
    </sheetView>
  </sheetViews>
  <sheetFormatPr baseColWidth="10" defaultRowHeight="15" x14ac:dyDescent="0.25"/>
  <cols>
    <col min="1" max="2" width="11.42578125" style="40"/>
    <col min="3" max="3" width="75.7109375" style="40" customWidth="1"/>
    <col min="4" max="16384" width="11.42578125" style="40"/>
  </cols>
  <sheetData>
    <row r="1" spans="2:3" ht="15.75" thickBot="1" x14ac:dyDescent="0.3">
      <c r="B1" s="73"/>
      <c r="C1" s="77" t="s">
        <v>57</v>
      </c>
    </row>
    <row r="2" spans="2:3" ht="15.75" x14ac:dyDescent="0.25">
      <c r="B2" s="74" t="s">
        <v>56</v>
      </c>
      <c r="C2" s="78" t="s">
        <v>42</v>
      </c>
    </row>
    <row r="3" spans="2:3" ht="15.75" x14ac:dyDescent="0.25">
      <c r="B3" s="75"/>
      <c r="C3" s="79" t="s">
        <v>43</v>
      </c>
    </row>
    <row r="4" spans="2:3" ht="15.75" x14ac:dyDescent="0.25">
      <c r="B4" s="75"/>
      <c r="C4" s="79" t="s">
        <v>44</v>
      </c>
    </row>
    <row r="5" spans="2:3" ht="16.5" thickBot="1" x14ac:dyDescent="0.3">
      <c r="B5" s="76"/>
      <c r="C5" s="80" t="s">
        <v>55</v>
      </c>
    </row>
  </sheetData>
  <mergeCells count="1">
    <mergeCell ref="B2:B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4PPinscript">
              <controlPr defaultSize="0" print="0" autoFill="0" autoPict="0" macro="[0]!'copyimage &quot;B2:C5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41E42-DDEB-4319-A825-CE1C37DD3BDE}">
  <sheetPr codeName="Feuil6"/>
  <dimension ref="A1:G13"/>
  <sheetViews>
    <sheetView topLeftCell="B1" workbookViewId="0">
      <selection activeCell="F10" sqref="F10"/>
    </sheetView>
  </sheetViews>
  <sheetFormatPr baseColWidth="10" defaultRowHeight="15" x14ac:dyDescent="0.25"/>
  <cols>
    <col min="1" max="1" width="0" style="40" hidden="1" customWidth="1"/>
    <col min="2" max="2" width="43.5703125" style="40" customWidth="1"/>
    <col min="3" max="3" width="6" style="87" customWidth="1"/>
    <col min="4" max="4" width="16.7109375" style="40" customWidth="1"/>
    <col min="5" max="5" width="6" style="87" customWidth="1"/>
    <col min="6" max="6" width="43.5703125" style="40" customWidth="1"/>
    <col min="7" max="7" width="6" style="40" hidden="1" customWidth="1"/>
    <col min="8" max="16384" width="11.42578125" style="40"/>
  </cols>
  <sheetData>
    <row r="1" spans="1:7" x14ac:dyDescent="0.25">
      <c r="A1" s="81"/>
      <c r="B1" s="81"/>
      <c r="C1" s="85"/>
      <c r="D1" s="82">
        <v>0.33333333333333331</v>
      </c>
      <c r="E1" s="85"/>
      <c r="F1" s="81"/>
      <c r="G1" s="81"/>
    </row>
    <row r="2" spans="1:7" x14ac:dyDescent="0.25">
      <c r="A2" s="84" t="s">
        <v>42</v>
      </c>
      <c r="B2" s="84" t="str">
        <f>INSCRIPTS!C2</f>
        <v>1A</v>
      </c>
      <c r="C2" s="86"/>
      <c r="D2" s="83" t="s">
        <v>61</v>
      </c>
      <c r="E2" s="86"/>
      <c r="F2" s="84" t="str">
        <f>INSCRIPTS!C3</f>
        <v>2A</v>
      </c>
      <c r="G2" s="84" t="s">
        <v>43</v>
      </c>
    </row>
    <row r="3" spans="1:7" x14ac:dyDescent="0.25">
      <c r="A3" s="81"/>
      <c r="B3" s="81"/>
      <c r="C3" s="85"/>
      <c r="D3" s="82">
        <f>0.333333333333333 + "00:15:00"</f>
        <v>0.34374999999999967</v>
      </c>
      <c r="E3" s="85"/>
      <c r="F3" s="81"/>
      <c r="G3" s="81"/>
    </row>
    <row r="4" spans="1:7" x14ac:dyDescent="0.25">
      <c r="A4" s="84" t="s">
        <v>44</v>
      </c>
      <c r="B4" s="84" t="str">
        <f>INSCRIPTS!C4</f>
        <v>3A</v>
      </c>
      <c r="C4" s="86"/>
      <c r="D4" s="83" t="s">
        <v>61</v>
      </c>
      <c r="E4" s="86"/>
      <c r="F4" s="84" t="str">
        <f>INSCRIPTS!C5</f>
        <v>4A</v>
      </c>
      <c r="G4" s="84" t="s">
        <v>55</v>
      </c>
    </row>
    <row r="5" spans="1:7" x14ac:dyDescent="0.25">
      <c r="A5" s="81"/>
      <c r="B5" s="81"/>
      <c r="C5" s="85"/>
      <c r="D5" s="82">
        <f>0.34375 + "00:15:00"</f>
        <v>0.35416666666666669</v>
      </c>
      <c r="E5" s="85"/>
      <c r="F5" s="81"/>
      <c r="G5" s="81"/>
    </row>
    <row r="6" spans="1:7" x14ac:dyDescent="0.25">
      <c r="A6" s="84" t="s">
        <v>42</v>
      </c>
      <c r="B6" s="84" t="str">
        <f>INSCRIPTS!C2</f>
        <v>1A</v>
      </c>
      <c r="C6" s="86"/>
      <c r="D6" s="83" t="s">
        <v>61</v>
      </c>
      <c r="E6" s="86"/>
      <c r="F6" s="84" t="str">
        <f>INSCRIPTS!C4</f>
        <v>3A</v>
      </c>
      <c r="G6" s="84" t="s">
        <v>44</v>
      </c>
    </row>
    <row r="7" spans="1:7" x14ac:dyDescent="0.25">
      <c r="A7" s="81"/>
      <c r="B7" s="81"/>
      <c r="C7" s="85"/>
      <c r="D7" s="82">
        <f>0.354166666666667 + "00:15:00"</f>
        <v>0.3645833333333337</v>
      </c>
      <c r="E7" s="85"/>
      <c r="F7" s="81"/>
      <c r="G7" s="81"/>
    </row>
    <row r="8" spans="1:7" x14ac:dyDescent="0.25">
      <c r="A8" s="84" t="s">
        <v>43</v>
      </c>
      <c r="B8" s="84" t="str">
        <f>INSCRIPTS!C3</f>
        <v>2A</v>
      </c>
      <c r="C8" s="86"/>
      <c r="D8" s="83" t="s">
        <v>61</v>
      </c>
      <c r="E8" s="86"/>
      <c r="F8" s="84" t="str">
        <f>INSCRIPTS!C5</f>
        <v>4A</v>
      </c>
      <c r="G8" s="84" t="s">
        <v>55</v>
      </c>
    </row>
    <row r="9" spans="1:7" x14ac:dyDescent="0.25">
      <c r="A9" s="81"/>
      <c r="B9" s="81"/>
      <c r="C9" s="85"/>
      <c r="D9" s="82">
        <f>0.364583333333334 + "00:15:00"</f>
        <v>0.37500000000000067</v>
      </c>
      <c r="E9" s="85"/>
      <c r="F9" s="81"/>
      <c r="G9" s="81"/>
    </row>
    <row r="10" spans="1:7" x14ac:dyDescent="0.25">
      <c r="A10" s="84" t="s">
        <v>42</v>
      </c>
      <c r="B10" s="84" t="str">
        <f>INSCRIPTS!C2</f>
        <v>1A</v>
      </c>
      <c r="C10" s="86"/>
      <c r="D10" s="83" t="s">
        <v>61</v>
      </c>
      <c r="E10" s="86"/>
      <c r="F10" s="84" t="str">
        <f>INSCRIPTS!C5</f>
        <v>4A</v>
      </c>
      <c r="G10" s="84" t="s">
        <v>55</v>
      </c>
    </row>
    <row r="11" spans="1:7" x14ac:dyDescent="0.25">
      <c r="A11" s="81"/>
      <c r="B11" s="81"/>
      <c r="C11" s="85"/>
      <c r="D11" s="82">
        <f>0.375000000000001 + "00:15:00"</f>
        <v>0.38541666666666768</v>
      </c>
      <c r="E11" s="85"/>
      <c r="F11" s="81"/>
      <c r="G11" s="81"/>
    </row>
    <row r="12" spans="1:7" x14ac:dyDescent="0.25">
      <c r="A12" s="84" t="s">
        <v>43</v>
      </c>
      <c r="B12" s="84" t="str">
        <f>INSCRIPTS!C3</f>
        <v>2A</v>
      </c>
      <c r="C12" s="86"/>
      <c r="D12" s="83" t="s">
        <v>61</v>
      </c>
      <c r="E12" s="86"/>
      <c r="F12" s="84" t="str">
        <f>INSCRIPTS!C4</f>
        <v>3A</v>
      </c>
      <c r="G12" s="84" t="s">
        <v>44</v>
      </c>
    </row>
    <row r="13" spans="1:7" x14ac:dyDescent="0.25">
      <c r="A13" s="81"/>
      <c r="B13" s="81"/>
      <c r="C13" s="85"/>
      <c r="D13" s="82">
        <v>44936.818136574075</v>
      </c>
      <c r="E13" s="85"/>
      <c r="F13" s="81"/>
      <c r="G13" s="81"/>
    </row>
  </sheetData>
  <conditionalFormatting sqref="C2">
    <cfRule type="expression" dxfId="47" priority="24">
      <formula>$C2&gt;$E2</formula>
    </cfRule>
    <cfRule type="expression" dxfId="46" priority="23">
      <formula>$C2&lt;$E2</formula>
    </cfRule>
  </conditionalFormatting>
  <conditionalFormatting sqref="E2">
    <cfRule type="expression" dxfId="45" priority="22">
      <formula>$C2&lt;$E2</formula>
    </cfRule>
    <cfRule type="expression" dxfId="44" priority="21">
      <formula>$C2&gt;$E2</formula>
    </cfRule>
  </conditionalFormatting>
  <conditionalFormatting sqref="C4">
    <cfRule type="expression" dxfId="43" priority="20">
      <formula>$C4&gt;$E4</formula>
    </cfRule>
    <cfRule type="expression" dxfId="42" priority="19">
      <formula>$C4&lt;$E4</formula>
    </cfRule>
  </conditionalFormatting>
  <conditionalFormatting sqref="E4">
    <cfRule type="expression" dxfId="41" priority="18">
      <formula>$C4&lt;$E4</formula>
    </cfRule>
    <cfRule type="expression" dxfId="40" priority="17">
      <formula>$C4&gt;$E4</formula>
    </cfRule>
  </conditionalFormatting>
  <conditionalFormatting sqref="C6">
    <cfRule type="expression" dxfId="39" priority="16">
      <formula>$C6&gt;$E6</formula>
    </cfRule>
    <cfRule type="expression" dxfId="38" priority="15">
      <formula>$C6&lt;$E6</formula>
    </cfRule>
  </conditionalFormatting>
  <conditionalFormatting sqref="E6">
    <cfRule type="expression" dxfId="37" priority="14">
      <formula>$C6&lt;$E6</formula>
    </cfRule>
    <cfRule type="expression" dxfId="36" priority="13">
      <formula>$C6&gt;$E6</formula>
    </cfRule>
  </conditionalFormatting>
  <conditionalFormatting sqref="C8">
    <cfRule type="expression" dxfId="35" priority="12">
      <formula>$C8&gt;$E8</formula>
    </cfRule>
    <cfRule type="expression" dxfId="34" priority="11">
      <formula>$C8&lt;$E8</formula>
    </cfRule>
  </conditionalFormatting>
  <conditionalFormatting sqref="E8">
    <cfRule type="expression" dxfId="33" priority="10">
      <formula>$C8&lt;$E8</formula>
    </cfRule>
    <cfRule type="expression" dxfId="32" priority="9">
      <formula>$C8&gt;$E8</formula>
    </cfRule>
  </conditionalFormatting>
  <conditionalFormatting sqref="C10">
    <cfRule type="expression" dxfId="31" priority="8">
      <formula>$C10&gt;$E10</formula>
    </cfRule>
    <cfRule type="expression" dxfId="30" priority="7">
      <formula>$C10&lt;$E10</formula>
    </cfRule>
  </conditionalFormatting>
  <conditionalFormatting sqref="E10">
    <cfRule type="expression" dxfId="29" priority="6">
      <formula>$C10&lt;$E10</formula>
    </cfRule>
    <cfRule type="expression" dxfId="28" priority="5">
      <formula>$C10&gt;$E10</formula>
    </cfRule>
  </conditionalFormatting>
  <conditionalFormatting sqref="C12">
    <cfRule type="expression" dxfId="27" priority="4">
      <formula>$C12&gt;$E12</formula>
    </cfRule>
    <cfRule type="expression" dxfId="26" priority="3">
      <formula>$C12&lt;$E12</formula>
    </cfRule>
  </conditionalFormatting>
  <conditionalFormatting sqref="E12">
    <cfRule type="expression" dxfId="25" priority="2">
      <formula>$C12&lt;$E12</formula>
    </cfRule>
    <cfRule type="expression" dxfId="24" priority="1">
      <formula>$C12&gt;$E12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0B02B469-7085-44B2-88CE-66A9E48DE8E7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C4PPMatch">
              <controlPr defaultSize="0" print="0" autoFill="0" autoPict="0" macro="[0]!'copyimage &quot;B1:F12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D8F42-D138-49A0-9A08-7E7E2E0661BD}">
  <sheetPr codeName="Feuil7"/>
  <dimension ref="A1:N7"/>
  <sheetViews>
    <sheetView workbookViewId="0">
      <selection activeCell="D7" sqref="D7"/>
    </sheetView>
  </sheetViews>
  <sheetFormatPr baseColWidth="10" defaultRowHeight="15" x14ac:dyDescent="0.25"/>
  <cols>
    <col min="1" max="2" width="11.42578125" style="40"/>
    <col min="3" max="3" width="0" style="40" hidden="1" customWidth="1"/>
    <col min="4" max="4" width="43.5703125" style="40" customWidth="1"/>
    <col min="5" max="5" width="11.42578125" style="90"/>
    <col min="6" max="6" width="11.42578125" style="40"/>
    <col min="7" max="7" width="0" style="40" hidden="1" customWidth="1"/>
    <col min="8" max="11" width="11.42578125" style="40"/>
    <col min="12" max="12" width="0" style="40" hidden="1" customWidth="1"/>
    <col min="13" max="13" width="6" style="40" customWidth="1"/>
    <col min="14" max="16384" width="11.42578125" style="40"/>
  </cols>
  <sheetData>
    <row r="1" spans="1:14" ht="15.75" thickBot="1" x14ac:dyDescent="0.3"/>
    <row r="2" spans="1:14" ht="30.95" customHeight="1" thickBot="1" x14ac:dyDescent="0.3">
      <c r="C2" s="88" t="s">
        <v>62</v>
      </c>
      <c r="D2" s="88" t="s">
        <v>57</v>
      </c>
      <c r="E2" s="91" t="s">
        <v>63</v>
      </c>
      <c r="F2" s="88" t="s">
        <v>64</v>
      </c>
      <c r="G2" s="88" t="s">
        <v>65</v>
      </c>
      <c r="H2" s="88" t="s">
        <v>66</v>
      </c>
      <c r="I2" s="88" t="s">
        <v>67</v>
      </c>
      <c r="J2" s="88" t="s">
        <v>68</v>
      </c>
      <c r="K2" s="41" t="s">
        <v>69</v>
      </c>
      <c r="L2" s="88" t="s">
        <v>70</v>
      </c>
      <c r="M2" s="41" t="s">
        <v>48</v>
      </c>
    </row>
    <row r="4" spans="1:14" ht="15.75" x14ac:dyDescent="0.25">
      <c r="A4" s="89" t="s">
        <v>56</v>
      </c>
      <c r="B4" s="42">
        <v>1</v>
      </c>
      <c r="C4" s="42" t="s">
        <v>42</v>
      </c>
      <c r="D4" s="42" t="str">
        <f>INSCRIPTS!C2</f>
        <v>1A</v>
      </c>
      <c r="E4" s="92">
        <f ca="1">SUM(IF(INDIRECT(ADDRESS(2,3,,,"MATCHS"))&gt;INDIRECT(ADDRESS(2,5,,,"MATCHS")),1,0),,IF(INDIRECT(ADDRESS(6,3,,,"MATCHS"))&gt;INDIRECT(ADDRESS(6,5,,,"MATCHS")),1,0),,IF(INDIRECT(ADDRESS(10,3,,,"MATCHS"))&gt;INDIRECT(ADDRESS(10,5,,,"MATCHS")),1,0),) + 0.01 * K4</f>
        <v>0</v>
      </c>
      <c r="F4" s="42">
        <f ca="1">SUM(IF(INDIRECT(ADDRESS(2,3,,,"MATCHS"))&lt;INDIRECT(ADDRESS(2,5,,,"MATCHS")),1,0),,IF(INDIRECT(ADDRESS(6,3,,,"MATCHS"))&lt;INDIRECT(ADDRESS(6,5,,,"MATCHS")),1,0),,IF(INDIRECT(ADDRESS(10,3,,,"MATCHS"))&lt;INDIRECT(ADDRESS(10,5,,,"MATCHS")),1,0),)</f>
        <v>0</v>
      </c>
      <c r="G4" s="42"/>
      <c r="H4" s="42">
        <f ca="1">SUM(IF(IFERROR(FIND("--",INDIRECT(ADDRESS(2,3,,,"MATCHS"))),FALSE),LEFT(INDIRECT(ADDRESS(2,3,,,"MATCHS")), FIND("--",INDIRECT(ADDRESS(2,3,,,"MATCHS")),1)-1),INDIRECT(ADDRESS(2,3,,,"MATCHS"))),,IF(IFERROR(FIND("--",INDIRECT(ADDRESS(6,3,,,"MATCHS"))),FALSE),LEFT(INDIRECT(ADDRESS(6,3,,,"MATCHS")), FIND("--",INDIRECT(ADDRESS(6,3,,,"MATCHS")),1)-1),INDIRECT(ADDRESS(6,3,,,"MATCHS"))),,IF(IFERROR(FIND("--",INDIRECT(ADDRESS(10,3,,,"MATCHS"))),FALSE),LEFT(INDIRECT(ADDRESS(10,3,,,"MATCHS")), FIND("--",INDIRECT(ADDRESS(10,3,,,"MATCHS")),1)-1),INDIRECT(ADDRESS(10,3,,,"MATCHS"))),)</f>
        <v>0</v>
      </c>
      <c r="I4" s="42">
        <f ca="1">SUM(IF(IFERROR(FIND("--",INDIRECT(ADDRESS(2,5,,,"MATCHS"))),FALSE),LEFT(INDIRECT(ADDRESS(2,5,,,"MATCHS")), FIND("--",INDIRECT(ADDRESS(2,5,,,"MATCHS")),1)-1),INDIRECT(ADDRESS(2,5,,,"MATCHS"))),,IF(IFERROR(FIND("--",INDIRECT(ADDRESS(6,5,,,"MATCHS"))),FALSE),LEFT(INDIRECT(ADDRESS(6,5,,,"MATCHS")), FIND("--",INDIRECT(ADDRESS(6,5,,,"MATCHS")),1)-1),INDIRECT(ADDRESS(6,5,,,"MATCHS"))),,IF(IFERROR(FIND("--",INDIRECT(ADDRESS(10,5,,,"MATCHS"))),FALSE),LEFT(INDIRECT(ADDRESS(10,5,,,"MATCHS")), FIND("--",INDIRECT(ADDRESS(10,5,,,"MATCHS")),1)-1),INDIRECT(ADDRESS(10,5,,,"MATCHS"))),)</f>
        <v>0</v>
      </c>
      <c r="J4" s="42">
        <f ca="1">H4 - I4</f>
        <v>0</v>
      </c>
      <c r="K4" s="42">
        <v>0</v>
      </c>
      <c r="L4" s="42">
        <v>1</v>
      </c>
      <c r="M4" s="42"/>
      <c r="N4" s="87" t="str">
        <f>M4 &amp; "NO CATEGORIE"</f>
        <v>NO CATEGORIE</v>
      </c>
    </row>
    <row r="5" spans="1:14" ht="15.75" x14ac:dyDescent="0.25">
      <c r="A5" s="89"/>
      <c r="B5" s="42">
        <v>2</v>
      </c>
      <c r="C5" s="42" t="s">
        <v>43</v>
      </c>
      <c r="D5" s="42" t="str">
        <f>INSCRIPTS!C3</f>
        <v>2A</v>
      </c>
      <c r="E5" s="92">
        <f ca="1">SUM(IF(INDIRECT(ADDRESS(2,5,,,"MATCHS"))&gt;INDIRECT(ADDRESS(2,3,,,"MATCHS")),1,0),,,IF(INDIRECT(ADDRESS(8,3,,,"MATCHS"))&gt;INDIRECT(ADDRESS(8,5,,,"MATCHS")),1,0),,IF(INDIRECT(ADDRESS(12,3,,,"MATCHS"))&gt;INDIRECT(ADDRESS(12,5,,,"MATCHS")),1,0)) + 0.01 * K5</f>
        <v>0</v>
      </c>
      <c r="F5" s="42">
        <f ca="1">SUM(IF(INDIRECT(ADDRESS(2,5,,,"MATCHS"))&lt;INDIRECT(ADDRESS(2,3,,,"MATCHS")),1,0),,,IF(INDIRECT(ADDRESS(8,3,,,"MATCHS"))&lt;INDIRECT(ADDRESS(8,5,,,"MATCHS")),1,0),,IF(INDIRECT(ADDRESS(12,3,,,"MATCHS"))&lt;INDIRECT(ADDRESS(12,5,,,"MATCHS")),1,0))</f>
        <v>0</v>
      </c>
      <c r="G5" s="42"/>
      <c r="H5" s="42">
        <f ca="1">SUM(IF(IFERROR(FIND("--",INDIRECT(ADDRESS(2,5,,,"MATCHS"))),FALSE),LEFT(INDIRECT(ADDRESS(2,5,,,"MATCHS")), FIND("--",INDIRECT(ADDRESS(2,5,,,"MATCHS")),1)-1),INDIRECT(ADDRESS(2,5,,,"MATCHS"))),,,IF(IFERROR(FIND("--",INDIRECT(ADDRESS(8,3,,,"MATCHS"))),FALSE),LEFT(INDIRECT(ADDRESS(8,3,,,"MATCHS")), FIND("--",INDIRECT(ADDRESS(8,3,,,"MATCHS")),1)-1),INDIRECT(ADDRESS(8,3,,,"MATCHS"))),,IF(IFERROR(FIND("--",INDIRECT(ADDRESS(12,3,,,"MATCHS"))),FALSE),LEFT(INDIRECT(ADDRESS(12,3,,,"MATCHS")), FIND("--",INDIRECT(ADDRESS(12,3,,,"MATCHS")),1)-1),INDIRECT(ADDRESS(12,3,,,"MATCHS"))))</f>
        <v>0</v>
      </c>
      <c r="I5" s="42">
        <f ca="1">SUM(IF(IFERROR(FIND("--",INDIRECT(ADDRESS(2,3,,,"MATCHS"))),FALSE),LEFT(INDIRECT(ADDRESS(2,3,,,"MATCHS")), FIND("--",INDIRECT(ADDRESS(2,3,,,"MATCHS")),1)-1),INDIRECT(ADDRESS(2,3,,,"MATCHS"))),,,IF(IFERROR(FIND("--",INDIRECT(ADDRESS(8,5,,,"MATCHS"))),FALSE),LEFT(INDIRECT(ADDRESS(8,5,,,"MATCHS")), FIND("--",INDIRECT(ADDRESS(8,5,,,"MATCHS")),1)-1),INDIRECT(ADDRESS(8,5,,,"MATCHS"))),,IF(IFERROR(FIND("--",INDIRECT(ADDRESS(12,5,,,"MATCHS"))),FALSE),LEFT(INDIRECT(ADDRESS(12,5,,,"MATCHS")), FIND("--",INDIRECT(ADDRESS(12,5,,,"MATCHS")),1)-1),INDIRECT(ADDRESS(12,5,,,"MATCHS"))))</f>
        <v>0</v>
      </c>
      <c r="J5" s="42">
        <f ca="1">H5 - I5</f>
        <v>0</v>
      </c>
      <c r="K5" s="42">
        <v>0</v>
      </c>
      <c r="L5" s="42">
        <v>2</v>
      </c>
      <c r="M5" s="42"/>
      <c r="N5" s="87" t="str">
        <f>M5 &amp; "NO CATEGORIE"</f>
        <v>NO CATEGORIE</v>
      </c>
    </row>
    <row r="6" spans="1:14" ht="15.75" x14ac:dyDescent="0.25">
      <c r="A6" s="89"/>
      <c r="B6" s="42">
        <v>3</v>
      </c>
      <c r="C6" s="42" t="s">
        <v>44</v>
      </c>
      <c r="D6" s="42" t="str">
        <f>INSCRIPTS!C4</f>
        <v>3A</v>
      </c>
      <c r="E6" s="92">
        <f ca="1">SUM(,IF(INDIRECT(ADDRESS(4,3,,,"MATCHS"))&gt;INDIRECT(ADDRESS(4,5,,,"MATCHS")),1,0),IF(INDIRECT(ADDRESS(6,5,,,"MATCHS"))&gt;INDIRECT(ADDRESS(6,3,,,"MATCHS")),1,0),,,IF(INDIRECT(ADDRESS(12,5,,,"MATCHS"))&gt;INDIRECT(ADDRESS(12,3,,,"MATCHS")),1,0)) + 0.01 * K6</f>
        <v>0</v>
      </c>
      <c r="F6" s="42">
        <f ca="1">SUM(,IF(INDIRECT(ADDRESS(4,3,,,"MATCHS"))&lt;INDIRECT(ADDRESS(4,5,,,"MATCHS")),1,0),IF(INDIRECT(ADDRESS(6,5,,,"MATCHS"))&lt;INDIRECT(ADDRESS(6,3,,,"MATCHS")),1,0),,,IF(INDIRECT(ADDRESS(12,5,,,"MATCHS"))&lt;INDIRECT(ADDRESS(12,3,,,"MATCHS")),1,0))</f>
        <v>0</v>
      </c>
      <c r="G6" s="42"/>
      <c r="H6" s="42">
        <f ca="1">SUM(,IF(IFERROR(FIND("--",INDIRECT(ADDRESS(4,3,,,"MATCHS"))),FALSE),LEFT(INDIRECT(ADDRESS(4,3,,,"MATCHS")), FIND("--",INDIRECT(ADDRESS(4,3,,,"MATCHS")),1)-1),INDIRECT(ADDRESS(4,3,,,"MATCHS"))),IF(IFERROR(FIND("--",INDIRECT(ADDRESS(6,5,,,"MATCHS"))),FALSE),LEFT(INDIRECT(ADDRESS(6,5,,,"MATCHS")), FIND("--",INDIRECT(ADDRESS(6,5,,,"MATCHS")),1)-1),INDIRECT(ADDRESS(6,5,,,"MATCHS"))),,,IF(IFERROR(FIND("--",INDIRECT(ADDRESS(12,5,,,"MATCHS"))),FALSE),LEFT(INDIRECT(ADDRESS(12,5,,,"MATCHS")), FIND("--",INDIRECT(ADDRESS(12,5,,,"MATCHS")),1)-1),INDIRECT(ADDRESS(12,5,,,"MATCHS"))))</f>
        <v>0</v>
      </c>
      <c r="I6" s="42">
        <f ca="1">SUM(,IF(IFERROR(FIND("--",INDIRECT(ADDRESS(4,5,,,"MATCHS"))),FALSE),LEFT(INDIRECT(ADDRESS(4,5,,,"MATCHS")), FIND("--",INDIRECT(ADDRESS(4,5,,,"MATCHS")),1)-1),INDIRECT(ADDRESS(4,5,,,"MATCHS"))),IF(IFERROR(FIND("--",INDIRECT(ADDRESS(6,3,,,"MATCHS"))),FALSE),LEFT(INDIRECT(ADDRESS(6,3,,,"MATCHS")), FIND("--",INDIRECT(ADDRESS(6,3,,,"MATCHS")),1)-1),INDIRECT(ADDRESS(6,3,,,"MATCHS"))),,,IF(IFERROR(FIND("--",INDIRECT(ADDRESS(12,3,,,"MATCHS"))),FALSE),LEFT(INDIRECT(ADDRESS(12,3,,,"MATCHS")), FIND("--",INDIRECT(ADDRESS(12,3,,,"MATCHS")),1)-1),INDIRECT(ADDRESS(12,3,,,"MATCHS"))))</f>
        <v>0</v>
      </c>
      <c r="J6" s="42">
        <f ca="1">H6 - I6</f>
        <v>0</v>
      </c>
      <c r="K6" s="42">
        <v>0</v>
      </c>
      <c r="L6" s="42">
        <v>3</v>
      </c>
      <c r="M6" s="42"/>
      <c r="N6" s="87" t="str">
        <f>M6 &amp; "NO CATEGORIE"</f>
        <v>NO CATEGORIE</v>
      </c>
    </row>
    <row r="7" spans="1:14" ht="15.75" x14ac:dyDescent="0.25">
      <c r="A7" s="89"/>
      <c r="B7" s="42">
        <v>4</v>
      </c>
      <c r="C7" s="42" t="s">
        <v>55</v>
      </c>
      <c r="D7" s="42" t="str">
        <f>INSCRIPTS!C5</f>
        <v>4A</v>
      </c>
      <c r="E7" s="92">
        <f ca="1">SUM(,IF(INDIRECT(ADDRESS(4,5,,,"MATCHS"))&gt;INDIRECT(ADDRESS(4,3,,,"MATCHS")),1,0),,IF(INDIRECT(ADDRESS(8,5,,,"MATCHS"))&gt;INDIRECT(ADDRESS(8,3,,,"MATCHS")),1,0),IF(INDIRECT(ADDRESS(10,5,,,"MATCHS"))&gt;INDIRECT(ADDRESS(10,3,,,"MATCHS")),1,0),) + 0.01 * K7</f>
        <v>0</v>
      </c>
      <c r="F7" s="42">
        <f ca="1">SUM(,IF(INDIRECT(ADDRESS(4,5,,,"MATCHS"))&lt;INDIRECT(ADDRESS(4,3,,,"MATCHS")),1,0),,IF(INDIRECT(ADDRESS(8,5,,,"MATCHS"))&lt;INDIRECT(ADDRESS(8,3,,,"MATCHS")),1,0),IF(INDIRECT(ADDRESS(10,5,,,"MATCHS"))&lt;INDIRECT(ADDRESS(10,3,,,"MATCHS")),1,0),)</f>
        <v>0</v>
      </c>
      <c r="G7" s="42"/>
      <c r="H7" s="42">
        <f ca="1">SUM(,IF(IFERROR(FIND("--",INDIRECT(ADDRESS(4,5,,,"MATCHS"))),FALSE),LEFT(INDIRECT(ADDRESS(4,5,,,"MATCHS")), FIND("--",INDIRECT(ADDRESS(4,5,,,"MATCHS")),1)-1),INDIRECT(ADDRESS(4,5,,,"MATCHS"))),,IF(IFERROR(FIND("--",INDIRECT(ADDRESS(8,5,,,"MATCHS"))),FALSE),LEFT(INDIRECT(ADDRESS(8,5,,,"MATCHS")), FIND("--",INDIRECT(ADDRESS(8,5,,,"MATCHS")),1)-1),INDIRECT(ADDRESS(8,5,,,"MATCHS"))),IF(IFERROR(FIND("--",INDIRECT(ADDRESS(10,5,,,"MATCHS"))),FALSE),LEFT(INDIRECT(ADDRESS(10,5,,,"MATCHS")), FIND("--",INDIRECT(ADDRESS(10,5,,,"MATCHS")),1)-1),INDIRECT(ADDRESS(10,5,,,"MATCHS"))),)</f>
        <v>0</v>
      </c>
      <c r="I7" s="42">
        <f ca="1">SUM(,IF(IFERROR(FIND("--",INDIRECT(ADDRESS(4,3,,,"MATCHS"))),FALSE),LEFT(INDIRECT(ADDRESS(4,3,,,"MATCHS")), FIND("--",INDIRECT(ADDRESS(4,3,,,"MATCHS")),1)-1),INDIRECT(ADDRESS(4,3,,,"MATCHS"))),,IF(IFERROR(FIND("--",INDIRECT(ADDRESS(8,3,,,"MATCHS"))),FALSE),LEFT(INDIRECT(ADDRESS(8,3,,,"MATCHS")), FIND("--",INDIRECT(ADDRESS(8,3,,,"MATCHS")),1)-1),INDIRECT(ADDRESS(8,3,,,"MATCHS"))),IF(IFERROR(FIND("--",INDIRECT(ADDRESS(10,3,,,"MATCHS"))),FALSE),LEFT(INDIRECT(ADDRESS(10,3,,,"MATCHS")), FIND("--",INDIRECT(ADDRESS(10,3,,,"MATCHS")),1)-1),INDIRECT(ADDRESS(10,3,,,"MATCHS"))),)</f>
        <v>0</v>
      </c>
      <c r="J7" s="42">
        <f ca="1">H7 - I7</f>
        <v>0</v>
      </c>
      <c r="K7" s="42">
        <v>0</v>
      </c>
      <c r="L7" s="42">
        <v>4</v>
      </c>
      <c r="M7" s="42"/>
      <c r="N7" s="87" t="str">
        <f>M7 &amp; "NO CATEGORIE"</f>
        <v>NO CATEGORIE</v>
      </c>
    </row>
  </sheetData>
  <mergeCells count="1">
    <mergeCell ref="A4:A7"/>
  </mergeCells>
  <dataValidations count="2">
    <dataValidation type="whole" allowBlank="1" showErrorMessage="1" errorTitle="ATTENTION" error="NOMBRE ENTIER UNIQUEMENT_x000a_COMPRIS ENTRE --&gt; 1 ET 52" sqref="M1:M1048576" xr:uid="{E475F0AD-64FC-459F-9857-0D382B21BAAC}">
      <formula1>1</formula1>
      <formula2>52</formula2>
    </dataValidation>
    <dataValidation type="whole" operator="greaterThanOrEqual" allowBlank="1" showErrorMessage="1" errorTitle="ATTENTION" error="NOMBRE ENTIER UNIQUEMENT_x000a_MINIMUM --&gt; 0" sqref="J1:J1048576" xr:uid="{2077E86E-7572-4652-9034-6CC5AF90B6A6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ValiderOrdrePhaseFinale">
              <controlPr defaultSize="0" print="0" autoFill="0" autoPict="0" macro="[0]!listmatchph14ind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4PPClassement">
              <controlPr defaultSize="0" print="0" autoFill="0" autoPict="0" macro="[0]!'copyimage &quot;A2:J7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8E66-FC21-47D4-BC03-F91A1A81503C}">
  <sheetPr codeName="Feuil8"/>
  <dimension ref="B1:O213"/>
  <sheetViews>
    <sheetView workbookViewId="0"/>
  </sheetViews>
  <sheetFormatPr baseColWidth="10" defaultRowHeight="15" x14ac:dyDescent="0.25"/>
  <cols>
    <col min="1" max="1" width="11.42578125" style="93"/>
    <col min="2" max="2" width="4.28515625" style="98" customWidth="1"/>
    <col min="3" max="3" width="22.85546875" style="93" customWidth="1"/>
    <col min="4" max="4" width="2.85546875" style="93" customWidth="1"/>
    <col min="5" max="5" width="4.28515625" style="98" customWidth="1"/>
    <col min="6" max="6" width="22.85546875" style="93" customWidth="1"/>
    <col min="7" max="7" width="2.85546875" style="93" customWidth="1"/>
    <col min="8" max="8" width="22.85546875" style="93" customWidth="1"/>
    <col min="9" max="9" width="4.28515625" style="98" customWidth="1"/>
    <col min="10" max="10" width="2.85546875" style="93" customWidth="1"/>
    <col min="11" max="11" width="22.85546875" style="93" customWidth="1"/>
    <col min="12" max="12" width="4.28515625" style="98" customWidth="1"/>
    <col min="13" max="13" width="2.85546875" style="93" customWidth="1"/>
    <col min="14" max="14" width="22.85546875" style="93" customWidth="1"/>
    <col min="15" max="15" width="4.28515625" style="98" customWidth="1"/>
    <col min="16" max="16384" width="11.42578125" style="93"/>
  </cols>
  <sheetData>
    <row r="1" spans="2:15" x14ac:dyDescent="0.25">
      <c r="H1" s="93" t="s">
        <v>71</v>
      </c>
    </row>
    <row r="2" spans="2:15" x14ac:dyDescent="0.25">
      <c r="H2" s="93" t="s">
        <v>72</v>
      </c>
    </row>
    <row r="3" spans="2:15" ht="15.75" thickBot="1" x14ac:dyDescent="0.3">
      <c r="H3" s="93" t="s">
        <v>73</v>
      </c>
    </row>
    <row r="4" spans="2:15" x14ac:dyDescent="0.25">
      <c r="H4" s="94"/>
      <c r="I4" s="101"/>
    </row>
    <row r="5" spans="2:15" ht="15.75" thickBot="1" x14ac:dyDescent="0.3">
      <c r="F5" s="93" t="s">
        <v>73</v>
      </c>
      <c r="H5" s="96"/>
      <c r="I5" s="102"/>
      <c r="K5" s="93" t="s">
        <v>73</v>
      </c>
    </row>
    <row r="6" spans="2:15" x14ac:dyDescent="0.25">
      <c r="C6" s="93" t="s">
        <v>73</v>
      </c>
      <c r="E6" s="99"/>
      <c r="F6" s="95" t="str">
        <f>IF(OR(I4="",I5=""),"",IF(I4&lt;I5,H4,H5))</f>
        <v/>
      </c>
      <c r="K6" s="94" t="str">
        <f>IF(OR(I4="",I5=""),"",IF(I4&gt;I5,H4,H5))</f>
        <v/>
      </c>
      <c r="L6" s="101"/>
      <c r="N6" s="93" t="s">
        <v>73</v>
      </c>
    </row>
    <row r="7" spans="2:15" ht="15.75" thickBot="1" x14ac:dyDescent="0.3">
      <c r="C7" s="93" t="s">
        <v>75</v>
      </c>
      <c r="E7" s="100"/>
      <c r="F7" s="97" t="str">
        <f>IF(OR(I8="",I9=""),"",IF(I8&lt;I9,H8,H9))</f>
        <v/>
      </c>
      <c r="H7" s="93" t="s">
        <v>73</v>
      </c>
      <c r="K7" s="96" t="str">
        <f>IF(OR(I8="",I9=""),"",IF(I8&gt;I9,H8,H9))</f>
        <v/>
      </c>
      <c r="L7" s="102"/>
      <c r="N7" s="93" t="s">
        <v>74</v>
      </c>
    </row>
    <row r="8" spans="2:15" x14ac:dyDescent="0.25">
      <c r="B8" s="99"/>
      <c r="C8" s="95" t="str">
        <f>IF(OR(E6="",E7=""),"",IF(E6&gt;E7,F6,F7))</f>
        <v/>
      </c>
      <c r="H8" s="94"/>
      <c r="I8" s="101"/>
      <c r="N8" s="94" t="str">
        <f>IF(OR(L6="",L7=""),"",IF(L6&gt;L7,K6,K7))</f>
        <v/>
      </c>
      <c r="O8" s="101"/>
    </row>
    <row r="9" spans="2:15" ht="15.75" thickBot="1" x14ac:dyDescent="0.3">
      <c r="B9" s="100"/>
      <c r="C9" s="97" t="str">
        <f>IF(OR(E14="",E15=""),"",IF(E14&gt;E15,F14,F15))</f>
        <v/>
      </c>
      <c r="H9" s="96"/>
      <c r="I9" s="102"/>
      <c r="N9" s="96" t="str">
        <f>IF(OR(L14="",L15=""),"",IF(L14&gt;L15,K14,K15))</f>
        <v/>
      </c>
      <c r="O9" s="102"/>
    </row>
    <row r="12" spans="2:15" x14ac:dyDescent="0.25">
      <c r="C12" s="93" t="str">
        <f>IF(OR(E6="",E7=""),"",IF(E6&lt;E7,F6,F7))</f>
        <v/>
      </c>
      <c r="N12" s="93" t="str">
        <f>IF(OR(L6="",L7=""),"",IF(L6&lt;L7,K6,K7))</f>
        <v/>
      </c>
    </row>
    <row r="13" spans="2:15" x14ac:dyDescent="0.25">
      <c r="C13" s="93" t="str">
        <f>IF(OR(E14="",E15=""),"",IF(E14&lt;E15,F14,F15))</f>
        <v/>
      </c>
      <c r="N13" s="93" t="str">
        <f>IF(OR(L14="",L15=""),"",IF(L14&lt;L15,K14,K15))</f>
        <v/>
      </c>
    </row>
    <row r="14" spans="2:15" x14ac:dyDescent="0.25">
      <c r="F14" s="93" t="str">
        <f>IF(OR(I12="",I13=""),"",IF(I12&lt;I13,H12,H13))</f>
        <v/>
      </c>
      <c r="K14" s="93" t="str">
        <f>IF(OR(I12="",I13=""),"",IF(I12&gt;I13,H12,H13))</f>
        <v/>
      </c>
    </row>
    <row r="15" spans="2:15" x14ac:dyDescent="0.25">
      <c r="F15" s="93" t="str">
        <f>IF(OR(I16="",I17=""),"",IF(I16&lt;I17,H16,H17))</f>
        <v/>
      </c>
      <c r="K15" s="93" t="str">
        <f>IF(OR(I16="",I17=""),"",IF(I16&gt;I17,H16,H17))</f>
        <v/>
      </c>
    </row>
    <row r="23" spans="3:14" x14ac:dyDescent="0.25">
      <c r="F23" s="93" t="str">
        <f>IF(OR(I21="",I22=""),"",IF(I21&lt;I22,H21,H22))</f>
        <v/>
      </c>
      <c r="K23" s="93" t="str">
        <f>IF(OR(I21="",I22=""),"",IF(I21&gt;I22,H21,H22))</f>
        <v/>
      </c>
    </row>
    <row r="24" spans="3:14" x14ac:dyDescent="0.25">
      <c r="F24" s="93" t="str">
        <f>IF(OR(I25="",I26=""),"",IF(I25&lt;I26,H25,H26))</f>
        <v/>
      </c>
      <c r="K24" s="93" t="str">
        <f>IF(OR(I25="",I26=""),"",IF(I25&gt;I26,H25,H26))</f>
        <v/>
      </c>
    </row>
    <row r="25" spans="3:14" x14ac:dyDescent="0.25">
      <c r="C25" s="93" t="str">
        <f>IF(OR(E23="",E24=""),"",IF(E23&gt;E24,F23,F24))</f>
        <v/>
      </c>
      <c r="N25" s="93" t="str">
        <f>IF(OR(L23="",L24=""),"",IF(L23&gt;L24,K23,K24))</f>
        <v/>
      </c>
    </row>
    <row r="26" spans="3:14" x14ac:dyDescent="0.25">
      <c r="C26" s="93" t="str">
        <f>IF(OR(E31="",E32=""),"",IF(E31&gt;E32,F31,F32))</f>
        <v/>
      </c>
      <c r="N26" s="93" t="str">
        <f>IF(OR(L31="",L32=""),"",IF(L31&gt;L32,K31,K32))</f>
        <v/>
      </c>
    </row>
    <row r="29" spans="3:14" x14ac:dyDescent="0.25">
      <c r="C29" s="93" t="str">
        <f>IF(OR(E23="",E24=""),"",IF(E23&lt;E24,F23,F24))</f>
        <v/>
      </c>
      <c r="N29" s="93" t="str">
        <f>IF(OR(L23="",L24=""),"",IF(L23&lt;L24,K23,K24))</f>
        <v/>
      </c>
    </row>
    <row r="30" spans="3:14" x14ac:dyDescent="0.25">
      <c r="C30" s="93" t="str">
        <f>IF(OR(E31="",E32=""),"",IF(E31&lt;E32,F31,F32))</f>
        <v/>
      </c>
      <c r="N30" s="93" t="str">
        <f>IF(OR(L31="",L32=""),"",IF(L31&lt;L32,K31,K32))</f>
        <v/>
      </c>
    </row>
    <row r="31" spans="3:14" x14ac:dyDescent="0.25">
      <c r="F31" s="93" t="str">
        <f>IF(OR(I29="",I30=""),"",IF(I29&lt;I30,H29,H30))</f>
        <v/>
      </c>
      <c r="K31" s="93" t="str">
        <f>IF(OR(I29="",I30=""),"",IF(I29&gt;I30,H29,H30))</f>
        <v/>
      </c>
    </row>
    <row r="32" spans="3:14" x14ac:dyDescent="0.25">
      <c r="F32" s="93" t="str">
        <f>IF(OR(I33="",I34=""),"",IF(I33&lt;I34,H33,H34))</f>
        <v/>
      </c>
      <c r="K32" s="93" t="str">
        <f>IF(OR(I33="",I34=""),"",IF(I33&gt;I34,H33,H34))</f>
        <v/>
      </c>
    </row>
    <row r="40" spans="3:14" x14ac:dyDescent="0.25">
      <c r="F40" s="93" t="str">
        <f>IF(OR(I38="",I39=""),"",IF(I38&lt;I39,H38,H39))</f>
        <v/>
      </c>
      <c r="K40" s="93" t="str">
        <f>IF(OR(I38="",I39=""),"",IF(I38&gt;I39,H38,H39))</f>
        <v/>
      </c>
    </row>
    <row r="41" spans="3:14" x14ac:dyDescent="0.25">
      <c r="F41" s="93" t="str">
        <f>IF(OR(I42="",I43=""),"",IF(I42&lt;I43,H42,H43))</f>
        <v/>
      </c>
      <c r="K41" s="93" t="str">
        <f>IF(OR(I42="",I43=""),"",IF(I42&gt;I43,H42,H43))</f>
        <v/>
      </c>
    </row>
    <row r="42" spans="3:14" x14ac:dyDescent="0.25">
      <c r="C42" s="93" t="str">
        <f>IF(OR(E40="",E41=""),"",IF(E40&gt;E41,F40,F41))</f>
        <v/>
      </c>
      <c r="N42" s="93" t="str">
        <f>IF(OR(L40="",L41=""),"",IF(L40&gt;L41,K40,K41))</f>
        <v/>
      </c>
    </row>
    <row r="43" spans="3:14" x14ac:dyDescent="0.25">
      <c r="C43" s="93" t="str">
        <f>IF(OR(E48="",E49=""),"",IF(E48&gt;E49,F48,F49))</f>
        <v/>
      </c>
      <c r="N43" s="93" t="str">
        <f>IF(OR(L48="",L49=""),"",IF(L48&gt;L49,K48,K49))</f>
        <v/>
      </c>
    </row>
    <row r="46" spans="3:14" x14ac:dyDescent="0.25">
      <c r="C46" s="93" t="str">
        <f>IF(OR(E40="",E41=""),"",IF(E40&lt;E41,F40,F41))</f>
        <v/>
      </c>
      <c r="N46" s="93" t="str">
        <f>IF(OR(L40="",L41=""),"",IF(L40&lt;L41,K40,K41))</f>
        <v/>
      </c>
    </row>
    <row r="47" spans="3:14" x14ac:dyDescent="0.25">
      <c r="C47" s="93" t="str">
        <f>IF(OR(E48="",E49=""),"",IF(E48&lt;E49,F48,F49))</f>
        <v/>
      </c>
      <c r="N47" s="93" t="str">
        <f>IF(OR(L48="",L49=""),"",IF(L48&lt;L49,K48,K49))</f>
        <v/>
      </c>
    </row>
    <row r="48" spans="3:14" x14ac:dyDescent="0.25">
      <c r="F48" s="93" t="str">
        <f>IF(OR(I46="",I47=""),"",IF(I46&lt;I47,H46,H47))</f>
        <v/>
      </c>
      <c r="K48" s="93" t="str">
        <f>IF(OR(I46="",I47=""),"",IF(I46&gt;I47,H46,H47))</f>
        <v/>
      </c>
    </row>
    <row r="49" spans="3:14" x14ac:dyDescent="0.25">
      <c r="F49" s="93" t="str">
        <f>IF(OR(I50="",I51=""),"",IF(I50&lt;I51,H50,H51))</f>
        <v/>
      </c>
      <c r="K49" s="93" t="str">
        <f>IF(OR(I50="",I51=""),"",IF(I50&gt;I51,H50,H51))</f>
        <v/>
      </c>
    </row>
    <row r="57" spans="3:14" x14ac:dyDescent="0.25">
      <c r="F57" s="93" t="str">
        <f>IF(OR(I55="",I56=""),"",IF(I55&lt;I56,H55,H56))</f>
        <v/>
      </c>
      <c r="K57" s="93" t="str">
        <f>IF(OR(I55="",I56=""),"",IF(I55&gt;I56,H55,H56))</f>
        <v/>
      </c>
    </row>
    <row r="58" spans="3:14" x14ac:dyDescent="0.25">
      <c r="F58" s="93" t="str">
        <f>IF(OR(I59="",I60=""),"",IF(I59&lt;I60,H59,H60))</f>
        <v/>
      </c>
      <c r="K58" s="93" t="str">
        <f>IF(OR(I59="",I60=""),"",IF(I59&gt;I60,H59,H60))</f>
        <v/>
      </c>
    </row>
    <row r="59" spans="3:14" x14ac:dyDescent="0.25">
      <c r="C59" s="93" t="str">
        <f>IF(OR(E57="",E58=""),"",IF(E57&gt;E58,F57,F58))</f>
        <v/>
      </c>
      <c r="N59" s="93" t="str">
        <f>IF(OR(L57="",L58=""),"",IF(L57&gt;L58,K57,K58))</f>
        <v/>
      </c>
    </row>
    <row r="60" spans="3:14" x14ac:dyDescent="0.25">
      <c r="C60" s="93" t="str">
        <f>IF(OR(E65="",E66=""),"",IF(E65&gt;E66,F65,F66))</f>
        <v/>
      </c>
      <c r="N60" s="93" t="str">
        <f>IF(OR(L65="",L66=""),"",IF(L65&gt;L66,K65,K66))</f>
        <v/>
      </c>
    </row>
    <row r="63" spans="3:14" x14ac:dyDescent="0.25">
      <c r="C63" s="93" t="str">
        <f>IF(OR(E57="",E58=""),"",IF(E57&lt;E58,F57,F58))</f>
        <v/>
      </c>
      <c r="N63" s="93" t="str">
        <f>IF(OR(L57="",L58=""),"",IF(L57&lt;L58,K57,K58))</f>
        <v/>
      </c>
    </row>
    <row r="64" spans="3:14" x14ac:dyDescent="0.25">
      <c r="C64" s="93" t="str">
        <f>IF(OR(E65="",E66=""),"",IF(E65&lt;E66,F65,F66))</f>
        <v/>
      </c>
      <c r="N64" s="93" t="str">
        <f>IF(OR(L65="",L66=""),"",IF(L65&lt;L66,K65,K66))</f>
        <v/>
      </c>
    </row>
    <row r="65" spans="3:14" x14ac:dyDescent="0.25">
      <c r="F65" s="93" t="str">
        <f>IF(OR(I63="",I64=""),"",IF(I63&lt;I64,H63,H64))</f>
        <v/>
      </c>
      <c r="K65" s="93" t="str">
        <f>IF(OR(I63="",I64=""),"",IF(I63&gt;I64,H63,H64))</f>
        <v/>
      </c>
    </row>
    <row r="66" spans="3:14" x14ac:dyDescent="0.25">
      <c r="F66" s="93" t="str">
        <f>IF(OR(I67="",I68=""),"",IF(I67&lt;I68,H67,H68))</f>
        <v/>
      </c>
      <c r="K66" s="93" t="str">
        <f>IF(OR(I67="",I68=""),"",IF(I67&gt;I68,H67,H68))</f>
        <v/>
      </c>
    </row>
    <row r="74" spans="3:14" x14ac:dyDescent="0.25">
      <c r="F74" s="93" t="str">
        <f>IF(OR(I72="",I73=""),"",IF(I72&lt;I73,H72,H73))</f>
        <v/>
      </c>
      <c r="K74" s="93" t="str">
        <f>IF(OR(I72="",I73=""),"",IF(I72&gt;I73,H72,H73))</f>
        <v/>
      </c>
    </row>
    <row r="75" spans="3:14" x14ac:dyDescent="0.25">
      <c r="F75" s="93" t="str">
        <f>IF(OR(I76="",I77=""),"",IF(I76&lt;I77,H76,H77))</f>
        <v/>
      </c>
      <c r="K75" s="93" t="str">
        <f>IF(OR(I76="",I77=""),"",IF(I76&gt;I77,H76,H77))</f>
        <v/>
      </c>
    </row>
    <row r="76" spans="3:14" x14ac:dyDescent="0.25">
      <c r="C76" s="93" t="str">
        <f>IF(OR(E74="",E75=""),"",IF(E74&gt;E75,F74,F75))</f>
        <v/>
      </c>
      <c r="N76" s="93" t="str">
        <f>IF(OR(L74="",L75=""),"",IF(L74&gt;L75,K74,K75))</f>
        <v/>
      </c>
    </row>
    <row r="77" spans="3:14" x14ac:dyDescent="0.25">
      <c r="C77" s="93" t="str">
        <f>IF(OR(E82="",E83=""),"",IF(E82&gt;E83,F82,F83))</f>
        <v/>
      </c>
      <c r="N77" s="93" t="str">
        <f>IF(OR(L82="",L83=""),"",IF(L82&gt;L83,K82,K83))</f>
        <v/>
      </c>
    </row>
    <row r="80" spans="3:14" x14ac:dyDescent="0.25">
      <c r="C80" s="93" t="str">
        <f>IF(OR(E74="",E75=""),"",IF(E74&lt;E75,F74,F75))</f>
        <v/>
      </c>
      <c r="N80" s="93" t="str">
        <f>IF(OR(L74="",L75=""),"",IF(L74&lt;L75,K74,K75))</f>
        <v/>
      </c>
    </row>
    <row r="81" spans="3:14" x14ac:dyDescent="0.25">
      <c r="C81" s="93" t="str">
        <f>IF(OR(E82="",E83=""),"",IF(E82&lt;E83,F82,F83))</f>
        <v/>
      </c>
      <c r="N81" s="93" t="str">
        <f>IF(OR(L82="",L83=""),"",IF(L82&lt;L83,K82,K83))</f>
        <v/>
      </c>
    </row>
    <row r="82" spans="3:14" x14ac:dyDescent="0.25">
      <c r="F82" s="93" t="str">
        <f>IF(OR(I80="",I81=""),"",IF(I80&lt;I81,H80,H81))</f>
        <v/>
      </c>
      <c r="K82" s="93" t="str">
        <f>IF(OR(I80="",I81=""),"",IF(I80&gt;I81,H80,H81))</f>
        <v/>
      </c>
    </row>
    <row r="83" spans="3:14" x14ac:dyDescent="0.25">
      <c r="F83" s="93" t="str">
        <f>IF(OR(I84="",I85=""),"",IF(I84&lt;I85,H84,H85))</f>
        <v/>
      </c>
      <c r="K83" s="93" t="str">
        <f>IF(OR(I84="",I85=""),"",IF(I84&gt;I85,H84,H85))</f>
        <v/>
      </c>
    </row>
    <row r="91" spans="3:14" x14ac:dyDescent="0.25">
      <c r="F91" s="93" t="str">
        <f>IF(OR(I89="",I90=""),"",IF(I89&lt;I90,H89,H90))</f>
        <v/>
      </c>
      <c r="K91" s="93" t="str">
        <f>IF(OR(I89="",I90=""),"",IF(I89&gt;I90,H89,H90))</f>
        <v/>
      </c>
    </row>
    <row r="92" spans="3:14" x14ac:dyDescent="0.25">
      <c r="F92" s="93" t="str">
        <f>IF(OR(I93="",I94=""),"",IF(I93&lt;I94,H93,H94))</f>
        <v/>
      </c>
      <c r="K92" s="93" t="str">
        <f>IF(OR(I93="",I94=""),"",IF(I93&gt;I94,H93,H94))</f>
        <v/>
      </c>
    </row>
    <row r="93" spans="3:14" x14ac:dyDescent="0.25">
      <c r="C93" s="93" t="str">
        <f>IF(OR(E91="",E92=""),"",IF(E91&gt;E92,F91,F92))</f>
        <v/>
      </c>
      <c r="N93" s="93" t="str">
        <f>IF(OR(L91="",L92=""),"",IF(L91&gt;L92,K91,K92))</f>
        <v/>
      </c>
    </row>
    <row r="94" spans="3:14" x14ac:dyDescent="0.25">
      <c r="C94" s="93" t="str">
        <f>IF(OR(E99="",E100=""),"",IF(E99&gt;E100,F99,F100))</f>
        <v/>
      </c>
      <c r="N94" s="93" t="str">
        <f>IF(OR(L99="",L100=""),"",IF(L99&gt;L100,K99,K100))</f>
        <v/>
      </c>
    </row>
    <row r="97" spans="3:14" x14ac:dyDescent="0.25">
      <c r="C97" s="93" t="str">
        <f>IF(OR(E91="",E92=""),"",IF(E91&lt;E92,F91,F92))</f>
        <v/>
      </c>
      <c r="N97" s="93" t="str">
        <f>IF(OR(L91="",L92=""),"",IF(L91&lt;L92,K91,K92))</f>
        <v/>
      </c>
    </row>
    <row r="98" spans="3:14" x14ac:dyDescent="0.25">
      <c r="C98" s="93" t="str">
        <f>IF(OR(E99="",E100=""),"",IF(E99&lt;E100,F99,F100))</f>
        <v/>
      </c>
      <c r="N98" s="93" t="str">
        <f>IF(OR(L99="",L100=""),"",IF(L99&lt;L100,K99,K100))</f>
        <v/>
      </c>
    </row>
    <row r="99" spans="3:14" x14ac:dyDescent="0.25">
      <c r="F99" s="93" t="str">
        <f>IF(OR(I97="",I98=""),"",IF(I97&lt;I98,H97,H98))</f>
        <v/>
      </c>
      <c r="K99" s="93" t="str">
        <f>IF(OR(I97="",I98=""),"",IF(I97&gt;I98,H97,H98))</f>
        <v/>
      </c>
    </row>
    <row r="100" spans="3:14" x14ac:dyDescent="0.25">
      <c r="F100" s="93" t="str">
        <f>IF(OR(I101="",I102=""),"",IF(I101&lt;I102,H101,H102))</f>
        <v/>
      </c>
      <c r="K100" s="93" t="str">
        <f>IF(OR(I101="",I102=""),"",IF(I101&gt;I102,H101,H102))</f>
        <v/>
      </c>
    </row>
    <row r="108" spans="3:14" x14ac:dyDescent="0.25">
      <c r="F108" s="93" t="str">
        <f>IF(OR(I106="",I107=""),"",IF(I106&lt;I107,H106,H107))</f>
        <v/>
      </c>
      <c r="K108" s="93" t="str">
        <f>IF(OR(I106="",I107=""),"",IF(I106&gt;I107,H106,H107))</f>
        <v/>
      </c>
    </row>
    <row r="109" spans="3:14" x14ac:dyDescent="0.25">
      <c r="F109" s="93" t="str">
        <f>IF(OR(I110="",I111=""),"",IF(I110&lt;I111,H110,H111))</f>
        <v/>
      </c>
      <c r="K109" s="93" t="str">
        <f>IF(OR(I110="",I111=""),"",IF(I110&gt;I111,H110,H111))</f>
        <v/>
      </c>
    </row>
    <row r="110" spans="3:14" x14ac:dyDescent="0.25">
      <c r="C110" s="93" t="str">
        <f>IF(OR(E108="",E109=""),"",IF(E108&gt;E109,F108,F109))</f>
        <v/>
      </c>
      <c r="N110" s="93" t="str">
        <f>IF(OR(L108="",L109=""),"",IF(L108&gt;L109,K108,K109))</f>
        <v/>
      </c>
    </row>
    <row r="111" spans="3:14" x14ac:dyDescent="0.25">
      <c r="C111" s="93" t="str">
        <f>IF(OR(E116="",E117=""),"",IF(E116&gt;E117,F116,F117))</f>
        <v/>
      </c>
      <c r="N111" s="93" t="str">
        <f>IF(OR(L116="",L117=""),"",IF(L116&gt;L117,K116,K117))</f>
        <v/>
      </c>
    </row>
    <row r="114" spans="3:14" x14ac:dyDescent="0.25">
      <c r="C114" s="93" t="str">
        <f>IF(OR(E108="",E109=""),"",IF(E108&lt;E109,F108,F109))</f>
        <v/>
      </c>
      <c r="N114" s="93" t="str">
        <f>IF(OR(L108="",L109=""),"",IF(L108&lt;L109,K108,K109))</f>
        <v/>
      </c>
    </row>
    <row r="115" spans="3:14" x14ac:dyDescent="0.25">
      <c r="C115" s="93" t="str">
        <f>IF(OR(E116="",E117=""),"",IF(E116&lt;E117,F116,F117))</f>
        <v/>
      </c>
      <c r="N115" s="93" t="str">
        <f>IF(OR(L116="",L117=""),"",IF(L116&lt;L117,K116,K117))</f>
        <v/>
      </c>
    </row>
    <row r="116" spans="3:14" x14ac:dyDescent="0.25">
      <c r="F116" s="93" t="str">
        <f>IF(OR(I114="",I115=""),"",IF(I114&lt;I115,H114,H115))</f>
        <v/>
      </c>
      <c r="K116" s="93" t="str">
        <f>IF(OR(I114="",I115=""),"",IF(I114&gt;I115,H114,H115))</f>
        <v/>
      </c>
    </row>
    <row r="117" spans="3:14" x14ac:dyDescent="0.25">
      <c r="F117" s="93" t="str">
        <f>IF(OR(I118="",I119=""),"",IF(I118&lt;I119,H118,H119))</f>
        <v/>
      </c>
      <c r="K117" s="93" t="str">
        <f>IF(OR(I118="",I119=""),"",IF(I118&gt;I119,H118,H119))</f>
        <v/>
      </c>
    </row>
    <row r="125" spans="3:14" x14ac:dyDescent="0.25">
      <c r="F125" s="93" t="str">
        <f>IF(OR(I123="",I124=""),"",IF(I123&lt;I124,H123,H124))</f>
        <v/>
      </c>
      <c r="K125" s="93" t="str">
        <f>IF(OR(I123="",I124=""),"",IF(I123&gt;I124,H123,H124))</f>
        <v/>
      </c>
    </row>
    <row r="126" spans="3:14" x14ac:dyDescent="0.25">
      <c r="F126" s="93" t="str">
        <f>IF(OR(I127="",I128=""),"",IF(I127&lt;I128,H127,H128))</f>
        <v/>
      </c>
      <c r="K126" s="93" t="str">
        <f>IF(OR(I127="",I128=""),"",IF(I127&gt;I128,H127,H128))</f>
        <v/>
      </c>
    </row>
    <row r="127" spans="3:14" x14ac:dyDescent="0.25">
      <c r="C127" s="93" t="str">
        <f>IF(OR(E125="",E126=""),"",IF(E125&gt;E126,F125,F126))</f>
        <v/>
      </c>
      <c r="N127" s="93" t="str">
        <f>IF(OR(L125="",L126=""),"",IF(L125&gt;L126,K125,K126))</f>
        <v/>
      </c>
    </row>
    <row r="128" spans="3:14" x14ac:dyDescent="0.25">
      <c r="C128" s="93" t="str">
        <f>IF(OR(E133="",E134=""),"",IF(E133&gt;E134,F133,F134))</f>
        <v/>
      </c>
      <c r="N128" s="93" t="str">
        <f>IF(OR(L133="",L134=""),"",IF(L133&gt;L134,K133,K134))</f>
        <v/>
      </c>
    </row>
    <row r="131" spans="3:14" x14ac:dyDescent="0.25">
      <c r="C131" s="93" t="str">
        <f>IF(OR(E125="",E126=""),"",IF(E125&lt;E126,F125,F126))</f>
        <v/>
      </c>
      <c r="N131" s="93" t="str">
        <f>IF(OR(L125="",L126=""),"",IF(L125&lt;L126,K125,K126))</f>
        <v/>
      </c>
    </row>
    <row r="132" spans="3:14" x14ac:dyDescent="0.25">
      <c r="C132" s="93" t="str">
        <f>IF(OR(E133="",E134=""),"",IF(E133&lt;E134,F133,F134))</f>
        <v/>
      </c>
      <c r="N132" s="93" t="str">
        <f>IF(OR(L133="",L134=""),"",IF(L133&lt;L134,K133,K134))</f>
        <v/>
      </c>
    </row>
    <row r="133" spans="3:14" x14ac:dyDescent="0.25">
      <c r="F133" s="93" t="str">
        <f>IF(OR(I131="",I132=""),"",IF(I131&lt;I132,H131,H132))</f>
        <v/>
      </c>
      <c r="K133" s="93" t="str">
        <f>IF(OR(I131="",I132=""),"",IF(I131&gt;I132,H131,H132))</f>
        <v/>
      </c>
    </row>
    <row r="134" spans="3:14" x14ac:dyDescent="0.25">
      <c r="F134" s="93" t="str">
        <f>IF(OR(I135="",I136=""),"",IF(I135&lt;I136,H135,H136))</f>
        <v/>
      </c>
      <c r="K134" s="93" t="str">
        <f>IF(OR(I135="",I136=""),"",IF(I135&gt;I136,H135,H136))</f>
        <v/>
      </c>
    </row>
    <row r="142" spans="3:14" x14ac:dyDescent="0.25">
      <c r="F142" s="93" t="str">
        <f>IF(OR(I140="",I141=""),"",IF(I140&lt;I141,H140,H141))</f>
        <v/>
      </c>
      <c r="K142" s="93" t="str">
        <f>IF(OR(I140="",I141=""),"",IF(I140&gt;I141,H140,H141))</f>
        <v/>
      </c>
    </row>
    <row r="143" spans="3:14" x14ac:dyDescent="0.25">
      <c r="F143" s="93" t="str">
        <f>IF(OR(I144="",I145=""),"",IF(I144&lt;I145,H144,H145))</f>
        <v/>
      </c>
      <c r="K143" s="93" t="str">
        <f>IF(OR(I144="",I145=""),"",IF(I144&gt;I145,H144,H145))</f>
        <v/>
      </c>
    </row>
    <row r="144" spans="3:14" x14ac:dyDescent="0.25">
      <c r="C144" s="93" t="str">
        <f>IF(OR(E142="",E143=""),"",IF(E142&gt;E143,F142,F143))</f>
        <v/>
      </c>
      <c r="N144" s="93" t="str">
        <f>IF(OR(L142="",L143=""),"",IF(L142&gt;L143,K142,K143))</f>
        <v/>
      </c>
    </row>
    <row r="145" spans="3:14" x14ac:dyDescent="0.25">
      <c r="C145" s="93" t="str">
        <f>IF(OR(E150="",E151=""),"",IF(E150&gt;E151,F150,F151))</f>
        <v/>
      </c>
      <c r="N145" s="93" t="str">
        <f>IF(OR(L150="",L151=""),"",IF(L150&gt;L151,K150,K151))</f>
        <v/>
      </c>
    </row>
    <row r="148" spans="3:14" x14ac:dyDescent="0.25">
      <c r="C148" s="93" t="str">
        <f>IF(OR(E142="",E143=""),"",IF(E142&lt;E143,F142,F143))</f>
        <v/>
      </c>
      <c r="N148" s="93" t="str">
        <f>IF(OR(L142="",L143=""),"",IF(L142&lt;L143,K142,K143))</f>
        <v/>
      </c>
    </row>
    <row r="149" spans="3:14" x14ac:dyDescent="0.25">
      <c r="C149" s="93" t="str">
        <f>IF(OR(E150="",E151=""),"",IF(E150&lt;E151,F150,F151))</f>
        <v/>
      </c>
      <c r="N149" s="93" t="str">
        <f>IF(OR(L150="",L151=""),"",IF(L150&lt;L151,K150,K151))</f>
        <v/>
      </c>
    </row>
    <row r="150" spans="3:14" x14ac:dyDescent="0.25">
      <c r="F150" s="93" t="str">
        <f>IF(OR(I148="",I149=""),"",IF(I148&lt;I149,H148,H149))</f>
        <v/>
      </c>
      <c r="K150" s="93" t="str">
        <f>IF(OR(I148="",I149=""),"",IF(I148&gt;I149,H148,H149))</f>
        <v/>
      </c>
    </row>
    <row r="151" spans="3:14" x14ac:dyDescent="0.25">
      <c r="F151" s="93" t="str">
        <f>IF(OR(I152="",I153=""),"",IF(I152&lt;I153,H152,H153))</f>
        <v/>
      </c>
      <c r="K151" s="93" t="str">
        <f>IF(OR(I152="",I153=""),"",IF(I152&gt;I153,H152,H153))</f>
        <v/>
      </c>
    </row>
    <row r="159" spans="3:14" x14ac:dyDescent="0.25">
      <c r="F159" s="93" t="str">
        <f>IF(OR(I157="",I158=""),"",IF(I157&lt;I158,H157,H158))</f>
        <v/>
      </c>
      <c r="K159" s="93" t="str">
        <f>IF(OR(I157="",I158=""),"",IF(I157&gt;I158,H157,H158))</f>
        <v/>
      </c>
    </row>
    <row r="160" spans="3:14" x14ac:dyDescent="0.25">
      <c r="F160" s="93" t="str">
        <f>IF(OR(I161="",I162=""),"",IF(I161&lt;I162,H161,H162))</f>
        <v/>
      </c>
      <c r="K160" s="93" t="str">
        <f>IF(OR(I161="",I162=""),"",IF(I161&gt;I162,H161,H162))</f>
        <v/>
      </c>
    </row>
    <row r="161" spans="3:14" x14ac:dyDescent="0.25">
      <c r="C161" s="93" t="str">
        <f>IF(OR(E159="",E160=""),"",IF(E159&gt;E160,F159,F160))</f>
        <v/>
      </c>
      <c r="N161" s="93" t="str">
        <f>IF(OR(L159="",L160=""),"",IF(L159&gt;L160,K159,K160))</f>
        <v/>
      </c>
    </row>
    <row r="162" spans="3:14" x14ac:dyDescent="0.25">
      <c r="C162" s="93" t="str">
        <f>IF(OR(E167="",E168=""),"",IF(E167&gt;E168,F167,F168))</f>
        <v/>
      </c>
      <c r="N162" s="93" t="str">
        <f>IF(OR(L167="",L168=""),"",IF(L167&gt;L168,K167,K168))</f>
        <v/>
      </c>
    </row>
    <row r="165" spans="3:14" x14ac:dyDescent="0.25">
      <c r="C165" s="93" t="str">
        <f>IF(OR(E159="",E160=""),"",IF(E159&lt;E160,F159,F160))</f>
        <v/>
      </c>
      <c r="N165" s="93" t="str">
        <f>IF(OR(L159="",L160=""),"",IF(L159&lt;L160,K159,K160))</f>
        <v/>
      </c>
    </row>
    <row r="166" spans="3:14" x14ac:dyDescent="0.25">
      <c r="C166" s="93" t="str">
        <f>IF(OR(E167="",E168=""),"",IF(E167&lt;E168,F167,F168))</f>
        <v/>
      </c>
      <c r="N166" s="93" t="str">
        <f>IF(OR(L167="",L168=""),"",IF(L167&lt;L168,K167,K168))</f>
        <v/>
      </c>
    </row>
    <row r="167" spans="3:14" x14ac:dyDescent="0.25">
      <c r="F167" s="93" t="str">
        <f>IF(OR(I165="",I166=""),"",IF(I165&lt;I166,H165,H166))</f>
        <v/>
      </c>
      <c r="K167" s="93" t="str">
        <f>IF(OR(I165="",I166=""),"",IF(I165&gt;I166,H165,H166))</f>
        <v/>
      </c>
    </row>
    <row r="168" spans="3:14" x14ac:dyDescent="0.25">
      <c r="F168" s="93" t="str">
        <f>IF(OR(I169="",I170=""),"",IF(I169&lt;I170,H169,H170))</f>
        <v/>
      </c>
      <c r="K168" s="93" t="str">
        <f>IF(OR(I169="",I170=""),"",IF(I169&gt;I170,H169,H170))</f>
        <v/>
      </c>
    </row>
    <row r="176" spans="3:14" x14ac:dyDescent="0.25">
      <c r="F176" s="93" t="str">
        <f>IF(OR(I174="",I175=""),"",IF(I174&lt;I175,H174,H175))</f>
        <v/>
      </c>
      <c r="K176" s="93" t="str">
        <f>IF(OR(I174="",I175=""),"",IF(I174&gt;I175,H174,H175))</f>
        <v/>
      </c>
    </row>
    <row r="177" spans="3:14" x14ac:dyDescent="0.25">
      <c r="F177" s="93" t="str">
        <f>IF(OR(I178="",I179=""),"",IF(I178&lt;I179,H178,H179))</f>
        <v/>
      </c>
      <c r="K177" s="93" t="str">
        <f>IF(OR(I178="",I179=""),"",IF(I178&gt;I179,H178,H179))</f>
        <v/>
      </c>
    </row>
    <row r="178" spans="3:14" x14ac:dyDescent="0.25">
      <c r="C178" s="93" t="str">
        <f>IF(OR(E176="",E177=""),"",IF(E176&gt;E177,F176,F177))</f>
        <v/>
      </c>
      <c r="N178" s="93" t="str">
        <f>IF(OR(L176="",L177=""),"",IF(L176&gt;L177,K176,K177))</f>
        <v/>
      </c>
    </row>
    <row r="179" spans="3:14" x14ac:dyDescent="0.25">
      <c r="C179" s="93" t="str">
        <f>IF(OR(E184="",E185=""),"",IF(E184&gt;E185,F184,F185))</f>
        <v/>
      </c>
      <c r="N179" s="93" t="str">
        <f>IF(OR(L184="",L185=""),"",IF(L184&gt;L185,K184,K185))</f>
        <v/>
      </c>
    </row>
    <row r="182" spans="3:14" x14ac:dyDescent="0.25">
      <c r="C182" s="93" t="str">
        <f>IF(OR(E176="",E177=""),"",IF(E176&lt;E177,F176,F177))</f>
        <v/>
      </c>
      <c r="N182" s="93" t="str">
        <f>IF(OR(L176="",L177=""),"",IF(L176&lt;L177,K176,K177))</f>
        <v/>
      </c>
    </row>
    <row r="183" spans="3:14" x14ac:dyDescent="0.25">
      <c r="C183" s="93" t="str">
        <f>IF(OR(E184="",E185=""),"",IF(E184&lt;E185,F184,F185))</f>
        <v/>
      </c>
      <c r="N183" s="93" t="str">
        <f>IF(OR(L184="",L185=""),"",IF(L184&lt;L185,K184,K185))</f>
        <v/>
      </c>
    </row>
    <row r="184" spans="3:14" x14ac:dyDescent="0.25">
      <c r="F184" s="93" t="str">
        <f>IF(OR(I182="",I183=""),"",IF(I182&lt;I183,H182,H183))</f>
        <v/>
      </c>
      <c r="K184" s="93" t="str">
        <f>IF(OR(I182="",I183=""),"",IF(I182&gt;I183,H182,H183))</f>
        <v/>
      </c>
    </row>
    <row r="185" spans="3:14" x14ac:dyDescent="0.25">
      <c r="F185" s="93" t="str">
        <f>IF(OR(I186="",I187=""),"",IF(I186&lt;I187,H186,H187))</f>
        <v/>
      </c>
      <c r="K185" s="93" t="str">
        <f>IF(OR(I186="",I187=""),"",IF(I186&gt;I187,H186,H187))</f>
        <v/>
      </c>
    </row>
    <row r="193" spans="3:14" x14ac:dyDescent="0.25">
      <c r="F193" s="93" t="str">
        <f>IF(OR(I191="",I192=""),"",IF(I191&lt;I192,H191,H192))</f>
        <v/>
      </c>
      <c r="K193" s="93" t="str">
        <f>IF(OR(I191="",I192=""),"",IF(I191&gt;I192,H191,H192))</f>
        <v/>
      </c>
    </row>
    <row r="194" spans="3:14" x14ac:dyDescent="0.25">
      <c r="F194" s="93" t="str">
        <f>IF(OR(I195="",I196=""),"",IF(I195&lt;I196,H195,H196))</f>
        <v/>
      </c>
      <c r="K194" s="93" t="str">
        <f>IF(OR(I195="",I196=""),"",IF(I195&gt;I196,H195,H196))</f>
        <v/>
      </c>
    </row>
    <row r="195" spans="3:14" x14ac:dyDescent="0.25">
      <c r="C195" s="93" t="str">
        <f>IF(OR(E193="",E194=""),"",IF(E193&gt;E194,F193,F194))</f>
        <v/>
      </c>
      <c r="N195" s="93" t="str">
        <f>IF(OR(L193="",L194=""),"",IF(L193&gt;L194,K193,K194))</f>
        <v/>
      </c>
    </row>
    <row r="196" spans="3:14" x14ac:dyDescent="0.25">
      <c r="C196" s="93" t="str">
        <f>IF(OR(E201="",E202=""),"",IF(E201&gt;E202,F201,F202))</f>
        <v/>
      </c>
      <c r="N196" s="93" t="str">
        <f>IF(OR(L201="",L202=""),"",IF(L201&gt;L202,K201,K202))</f>
        <v/>
      </c>
    </row>
    <row r="199" spans="3:14" x14ac:dyDescent="0.25">
      <c r="C199" s="93" t="str">
        <f>IF(OR(E193="",E194=""),"",IF(E193&lt;E194,F193,F194))</f>
        <v/>
      </c>
      <c r="N199" s="93" t="str">
        <f>IF(OR(L193="",L194=""),"",IF(L193&lt;L194,K193,K194))</f>
        <v/>
      </c>
    </row>
    <row r="200" spans="3:14" x14ac:dyDescent="0.25">
      <c r="C200" s="93" t="str">
        <f>IF(OR(E201="",E202=""),"",IF(E201&lt;E202,F201,F202))</f>
        <v/>
      </c>
      <c r="N200" s="93" t="str">
        <f>IF(OR(L201="",L202=""),"",IF(L201&lt;L202,K201,K202))</f>
        <v/>
      </c>
    </row>
    <row r="201" spans="3:14" x14ac:dyDescent="0.25">
      <c r="F201" s="93" t="str">
        <f>IF(OR(I199="",I200=""),"",IF(I199&lt;I200,H199,H200))</f>
        <v/>
      </c>
      <c r="K201" s="93" t="str">
        <f>IF(OR(I199="",I200=""),"",IF(I199&gt;I200,H199,H200))</f>
        <v/>
      </c>
    </row>
    <row r="202" spans="3:14" x14ac:dyDescent="0.25">
      <c r="F202" s="93" t="str">
        <f>IF(OR(I203="",I204=""),"",IF(I203&lt;I204,H203,H204))</f>
        <v/>
      </c>
      <c r="K202" s="93" t="str">
        <f>IF(OR(I203="",I204=""),"",IF(I203&gt;I204,H203,H204))</f>
        <v/>
      </c>
    </row>
    <row r="210" spans="3:14" x14ac:dyDescent="0.25">
      <c r="F210" s="93" t="str">
        <f>IF(OR(I208="",I209=""),"",IF(I208&lt;I209,H208,H209))</f>
        <v/>
      </c>
      <c r="K210" s="93" t="str">
        <f>IF(OR(I208="",I209=""),"",IF(I208&gt;I209,H208,H209))</f>
        <v/>
      </c>
    </row>
    <row r="211" spans="3:14" x14ac:dyDescent="0.25">
      <c r="F211" s="93" t="str">
        <f>IF(OR(I212="",I213=""),"",IF(I212&lt;I213,H212,H213))</f>
        <v/>
      </c>
      <c r="K211" s="93" t="str">
        <f>IF(OR(I212="",I213=""),"",IF(I212&gt;I213,H212,H213))</f>
        <v/>
      </c>
    </row>
    <row r="212" spans="3:14" x14ac:dyDescent="0.25">
      <c r="C212" s="93" t="str">
        <f>IF(OR(E210="",E211=""),"",IF(E210&gt;E211,F210,F211))</f>
        <v/>
      </c>
      <c r="N212" s="93" t="str">
        <f>IF(OR(L210="",L211=""),"",IF(L210&gt;L211,K210,K211))</f>
        <v/>
      </c>
    </row>
    <row r="213" spans="3:14" x14ac:dyDescent="0.25">
      <c r="C213" s="93" t="str">
        <f>IF(OR(E210="",E211=""),"",IF(E210&lt;E211,F210,F211))</f>
        <v/>
      </c>
      <c r="N213" s="93" t="str">
        <f>IF(OR(L210="",L211=""),"",IF(L210&lt;L211,K210,K211))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2472F00C-A6CF-4CF4-B778-7798CC38E4C9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4PPph14">
              <controlPr defaultSize="0" print="0" autoFill="0" autoPict="0" macro="[0]!'copyimage &quot;B2:O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A6F36-5279-45EE-8B1F-2F693360DE17}">
  <sheetPr codeName="Feuil9"/>
  <dimension ref="A1:G77"/>
  <sheetViews>
    <sheetView tabSelected="1" topLeftCell="B1" workbookViewId="0">
      <selection activeCell="F12" sqref="F12"/>
    </sheetView>
  </sheetViews>
  <sheetFormatPr baseColWidth="10" defaultRowHeight="15" x14ac:dyDescent="0.25"/>
  <cols>
    <col min="1" max="1" width="0" style="40" hidden="1" customWidth="1"/>
    <col min="2" max="2" width="43.5703125" style="40" customWidth="1"/>
    <col min="3" max="3" width="6" style="87" customWidth="1"/>
    <col min="4" max="4" width="16.7109375" style="40" customWidth="1"/>
    <col min="5" max="5" width="6" style="87" customWidth="1"/>
    <col min="6" max="6" width="43.5703125" style="40" customWidth="1"/>
    <col min="7" max="7" width="6" style="40" hidden="1" customWidth="1"/>
    <col min="8" max="16384" width="11.42578125" style="40"/>
  </cols>
  <sheetData>
    <row r="1" spans="1:7" x14ac:dyDescent="0.25">
      <c r="A1" s="81"/>
      <c r="B1" s="81"/>
      <c r="C1" s="85"/>
      <c r="D1" s="82">
        <v>0.33333333333333331</v>
      </c>
      <c r="E1" s="85"/>
      <c r="F1" s="81"/>
      <c r="G1" s="81"/>
    </row>
    <row r="2" spans="1:7" x14ac:dyDescent="0.25">
      <c r="A2" s="84"/>
      <c r="B2" s="84" t="e">
        <f>PHASE_FINAL_NO [1]CATEGORIE!H4</f>
        <v>#NAME?</v>
      </c>
      <c r="C2" s="86" t="e">
        <f>IF(PHASE_FINAL_NO [1]CATEGORIE!I4&lt;&gt;"",PHASE_FINAL_NO [1]CATEGORIE!I4,"")</f>
        <v>#NAME?</v>
      </c>
      <c r="D2" s="83" t="s">
        <v>61</v>
      </c>
      <c r="E2" s="86" t="e">
        <f>IF(PHASE_FINAL_NO [1]CATEGORIE!I5&lt;&gt;"",PHASE_FINAL_NO [1]CATEGORIE!I5,"")</f>
        <v>#NAME?</v>
      </c>
      <c r="F2" s="84" t="e">
        <f>PHASE_FINAL_NO [1]CATEGORIE!H5</f>
        <v>#NAME?</v>
      </c>
      <c r="G2" s="84"/>
    </row>
    <row r="3" spans="1:7" x14ac:dyDescent="0.25">
      <c r="A3" s="81"/>
      <c r="B3" s="81"/>
      <c r="C3" s="85"/>
      <c r="D3" s="82">
        <f>0.333333333333333 + "00:15:00"</f>
        <v>0.34374999999999967</v>
      </c>
      <c r="E3" s="85"/>
      <c r="F3" s="81"/>
      <c r="G3" s="81"/>
    </row>
    <row r="4" spans="1:7" x14ac:dyDescent="0.25">
      <c r="A4" s="84"/>
      <c r="B4" s="84" t="e">
        <f>PHASE_FINAL_NO [1]CATEGORIE!H8</f>
        <v>#NAME?</v>
      </c>
      <c r="C4" s="86" t="e">
        <f>IF(PHASE_FINAL_NO [1]CATEGORIE!I8&lt;&gt;"",PHASE_FINAL_NO [1]CATEGORIE!I8,"")</f>
        <v>#NAME?</v>
      </c>
      <c r="D4" s="83" t="s">
        <v>61</v>
      </c>
      <c r="E4" s="86" t="e">
        <f>IF(PHASE_FINAL_NO [1]CATEGORIE!I9&lt;&gt;"",PHASE_FINAL_NO [1]CATEGORIE!I9,"")</f>
        <v>#NAME?</v>
      </c>
      <c r="F4" s="84" t="e">
        <f>PHASE_FINAL_NO [1]CATEGORIE!H9</f>
        <v>#NAME?</v>
      </c>
      <c r="G4" s="84"/>
    </row>
    <row r="5" spans="1:7" x14ac:dyDescent="0.25">
      <c r="A5" s="81"/>
      <c r="B5" s="81"/>
      <c r="C5" s="85"/>
      <c r="D5" s="82">
        <f>0.34375 + "00:15:00"</f>
        <v>0.35416666666666669</v>
      </c>
      <c r="E5" s="85"/>
      <c r="F5" s="81"/>
      <c r="G5" s="81"/>
    </row>
    <row r="6" spans="1:7" x14ac:dyDescent="0.25">
      <c r="A6" s="103"/>
      <c r="B6" s="103" t="e">
        <f>PHASE_FINAL_NO [1]CATEGORIE!K6</f>
        <v>#NAME?</v>
      </c>
      <c r="C6" s="86" t="e">
        <f>IF(PHASE_FINAL_NO [1]CATEGORIE!L6&lt;&gt;"",PHASE_FINAL_NO [1]CATEGORIE!L6,"")</f>
        <v>#NAME?</v>
      </c>
      <c r="D6" s="83" t="s">
        <v>61</v>
      </c>
      <c r="E6" s="86" t="e">
        <f>IF(PHASE_FINAL_NO [1]CATEGORIE!L7&lt;&gt;"",PHASE_FINAL_NO [1]CATEGORIE!L7,"")</f>
        <v>#NAME?</v>
      </c>
      <c r="F6" s="103" t="e">
        <f>PHASE_FINAL_NO [1]CATEGORIE!K7</f>
        <v>#NAME?</v>
      </c>
      <c r="G6" s="103"/>
    </row>
    <row r="7" spans="1:7" x14ac:dyDescent="0.25">
      <c r="A7" s="81"/>
      <c r="B7" s="81"/>
      <c r="C7" s="85"/>
      <c r="D7" s="82">
        <f>0.354166666666667 + "00:15:00"</f>
        <v>0.3645833333333337</v>
      </c>
      <c r="E7" s="85"/>
      <c r="F7" s="81"/>
      <c r="G7" s="81"/>
    </row>
    <row r="8" spans="1:7" x14ac:dyDescent="0.25">
      <c r="A8" s="103"/>
      <c r="B8" s="103" t="e">
        <f>PHASE_FINAL_NO [1]CATEGORIE!F6</f>
        <v>#NAME?</v>
      </c>
      <c r="C8" s="86" t="e">
        <f>IF(PHASE_FINAL_NO [1]CATEGORIE!E6&lt;&gt;"",PHASE_FINAL_NO [1]CATEGORIE!E6,"")</f>
        <v>#NAME?</v>
      </c>
      <c r="D8" s="83" t="s">
        <v>61</v>
      </c>
      <c r="E8" s="86" t="e">
        <f>IF(PHASE_FINAL_NO [1]CATEGORIE!E7&lt;&gt;"",PHASE_FINAL_NO [1]CATEGORIE!E7,"")</f>
        <v>#NAME?</v>
      </c>
      <c r="F8" s="103" t="e">
        <f>PHASE_FINAL_NO [1]CATEGORIE!F7</f>
        <v>#NAME?</v>
      </c>
      <c r="G8" s="103"/>
    </row>
    <row r="9" spans="1:7" x14ac:dyDescent="0.25">
      <c r="A9" s="81"/>
      <c r="B9" s="81"/>
      <c r="C9" s="85"/>
      <c r="D9" s="82">
        <f>0.364583333333334 + "00:15:00"</f>
        <v>0.37500000000000067</v>
      </c>
      <c r="E9" s="85"/>
      <c r="F9" s="81"/>
      <c r="G9" s="81"/>
    </row>
    <row r="10" spans="1:7" x14ac:dyDescent="0.25">
      <c r="A10" s="104"/>
      <c r="B10" s="104" t="e">
        <f>PHASE_FINAL_NO [1]CATEGORIE!N8</f>
        <v>#NAME?</v>
      </c>
      <c r="C10" s="86" t="e">
        <f>IF(PHASE_FINAL_NO [1]CATEGORIE!O8&lt;&gt;"",PHASE_FINAL_NO [1]CATEGORIE!O8,"")</f>
        <v>#NAME?</v>
      </c>
      <c r="D10" s="83" t="s">
        <v>61</v>
      </c>
      <c r="E10" s="86" t="e">
        <f>IF(PHASE_FINAL_NO [1]CATEGORIE!O9&lt;&gt;"",PHASE_FINAL_NO [1]CATEGORIE!O9,"")</f>
        <v>#NAME?</v>
      </c>
      <c r="F10" s="104" t="e">
        <f>PHASE_FINAL_NO [1]CATEGORIE!N9</f>
        <v>#NAME?</v>
      </c>
      <c r="G10" s="104"/>
    </row>
    <row r="11" spans="1:7" x14ac:dyDescent="0.25">
      <c r="A11" s="81"/>
      <c r="B11" s="81"/>
      <c r="C11" s="85"/>
      <c r="D11" s="82">
        <f>0.375000000000001 + "00:15:00"</f>
        <v>0.38541666666666768</v>
      </c>
      <c r="E11" s="85"/>
      <c r="F11" s="81"/>
      <c r="G11" s="81"/>
    </row>
    <row r="12" spans="1:7" x14ac:dyDescent="0.25">
      <c r="A12" s="104"/>
      <c r="B12" s="104" t="e">
        <f>PHASE_FINAL_NO [1]CATEGORIE!C8</f>
        <v>#NAME?</v>
      </c>
      <c r="C12" s="86" t="e">
        <f>IF(PHASE_FINAL_NO [1]CATEGORIE!B8&lt;&gt;"",PHASE_FINAL_NO [1]CATEGORIE!B8,"")</f>
        <v>#NAME?</v>
      </c>
      <c r="D12" s="83" t="s">
        <v>61</v>
      </c>
      <c r="E12" s="86" t="e">
        <f>IF(PHASE_FINAL_NO [1]CATEGORIE!B9&lt;&gt;"",PHASE_FINAL_NO [1]CATEGORIE!B9,"")</f>
        <v>#NAME?</v>
      </c>
      <c r="F12" s="104" t="e">
        <f>PHASE_FINAL_NO [1]CATEGORIE!C9</f>
        <v>#NAME?</v>
      </c>
      <c r="G12" s="104"/>
    </row>
    <row r="13" spans="1:7" x14ac:dyDescent="0.25">
      <c r="A13" s="81"/>
      <c r="B13" s="81"/>
      <c r="C13" s="85"/>
      <c r="D13" s="82">
        <f>0.385416666666668 + "00:15:00"</f>
        <v>0.3958333333333347</v>
      </c>
      <c r="E13" s="85"/>
      <c r="F13" s="81"/>
      <c r="G13" s="81"/>
    </row>
    <row r="15" spans="1:7" x14ac:dyDescent="0.25">
      <c r="D15" s="40">
        <f>0.395833333333335 + "00:15:00"</f>
        <v>0.40625000000000167</v>
      </c>
    </row>
    <row r="17" spans="4:4" x14ac:dyDescent="0.25">
      <c r="D17" s="40">
        <f>0.406250000000002 + "00:15:00"</f>
        <v>0.41666666666666868</v>
      </c>
    </row>
    <row r="19" spans="4:4" x14ac:dyDescent="0.25">
      <c r="D19" s="40">
        <f>0.416666666666669 + "00:15:00"</f>
        <v>0.4270833333333357</v>
      </c>
    </row>
    <row r="21" spans="4:4" x14ac:dyDescent="0.25">
      <c r="D21" s="40">
        <f>0.427083333333336 + "00:15:00"</f>
        <v>0.43750000000000266</v>
      </c>
    </row>
    <row r="23" spans="4:4" x14ac:dyDescent="0.25">
      <c r="D23" s="40">
        <f>0.437500000000003 + "00:15:00"</f>
        <v>0.44791666666666968</v>
      </c>
    </row>
    <row r="25" spans="4:4" x14ac:dyDescent="0.25">
      <c r="D25" s="40">
        <f>0.44791666666667 + "00:15:00"</f>
        <v>0.4583333333333367</v>
      </c>
    </row>
    <row r="27" spans="4:4" x14ac:dyDescent="0.25">
      <c r="D27" s="40">
        <f>0.458333333333337 + "00:15:00"</f>
        <v>0.46875000000000366</v>
      </c>
    </row>
    <row r="29" spans="4:4" x14ac:dyDescent="0.25">
      <c r="D29" s="40">
        <f>0.468750000000004 + "00:15:00"</f>
        <v>0.47916666666667068</v>
      </c>
    </row>
    <row r="31" spans="4:4" x14ac:dyDescent="0.25">
      <c r="D31" s="40">
        <f>0.479166666666671 + "00:15:00"</f>
        <v>0.4895833333333377</v>
      </c>
    </row>
    <row r="33" spans="4:4" x14ac:dyDescent="0.25">
      <c r="D33" s="40">
        <f>0.489583333333338 + "00:15:00"</f>
        <v>0.50000000000000466</v>
      </c>
    </row>
    <row r="35" spans="4:4" x14ac:dyDescent="0.25">
      <c r="D35" s="40">
        <f>0.500000000000005 + "00:15:00"</f>
        <v>0.51041666666667163</v>
      </c>
    </row>
    <row r="37" spans="4:4" x14ac:dyDescent="0.25">
      <c r="D37" s="40">
        <f>0.510416666666672 + "00:15:00"</f>
        <v>0.52083333333333859</v>
      </c>
    </row>
    <row r="39" spans="4:4" x14ac:dyDescent="0.25">
      <c r="D39" s="40">
        <f>0.520833333333339 + "00:15:00"</f>
        <v>0.53125000000000566</v>
      </c>
    </row>
    <row r="41" spans="4:4" x14ac:dyDescent="0.25">
      <c r="D41" s="40">
        <f>0.531250000000006 + "00:15:00"</f>
        <v>0.54166666666667262</v>
      </c>
    </row>
    <row r="43" spans="4:4" x14ac:dyDescent="0.25">
      <c r="D43" s="40">
        <f>0.541666666666673 + "00:15:00"</f>
        <v>0.55208333333333959</v>
      </c>
    </row>
    <row r="45" spans="4:4" x14ac:dyDescent="0.25">
      <c r="D45" s="40">
        <f>0.55208333333334 + "00:15:00"</f>
        <v>0.56250000000000666</v>
      </c>
    </row>
    <row r="47" spans="4:4" x14ac:dyDescent="0.25">
      <c r="D47" s="40">
        <f>0.562500000000007 + "00:15:00"</f>
        <v>0.57291666666667362</v>
      </c>
    </row>
    <row r="49" spans="4:4" x14ac:dyDescent="0.25">
      <c r="D49" s="40">
        <f>0.572916666666674 + "00:15:00"</f>
        <v>0.58333333333334059</v>
      </c>
    </row>
    <row r="51" spans="4:4" x14ac:dyDescent="0.25">
      <c r="D51" s="40">
        <f>0.583333333333341 + "00:15:00"</f>
        <v>0.59375000000000766</v>
      </c>
    </row>
    <row r="53" spans="4:4" x14ac:dyDescent="0.25">
      <c r="D53" s="40">
        <f>0.593750000000008 + "00:15:00"</f>
        <v>0.60416666666667462</v>
      </c>
    </row>
    <row r="55" spans="4:4" x14ac:dyDescent="0.25">
      <c r="D55" s="40">
        <f>0.604166666666675 + "00:15:00"</f>
        <v>0.61458333333334159</v>
      </c>
    </row>
    <row r="57" spans="4:4" x14ac:dyDescent="0.25">
      <c r="D57" s="40">
        <f>0.614583333333342 + "00:15:00"</f>
        <v>0.62500000000000866</v>
      </c>
    </row>
    <row r="59" spans="4:4" x14ac:dyDescent="0.25">
      <c r="D59" s="40">
        <f>0.625000000000009 + "00:15:00"</f>
        <v>0.63541666666667562</v>
      </c>
    </row>
    <row r="61" spans="4:4" x14ac:dyDescent="0.25">
      <c r="D61" s="40">
        <f>0.635416666666676 + "00:15:00"</f>
        <v>0.64583333333334259</v>
      </c>
    </row>
    <row r="63" spans="4:4" x14ac:dyDescent="0.25">
      <c r="D63" s="40">
        <f>0.645833333333343 + "00:15:00"</f>
        <v>0.65625000000000966</v>
      </c>
    </row>
    <row r="65" spans="4:4" x14ac:dyDescent="0.25">
      <c r="D65" s="40">
        <f>0.65625000000001 + "00:15:00"</f>
        <v>0.66666666666667662</v>
      </c>
    </row>
    <row r="67" spans="4:4" x14ac:dyDescent="0.25">
      <c r="D67" s="40">
        <f>0.666666666666677 + "00:15:00"</f>
        <v>0.67708333333334358</v>
      </c>
    </row>
    <row r="69" spans="4:4" x14ac:dyDescent="0.25">
      <c r="D69" s="40">
        <f>0.677083333333344 + "00:15:00"</f>
        <v>0.68750000000001066</v>
      </c>
    </row>
    <row r="71" spans="4:4" x14ac:dyDescent="0.25">
      <c r="D71" s="40">
        <f>0.687500000000011 + "00:15:00"</f>
        <v>0.69791666666667762</v>
      </c>
    </row>
    <row r="73" spans="4:4" x14ac:dyDescent="0.25">
      <c r="D73" s="40">
        <f>0.697916666666678 + "00:15:00"</f>
        <v>0.70833333333334458</v>
      </c>
    </row>
    <row r="75" spans="4:4" x14ac:dyDescent="0.25">
      <c r="D75" s="40">
        <f>0.708333333333345 + "00:15:00"</f>
        <v>0.71875000000001166</v>
      </c>
    </row>
    <row r="77" spans="4:4" x14ac:dyDescent="0.25">
      <c r="D77" s="40">
        <f>0.718750000000012 + "00:15:00"</f>
        <v>0.72916666666667862</v>
      </c>
    </row>
  </sheetData>
  <conditionalFormatting sqref="C2">
    <cfRule type="expression" dxfId="23" priority="24">
      <formula>$C2&gt;$E2</formula>
    </cfRule>
    <cfRule type="expression" dxfId="22" priority="23">
      <formula>$C2&lt;$E2</formula>
    </cfRule>
  </conditionalFormatting>
  <conditionalFormatting sqref="E2">
    <cfRule type="expression" dxfId="21" priority="22">
      <formula>$C2&lt;$E2</formula>
    </cfRule>
    <cfRule type="expression" dxfId="20" priority="21">
      <formula>$C2&gt;$E2</formula>
    </cfRule>
  </conditionalFormatting>
  <conditionalFormatting sqref="C4">
    <cfRule type="expression" dxfId="19" priority="20">
      <formula>$C4&gt;$E4</formula>
    </cfRule>
    <cfRule type="expression" dxfId="18" priority="19">
      <formula>$C4&lt;$E4</formula>
    </cfRule>
  </conditionalFormatting>
  <conditionalFormatting sqref="E4">
    <cfRule type="expression" dxfId="17" priority="18">
      <formula>$C4&lt;$E4</formula>
    </cfRule>
    <cfRule type="expression" dxfId="16" priority="17">
      <formula>$C4&gt;$E4</formula>
    </cfRule>
  </conditionalFormatting>
  <conditionalFormatting sqref="C6">
    <cfRule type="expression" dxfId="15" priority="16">
      <formula>$C6&gt;$E6</formula>
    </cfRule>
    <cfRule type="expression" dxfId="14" priority="15">
      <formula>$C6&lt;$E6</formula>
    </cfRule>
  </conditionalFormatting>
  <conditionalFormatting sqref="E6">
    <cfRule type="expression" dxfId="13" priority="14">
      <formula>$C6&lt;$E6</formula>
    </cfRule>
    <cfRule type="expression" dxfId="12" priority="13">
      <formula>$C6&gt;$E6</formula>
    </cfRule>
  </conditionalFormatting>
  <conditionalFormatting sqref="C8">
    <cfRule type="expression" dxfId="11" priority="12">
      <formula>$C8&gt;$E8</formula>
    </cfRule>
    <cfRule type="expression" dxfId="10" priority="11">
      <formula>$C8&lt;$E8</formula>
    </cfRule>
  </conditionalFormatting>
  <conditionalFormatting sqref="E8">
    <cfRule type="expression" dxfId="9" priority="10">
      <formula>$C8&lt;$E8</formula>
    </cfRule>
    <cfRule type="expression" dxfId="8" priority="9">
      <formula>$C8&gt;$E8</formula>
    </cfRule>
  </conditionalFormatting>
  <conditionalFormatting sqref="C10">
    <cfRule type="expression" dxfId="7" priority="8">
      <formula>$C10&gt;$E10</formula>
    </cfRule>
    <cfRule type="expression" dxfId="6" priority="7">
      <formula>$C10&lt;$E10</formula>
    </cfRule>
  </conditionalFormatting>
  <conditionalFormatting sqref="E10">
    <cfRule type="expression" dxfId="5" priority="6">
      <formula>$C10&lt;$E10</formula>
    </cfRule>
    <cfRule type="expression" dxfId="4" priority="5">
      <formula>$C10&gt;$E10</formula>
    </cfRule>
  </conditionalFormatting>
  <conditionalFormatting sqref="C12">
    <cfRule type="expression" dxfId="3" priority="4">
      <formula>$C12&gt;$E12</formula>
    </cfRule>
    <cfRule type="expression" dxfId="2" priority="3">
      <formula>$C12&lt;$E12</formula>
    </cfRule>
  </conditionalFormatting>
  <conditionalFormatting sqref="E12">
    <cfRule type="expression" dxfId="1" priority="2">
      <formula>$C12&lt;$E12</formula>
    </cfRule>
    <cfRule type="expression" dxfId="0" priority="1">
      <formula>$C12&gt;$E12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418518F7-7EA2-4331-B6AA-9C111FE1DEF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4PPMatchph">
              <controlPr defaultSize="0" print="0" autoFill="0" autoPict="0" macro="[0]!'copyimage &quot;A2:F12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787F-3561-4292-AF2D-921806FE05CA}">
  <sheetPr codeName="Feuil10"/>
  <dimension ref="A2:L14"/>
  <sheetViews>
    <sheetView workbookViewId="0"/>
  </sheetViews>
  <sheetFormatPr baseColWidth="10" defaultRowHeight="15" x14ac:dyDescent="0.25"/>
  <cols>
    <col min="1" max="1" width="30.7109375" style="93" customWidth="1"/>
    <col min="2" max="2" width="6.7109375" style="93" customWidth="1"/>
    <col min="3" max="16384" width="11.42578125" style="93"/>
  </cols>
  <sheetData>
    <row r="2" spans="1:12" ht="15.75" thickBot="1" x14ac:dyDescent="0.3">
      <c r="A2" s="93" t="s">
        <v>76</v>
      </c>
    </row>
    <row r="3" spans="1:12" x14ac:dyDescent="0.25">
      <c r="A3" s="94" t="e">
        <f>IF(OR(PHASE_FINAL_NO [1]CATEGORIE!O8="",PHASE_FINAL_NO [1]CATEGORIE!O9=""),"",IF(PHASE_FINAL_NO [1]CATEGORIE!O8&gt;PHASE_FINAL_NO [1]CATEGORIE!O9,PHASE_FINAL_NO [1]CATEGORIE!N8,PHASE_FINAL_NO [1]CATEGORIE!N9))</f>
        <v>#NAME?</v>
      </c>
      <c r="B3" s="95">
        <v>1</v>
      </c>
    </row>
    <row r="4" spans="1:12" x14ac:dyDescent="0.25">
      <c r="A4" s="105" t="e">
        <f>IF(OR(PHASE_FINAL_NO [1]CATEGORIE!O8="",PHASE_FINAL_NO [1]CATEGORIE!O9=""),"",IF(PHASE_FINAL_NO [1]CATEGORIE!O8&lt;PHASE_FINAL_NO [1]CATEGORIE!O9,PHASE_FINAL_NO [1]CATEGORIE!N8,PHASE_FINAL_NO [1]CATEGORIE!N9))</f>
        <v>#NAME?</v>
      </c>
      <c r="B4" s="106">
        <v>2</v>
      </c>
    </row>
    <row r="5" spans="1:12" x14ac:dyDescent="0.25">
      <c r="A5" s="105" t="e">
        <f>IF(OR(PHASE_FINAL_NO [1]CATEGORIE!O12="",PHASE_FINAL_NO [1]CATEGORIE!O13=""),"",IF(PHASE_FINAL_NO [1]CATEGORIE!O12&gt;PHASE_FINAL_NO [1]CATEGORIE!O13,PHASE_FINAL_NO [1]CATEGORIE!N12,PHASE_FINAL_NO [1]CATEGORIE!N13))</f>
        <v>#NAME?</v>
      </c>
      <c r="B5" s="106">
        <v>3</v>
      </c>
    </row>
    <row r="6" spans="1:12" ht="15.75" thickBot="1" x14ac:dyDescent="0.3">
      <c r="A6" s="96" t="e">
        <f>IF(OR(PHASE_FINAL_NO [1]CATEGORIE!O12="",PHASE_FINAL_NO [1]CATEGORIE!O13=""),"",IF(PHASE_FINAL_NO [1]CATEGORIE!O12&lt;PHASE_FINAL_NO [1]CATEGORIE!O13,PHASE_FINAL_NO [1]CATEGORIE!N12,PHASE_FINAL_NO [1]CATEGORIE!N13))</f>
        <v>#NAME?</v>
      </c>
      <c r="B6" s="97">
        <v>4</v>
      </c>
    </row>
    <row r="7" spans="1:12" x14ac:dyDescent="0.25">
      <c r="A7" s="93" t="e">
        <f>IF(OR(PHASE_FINAL_NO [1]CATEGORIE!B8="",PHASE_FINAL_NO [1]CATEGORIE!B9=""),"",IF(PHASE_FINAL_NO [1]CATEGORIE!B8&gt;PHASE_FINAL_NO [1]CATEGORIE!B9,PHASE_FINAL_NO [1]CATEGORIE!C8,PHASE_FINAL_NO [1]CATEGORIE!C9))</f>
        <v>#NAME?</v>
      </c>
      <c r="D7" s="107"/>
      <c r="E7" s="107"/>
      <c r="F7" s="107"/>
      <c r="G7" s="116" t="e">
        <f>A3</f>
        <v>#NAME?</v>
      </c>
      <c r="H7" s="116"/>
      <c r="I7" s="116"/>
      <c r="J7" s="107"/>
      <c r="K7" s="107"/>
      <c r="L7" s="107"/>
    </row>
    <row r="8" spans="1:12" x14ac:dyDescent="0.25">
      <c r="A8" s="93" t="e">
        <f>IF(OR(PHASE_FINAL_NO [1]CATEGORIE!B8="",PHASE_FINAL_NO [1]CATEGORIE!B9=""),"",IF(PHASE_FINAL_NO [1]CATEGORIE!B8&lt;PHASE_FINAL_NO [1]CATEGORIE!B9,PHASE_FINAL_NO [1]CATEGORIE!C8,PHASE_FINAL_NO [1]CATEGORIE!C9))</f>
        <v>#NAME?</v>
      </c>
      <c r="D8" s="116" t="e">
        <f>A4</f>
        <v>#NAME?</v>
      </c>
      <c r="E8" s="116"/>
      <c r="F8" s="116"/>
      <c r="G8" s="117"/>
      <c r="H8" s="117"/>
      <c r="I8" s="117"/>
      <c r="J8" s="107"/>
      <c r="K8" s="107"/>
      <c r="L8" s="107"/>
    </row>
    <row r="9" spans="1:12" x14ac:dyDescent="0.25">
      <c r="A9" s="93" t="e">
        <f>IF(OR(PHASE_FINAL_NO [1]CATEGORIE!B12="",PHASE_FINAL_NO [1]CATEGORIE!B13=""),"",IF(PHASE_FINAL_NO [1]CATEGORIE!B12&gt;PHASE_FINAL_NO [1]CATEGORIE!B13,PHASE_FINAL_NO [1]CATEGORIE!C12,PHASE_FINAL_NO [1]CATEGORIE!C13))</f>
        <v>#NAME?</v>
      </c>
      <c r="D9" s="117"/>
      <c r="E9" s="117"/>
      <c r="F9" s="117"/>
      <c r="G9" s="110"/>
      <c r="H9" s="108"/>
      <c r="I9" s="108"/>
      <c r="J9" s="118" t="e">
        <f>A5</f>
        <v>#NAME?</v>
      </c>
      <c r="K9" s="116"/>
      <c r="L9" s="116"/>
    </row>
    <row r="10" spans="1:12" x14ac:dyDescent="0.25">
      <c r="A10" s="93" t="e">
        <f>IF(OR(PHASE_FINAL_NO [1]CATEGORIE!B12="",PHASE_FINAL_NO [1]CATEGORIE!B13=""),"",IF(PHASE_FINAL_NO [1]CATEGORIE!B12&lt;PHASE_FINAL_NO [1]CATEGORIE!B13,PHASE_FINAL_NO [1]CATEGORIE!C12,PHASE_FINAL_NO [1]CATEGORIE!C13))</f>
        <v>#NAME?</v>
      </c>
      <c r="D10" s="108"/>
      <c r="E10" s="108"/>
      <c r="F10" s="108"/>
      <c r="G10" s="108"/>
      <c r="H10" s="111">
        <v>1</v>
      </c>
      <c r="I10" s="108"/>
      <c r="J10" s="119"/>
      <c r="K10" s="117"/>
      <c r="L10" s="117"/>
    </row>
    <row r="11" spans="1:12" x14ac:dyDescent="0.25">
      <c r="A11" s="93" t="e">
        <f>IF(OR(PHASE_FINAL_NO [1]CATEGORIE!O25="",PHASE_FINAL_NO [1]CATEGORIE!O26=""),"",IF(PHASE_FINAL_NO [1]CATEGORIE!O25&gt;PHASE_FINAL_NO [1]CATEGORIE!O26,PHASE_FINAL_NO [1]CATEGORIE!N25,PHASE_FINAL_NO [1]CATEGORIE!N26))</f>
        <v>#NAME?</v>
      </c>
      <c r="D11" s="108"/>
      <c r="E11" s="112">
        <v>2</v>
      </c>
      <c r="F11" s="108"/>
      <c r="G11" s="108"/>
      <c r="H11" s="111"/>
      <c r="I11" s="108"/>
      <c r="J11" s="108"/>
      <c r="K11" s="114">
        <v>3</v>
      </c>
      <c r="L11" s="108"/>
    </row>
    <row r="12" spans="1:12" x14ac:dyDescent="0.25">
      <c r="A12" s="93" t="e">
        <f>IF(OR(PHASE_FINAL_NO [1]CATEGORIE!O25="",PHASE_FINAL_NO [1]CATEGORIE!O26=""),"",IF(PHASE_FINAL_NO [1]CATEGORIE!O25&lt;PHASE_FINAL_NO [1]CATEGORIE!O26,PHASE_FINAL_NO [1]CATEGORIE!N25,PHASE_FINAL_NO [1]CATEGORIE!N26))</f>
        <v>#NAME?</v>
      </c>
      <c r="D12" s="109"/>
      <c r="E12" s="113"/>
      <c r="F12" s="109"/>
      <c r="G12" s="109"/>
      <c r="H12" s="109"/>
      <c r="I12" s="109"/>
      <c r="J12" s="109"/>
      <c r="K12" s="115"/>
      <c r="L12" s="109"/>
    </row>
    <row r="13" spans="1:12" x14ac:dyDescent="0.25">
      <c r="A13" s="93" t="e">
        <f>IF(OR(PHASE_FINAL_NO [1]CATEGORIE!O29="",PHASE_FINAL_NO [1]CATEGORIE!O30=""),"",IF(PHASE_FINAL_NO [1]CATEGORIE!O29&gt;PHASE_FINAL_NO [1]CATEGORIE!O30,PHASE_FINAL_NO [1]CATEGORIE!N29,PHASE_FINAL_NO [1]CATEGORIE!N30))</f>
        <v>#NAME?</v>
      </c>
    </row>
    <row r="14" spans="1:12" x14ac:dyDescent="0.25">
      <c r="A14" s="93" t="e">
        <f>IF(OR(PHASE_FINAL_NO [1]CATEGORIE!O29="",PHASE_FINAL_NO [1]CATEGORIE!O30=""),"",IF(PHASE_FINAL_NO [1]CATEGORIE!O29&lt;PHASE_FINAL_NO [1]CATEGORIE!O30,PHASE_FINAL_NO [1]CATEGORIE!N29,PHASE_FINAL_NO [1]CATEGORIE!N30))</f>
        <v>#NAME?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4PPphfinalh">
              <controlPr defaultSize="0" print="0" autoFill="0" autoPict="0" macro="[0]!'copyimage &quot;A2:L6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Parametres</vt:lpstr>
      <vt:lpstr>NOTES</vt:lpstr>
      <vt:lpstr>OMPN</vt:lpstr>
      <vt:lpstr>INSCRIPTS</vt:lpstr>
      <vt:lpstr>MATCHS</vt:lpstr>
      <vt:lpstr>CLASSEMENTS</vt:lpstr>
      <vt:lpstr>PHASE_FINAL_NO CATEGORIE</vt:lpstr>
      <vt:lpstr>FINAL_MATCHS</vt:lpstr>
      <vt:lpstr>PLACE_FINAL_NO CATEGORIE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2023-01-10T18:40:28Z</dcterms:modified>
</cp:coreProperties>
</file>