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drawings/drawing13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B535DEAF-EA89-48A2-8197-7E7D99B4D681}" xr6:coauthVersionLast="47" xr6:coauthVersionMax="47" xr10:uidLastSave="{00000000-0000-0000-0000-000000000000}"/>
  <bookViews>
    <workbookView xWindow="-28920" yWindow="-120" windowWidth="29040" windowHeight="16440" firstSheet="2" activeTab="11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  <sheet name="INSCRIPTS" sheetId="199" r:id="rId6"/>
    <sheet name="MATCHS" sheetId="200" r:id="rId7"/>
    <sheet name="CLASSEMENTS" sheetId="201" r:id="rId8"/>
    <sheet name="PHASE_FINAL_DM" sheetId="202" r:id="rId9"/>
    <sheet name="PHASE_FINAL_DH" sheetId="203" r:id="rId10"/>
    <sheet name="PHASE_FINAL_SH" sheetId="204" r:id="rId11"/>
    <sheet name="FINAL_MATCHS" sheetId="205" r:id="rId12"/>
    <sheet name="PLACE_FINAL_DM" sheetId="206" r:id="rId13"/>
    <sheet name="PLACE_FINAL_DH" sheetId="207" r:id="rId14"/>
    <sheet name="PLACE_FINAL_SH" sheetId="208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208" l="1"/>
  <c r="A26" i="208"/>
  <c r="A25" i="208"/>
  <c r="A24" i="208"/>
  <c r="A23" i="208"/>
  <c r="A22" i="208"/>
  <c r="A21" i="208"/>
  <c r="A20" i="208"/>
  <c r="A19" i="208"/>
  <c r="A18" i="208"/>
  <c r="A17" i="208"/>
  <c r="A16" i="208"/>
  <c r="A15" i="208"/>
  <c r="A14" i="208"/>
  <c r="A13" i="208"/>
  <c r="A12" i="208"/>
  <c r="A11" i="208"/>
  <c r="A10" i="208"/>
  <c r="A9" i="208"/>
  <c r="A8" i="208"/>
  <c r="A7" i="208"/>
  <c r="A6" i="208"/>
  <c r="A5" i="208"/>
  <c r="A4" i="208"/>
  <c r="A3" i="208"/>
  <c r="A27" i="207"/>
  <c r="A26" i="207"/>
  <c r="A25" i="207"/>
  <c r="A24" i="207"/>
  <c r="A23" i="207"/>
  <c r="A22" i="207"/>
  <c r="A21" i="207"/>
  <c r="A20" i="207"/>
  <c r="A19" i="207"/>
  <c r="A18" i="207"/>
  <c r="A17" i="207"/>
  <c r="A16" i="207"/>
  <c r="A15" i="207"/>
  <c r="A14" i="207"/>
  <c r="A13" i="207"/>
  <c r="A12" i="207"/>
  <c r="A11" i="207"/>
  <c r="A10" i="207"/>
  <c r="A9" i="207"/>
  <c r="A8" i="207"/>
  <c r="A7" i="207"/>
  <c r="A6" i="207"/>
  <c r="A5" i="207"/>
  <c r="J9" i="207" s="1"/>
  <c r="A4" i="207"/>
  <c r="D8" i="207" s="1"/>
  <c r="A3" i="207"/>
  <c r="G7" i="207" s="1"/>
  <c r="A42" i="206"/>
  <c r="A41" i="206"/>
  <c r="A40" i="206"/>
  <c r="A39" i="206"/>
  <c r="A38" i="206"/>
  <c r="A37" i="206"/>
  <c r="A36" i="206"/>
  <c r="A35" i="206"/>
  <c r="A27" i="206"/>
  <c r="A26" i="206"/>
  <c r="A25" i="206"/>
  <c r="A24" i="206"/>
  <c r="A23" i="206"/>
  <c r="A22" i="206"/>
  <c r="A21" i="206"/>
  <c r="A20" i="206"/>
  <c r="A19" i="206"/>
  <c r="A18" i="206"/>
  <c r="A17" i="206"/>
  <c r="A16" i="206"/>
  <c r="A15" i="206"/>
  <c r="A14" i="206"/>
  <c r="A13" i="206"/>
  <c r="A12" i="206"/>
  <c r="A11" i="206"/>
  <c r="A10" i="206"/>
  <c r="A9" i="206"/>
  <c r="A8" i="206"/>
  <c r="A7" i="206"/>
  <c r="A6" i="206"/>
  <c r="A5" i="206"/>
  <c r="J9" i="206" s="1"/>
  <c r="A4" i="206"/>
  <c r="A3" i="206"/>
  <c r="J9" i="208"/>
  <c r="D8" i="208"/>
  <c r="G7" i="208"/>
  <c r="D8" i="206"/>
  <c r="G7" i="206"/>
  <c r="D349" i="205"/>
  <c r="D337" i="205"/>
  <c r="D325" i="205"/>
  <c r="D313" i="205"/>
  <c r="D301" i="205"/>
  <c r="D289" i="205"/>
  <c r="D277" i="205"/>
  <c r="D265" i="205"/>
  <c r="D253" i="205"/>
  <c r="D241" i="205"/>
  <c r="D229" i="205"/>
  <c r="D217" i="205"/>
  <c r="D205" i="205"/>
  <c r="D193" i="205"/>
  <c r="D181" i="205"/>
  <c r="D169" i="205"/>
  <c r="D157" i="205"/>
  <c r="D145" i="205"/>
  <c r="D133" i="205"/>
  <c r="D121" i="205"/>
  <c r="D109" i="205"/>
  <c r="D97" i="205"/>
  <c r="D85" i="205"/>
  <c r="D73" i="205"/>
  <c r="D61" i="205"/>
  <c r="D49" i="205"/>
  <c r="D37" i="205"/>
  <c r="D25" i="205"/>
  <c r="D13" i="205"/>
  <c r="D1" i="205"/>
  <c r="E118" i="205"/>
  <c r="C118" i="205"/>
  <c r="F118" i="205"/>
  <c r="B118" i="205"/>
  <c r="E117" i="205"/>
  <c r="C117" i="205"/>
  <c r="F117" i="205"/>
  <c r="B117" i="205"/>
  <c r="E116" i="205"/>
  <c r="C116" i="205"/>
  <c r="F116" i="205"/>
  <c r="B116" i="205"/>
  <c r="E115" i="205"/>
  <c r="C115" i="205"/>
  <c r="F115" i="205"/>
  <c r="B115" i="205"/>
  <c r="E114" i="205"/>
  <c r="C114" i="205"/>
  <c r="F114" i="205"/>
  <c r="B114" i="205"/>
  <c r="E113" i="205"/>
  <c r="C113" i="205"/>
  <c r="F113" i="205"/>
  <c r="B113" i="205"/>
  <c r="E112" i="205"/>
  <c r="C112" i="205"/>
  <c r="F112" i="205"/>
  <c r="B112" i="205"/>
  <c r="E111" i="205"/>
  <c r="C111" i="205"/>
  <c r="F111" i="205"/>
  <c r="B111" i="205"/>
  <c r="E110" i="205"/>
  <c r="C110" i="205"/>
  <c r="F110" i="205"/>
  <c r="B110" i="205"/>
  <c r="E108" i="205"/>
  <c r="C108" i="205"/>
  <c r="F108" i="205"/>
  <c r="B108" i="205"/>
  <c r="E107" i="205"/>
  <c r="C107" i="205"/>
  <c r="F107" i="205"/>
  <c r="B107" i="205"/>
  <c r="E106" i="205"/>
  <c r="C106" i="205"/>
  <c r="F106" i="205"/>
  <c r="B106" i="205"/>
  <c r="E105" i="205"/>
  <c r="C105" i="205"/>
  <c r="F105" i="205"/>
  <c r="B105" i="205"/>
  <c r="E104" i="205"/>
  <c r="C104" i="205"/>
  <c r="F104" i="205"/>
  <c r="B104" i="205"/>
  <c r="E103" i="205"/>
  <c r="C103" i="205"/>
  <c r="F103" i="205"/>
  <c r="B103" i="205"/>
  <c r="E102" i="205"/>
  <c r="C102" i="205"/>
  <c r="F102" i="205"/>
  <c r="B102" i="205"/>
  <c r="E101" i="205"/>
  <c r="C101" i="205"/>
  <c r="F101" i="205"/>
  <c r="B101" i="205"/>
  <c r="E100" i="205"/>
  <c r="C100" i="205"/>
  <c r="F100" i="205"/>
  <c r="B100" i="205"/>
  <c r="E99" i="205"/>
  <c r="C99" i="205"/>
  <c r="F99" i="205"/>
  <c r="B99" i="205"/>
  <c r="E98" i="205"/>
  <c r="C98" i="205"/>
  <c r="F98" i="205"/>
  <c r="B98" i="205"/>
  <c r="E96" i="205"/>
  <c r="C96" i="205"/>
  <c r="F96" i="205"/>
  <c r="B96" i="205"/>
  <c r="E95" i="205"/>
  <c r="C95" i="205"/>
  <c r="F95" i="205"/>
  <c r="B95" i="205"/>
  <c r="E94" i="205"/>
  <c r="C94" i="205"/>
  <c r="F94" i="205"/>
  <c r="B94" i="205"/>
  <c r="E93" i="205"/>
  <c r="C93" i="205"/>
  <c r="F93" i="205"/>
  <c r="B93" i="205"/>
  <c r="E92" i="205"/>
  <c r="C92" i="205"/>
  <c r="F92" i="205"/>
  <c r="B92" i="205"/>
  <c r="E91" i="205"/>
  <c r="C91" i="205"/>
  <c r="F91" i="205"/>
  <c r="B91" i="205"/>
  <c r="E90" i="205"/>
  <c r="C90" i="205"/>
  <c r="F90" i="205"/>
  <c r="B90" i="205"/>
  <c r="E89" i="205"/>
  <c r="C89" i="205"/>
  <c r="F89" i="205"/>
  <c r="B89" i="205"/>
  <c r="E88" i="205"/>
  <c r="C88" i="205"/>
  <c r="F88" i="205"/>
  <c r="B88" i="205"/>
  <c r="E87" i="205"/>
  <c r="C87" i="205"/>
  <c r="F87" i="205"/>
  <c r="B87" i="205"/>
  <c r="E86" i="205"/>
  <c r="C86" i="205"/>
  <c r="F86" i="205"/>
  <c r="B86" i="205"/>
  <c r="E84" i="205"/>
  <c r="C84" i="205"/>
  <c r="F84" i="205"/>
  <c r="B84" i="205"/>
  <c r="E83" i="205"/>
  <c r="C83" i="205"/>
  <c r="F83" i="205"/>
  <c r="B83" i="205"/>
  <c r="E82" i="205"/>
  <c r="C82" i="205"/>
  <c r="F82" i="205"/>
  <c r="B82" i="205"/>
  <c r="E81" i="205"/>
  <c r="C81" i="205"/>
  <c r="F81" i="205"/>
  <c r="B81" i="205"/>
  <c r="E80" i="205"/>
  <c r="C80" i="205"/>
  <c r="F80" i="205"/>
  <c r="B80" i="205"/>
  <c r="E79" i="205"/>
  <c r="C79" i="205"/>
  <c r="F79" i="205"/>
  <c r="B79" i="205"/>
  <c r="E78" i="205"/>
  <c r="C78" i="205"/>
  <c r="F78" i="205"/>
  <c r="B78" i="205"/>
  <c r="E77" i="205"/>
  <c r="C77" i="205"/>
  <c r="F77" i="205"/>
  <c r="B77" i="205"/>
  <c r="E76" i="205"/>
  <c r="C76" i="205"/>
  <c r="F76" i="205"/>
  <c r="B76" i="205"/>
  <c r="E75" i="205"/>
  <c r="C75" i="205"/>
  <c r="F75" i="205"/>
  <c r="B75" i="205"/>
  <c r="E74" i="205"/>
  <c r="C74" i="205"/>
  <c r="F74" i="205"/>
  <c r="B74" i="205"/>
  <c r="E72" i="205"/>
  <c r="C72" i="205"/>
  <c r="F72" i="205"/>
  <c r="B72" i="205"/>
  <c r="E71" i="205"/>
  <c r="C71" i="205"/>
  <c r="F71" i="205"/>
  <c r="B71" i="205"/>
  <c r="E70" i="205"/>
  <c r="C70" i="205"/>
  <c r="F70" i="205"/>
  <c r="B70" i="205"/>
  <c r="E69" i="205"/>
  <c r="C69" i="205"/>
  <c r="F69" i="205"/>
  <c r="B69" i="205"/>
  <c r="E68" i="205"/>
  <c r="C68" i="205"/>
  <c r="F68" i="205"/>
  <c r="B68" i="205"/>
  <c r="E67" i="205"/>
  <c r="C67" i="205"/>
  <c r="F67" i="205"/>
  <c r="B67" i="205"/>
  <c r="E66" i="205"/>
  <c r="C66" i="205"/>
  <c r="F66" i="205"/>
  <c r="B66" i="205"/>
  <c r="E65" i="205"/>
  <c r="C65" i="205"/>
  <c r="F65" i="205"/>
  <c r="B65" i="205"/>
  <c r="E64" i="205"/>
  <c r="C64" i="205"/>
  <c r="F64" i="205"/>
  <c r="B64" i="205"/>
  <c r="E63" i="205"/>
  <c r="C63" i="205"/>
  <c r="F63" i="205"/>
  <c r="B63" i="205"/>
  <c r="E62" i="205"/>
  <c r="C62" i="205"/>
  <c r="F62" i="205"/>
  <c r="B62" i="205"/>
  <c r="E60" i="205"/>
  <c r="C60" i="205"/>
  <c r="F60" i="205"/>
  <c r="B60" i="205"/>
  <c r="E59" i="205"/>
  <c r="C59" i="205"/>
  <c r="F59" i="205"/>
  <c r="B59" i="205"/>
  <c r="E58" i="205"/>
  <c r="C58" i="205"/>
  <c r="F58" i="205"/>
  <c r="B58" i="205"/>
  <c r="E57" i="205"/>
  <c r="C57" i="205"/>
  <c r="F57" i="205"/>
  <c r="B57" i="205"/>
  <c r="E56" i="205"/>
  <c r="C56" i="205"/>
  <c r="F56" i="205"/>
  <c r="B56" i="205"/>
  <c r="E55" i="205"/>
  <c r="C55" i="205"/>
  <c r="F55" i="205"/>
  <c r="B55" i="205"/>
  <c r="E54" i="205"/>
  <c r="C54" i="205"/>
  <c r="F54" i="205"/>
  <c r="B54" i="205"/>
  <c r="E53" i="205"/>
  <c r="C53" i="205"/>
  <c r="F53" i="205"/>
  <c r="B53" i="205"/>
  <c r="E52" i="205"/>
  <c r="C52" i="205"/>
  <c r="F52" i="205"/>
  <c r="B52" i="205"/>
  <c r="E51" i="205"/>
  <c r="C51" i="205"/>
  <c r="F51" i="205"/>
  <c r="B51" i="205"/>
  <c r="E50" i="205"/>
  <c r="C50" i="205"/>
  <c r="F50" i="205"/>
  <c r="B50" i="205"/>
  <c r="E48" i="205"/>
  <c r="C48" i="205"/>
  <c r="F48" i="205"/>
  <c r="B48" i="205"/>
  <c r="E47" i="205"/>
  <c r="C47" i="205"/>
  <c r="F47" i="205"/>
  <c r="B47" i="205"/>
  <c r="E46" i="205"/>
  <c r="C46" i="205"/>
  <c r="F46" i="205"/>
  <c r="B46" i="205"/>
  <c r="E45" i="205"/>
  <c r="C45" i="205"/>
  <c r="F45" i="205"/>
  <c r="B45" i="205"/>
  <c r="E44" i="205"/>
  <c r="C44" i="205"/>
  <c r="F44" i="205"/>
  <c r="B44" i="205"/>
  <c r="E43" i="205"/>
  <c r="C43" i="205"/>
  <c r="F43" i="205"/>
  <c r="B43" i="205"/>
  <c r="E42" i="205"/>
  <c r="C42" i="205"/>
  <c r="F42" i="205"/>
  <c r="B42" i="205"/>
  <c r="E41" i="205"/>
  <c r="C41" i="205"/>
  <c r="F41" i="205"/>
  <c r="B41" i="205"/>
  <c r="E40" i="205"/>
  <c r="C40" i="205"/>
  <c r="F40" i="205"/>
  <c r="B40" i="205"/>
  <c r="E39" i="205"/>
  <c r="C39" i="205"/>
  <c r="F39" i="205"/>
  <c r="B39" i="205"/>
  <c r="E38" i="205"/>
  <c r="C38" i="205"/>
  <c r="F38" i="205"/>
  <c r="B38" i="205"/>
  <c r="E36" i="205"/>
  <c r="C36" i="205"/>
  <c r="F36" i="205"/>
  <c r="B36" i="205"/>
  <c r="E35" i="205"/>
  <c r="C35" i="205"/>
  <c r="F35" i="205"/>
  <c r="B35" i="205"/>
  <c r="E34" i="205"/>
  <c r="C34" i="205"/>
  <c r="F34" i="205"/>
  <c r="B34" i="205"/>
  <c r="E33" i="205"/>
  <c r="C33" i="205"/>
  <c r="F33" i="205"/>
  <c r="B33" i="205"/>
  <c r="E32" i="205"/>
  <c r="C32" i="205"/>
  <c r="F32" i="205"/>
  <c r="B32" i="205"/>
  <c r="E31" i="205"/>
  <c r="C31" i="205"/>
  <c r="F31" i="205"/>
  <c r="B31" i="205"/>
  <c r="E30" i="205"/>
  <c r="C30" i="205"/>
  <c r="F30" i="205"/>
  <c r="B30" i="205"/>
  <c r="E29" i="205"/>
  <c r="C29" i="205"/>
  <c r="F29" i="205"/>
  <c r="B29" i="205"/>
  <c r="E28" i="205"/>
  <c r="C28" i="205"/>
  <c r="F28" i="205"/>
  <c r="B28" i="205"/>
  <c r="E27" i="205"/>
  <c r="C27" i="205"/>
  <c r="F27" i="205"/>
  <c r="B27" i="205"/>
  <c r="E26" i="205"/>
  <c r="C26" i="205"/>
  <c r="F26" i="205"/>
  <c r="B26" i="205"/>
  <c r="E24" i="205"/>
  <c r="C24" i="205"/>
  <c r="F24" i="205"/>
  <c r="B24" i="205"/>
  <c r="E23" i="205"/>
  <c r="C23" i="205"/>
  <c r="F23" i="205"/>
  <c r="B23" i="205"/>
  <c r="E22" i="205"/>
  <c r="C22" i="205"/>
  <c r="F22" i="205"/>
  <c r="B22" i="205"/>
  <c r="E21" i="205"/>
  <c r="C21" i="205"/>
  <c r="F21" i="205"/>
  <c r="B21" i="205"/>
  <c r="E20" i="205"/>
  <c r="C20" i="205"/>
  <c r="F20" i="205"/>
  <c r="B20" i="205"/>
  <c r="E19" i="205"/>
  <c r="C19" i="205"/>
  <c r="F19" i="205"/>
  <c r="B19" i="205"/>
  <c r="E18" i="205"/>
  <c r="C18" i="205"/>
  <c r="F18" i="205"/>
  <c r="B18" i="205"/>
  <c r="E17" i="205"/>
  <c r="C17" i="205"/>
  <c r="F17" i="205"/>
  <c r="B17" i="205"/>
  <c r="E16" i="205"/>
  <c r="C16" i="205"/>
  <c r="F16" i="205"/>
  <c r="B16" i="205"/>
  <c r="E15" i="205"/>
  <c r="C15" i="205"/>
  <c r="F15" i="205"/>
  <c r="B15" i="205"/>
  <c r="E14" i="205"/>
  <c r="C14" i="205"/>
  <c r="F14" i="205"/>
  <c r="B14" i="205"/>
  <c r="E12" i="205"/>
  <c r="C12" i="205"/>
  <c r="F12" i="205"/>
  <c r="B12" i="205"/>
  <c r="E11" i="205"/>
  <c r="C11" i="205"/>
  <c r="F11" i="205"/>
  <c r="B11" i="205"/>
  <c r="E10" i="205"/>
  <c r="C10" i="205"/>
  <c r="F10" i="205"/>
  <c r="B10" i="205"/>
  <c r="E9" i="205"/>
  <c r="C9" i="205"/>
  <c r="F9" i="205"/>
  <c r="B9" i="205"/>
  <c r="E8" i="205"/>
  <c r="C8" i="205"/>
  <c r="F8" i="205"/>
  <c r="B8" i="205"/>
  <c r="E7" i="205"/>
  <c r="C7" i="205"/>
  <c r="F7" i="205"/>
  <c r="B7" i="205"/>
  <c r="E6" i="205"/>
  <c r="C6" i="205"/>
  <c r="F6" i="205"/>
  <c r="B6" i="205"/>
  <c r="E5" i="205"/>
  <c r="C5" i="205"/>
  <c r="F5" i="205"/>
  <c r="B5" i="205"/>
  <c r="E4" i="205"/>
  <c r="C4" i="205"/>
  <c r="F4" i="205"/>
  <c r="B4" i="205"/>
  <c r="E3" i="205"/>
  <c r="C3" i="205"/>
  <c r="F3" i="205"/>
  <c r="B3" i="205"/>
  <c r="E2" i="205"/>
  <c r="C2" i="205"/>
  <c r="F2" i="205"/>
  <c r="B2" i="205"/>
  <c r="C166" i="204"/>
  <c r="C165" i="204"/>
  <c r="C162" i="204"/>
  <c r="C161" i="204"/>
  <c r="F168" i="204"/>
  <c r="F167" i="204"/>
  <c r="F160" i="204"/>
  <c r="F159" i="204"/>
  <c r="K168" i="204"/>
  <c r="K167" i="204"/>
  <c r="K160" i="204"/>
  <c r="K159" i="204"/>
  <c r="N166" i="204"/>
  <c r="N165" i="204"/>
  <c r="N162" i="204"/>
  <c r="N161" i="204"/>
  <c r="C149" i="204"/>
  <c r="C148" i="204"/>
  <c r="C145" i="204"/>
  <c r="C144" i="204"/>
  <c r="F151" i="204"/>
  <c r="F150" i="204"/>
  <c r="F143" i="204"/>
  <c r="F142" i="204"/>
  <c r="K151" i="204"/>
  <c r="K150" i="204"/>
  <c r="K143" i="204"/>
  <c r="K142" i="204"/>
  <c r="N149" i="204"/>
  <c r="N148" i="204"/>
  <c r="N145" i="204"/>
  <c r="N144" i="204"/>
  <c r="C132" i="204"/>
  <c r="C131" i="204"/>
  <c r="C128" i="204"/>
  <c r="C127" i="204"/>
  <c r="F134" i="204"/>
  <c r="F133" i="204"/>
  <c r="F126" i="204"/>
  <c r="F125" i="204"/>
  <c r="K134" i="204"/>
  <c r="K133" i="204"/>
  <c r="K126" i="204"/>
  <c r="K125" i="204"/>
  <c r="N132" i="204"/>
  <c r="N131" i="204"/>
  <c r="N128" i="204"/>
  <c r="N127" i="204"/>
  <c r="C115" i="204"/>
  <c r="C114" i="204"/>
  <c r="C111" i="204"/>
  <c r="C110" i="204"/>
  <c r="F117" i="204"/>
  <c r="F116" i="204"/>
  <c r="F109" i="204"/>
  <c r="F108" i="204"/>
  <c r="K117" i="204"/>
  <c r="K116" i="204"/>
  <c r="K109" i="204"/>
  <c r="K108" i="204"/>
  <c r="N115" i="204"/>
  <c r="N114" i="204"/>
  <c r="N111" i="204"/>
  <c r="N110" i="204"/>
  <c r="C98" i="204"/>
  <c r="C97" i="204"/>
  <c r="C94" i="204"/>
  <c r="C93" i="204"/>
  <c r="F100" i="204"/>
  <c r="F99" i="204"/>
  <c r="F92" i="204"/>
  <c r="F91" i="204"/>
  <c r="K100" i="204"/>
  <c r="K99" i="204"/>
  <c r="K92" i="204"/>
  <c r="K91" i="204"/>
  <c r="N98" i="204"/>
  <c r="N97" i="204"/>
  <c r="N94" i="204"/>
  <c r="N93" i="204"/>
  <c r="C81" i="204"/>
  <c r="C80" i="204"/>
  <c r="C77" i="204"/>
  <c r="C76" i="204"/>
  <c r="F83" i="204"/>
  <c r="F82" i="204"/>
  <c r="F75" i="204"/>
  <c r="F74" i="204"/>
  <c r="K83" i="204"/>
  <c r="K82" i="204"/>
  <c r="K75" i="204"/>
  <c r="K74" i="204"/>
  <c r="N81" i="204"/>
  <c r="N80" i="204"/>
  <c r="N77" i="204"/>
  <c r="N76" i="204"/>
  <c r="C64" i="204"/>
  <c r="C63" i="204"/>
  <c r="C60" i="204"/>
  <c r="C59" i="204"/>
  <c r="F66" i="204"/>
  <c r="F65" i="204"/>
  <c r="F58" i="204"/>
  <c r="F57" i="204"/>
  <c r="K66" i="204"/>
  <c r="K65" i="204"/>
  <c r="K58" i="204"/>
  <c r="K57" i="204"/>
  <c r="N64" i="204"/>
  <c r="N63" i="204"/>
  <c r="N60" i="204"/>
  <c r="N59" i="204"/>
  <c r="C47" i="204"/>
  <c r="C46" i="204"/>
  <c r="C43" i="204"/>
  <c r="C42" i="204"/>
  <c r="F49" i="204"/>
  <c r="F48" i="204"/>
  <c r="F41" i="204"/>
  <c r="F40" i="204"/>
  <c r="K49" i="204"/>
  <c r="K48" i="204"/>
  <c r="K41" i="204"/>
  <c r="K40" i="204"/>
  <c r="N47" i="204"/>
  <c r="N46" i="204"/>
  <c r="N43" i="204"/>
  <c r="N42" i="204"/>
  <c r="C30" i="204"/>
  <c r="C29" i="204"/>
  <c r="C26" i="204"/>
  <c r="C25" i="204"/>
  <c r="F32" i="204"/>
  <c r="F31" i="204"/>
  <c r="F24" i="204"/>
  <c r="F23" i="204"/>
  <c r="K32" i="204"/>
  <c r="K31" i="204"/>
  <c r="K24" i="204"/>
  <c r="K23" i="204"/>
  <c r="N30" i="204"/>
  <c r="N29" i="204"/>
  <c r="N26" i="204"/>
  <c r="N25" i="204"/>
  <c r="C13" i="204"/>
  <c r="C12" i="204"/>
  <c r="C9" i="204"/>
  <c r="C8" i="204"/>
  <c r="F15" i="204"/>
  <c r="F14" i="204"/>
  <c r="F7" i="204"/>
  <c r="F6" i="204"/>
  <c r="K15" i="204"/>
  <c r="K14" i="204"/>
  <c r="K7" i="204"/>
  <c r="K6" i="204"/>
  <c r="N13" i="204"/>
  <c r="N12" i="204"/>
  <c r="N9" i="204"/>
  <c r="N8" i="204"/>
  <c r="C166" i="203"/>
  <c r="C165" i="203"/>
  <c r="C162" i="203"/>
  <c r="C161" i="203"/>
  <c r="F168" i="203"/>
  <c r="F167" i="203"/>
  <c r="F160" i="203"/>
  <c r="F159" i="203"/>
  <c r="K168" i="203"/>
  <c r="K167" i="203"/>
  <c r="K160" i="203"/>
  <c r="K159" i="203"/>
  <c r="N166" i="203"/>
  <c r="N165" i="203"/>
  <c r="N162" i="203"/>
  <c r="N161" i="203"/>
  <c r="C149" i="203"/>
  <c r="C148" i="203"/>
  <c r="C145" i="203"/>
  <c r="C144" i="203"/>
  <c r="F151" i="203"/>
  <c r="F150" i="203"/>
  <c r="F143" i="203"/>
  <c r="F142" i="203"/>
  <c r="K151" i="203"/>
  <c r="K150" i="203"/>
  <c r="K143" i="203"/>
  <c r="K142" i="203"/>
  <c r="N149" i="203"/>
  <c r="N148" i="203"/>
  <c r="N145" i="203"/>
  <c r="N144" i="203"/>
  <c r="C132" i="203"/>
  <c r="C131" i="203"/>
  <c r="C128" i="203"/>
  <c r="C127" i="203"/>
  <c r="F134" i="203"/>
  <c r="F133" i="203"/>
  <c r="F126" i="203"/>
  <c r="F125" i="203"/>
  <c r="K134" i="203"/>
  <c r="K133" i="203"/>
  <c r="K126" i="203"/>
  <c r="K125" i="203"/>
  <c r="N132" i="203"/>
  <c r="N131" i="203"/>
  <c r="N128" i="203"/>
  <c r="N127" i="203"/>
  <c r="C115" i="203"/>
  <c r="C114" i="203"/>
  <c r="C111" i="203"/>
  <c r="C110" i="203"/>
  <c r="F117" i="203"/>
  <c r="F116" i="203"/>
  <c r="F109" i="203"/>
  <c r="F108" i="203"/>
  <c r="K117" i="203"/>
  <c r="K116" i="203"/>
  <c r="K109" i="203"/>
  <c r="K108" i="203"/>
  <c r="N115" i="203"/>
  <c r="N114" i="203"/>
  <c r="N111" i="203"/>
  <c r="N110" i="203"/>
  <c r="C98" i="203"/>
  <c r="C97" i="203"/>
  <c r="C94" i="203"/>
  <c r="C93" i="203"/>
  <c r="F100" i="203"/>
  <c r="F99" i="203"/>
  <c r="F92" i="203"/>
  <c r="F91" i="203"/>
  <c r="K100" i="203"/>
  <c r="K99" i="203"/>
  <c r="K92" i="203"/>
  <c r="K91" i="203"/>
  <c r="N98" i="203"/>
  <c r="N97" i="203"/>
  <c r="N94" i="203"/>
  <c r="N93" i="203"/>
  <c r="C81" i="203"/>
  <c r="C80" i="203"/>
  <c r="C77" i="203"/>
  <c r="C76" i="203"/>
  <c r="F83" i="203"/>
  <c r="F82" i="203"/>
  <c r="F75" i="203"/>
  <c r="F74" i="203"/>
  <c r="K83" i="203"/>
  <c r="K82" i="203"/>
  <c r="K75" i="203"/>
  <c r="K74" i="203"/>
  <c r="N81" i="203"/>
  <c r="N80" i="203"/>
  <c r="N77" i="203"/>
  <c r="N76" i="203"/>
  <c r="C64" i="203"/>
  <c r="C63" i="203"/>
  <c r="C60" i="203"/>
  <c r="C59" i="203"/>
  <c r="F66" i="203"/>
  <c r="F65" i="203"/>
  <c r="F58" i="203"/>
  <c r="F57" i="203"/>
  <c r="K66" i="203"/>
  <c r="K65" i="203"/>
  <c r="K58" i="203"/>
  <c r="K57" i="203"/>
  <c r="N64" i="203"/>
  <c r="N63" i="203"/>
  <c r="N60" i="203"/>
  <c r="N59" i="203"/>
  <c r="C47" i="203"/>
  <c r="C46" i="203"/>
  <c r="C43" i="203"/>
  <c r="C42" i="203"/>
  <c r="F49" i="203"/>
  <c r="F48" i="203"/>
  <c r="F41" i="203"/>
  <c r="F40" i="203"/>
  <c r="K49" i="203"/>
  <c r="K48" i="203"/>
  <c r="K41" i="203"/>
  <c r="K40" i="203"/>
  <c r="N47" i="203"/>
  <c r="N46" i="203"/>
  <c r="N43" i="203"/>
  <c r="N42" i="203"/>
  <c r="C30" i="203"/>
  <c r="C29" i="203"/>
  <c r="C26" i="203"/>
  <c r="C25" i="203"/>
  <c r="F32" i="203"/>
  <c r="F31" i="203"/>
  <c r="F24" i="203"/>
  <c r="F23" i="203"/>
  <c r="K32" i="203"/>
  <c r="K31" i="203"/>
  <c r="K24" i="203"/>
  <c r="K23" i="203"/>
  <c r="N30" i="203"/>
  <c r="N29" i="203"/>
  <c r="N26" i="203"/>
  <c r="N25" i="203"/>
  <c r="C13" i="203"/>
  <c r="C12" i="203"/>
  <c r="C9" i="203"/>
  <c r="C8" i="203"/>
  <c r="F15" i="203"/>
  <c r="F14" i="203"/>
  <c r="F7" i="203"/>
  <c r="F6" i="203"/>
  <c r="K15" i="203"/>
  <c r="K14" i="203"/>
  <c r="K7" i="203"/>
  <c r="K6" i="203"/>
  <c r="N13" i="203"/>
  <c r="N12" i="203"/>
  <c r="N9" i="203"/>
  <c r="N8" i="203"/>
  <c r="C166" i="202"/>
  <c r="C165" i="202"/>
  <c r="C162" i="202"/>
  <c r="C161" i="202"/>
  <c r="F168" i="202"/>
  <c r="F167" i="202"/>
  <c r="F160" i="202"/>
  <c r="F159" i="202"/>
  <c r="K168" i="202"/>
  <c r="K167" i="202"/>
  <c r="K160" i="202"/>
  <c r="K159" i="202"/>
  <c r="N166" i="202"/>
  <c r="N165" i="202"/>
  <c r="N162" i="202"/>
  <c r="N161" i="202"/>
  <c r="C149" i="202"/>
  <c r="C148" i="202"/>
  <c r="C145" i="202"/>
  <c r="C144" i="202"/>
  <c r="F151" i="202"/>
  <c r="F150" i="202"/>
  <c r="F143" i="202"/>
  <c r="F142" i="202"/>
  <c r="K151" i="202"/>
  <c r="K150" i="202"/>
  <c r="K143" i="202"/>
  <c r="K142" i="202"/>
  <c r="N149" i="202"/>
  <c r="N148" i="202"/>
  <c r="N145" i="202"/>
  <c r="N144" i="202"/>
  <c r="C132" i="202"/>
  <c r="C131" i="202"/>
  <c r="C128" i="202"/>
  <c r="C127" i="202"/>
  <c r="F134" i="202"/>
  <c r="F133" i="202"/>
  <c r="F126" i="202"/>
  <c r="F125" i="202"/>
  <c r="K134" i="202"/>
  <c r="K133" i="202"/>
  <c r="K126" i="202"/>
  <c r="K125" i="202"/>
  <c r="N132" i="202"/>
  <c r="N131" i="202"/>
  <c r="N128" i="202"/>
  <c r="N127" i="202"/>
  <c r="C115" i="202"/>
  <c r="C114" i="202"/>
  <c r="C111" i="202"/>
  <c r="C110" i="202"/>
  <c r="F117" i="202"/>
  <c r="F116" i="202"/>
  <c r="F109" i="202"/>
  <c r="F108" i="202"/>
  <c r="K117" i="202"/>
  <c r="K116" i="202"/>
  <c r="K109" i="202"/>
  <c r="K108" i="202"/>
  <c r="N115" i="202"/>
  <c r="N114" i="202"/>
  <c r="N111" i="202"/>
  <c r="N110" i="202"/>
  <c r="C98" i="202"/>
  <c r="C97" i="202"/>
  <c r="C94" i="202"/>
  <c r="C93" i="202"/>
  <c r="F100" i="202"/>
  <c r="F99" i="202"/>
  <c r="F92" i="202"/>
  <c r="F91" i="202"/>
  <c r="K100" i="202"/>
  <c r="K99" i="202"/>
  <c r="K92" i="202"/>
  <c r="K91" i="202"/>
  <c r="N98" i="202"/>
  <c r="N97" i="202"/>
  <c r="N94" i="202"/>
  <c r="N93" i="202"/>
  <c r="C81" i="202"/>
  <c r="C80" i="202"/>
  <c r="C77" i="202"/>
  <c r="C76" i="202"/>
  <c r="F83" i="202"/>
  <c r="F82" i="202"/>
  <c r="F75" i="202"/>
  <c r="F74" i="202"/>
  <c r="K83" i="202"/>
  <c r="K82" i="202"/>
  <c r="K75" i="202"/>
  <c r="K74" i="202"/>
  <c r="N81" i="202"/>
  <c r="N80" i="202"/>
  <c r="N77" i="202"/>
  <c r="N76" i="202"/>
  <c r="C64" i="202"/>
  <c r="C63" i="202"/>
  <c r="C60" i="202"/>
  <c r="C59" i="202"/>
  <c r="F66" i="202"/>
  <c r="F65" i="202"/>
  <c r="F58" i="202"/>
  <c r="F57" i="202"/>
  <c r="K66" i="202"/>
  <c r="K65" i="202"/>
  <c r="K58" i="202"/>
  <c r="K57" i="202"/>
  <c r="N64" i="202"/>
  <c r="N63" i="202"/>
  <c r="N60" i="202"/>
  <c r="N59" i="202"/>
  <c r="C47" i="202"/>
  <c r="C46" i="202"/>
  <c r="C43" i="202"/>
  <c r="C42" i="202"/>
  <c r="F49" i="202"/>
  <c r="F48" i="202"/>
  <c r="F41" i="202"/>
  <c r="F40" i="202"/>
  <c r="K49" i="202"/>
  <c r="K48" i="202"/>
  <c r="K41" i="202"/>
  <c r="K40" i="202"/>
  <c r="N47" i="202"/>
  <c r="N46" i="202"/>
  <c r="N43" i="202"/>
  <c r="N42" i="202"/>
  <c r="C30" i="202"/>
  <c r="C29" i="202"/>
  <c r="C26" i="202"/>
  <c r="C25" i="202"/>
  <c r="F32" i="202"/>
  <c r="F31" i="202"/>
  <c r="F24" i="202"/>
  <c r="F23" i="202"/>
  <c r="K32" i="202"/>
  <c r="K31" i="202"/>
  <c r="K24" i="202"/>
  <c r="K23" i="202"/>
  <c r="N30" i="202"/>
  <c r="N29" i="202"/>
  <c r="N26" i="202"/>
  <c r="N25" i="202"/>
  <c r="C13" i="202"/>
  <c r="C12" i="202"/>
  <c r="C9" i="202"/>
  <c r="C8" i="202"/>
  <c r="F15" i="202"/>
  <c r="F14" i="202"/>
  <c r="F7" i="202"/>
  <c r="F6" i="202"/>
  <c r="K15" i="202"/>
  <c r="K14" i="202"/>
  <c r="K7" i="202"/>
  <c r="K6" i="202"/>
  <c r="N13" i="202"/>
  <c r="N12" i="202"/>
  <c r="N9" i="202"/>
  <c r="N8" i="202"/>
  <c r="N102" i="201"/>
  <c r="D102" i="201"/>
  <c r="N101" i="201"/>
  <c r="D101" i="201"/>
  <c r="N100" i="201"/>
  <c r="D100" i="201"/>
  <c r="N99" i="201"/>
  <c r="D99" i="201"/>
  <c r="N98" i="201"/>
  <c r="D98" i="201"/>
  <c r="N97" i="201"/>
  <c r="D97" i="201"/>
  <c r="N93" i="201"/>
  <c r="D93" i="201"/>
  <c r="N92" i="201"/>
  <c r="D92" i="201"/>
  <c r="N91" i="201"/>
  <c r="D91" i="201"/>
  <c r="N90" i="201"/>
  <c r="D90" i="201"/>
  <c r="N89" i="201"/>
  <c r="D89" i="201"/>
  <c r="N88" i="201"/>
  <c r="D88" i="201"/>
  <c r="N87" i="201"/>
  <c r="D87" i="201"/>
  <c r="N83" i="201"/>
  <c r="D83" i="201"/>
  <c r="N82" i="201"/>
  <c r="D82" i="201"/>
  <c r="N81" i="201"/>
  <c r="D81" i="201"/>
  <c r="N80" i="201"/>
  <c r="D80" i="201"/>
  <c r="N79" i="201"/>
  <c r="D79" i="201"/>
  <c r="N78" i="201"/>
  <c r="D78" i="201"/>
  <c r="N77" i="201"/>
  <c r="D77" i="201"/>
  <c r="N73" i="201"/>
  <c r="D73" i="201"/>
  <c r="N72" i="201"/>
  <c r="D72" i="201"/>
  <c r="N71" i="201"/>
  <c r="D71" i="201"/>
  <c r="N70" i="201"/>
  <c r="D70" i="201"/>
  <c r="N69" i="201"/>
  <c r="D69" i="201"/>
  <c r="N68" i="201"/>
  <c r="D68" i="201"/>
  <c r="N64" i="201"/>
  <c r="D64" i="201"/>
  <c r="N63" i="201"/>
  <c r="D63" i="201"/>
  <c r="N62" i="201"/>
  <c r="D62" i="201"/>
  <c r="N61" i="201"/>
  <c r="D61" i="201"/>
  <c r="N60" i="201"/>
  <c r="D60" i="201"/>
  <c r="N59" i="201"/>
  <c r="D59" i="201"/>
  <c r="N58" i="201"/>
  <c r="D58" i="201"/>
  <c r="N54" i="201"/>
  <c r="D54" i="201"/>
  <c r="N53" i="201"/>
  <c r="D53" i="201"/>
  <c r="N52" i="201"/>
  <c r="D52" i="201"/>
  <c r="N51" i="201"/>
  <c r="D51" i="201"/>
  <c r="N50" i="201"/>
  <c r="D50" i="201"/>
  <c r="N49" i="201"/>
  <c r="D49" i="201"/>
  <c r="N48" i="201"/>
  <c r="D48" i="201"/>
  <c r="N44" i="201"/>
  <c r="D44" i="201"/>
  <c r="N43" i="201"/>
  <c r="D43" i="201"/>
  <c r="N42" i="201"/>
  <c r="D42" i="201"/>
  <c r="N41" i="201"/>
  <c r="D41" i="201"/>
  <c r="N40" i="201"/>
  <c r="D40" i="201"/>
  <c r="N39" i="201"/>
  <c r="D39" i="201"/>
  <c r="N38" i="201"/>
  <c r="D38" i="201"/>
  <c r="N37" i="201"/>
  <c r="D37" i="201"/>
  <c r="N33" i="201"/>
  <c r="D33" i="201"/>
  <c r="N32" i="201"/>
  <c r="D32" i="201"/>
  <c r="N31" i="201"/>
  <c r="D31" i="201"/>
  <c r="N30" i="201"/>
  <c r="D30" i="201"/>
  <c r="N29" i="201"/>
  <c r="D29" i="201"/>
  <c r="N28" i="201"/>
  <c r="D28" i="201"/>
  <c r="N27" i="201"/>
  <c r="D27" i="201"/>
  <c r="N26" i="201"/>
  <c r="D26" i="201"/>
  <c r="N22" i="201"/>
  <c r="D22" i="201"/>
  <c r="N21" i="201"/>
  <c r="D21" i="201"/>
  <c r="N20" i="201"/>
  <c r="D20" i="201"/>
  <c r="N19" i="201"/>
  <c r="D19" i="201"/>
  <c r="N18" i="201"/>
  <c r="D18" i="201"/>
  <c r="N17" i="201"/>
  <c r="D17" i="201"/>
  <c r="N16" i="201"/>
  <c r="D16" i="201"/>
  <c r="N15" i="201"/>
  <c r="D15" i="201"/>
  <c r="N11" i="201"/>
  <c r="D11" i="201"/>
  <c r="N10" i="201"/>
  <c r="D10" i="201"/>
  <c r="N9" i="201"/>
  <c r="D9" i="201"/>
  <c r="N8" i="201"/>
  <c r="D8" i="201"/>
  <c r="N7" i="201"/>
  <c r="D7" i="201"/>
  <c r="N6" i="201"/>
  <c r="D6" i="201"/>
  <c r="N5" i="201"/>
  <c r="D5" i="201"/>
  <c r="N4" i="201"/>
  <c r="D4" i="201"/>
  <c r="F186" i="200"/>
  <c r="F148" i="200"/>
  <c r="F110" i="200"/>
  <c r="F75" i="200"/>
  <c r="F38" i="200"/>
  <c r="F184" i="200"/>
  <c r="F149" i="200"/>
  <c r="F112" i="200"/>
  <c r="F74" i="200"/>
  <c r="B38" i="200"/>
  <c r="F185" i="200"/>
  <c r="F147" i="200"/>
  <c r="B112" i="200"/>
  <c r="B75" i="200"/>
  <c r="F36" i="200"/>
  <c r="B186" i="200"/>
  <c r="B149" i="200"/>
  <c r="F111" i="200"/>
  <c r="F72" i="200"/>
  <c r="B36" i="200"/>
  <c r="B185" i="200"/>
  <c r="B148" i="200"/>
  <c r="B111" i="200"/>
  <c r="B74" i="200"/>
  <c r="F35" i="200"/>
  <c r="B184" i="200"/>
  <c r="B147" i="200"/>
  <c r="B110" i="200"/>
  <c r="B72" i="200"/>
  <c r="B35" i="200"/>
  <c r="F245" i="200"/>
  <c r="F240" i="200"/>
  <c r="F183" i="200"/>
  <c r="F146" i="200"/>
  <c r="B108" i="200"/>
  <c r="F71" i="200"/>
  <c r="F247" i="200"/>
  <c r="F238" i="200"/>
  <c r="F182" i="200"/>
  <c r="B144" i="200"/>
  <c r="B71" i="200"/>
  <c r="F34" i="200"/>
  <c r="B240" i="200"/>
  <c r="F180" i="200"/>
  <c r="F143" i="200"/>
  <c r="F107" i="200"/>
  <c r="B70" i="200"/>
  <c r="B34" i="200"/>
  <c r="B247" i="200"/>
  <c r="F239" i="200"/>
  <c r="B183" i="200"/>
  <c r="F106" i="200"/>
  <c r="F70" i="200"/>
  <c r="F33" i="200"/>
  <c r="F246" i="200"/>
  <c r="B180" i="200"/>
  <c r="F144" i="200"/>
  <c r="F108" i="200"/>
  <c r="F69" i="200"/>
  <c r="B33" i="200"/>
  <c r="B246" i="200"/>
  <c r="B239" i="200"/>
  <c r="B182" i="200"/>
  <c r="B146" i="200"/>
  <c r="B107" i="200"/>
  <c r="F32" i="200"/>
  <c r="B245" i="200"/>
  <c r="B238" i="200"/>
  <c r="B143" i="200"/>
  <c r="B106" i="200"/>
  <c r="B69" i="200"/>
  <c r="B32" i="200"/>
  <c r="F242" i="200"/>
  <c r="F237" i="200"/>
  <c r="F179" i="200"/>
  <c r="F142" i="200"/>
  <c r="B105" i="200"/>
  <c r="F68" i="200"/>
  <c r="F244" i="200"/>
  <c r="F235" i="200"/>
  <c r="F178" i="200"/>
  <c r="B141" i="200"/>
  <c r="B68" i="200"/>
  <c r="F31" i="200"/>
  <c r="B237" i="200"/>
  <c r="F177" i="200"/>
  <c r="F140" i="200"/>
  <c r="F104" i="200"/>
  <c r="B67" i="200"/>
  <c r="B31" i="200"/>
  <c r="B244" i="200"/>
  <c r="F236" i="200"/>
  <c r="B179" i="200"/>
  <c r="F103" i="200"/>
  <c r="F67" i="200"/>
  <c r="F30" i="200"/>
  <c r="F243" i="200"/>
  <c r="B177" i="200"/>
  <c r="F141" i="200"/>
  <c r="F105" i="200"/>
  <c r="F66" i="200"/>
  <c r="B30" i="200"/>
  <c r="B243" i="200"/>
  <c r="B236" i="200"/>
  <c r="B178" i="200"/>
  <c r="B142" i="200"/>
  <c r="B104" i="200"/>
  <c r="F29" i="200"/>
  <c r="B242" i="200"/>
  <c r="B235" i="200"/>
  <c r="B140" i="200"/>
  <c r="B103" i="200"/>
  <c r="B66" i="200"/>
  <c r="B29" i="200"/>
  <c r="F176" i="200"/>
  <c r="F138" i="200"/>
  <c r="F100" i="200"/>
  <c r="F65" i="200"/>
  <c r="F28" i="200"/>
  <c r="F174" i="200"/>
  <c r="F139" i="200"/>
  <c r="F102" i="200"/>
  <c r="F64" i="200"/>
  <c r="B28" i="200"/>
  <c r="F175" i="200"/>
  <c r="F137" i="200"/>
  <c r="B102" i="200"/>
  <c r="B65" i="200"/>
  <c r="F27" i="200"/>
  <c r="B176" i="200"/>
  <c r="B139" i="200"/>
  <c r="F101" i="200"/>
  <c r="F63" i="200"/>
  <c r="B27" i="200"/>
  <c r="B175" i="200"/>
  <c r="B138" i="200"/>
  <c r="B101" i="200"/>
  <c r="B64" i="200"/>
  <c r="F26" i="200"/>
  <c r="B174" i="200"/>
  <c r="B137" i="200"/>
  <c r="B100" i="200"/>
  <c r="B63" i="200"/>
  <c r="B26" i="200"/>
  <c r="F232" i="200"/>
  <c r="F210" i="200"/>
  <c r="F173" i="200"/>
  <c r="F136" i="200"/>
  <c r="B99" i="200"/>
  <c r="F62" i="200"/>
  <c r="F234" i="200"/>
  <c r="F208" i="200"/>
  <c r="F172" i="200"/>
  <c r="B135" i="200"/>
  <c r="B62" i="200"/>
  <c r="F24" i="200"/>
  <c r="B210" i="200"/>
  <c r="F171" i="200"/>
  <c r="F134" i="200"/>
  <c r="F98" i="200"/>
  <c r="B60" i="200"/>
  <c r="B24" i="200"/>
  <c r="B234" i="200"/>
  <c r="F209" i="200"/>
  <c r="B173" i="200"/>
  <c r="F96" i="200"/>
  <c r="F60" i="200"/>
  <c r="F23" i="200"/>
  <c r="F233" i="200"/>
  <c r="B171" i="200"/>
  <c r="F135" i="200"/>
  <c r="F99" i="200"/>
  <c r="F59" i="200"/>
  <c r="B23" i="200"/>
  <c r="B233" i="200"/>
  <c r="B209" i="200"/>
  <c r="B172" i="200"/>
  <c r="B136" i="200"/>
  <c r="B98" i="200"/>
  <c r="F22" i="200"/>
  <c r="B232" i="200"/>
  <c r="B208" i="200"/>
  <c r="B134" i="200"/>
  <c r="B96" i="200"/>
  <c r="B59" i="200"/>
  <c r="B22" i="200"/>
  <c r="F228" i="200"/>
  <c r="F207" i="200"/>
  <c r="F170" i="200"/>
  <c r="F132" i="200"/>
  <c r="B95" i="200"/>
  <c r="F58" i="200"/>
  <c r="F231" i="200"/>
  <c r="F204" i="200"/>
  <c r="F168" i="200"/>
  <c r="B131" i="200"/>
  <c r="B58" i="200"/>
  <c r="F21" i="200"/>
  <c r="B207" i="200"/>
  <c r="F167" i="200"/>
  <c r="F130" i="200"/>
  <c r="F94" i="200"/>
  <c r="B57" i="200"/>
  <c r="B21" i="200"/>
  <c r="B231" i="200"/>
  <c r="F206" i="200"/>
  <c r="B170" i="200"/>
  <c r="F93" i="200"/>
  <c r="F57" i="200"/>
  <c r="F20" i="200"/>
  <c r="F230" i="200"/>
  <c r="B167" i="200"/>
  <c r="F131" i="200"/>
  <c r="F95" i="200"/>
  <c r="F56" i="200"/>
  <c r="B20" i="200"/>
  <c r="B230" i="200"/>
  <c r="B206" i="200"/>
  <c r="B168" i="200"/>
  <c r="B132" i="200"/>
  <c r="B94" i="200"/>
  <c r="F19" i="200"/>
  <c r="B228" i="200"/>
  <c r="B204" i="200"/>
  <c r="B130" i="200"/>
  <c r="B93" i="200"/>
  <c r="B56" i="200"/>
  <c r="B19" i="200"/>
  <c r="F224" i="200"/>
  <c r="F201" i="200"/>
  <c r="F165" i="200"/>
  <c r="F129" i="200"/>
  <c r="F91" i="200"/>
  <c r="F55" i="200"/>
  <c r="F18" i="200"/>
  <c r="F225" i="200"/>
  <c r="F200" i="200"/>
  <c r="F166" i="200"/>
  <c r="F128" i="200"/>
  <c r="F92" i="200"/>
  <c r="F54" i="200"/>
  <c r="B18" i="200"/>
  <c r="F226" i="200"/>
  <c r="F203" i="200"/>
  <c r="F163" i="200"/>
  <c r="F127" i="200"/>
  <c r="B92" i="200"/>
  <c r="B55" i="200"/>
  <c r="F17" i="200"/>
  <c r="F227" i="200"/>
  <c r="F202" i="200"/>
  <c r="F164" i="200"/>
  <c r="F126" i="200"/>
  <c r="B91" i="200"/>
  <c r="B54" i="200"/>
  <c r="B17" i="200"/>
  <c r="B227" i="200"/>
  <c r="B203" i="200"/>
  <c r="B166" i="200"/>
  <c r="B129" i="200"/>
  <c r="F89" i="200"/>
  <c r="F53" i="200"/>
  <c r="F16" i="200"/>
  <c r="B226" i="200"/>
  <c r="B202" i="200"/>
  <c r="B165" i="200"/>
  <c r="B128" i="200"/>
  <c r="F90" i="200"/>
  <c r="F52" i="200"/>
  <c r="B16" i="200"/>
  <c r="B225" i="200"/>
  <c r="B201" i="200"/>
  <c r="B164" i="200"/>
  <c r="B127" i="200"/>
  <c r="B90" i="200"/>
  <c r="B53" i="200"/>
  <c r="F15" i="200"/>
  <c r="B224" i="200"/>
  <c r="B200" i="200"/>
  <c r="B163" i="200"/>
  <c r="B126" i="200"/>
  <c r="B89" i="200"/>
  <c r="B52" i="200"/>
  <c r="B15" i="200"/>
  <c r="F220" i="200"/>
  <c r="F197" i="200"/>
  <c r="F161" i="200"/>
  <c r="F125" i="200"/>
  <c r="F87" i="200"/>
  <c r="F51" i="200"/>
  <c r="F14" i="200"/>
  <c r="F221" i="200"/>
  <c r="F196" i="200"/>
  <c r="F162" i="200"/>
  <c r="F124" i="200"/>
  <c r="F88" i="200"/>
  <c r="F50" i="200"/>
  <c r="B14" i="200"/>
  <c r="F222" i="200"/>
  <c r="F199" i="200"/>
  <c r="F159" i="200"/>
  <c r="F123" i="200"/>
  <c r="B88" i="200"/>
  <c r="B51" i="200"/>
  <c r="F12" i="200"/>
  <c r="F223" i="200"/>
  <c r="F198" i="200"/>
  <c r="F160" i="200"/>
  <c r="F122" i="200"/>
  <c r="B87" i="200"/>
  <c r="B50" i="200"/>
  <c r="B12" i="200"/>
  <c r="B223" i="200"/>
  <c r="B199" i="200"/>
  <c r="B162" i="200"/>
  <c r="B125" i="200"/>
  <c r="F84" i="200"/>
  <c r="F48" i="200"/>
  <c r="F11" i="200"/>
  <c r="B222" i="200"/>
  <c r="B198" i="200"/>
  <c r="B161" i="200"/>
  <c r="B124" i="200"/>
  <c r="F86" i="200"/>
  <c r="F47" i="200"/>
  <c r="B11" i="200"/>
  <c r="B221" i="200"/>
  <c r="B197" i="200"/>
  <c r="B160" i="200"/>
  <c r="B123" i="200"/>
  <c r="B86" i="200"/>
  <c r="B48" i="200"/>
  <c r="F10" i="200"/>
  <c r="B220" i="200"/>
  <c r="B196" i="200"/>
  <c r="B159" i="200"/>
  <c r="B122" i="200"/>
  <c r="B84" i="200"/>
  <c r="B47" i="200"/>
  <c r="B10" i="200"/>
  <c r="F215" i="200"/>
  <c r="F192" i="200"/>
  <c r="F156" i="200"/>
  <c r="F120" i="200"/>
  <c r="F82" i="200"/>
  <c r="F46" i="200"/>
  <c r="F9" i="200"/>
  <c r="F216" i="200"/>
  <c r="F191" i="200"/>
  <c r="F158" i="200"/>
  <c r="F119" i="200"/>
  <c r="F83" i="200"/>
  <c r="F45" i="200"/>
  <c r="B9" i="200"/>
  <c r="F218" i="200"/>
  <c r="F195" i="200"/>
  <c r="F154" i="200"/>
  <c r="F118" i="200"/>
  <c r="B83" i="200"/>
  <c r="B46" i="200"/>
  <c r="F8" i="200"/>
  <c r="F219" i="200"/>
  <c r="F194" i="200"/>
  <c r="F155" i="200"/>
  <c r="F117" i="200"/>
  <c r="B82" i="200"/>
  <c r="B45" i="200"/>
  <c r="B8" i="200"/>
  <c r="B219" i="200"/>
  <c r="B195" i="200"/>
  <c r="B158" i="200"/>
  <c r="B120" i="200"/>
  <c r="F80" i="200"/>
  <c r="F44" i="200"/>
  <c r="F7" i="200"/>
  <c r="B218" i="200"/>
  <c r="B194" i="200"/>
  <c r="B156" i="200"/>
  <c r="B119" i="200"/>
  <c r="F81" i="200"/>
  <c r="F43" i="200"/>
  <c r="B7" i="200"/>
  <c r="B216" i="200"/>
  <c r="B192" i="200"/>
  <c r="B155" i="200"/>
  <c r="B118" i="200"/>
  <c r="B81" i="200"/>
  <c r="B44" i="200"/>
  <c r="F6" i="200"/>
  <c r="B215" i="200"/>
  <c r="B191" i="200"/>
  <c r="B154" i="200"/>
  <c r="B117" i="200"/>
  <c r="B80" i="200"/>
  <c r="B43" i="200"/>
  <c r="B6" i="200"/>
  <c r="F211" i="200"/>
  <c r="F188" i="200"/>
  <c r="F152" i="200"/>
  <c r="F116" i="200"/>
  <c r="F78" i="200"/>
  <c r="F42" i="200"/>
  <c r="F5" i="200"/>
  <c r="F212" i="200"/>
  <c r="F187" i="200"/>
  <c r="F153" i="200"/>
  <c r="F115" i="200"/>
  <c r="F79" i="200"/>
  <c r="F41" i="200"/>
  <c r="B5" i="200"/>
  <c r="F213" i="200"/>
  <c r="F190" i="200"/>
  <c r="F150" i="200"/>
  <c r="F114" i="200"/>
  <c r="B79" i="200"/>
  <c r="B42" i="200"/>
  <c r="F4" i="200"/>
  <c r="F214" i="200"/>
  <c r="F189" i="200"/>
  <c r="F151" i="200"/>
  <c r="F113" i="200"/>
  <c r="B78" i="200"/>
  <c r="B41" i="200"/>
  <c r="B4" i="200"/>
  <c r="B214" i="200"/>
  <c r="B190" i="200"/>
  <c r="B153" i="200"/>
  <c r="B116" i="200"/>
  <c r="F76" i="200"/>
  <c r="F40" i="200"/>
  <c r="F3" i="200"/>
  <c r="B213" i="200"/>
  <c r="B189" i="200"/>
  <c r="B152" i="200"/>
  <c r="B115" i="200"/>
  <c r="F77" i="200"/>
  <c r="F39" i="200"/>
  <c r="B3" i="200"/>
  <c r="B212" i="200"/>
  <c r="B188" i="200"/>
  <c r="B151" i="200"/>
  <c r="B114" i="200"/>
  <c r="B77" i="200"/>
  <c r="B40" i="200"/>
  <c r="F2" i="200"/>
  <c r="B211" i="200"/>
  <c r="B187" i="200"/>
  <c r="B150" i="200"/>
  <c r="B113" i="200"/>
  <c r="B76" i="200"/>
  <c r="B39" i="200"/>
  <c r="B2" i="200"/>
  <c r="D2701" i="200"/>
  <c r="D2689" i="200"/>
  <c r="D2677" i="200"/>
  <c r="D2665" i="200"/>
  <c r="D2653" i="200"/>
  <c r="D2641" i="200"/>
  <c r="D2629" i="200"/>
  <c r="D2617" i="200"/>
  <c r="D2605" i="200"/>
  <c r="D2593" i="200"/>
  <c r="D2581" i="200"/>
  <c r="D2569" i="200"/>
  <c r="D2557" i="200"/>
  <c r="D2545" i="200"/>
  <c r="D2533" i="200"/>
  <c r="D2521" i="200"/>
  <c r="D2509" i="200"/>
  <c r="D2497" i="200"/>
  <c r="D2485" i="200"/>
  <c r="D2473" i="200"/>
  <c r="D2461" i="200"/>
  <c r="D2449" i="200"/>
  <c r="D2437" i="200"/>
  <c r="D2425" i="200"/>
  <c r="D2413" i="200"/>
  <c r="D2401" i="200"/>
  <c r="D2389" i="200"/>
  <c r="D2377" i="200"/>
  <c r="D2365" i="200"/>
  <c r="D2353" i="200"/>
  <c r="D2341" i="200"/>
  <c r="D2329" i="200"/>
  <c r="D2317" i="200"/>
  <c r="D2305" i="200"/>
  <c r="D2293" i="200"/>
  <c r="D2281" i="200"/>
  <c r="D2269" i="200"/>
  <c r="D2257" i="200"/>
  <c r="D2245" i="200"/>
  <c r="D2233" i="200"/>
  <c r="D2221" i="200"/>
  <c r="D2209" i="200"/>
  <c r="D2197" i="200"/>
  <c r="D2185" i="200"/>
  <c r="D2173" i="200"/>
  <c r="D2161" i="200"/>
  <c r="D2149" i="200"/>
  <c r="D2137" i="200"/>
  <c r="D2125" i="200"/>
  <c r="D2113" i="200"/>
  <c r="D2101" i="200"/>
  <c r="D2089" i="200"/>
  <c r="D2077" i="200"/>
  <c r="D2065" i="200"/>
  <c r="D2053" i="200"/>
  <c r="D2041" i="200"/>
  <c r="D2029" i="200"/>
  <c r="D2017" i="200"/>
  <c r="D2005" i="200"/>
  <c r="D1993" i="200"/>
  <c r="D1981" i="200"/>
  <c r="D1969" i="200"/>
  <c r="D1957" i="200"/>
  <c r="D1945" i="200"/>
  <c r="D1933" i="200"/>
  <c r="D1921" i="200"/>
  <c r="D1909" i="200"/>
  <c r="D1897" i="200"/>
  <c r="D1885" i="200"/>
  <c r="D1873" i="200"/>
  <c r="D1861" i="200"/>
  <c r="D1849" i="200"/>
  <c r="D1837" i="200"/>
  <c r="D1825" i="200"/>
  <c r="D1813" i="200"/>
  <c r="D1801" i="200"/>
  <c r="D1789" i="200"/>
  <c r="D1777" i="200"/>
  <c r="D1765" i="200"/>
  <c r="D1753" i="200"/>
  <c r="D1741" i="200"/>
  <c r="D1729" i="200"/>
  <c r="D1717" i="200"/>
  <c r="D1705" i="200"/>
  <c r="D1693" i="200"/>
  <c r="D1681" i="200"/>
  <c r="D1669" i="200"/>
  <c r="D1657" i="200"/>
  <c r="D1645" i="200"/>
  <c r="D1633" i="200"/>
  <c r="D1621" i="200"/>
  <c r="D1609" i="200"/>
  <c r="D1597" i="200"/>
  <c r="D1585" i="200"/>
  <c r="D1573" i="200"/>
  <c r="D1561" i="200"/>
  <c r="D1549" i="200"/>
  <c r="D1537" i="200"/>
  <c r="D1525" i="200"/>
  <c r="D1513" i="200"/>
  <c r="D1501" i="200"/>
  <c r="D1489" i="200"/>
  <c r="D1477" i="200"/>
  <c r="D1465" i="200"/>
  <c r="D1453" i="200"/>
  <c r="D1441" i="200"/>
  <c r="D1429" i="200"/>
  <c r="D1417" i="200"/>
  <c r="D1405" i="200"/>
  <c r="D1393" i="200"/>
  <c r="D1381" i="200"/>
  <c r="D1369" i="200"/>
  <c r="D1357" i="200"/>
  <c r="D1345" i="200"/>
  <c r="D1333" i="200"/>
  <c r="D1321" i="200"/>
  <c r="D1309" i="200"/>
  <c r="D1297" i="200"/>
  <c r="D1285" i="200"/>
  <c r="D1273" i="200"/>
  <c r="D1261" i="200"/>
  <c r="D1249" i="200"/>
  <c r="D1237" i="200"/>
  <c r="D1225" i="200"/>
  <c r="D1213" i="200"/>
  <c r="D1201" i="200"/>
  <c r="D1189" i="200"/>
  <c r="D1177" i="200"/>
  <c r="D1165" i="200"/>
  <c r="D1153" i="200"/>
  <c r="D1141" i="200"/>
  <c r="D1129" i="200"/>
  <c r="D1117" i="200"/>
  <c r="D1105" i="200"/>
  <c r="D1093" i="200"/>
  <c r="D1081" i="200"/>
  <c r="D1069" i="200"/>
  <c r="D1057" i="200"/>
  <c r="D1045" i="200"/>
  <c r="D1033" i="200"/>
  <c r="D1021" i="200"/>
  <c r="D1009" i="200"/>
  <c r="D997" i="200"/>
  <c r="D985" i="200"/>
  <c r="D973" i="200"/>
  <c r="D961" i="200"/>
  <c r="D949" i="200"/>
  <c r="D937" i="200"/>
  <c r="D925" i="200"/>
  <c r="D913" i="200"/>
  <c r="D901" i="200"/>
  <c r="D889" i="200"/>
  <c r="D877" i="200"/>
  <c r="D865" i="200"/>
  <c r="D853" i="200"/>
  <c r="D841" i="200"/>
  <c r="D829" i="200"/>
  <c r="D817" i="200"/>
  <c r="D805" i="200"/>
  <c r="D793" i="200"/>
  <c r="D781" i="200"/>
  <c r="D769" i="200"/>
  <c r="D757" i="200"/>
  <c r="D745" i="200"/>
  <c r="D733" i="200"/>
  <c r="D721" i="200"/>
  <c r="D709" i="200"/>
  <c r="D697" i="200"/>
  <c r="D685" i="200"/>
  <c r="D673" i="200"/>
  <c r="D661" i="200"/>
  <c r="D649" i="200"/>
  <c r="D637" i="200"/>
  <c r="D625" i="200"/>
  <c r="D613" i="200"/>
  <c r="D601" i="200"/>
  <c r="D589" i="200"/>
  <c r="D577" i="200"/>
  <c r="D565" i="200"/>
  <c r="D553" i="200"/>
  <c r="D541" i="200"/>
  <c r="D529" i="200"/>
  <c r="D517" i="200"/>
  <c r="D505" i="200"/>
  <c r="D493" i="200"/>
  <c r="D481" i="200"/>
  <c r="D469" i="200"/>
  <c r="D457" i="200"/>
  <c r="D445" i="200"/>
  <c r="D433" i="200"/>
  <c r="D421" i="200"/>
  <c r="D409" i="200"/>
  <c r="D397" i="200"/>
  <c r="D385" i="200"/>
  <c r="D373" i="200"/>
  <c r="D361" i="200"/>
  <c r="D349" i="200"/>
  <c r="D337" i="200"/>
  <c r="D325" i="200"/>
  <c r="D313" i="200"/>
  <c r="D301" i="200"/>
  <c r="D289" i="200"/>
  <c r="D277" i="200"/>
  <c r="D265" i="200"/>
  <c r="D253" i="200"/>
  <c r="D241" i="200"/>
  <c r="D229" i="200"/>
  <c r="D217" i="200"/>
  <c r="D205" i="200"/>
  <c r="D193" i="200"/>
  <c r="D181" i="200"/>
  <c r="D169" i="200"/>
  <c r="D157" i="200"/>
  <c r="D145" i="200"/>
  <c r="D133" i="200"/>
  <c r="D121" i="200"/>
  <c r="D109" i="200"/>
  <c r="D97" i="200"/>
  <c r="D85" i="200"/>
  <c r="D73" i="200"/>
  <c r="D61" i="200"/>
  <c r="D49" i="200"/>
  <c r="D37" i="200"/>
  <c r="D25" i="200"/>
  <c r="D13" i="200"/>
  <c r="B30" i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I102" i="201"/>
  <c r="H102" i="201"/>
  <c r="F102" i="201"/>
  <c r="E102" i="201"/>
  <c r="I101" i="201"/>
  <c r="H101" i="201"/>
  <c r="F101" i="201"/>
  <c r="E101" i="201"/>
  <c r="I100" i="201"/>
  <c r="H100" i="201"/>
  <c r="F100" i="201"/>
  <c r="E100" i="201"/>
  <c r="I99" i="201"/>
  <c r="H99" i="201"/>
  <c r="F99" i="201"/>
  <c r="E99" i="201"/>
  <c r="I98" i="201"/>
  <c r="H98" i="201"/>
  <c r="F98" i="201"/>
  <c r="E98" i="201"/>
  <c r="I97" i="201"/>
  <c r="H97" i="201"/>
  <c r="F97" i="201"/>
  <c r="E97" i="201"/>
  <c r="I93" i="201"/>
  <c r="H93" i="201"/>
  <c r="F93" i="201"/>
  <c r="E93" i="201"/>
  <c r="I92" i="201"/>
  <c r="H92" i="201"/>
  <c r="F92" i="201"/>
  <c r="E92" i="201"/>
  <c r="I91" i="201"/>
  <c r="H91" i="201"/>
  <c r="F91" i="201"/>
  <c r="E91" i="201"/>
  <c r="I90" i="201"/>
  <c r="H90" i="201"/>
  <c r="F90" i="201"/>
  <c r="E90" i="201"/>
  <c r="I89" i="201"/>
  <c r="H89" i="201"/>
  <c r="F89" i="201"/>
  <c r="E89" i="201"/>
  <c r="I88" i="201"/>
  <c r="H88" i="201"/>
  <c r="F88" i="201"/>
  <c r="E88" i="201"/>
  <c r="I87" i="201"/>
  <c r="H87" i="201"/>
  <c r="F87" i="201"/>
  <c r="E87" i="201"/>
  <c r="I83" i="201"/>
  <c r="H83" i="201"/>
  <c r="F83" i="201"/>
  <c r="E83" i="201"/>
  <c r="I82" i="201"/>
  <c r="H82" i="201"/>
  <c r="F82" i="201"/>
  <c r="E82" i="201"/>
  <c r="I81" i="201"/>
  <c r="H81" i="201"/>
  <c r="F81" i="201"/>
  <c r="E81" i="201"/>
  <c r="I80" i="201"/>
  <c r="H80" i="201"/>
  <c r="F80" i="201"/>
  <c r="E80" i="201"/>
  <c r="I79" i="201"/>
  <c r="H79" i="201"/>
  <c r="F79" i="201"/>
  <c r="E79" i="201"/>
  <c r="I78" i="201"/>
  <c r="H78" i="201"/>
  <c r="F78" i="201"/>
  <c r="E78" i="201"/>
  <c r="I77" i="201"/>
  <c r="H77" i="201"/>
  <c r="F77" i="201"/>
  <c r="E77" i="201"/>
  <c r="I73" i="201"/>
  <c r="H73" i="201"/>
  <c r="F73" i="201"/>
  <c r="E73" i="201"/>
  <c r="I72" i="201"/>
  <c r="H72" i="201"/>
  <c r="F72" i="201"/>
  <c r="E72" i="201"/>
  <c r="I71" i="201"/>
  <c r="H71" i="201"/>
  <c r="F71" i="201"/>
  <c r="E71" i="201"/>
  <c r="I70" i="201"/>
  <c r="H70" i="201"/>
  <c r="F70" i="201"/>
  <c r="E70" i="201"/>
  <c r="I69" i="201"/>
  <c r="H69" i="201"/>
  <c r="F69" i="201"/>
  <c r="E69" i="201"/>
  <c r="I68" i="201"/>
  <c r="H68" i="201"/>
  <c r="F68" i="201"/>
  <c r="E68" i="201"/>
  <c r="I64" i="201"/>
  <c r="H64" i="201"/>
  <c r="F64" i="201"/>
  <c r="E64" i="201"/>
  <c r="I63" i="201"/>
  <c r="H63" i="201"/>
  <c r="F63" i="201"/>
  <c r="E63" i="201"/>
  <c r="I62" i="201"/>
  <c r="H62" i="201"/>
  <c r="F62" i="201"/>
  <c r="E62" i="201"/>
  <c r="I61" i="201"/>
  <c r="H61" i="201"/>
  <c r="F61" i="201"/>
  <c r="E61" i="201"/>
  <c r="I60" i="201"/>
  <c r="H60" i="201"/>
  <c r="F60" i="201"/>
  <c r="E60" i="201"/>
  <c r="I59" i="201"/>
  <c r="H59" i="201"/>
  <c r="F59" i="201"/>
  <c r="E59" i="201"/>
  <c r="I58" i="201"/>
  <c r="H58" i="201"/>
  <c r="F58" i="201"/>
  <c r="E58" i="201"/>
  <c r="I54" i="201"/>
  <c r="H54" i="201"/>
  <c r="F54" i="201"/>
  <c r="E54" i="201"/>
  <c r="I53" i="201"/>
  <c r="H53" i="201"/>
  <c r="F53" i="201"/>
  <c r="E53" i="201"/>
  <c r="I52" i="201"/>
  <c r="H52" i="201"/>
  <c r="F52" i="201"/>
  <c r="E52" i="201"/>
  <c r="I51" i="201"/>
  <c r="H51" i="201"/>
  <c r="F51" i="201"/>
  <c r="E51" i="201"/>
  <c r="I50" i="201"/>
  <c r="H50" i="201"/>
  <c r="F50" i="201"/>
  <c r="E50" i="201"/>
  <c r="I49" i="201"/>
  <c r="H49" i="201"/>
  <c r="F49" i="201"/>
  <c r="E49" i="201"/>
  <c r="I48" i="201"/>
  <c r="H48" i="201"/>
  <c r="F48" i="201"/>
  <c r="E48" i="201"/>
  <c r="I44" i="201"/>
  <c r="H44" i="201"/>
  <c r="F44" i="201"/>
  <c r="E44" i="201"/>
  <c r="I43" i="201"/>
  <c r="H43" i="201"/>
  <c r="F43" i="201"/>
  <c r="E43" i="201"/>
  <c r="I42" i="201"/>
  <c r="H42" i="201"/>
  <c r="F42" i="201"/>
  <c r="E42" i="201"/>
  <c r="I41" i="201"/>
  <c r="H41" i="201"/>
  <c r="F41" i="201"/>
  <c r="E41" i="201"/>
  <c r="I40" i="201"/>
  <c r="H40" i="201"/>
  <c r="F40" i="201"/>
  <c r="E40" i="201"/>
  <c r="I39" i="201"/>
  <c r="H39" i="201"/>
  <c r="F39" i="201"/>
  <c r="E39" i="201"/>
  <c r="I38" i="201"/>
  <c r="H38" i="201"/>
  <c r="F38" i="201"/>
  <c r="E38" i="201"/>
  <c r="I37" i="201"/>
  <c r="H37" i="201"/>
  <c r="F37" i="201"/>
  <c r="E37" i="201"/>
  <c r="I33" i="201"/>
  <c r="H33" i="201"/>
  <c r="F33" i="201"/>
  <c r="E33" i="201"/>
  <c r="I32" i="201"/>
  <c r="H32" i="201"/>
  <c r="F32" i="201"/>
  <c r="E32" i="201"/>
  <c r="I31" i="201"/>
  <c r="H31" i="201"/>
  <c r="F31" i="201"/>
  <c r="E31" i="201"/>
  <c r="I30" i="201"/>
  <c r="H30" i="201"/>
  <c r="F30" i="201"/>
  <c r="E30" i="201"/>
  <c r="I29" i="201"/>
  <c r="H29" i="201"/>
  <c r="F29" i="201"/>
  <c r="E29" i="201"/>
  <c r="I28" i="201"/>
  <c r="H28" i="201"/>
  <c r="F28" i="201"/>
  <c r="E28" i="201"/>
  <c r="I27" i="201"/>
  <c r="H27" i="201"/>
  <c r="F27" i="201"/>
  <c r="E27" i="201"/>
  <c r="I26" i="201"/>
  <c r="H26" i="201"/>
  <c r="F26" i="201"/>
  <c r="E26" i="201"/>
  <c r="I22" i="201"/>
  <c r="H22" i="201"/>
  <c r="F22" i="201"/>
  <c r="E22" i="201"/>
  <c r="I21" i="201"/>
  <c r="H21" i="201"/>
  <c r="F21" i="201"/>
  <c r="E21" i="201"/>
  <c r="I20" i="201"/>
  <c r="H20" i="201"/>
  <c r="F20" i="201"/>
  <c r="E20" i="201"/>
  <c r="I19" i="201"/>
  <c r="H19" i="201"/>
  <c r="F19" i="201"/>
  <c r="E19" i="201"/>
  <c r="I18" i="201"/>
  <c r="H18" i="201"/>
  <c r="F18" i="201"/>
  <c r="E18" i="201"/>
  <c r="I17" i="201"/>
  <c r="H17" i="201"/>
  <c r="F17" i="201"/>
  <c r="E17" i="201"/>
  <c r="I16" i="201"/>
  <c r="H16" i="201"/>
  <c r="F16" i="201"/>
  <c r="E16" i="201"/>
  <c r="I15" i="201"/>
  <c r="H15" i="201"/>
  <c r="F15" i="201"/>
  <c r="E15" i="201"/>
  <c r="I11" i="201"/>
  <c r="H11" i="201"/>
  <c r="F11" i="201"/>
  <c r="E11" i="201"/>
  <c r="I10" i="201"/>
  <c r="H10" i="201"/>
  <c r="F10" i="201"/>
  <c r="E10" i="201"/>
  <c r="I9" i="201"/>
  <c r="H9" i="201"/>
  <c r="F9" i="201"/>
  <c r="E9" i="201"/>
  <c r="I8" i="201"/>
  <c r="H8" i="201"/>
  <c r="F8" i="201"/>
  <c r="E8" i="201"/>
  <c r="I7" i="201"/>
  <c r="H7" i="201"/>
  <c r="F7" i="201"/>
  <c r="E7" i="201"/>
  <c r="I6" i="201"/>
  <c r="H6" i="201"/>
  <c r="F6" i="201"/>
  <c r="E6" i="201"/>
  <c r="I5" i="201"/>
  <c r="H5" i="201"/>
  <c r="F5" i="201"/>
  <c r="E5" i="201"/>
  <c r="I4" i="201"/>
  <c r="H4" i="201"/>
  <c r="F4" i="201"/>
  <c r="E4" i="201"/>
  <c r="A34" i="1"/>
  <c r="J102" i="201" l="1"/>
  <c r="J101" i="201"/>
  <c r="J100" i="201"/>
  <c r="J99" i="201"/>
  <c r="J98" i="201"/>
  <c r="J97" i="201"/>
  <c r="J93" i="201"/>
  <c r="J92" i="201"/>
  <c r="J91" i="201"/>
  <c r="J90" i="201"/>
  <c r="J89" i="201"/>
  <c r="J88" i="201"/>
  <c r="J87" i="201"/>
  <c r="J83" i="201"/>
  <c r="J82" i="201"/>
  <c r="J81" i="201"/>
  <c r="J80" i="201"/>
  <c r="J79" i="201"/>
  <c r="J78" i="201"/>
  <c r="J77" i="201"/>
  <c r="J73" i="201"/>
  <c r="J72" i="201"/>
  <c r="J71" i="201"/>
  <c r="J70" i="201"/>
  <c r="J69" i="201"/>
  <c r="J68" i="201"/>
  <c r="J64" i="201"/>
  <c r="J63" i="201"/>
  <c r="J62" i="201"/>
  <c r="J61" i="201"/>
  <c r="J60" i="201"/>
  <c r="J59" i="201"/>
  <c r="J58" i="201"/>
  <c r="J54" i="201"/>
  <c r="J53" i="201"/>
  <c r="J52" i="201"/>
  <c r="J51" i="201"/>
  <c r="J50" i="201"/>
  <c r="J49" i="201"/>
  <c r="J48" i="201"/>
  <c r="J44" i="201"/>
  <c r="J43" i="201"/>
  <c r="J42" i="201"/>
  <c r="J41" i="201"/>
  <c r="J40" i="201"/>
  <c r="J39" i="201"/>
  <c r="J38" i="201"/>
  <c r="J37" i="201"/>
  <c r="J33" i="201"/>
  <c r="J32" i="201"/>
  <c r="J31" i="201"/>
  <c r="J30" i="201"/>
  <c r="J29" i="201"/>
  <c r="J28" i="201"/>
  <c r="J27" i="201"/>
  <c r="J26" i="201"/>
  <c r="J22" i="201"/>
  <c r="J21" i="201"/>
  <c r="J20" i="201"/>
  <c r="J19" i="201"/>
  <c r="J18" i="201"/>
  <c r="J17" i="201"/>
  <c r="J16" i="201"/>
  <c r="J15" i="201"/>
  <c r="J11" i="201"/>
  <c r="J10" i="201"/>
  <c r="J9" i="201"/>
  <c r="J8" i="201"/>
  <c r="J7" i="201"/>
  <c r="J6" i="201"/>
  <c r="J5" i="201"/>
  <c r="J4" i="201"/>
  <c r="A38" i="1"/>
  <c r="A19" i="1"/>
</calcChain>
</file>

<file path=xl/sharedStrings.xml><?xml version="1.0" encoding="utf-8"?>
<sst xmlns="http://schemas.openxmlformats.org/spreadsheetml/2006/main" count="4455" uniqueCount="226">
  <si>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</si>
  <si>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</si>
  <si>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</si>
  <si>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</si>
  <si>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</si>
  <si>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</si>
  <si>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</si>
  <si>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</si>
  <si>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</si>
  <si>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</si>
  <si>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</si>
  <si>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</si>
  <si>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</si>
  <si>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</si>
  <si>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</si>
  <si>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</si>
  <si>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</si>
  <si>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</si>
  <si>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</si>
  <si>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</si>
  <si>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</si>
  <si>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</si>
  <si>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</si>
  <si>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</si>
  <si>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</si>
  <si>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</si>
  <si>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</si>
  <si>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</si>
  <si>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</si>
  <si>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</si>
  <si>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</si>
  <si>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</si>
  <si>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</si>
  <si>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</si>
  <si>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</si>
  <si>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</si>
  <si>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</si>
  <si>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</si>
  <si>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</si>
  <si>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</si>
  <si>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</si>
  <si>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</si>
  <si>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</si>
  <si>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</si>
  <si>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</si>
  <si>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</si>
  <si>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</si>
  <si>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</si>
  <si>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</si>
  <si>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</si>
  <si>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</si>
  <si>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</si>
  <si>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00:00</t>
  </si>
  <si>
    <t>00:20</t>
  </si>
  <si>
    <t>20:00</t>
  </si>
  <si>
    <t>1A</t>
  </si>
  <si>
    <t>2A</t>
  </si>
  <si>
    <t>3A</t>
  </si>
  <si>
    <t>4A</t>
  </si>
  <si>
    <t>DM</t>
  </si>
  <si>
    <t>DH</t>
  </si>
  <si>
    <t>SH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</si>
  <si>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</si>
  <si>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</si>
  <si>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</si>
  <si>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</si>
  <si>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</si>
  <si>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</si>
  <si>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</si>
  <si>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</si>
  <si>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</si>
  <si>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</si>
  <si>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5A</t>
  </si>
  <si>
    <t>6A</t>
  </si>
  <si>
    <t>7A</t>
  </si>
  <si>
    <t>8A</t>
  </si>
  <si>
    <t>1B</t>
  </si>
  <si>
    <t>2B</t>
  </si>
  <si>
    <t>3B</t>
  </si>
  <si>
    <t>4B</t>
  </si>
  <si>
    <t>5B</t>
  </si>
  <si>
    <t>6B</t>
  </si>
  <si>
    <t>7B</t>
  </si>
  <si>
    <t>8B</t>
  </si>
  <si>
    <t>1C</t>
  </si>
  <si>
    <t>2C</t>
  </si>
  <si>
    <t>3C</t>
  </si>
  <si>
    <t>4C</t>
  </si>
  <si>
    <t>5C</t>
  </si>
  <si>
    <t>6C</t>
  </si>
  <si>
    <t>7C</t>
  </si>
  <si>
    <t>8C</t>
  </si>
  <si>
    <t>1D</t>
  </si>
  <si>
    <t>2D</t>
  </si>
  <si>
    <t>3D</t>
  </si>
  <si>
    <t>4D</t>
  </si>
  <si>
    <t>5D</t>
  </si>
  <si>
    <t>6D</t>
  </si>
  <si>
    <t>7D</t>
  </si>
  <si>
    <t>8D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</si>
  <si>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</si>
  <si>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</si>
  <si>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</si>
  <si>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</si>
  <si>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</si>
  <si>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</si>
  <si>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</si>
  <si>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</si>
  <si>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</si>
  <si>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</si>
  <si>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</si>
  <si>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</si>
  <si>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</si>
  <si>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</si>
  <si>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</si>
  <si>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</si>
  <si>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</si>
  <si>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</si>
  <si>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</si>
  <si>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</si>
  <si>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</si>
  <si>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</si>
  <si>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</si>
  <si>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</si>
  <si>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1I</t>
  </si>
  <si>
    <t>2I</t>
  </si>
  <si>
    <t>3I</t>
  </si>
  <si>
    <t>4I</t>
  </si>
  <si>
    <t>5I</t>
  </si>
  <si>
    <t>6I</t>
  </si>
  <si>
    <t>1J</t>
  </si>
  <si>
    <t>2J</t>
  </si>
  <si>
    <t>3J</t>
  </si>
  <si>
    <t>4J</t>
  </si>
  <si>
    <t>5J</t>
  </si>
  <si>
    <t>6J</t>
  </si>
  <si>
    <t>7E</t>
  </si>
  <si>
    <t>7F</t>
  </si>
  <si>
    <t>7H</t>
  </si>
  <si>
    <t>7I</t>
  </si>
  <si>
    <t>Version 3.03</t>
  </si>
  <si>
    <t>1 DM 1</t>
  </si>
  <si>
    <t>2 DM 2</t>
  </si>
  <si>
    <t>3 DM 3</t>
  </si>
  <si>
    <t>4 DM 4</t>
  </si>
  <si>
    <t>5 DM 5</t>
  </si>
  <si>
    <t>6 DM 6</t>
  </si>
  <si>
    <t>7 DM 7</t>
  </si>
  <si>
    <t>8 DM 8</t>
  </si>
  <si>
    <t>9 DM 9</t>
  </si>
  <si>
    <t>10 DM 10</t>
  </si>
  <si>
    <t>11 DM 11</t>
  </si>
  <si>
    <t>6 DH 6</t>
  </si>
  <si>
    <t>7 DH 7</t>
  </si>
  <si>
    <t>8 DH 8</t>
  </si>
  <si>
    <t>9 DH 9</t>
  </si>
  <si>
    <t>10 DH 10</t>
  </si>
  <si>
    <t>11 DH 11</t>
  </si>
  <si>
    <t>1 DH 1</t>
  </si>
  <si>
    <t>2 DH 2</t>
  </si>
  <si>
    <t>3 DH 3</t>
  </si>
  <si>
    <t>4 SH 4</t>
  </si>
  <si>
    <t>5 SH 5</t>
  </si>
  <si>
    <t>6 SH 6</t>
  </si>
  <si>
    <t>7 SH 7</t>
  </si>
  <si>
    <t>8 SH 8</t>
  </si>
  <si>
    <t>9 SH 9</t>
  </si>
  <si>
    <t>10 SH 10</t>
  </si>
  <si>
    <t>11 SH 11</t>
  </si>
  <si>
    <t>1 SH 1</t>
  </si>
  <si>
    <t>4 DH 4</t>
  </si>
  <si>
    <t>2 SH 2</t>
  </si>
  <si>
    <t>5 DH 5</t>
  </si>
  <si>
    <t>3 SH 3</t>
  </si>
  <si>
    <t>7  7</t>
  </si>
  <si>
    <t>8  8</t>
  </si>
  <si>
    <t>9  9</t>
  </si>
  <si>
    <t>10  10</t>
  </si>
  <si>
    <t>11  11</t>
  </si>
  <si>
    <t>Lettre</t>
  </si>
  <si>
    <t>Gagnés</t>
  </si>
  <si>
    <t>Perdus</t>
  </si>
  <si>
    <t>Set Gagnés</t>
  </si>
  <si>
    <t>Marqués</t>
  </si>
  <si>
    <t>Encaissés</t>
  </si>
  <si>
    <t>Différence</t>
  </si>
  <si>
    <t>Confrontation Direct</t>
  </si>
  <si>
    <t>Ordre Inscrip</t>
  </si>
  <si>
    <t>Ordre Ph</t>
  </si>
  <si>
    <t>PHASE FINAL DM</t>
  </si>
  <si>
    <t>PHASE FINAL DH</t>
  </si>
  <si>
    <t>PHASE FINAL SH</t>
  </si>
  <si>
    <t>PHASE FINAL 1</t>
  </si>
  <si>
    <t>TERRAIN 1</t>
  </si>
  <si>
    <t>TERRAIN 2</t>
  </si>
  <si>
    <t>TERRAIN 3</t>
  </si>
  <si>
    <t>TERRAIN 4</t>
  </si>
  <si>
    <t>PHASE FINAL 2</t>
  </si>
  <si>
    <t>TERRAIN 5</t>
  </si>
  <si>
    <t>TERRAIN 6</t>
  </si>
  <si>
    <t>TERRAIN 7</t>
  </si>
  <si>
    <t>TERRAIN 8</t>
  </si>
  <si>
    <t>PHASE FINAL 3</t>
  </si>
  <si>
    <t>TERRAIN 9</t>
  </si>
  <si>
    <t>TERRAIN 10</t>
  </si>
  <si>
    <t>TERRAIN 11</t>
  </si>
  <si>
    <t>PHASE FINAL 4</t>
  </si>
  <si>
    <t>Place 1 et 2</t>
  </si>
  <si>
    <t>Place 3 et 4</t>
  </si>
  <si>
    <t>Place 5 et 6</t>
  </si>
  <si>
    <t>Place 7 et 8</t>
  </si>
  <si>
    <t>Place 9 et 10</t>
  </si>
  <si>
    <t>Place 11 et 12</t>
  </si>
  <si>
    <t>Place 13 et 14</t>
  </si>
  <si>
    <t>Place 15 et 16</t>
  </si>
  <si>
    <t>Place 17 et 18</t>
  </si>
  <si>
    <t>Place 19 et 20</t>
  </si>
  <si>
    <t>Place 21 et 22</t>
  </si>
  <si>
    <t>Place 23 et 24</t>
  </si>
  <si>
    <t>Place 25 et 26</t>
  </si>
  <si>
    <t>Place 27 et 28</t>
  </si>
  <si>
    <t>Place 29 et 30</t>
  </si>
  <si>
    <t>Place 31 et 32</t>
  </si>
  <si>
    <t>CLASSEMENT FINAL DM</t>
  </si>
  <si>
    <t>CLASSEMENT FINAL DH</t>
  </si>
  <si>
    <t>CLASSEMENT FINAL 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</si>
</sst>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hh:mm;@"/>
    <numFmt numFmtId="166" formatCode="hh:mm"/>
  </numFmts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FFFF"/>
      <name val="Calibri"/>
      <family val="2"/>
      <scheme val="minor"/>
    </font>
    <font>
      <sz val="90"/>
      <color rgb="FFFFFFFF"/>
      <name val="Calibri"/>
      <family val="2"/>
      <scheme val="minor"/>
    </font>
    <font>
      <sz val="12"/>
      <color rgb="FFFFFFFF"/>
      <name val="Calibri"/>
      <family val="2"/>
      <scheme val="minor"/>
    </font>
    <font>
      <sz val="11"/>
      <color indexed="9"/>
      <name val="Calibri"/>
      <family val="2"/>
      <scheme val="minor"/>
    </font>
    <font>
      <sz val="12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  <font>
      <sz val="1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6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4" borderId="0" xfId="0" applyFill="1"/>
    <xf numFmtId="0" fontId="12" fillId="5" borderId="30" xfId="0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center" vertical="center"/>
    </xf>
    <xf numFmtId="0" fontId="14" fillId="6" borderId="33" xfId="0" applyFont="1" applyFill="1" applyBorder="1" applyAlignment="1">
      <alignment horizontal="center" vertical="center"/>
    </xf>
    <xf numFmtId="0" fontId="12" fillId="5" borderId="34" xfId="0" applyFont="1" applyFill="1" applyBorder="1" applyAlignment="1">
      <alignment horizontal="center" vertical="center"/>
    </xf>
    <xf numFmtId="0" fontId="15" fillId="6" borderId="35" xfId="0" applyFont="1" applyFill="1" applyBorder="1" applyAlignment="1" applyProtection="1">
      <alignment horizontal="center" vertical="center"/>
      <protection locked="0"/>
    </xf>
    <xf numFmtId="0" fontId="15" fillId="6" borderId="36" xfId="0" applyFont="1" applyFill="1" applyBorder="1" applyAlignment="1" applyProtection="1">
      <alignment horizontal="center" vertical="center"/>
      <protection locked="0"/>
    </xf>
    <xf numFmtId="0" fontId="15" fillId="6" borderId="37" xfId="0" applyFont="1" applyFill="1" applyBorder="1" applyAlignment="1" applyProtection="1">
      <alignment horizontal="center" vertical="center"/>
      <protection locked="0"/>
    </xf>
    <xf numFmtId="0" fontId="14" fillId="7" borderId="31" xfId="0" applyFont="1" applyFill="1" applyBorder="1" applyAlignment="1">
      <alignment horizontal="center" vertical="center"/>
    </xf>
    <xf numFmtId="0" fontId="14" fillId="7" borderId="32" xfId="0" applyFont="1" applyFill="1" applyBorder="1" applyAlignment="1">
      <alignment horizontal="center" vertical="center"/>
    </xf>
    <xf numFmtId="0" fontId="14" fillId="7" borderId="33" xfId="0" applyFont="1" applyFill="1" applyBorder="1" applyAlignment="1">
      <alignment horizontal="center" vertical="center"/>
    </xf>
    <xf numFmtId="0" fontId="15" fillId="7" borderId="35" xfId="0" applyFont="1" applyFill="1" applyBorder="1" applyAlignment="1" applyProtection="1">
      <alignment horizontal="center" vertical="center"/>
      <protection locked="0"/>
    </xf>
    <xf numFmtId="0" fontId="15" fillId="7" borderId="36" xfId="0" applyFont="1" applyFill="1" applyBorder="1" applyAlignment="1" applyProtection="1">
      <alignment horizontal="center" vertical="center"/>
      <protection locked="0"/>
    </xf>
    <xf numFmtId="0" fontId="15" fillId="7" borderId="37" xfId="0" applyFont="1" applyFill="1" applyBorder="1" applyAlignment="1" applyProtection="1">
      <alignment horizontal="center" vertical="center"/>
      <protection locked="0"/>
    </xf>
    <xf numFmtId="0" fontId="14" fillId="8" borderId="31" xfId="0" applyFont="1" applyFill="1" applyBorder="1" applyAlignment="1">
      <alignment horizontal="center" vertical="center"/>
    </xf>
    <xf numFmtId="0" fontId="14" fillId="8" borderId="32" xfId="0" applyFont="1" applyFill="1" applyBorder="1" applyAlignment="1">
      <alignment horizontal="center" vertical="center"/>
    </xf>
    <xf numFmtId="0" fontId="14" fillId="8" borderId="33" xfId="0" applyFont="1" applyFill="1" applyBorder="1" applyAlignment="1">
      <alignment horizontal="center" vertical="center"/>
    </xf>
    <xf numFmtId="0" fontId="15" fillId="8" borderId="35" xfId="0" applyFont="1" applyFill="1" applyBorder="1" applyAlignment="1" applyProtection="1">
      <alignment horizontal="center" vertical="center"/>
      <protection locked="0"/>
    </xf>
    <xf numFmtId="0" fontId="15" fillId="8" borderId="36" xfId="0" applyFont="1" applyFill="1" applyBorder="1" applyAlignment="1" applyProtection="1">
      <alignment horizontal="center" vertical="center"/>
      <protection locked="0"/>
    </xf>
    <xf numFmtId="0" fontId="15" fillId="8" borderId="37" xfId="0" applyFont="1" applyFill="1" applyBorder="1" applyAlignment="1" applyProtection="1">
      <alignment horizontal="center" vertical="center"/>
      <protection locked="0"/>
    </xf>
    <xf numFmtId="0" fontId="14" fillId="9" borderId="31" xfId="0" applyFont="1" applyFill="1" applyBorder="1" applyAlignment="1">
      <alignment horizontal="center" vertical="center"/>
    </xf>
    <xf numFmtId="0" fontId="14" fillId="9" borderId="32" xfId="0" applyFont="1" applyFill="1" applyBorder="1" applyAlignment="1">
      <alignment horizontal="center" vertical="center"/>
    </xf>
    <xf numFmtId="0" fontId="14" fillId="9" borderId="33" xfId="0" applyFont="1" applyFill="1" applyBorder="1" applyAlignment="1">
      <alignment horizontal="center" vertical="center"/>
    </xf>
    <xf numFmtId="0" fontId="15" fillId="9" borderId="35" xfId="0" applyFont="1" applyFill="1" applyBorder="1" applyAlignment="1" applyProtection="1">
      <alignment horizontal="center" vertical="center"/>
      <protection locked="0"/>
    </xf>
    <xf numFmtId="0" fontId="15" fillId="9" borderId="36" xfId="0" applyFont="1" applyFill="1" applyBorder="1" applyAlignment="1" applyProtection="1">
      <alignment horizontal="center" vertical="center"/>
      <protection locked="0"/>
    </xf>
    <xf numFmtId="0" fontId="15" fillId="9" borderId="37" xfId="0" applyFont="1" applyFill="1" applyBorder="1" applyAlignment="1" applyProtection="1">
      <alignment horizontal="center" vertical="center"/>
      <protection locked="0"/>
    </xf>
    <xf numFmtId="0" fontId="14" fillId="10" borderId="31" xfId="0" applyFont="1" applyFill="1" applyBorder="1" applyAlignment="1">
      <alignment horizontal="center" vertical="center"/>
    </xf>
    <xf numFmtId="0" fontId="14" fillId="10" borderId="32" xfId="0" applyFont="1" applyFill="1" applyBorder="1" applyAlignment="1">
      <alignment horizontal="center" vertical="center"/>
    </xf>
    <xf numFmtId="0" fontId="14" fillId="10" borderId="33" xfId="0" applyFont="1" applyFill="1" applyBorder="1" applyAlignment="1">
      <alignment horizontal="center" vertical="center"/>
    </xf>
    <xf numFmtId="0" fontId="15" fillId="10" borderId="35" xfId="0" applyFont="1" applyFill="1" applyBorder="1" applyAlignment="1" applyProtection="1">
      <alignment horizontal="center" vertical="center"/>
      <protection locked="0"/>
    </xf>
    <xf numFmtId="0" fontId="15" fillId="10" borderId="36" xfId="0" applyFont="1" applyFill="1" applyBorder="1" applyAlignment="1" applyProtection="1">
      <alignment horizontal="center" vertical="center"/>
      <protection locked="0"/>
    </xf>
    <xf numFmtId="0" fontId="15" fillId="10" borderId="37" xfId="0" applyFont="1" applyFill="1" applyBorder="1" applyAlignment="1" applyProtection="1">
      <alignment horizontal="center" vertical="center"/>
      <protection locked="0"/>
    </xf>
    <xf numFmtId="0" fontId="16" fillId="11" borderId="0" xfId="0" applyFont="1" applyFill="1" applyAlignment="1">
      <alignment horizontal="center" vertical="center"/>
    </xf>
    <xf numFmtId="166" fontId="16" fillId="11" borderId="0" xfId="0" applyNumberFormat="1" applyFont="1" applyFill="1" applyAlignment="1">
      <alignment horizontal="center" vertical="center"/>
    </xf>
    <xf numFmtId="0" fontId="16" fillId="11" borderId="38" xfId="0" applyFont="1" applyFill="1" applyBorder="1" applyAlignment="1">
      <alignment horizontal="center" vertical="center"/>
    </xf>
    <xf numFmtId="0" fontId="13" fillId="6" borderId="41" xfId="0" applyFont="1" applyFill="1" applyBorder="1" applyAlignment="1">
      <alignment horizontal="center" vertical="center"/>
    </xf>
    <xf numFmtId="0" fontId="13" fillId="7" borderId="41" xfId="0" applyFont="1" applyFill="1" applyBorder="1" applyAlignment="1">
      <alignment horizontal="center" vertical="center"/>
    </xf>
    <xf numFmtId="0" fontId="13" fillId="8" borderId="41" xfId="0" applyFont="1" applyFill="1" applyBorder="1" applyAlignment="1">
      <alignment horizontal="center" vertical="center"/>
    </xf>
    <xf numFmtId="0" fontId="13" fillId="9" borderId="41" xfId="0" applyFont="1" applyFill="1" applyBorder="1" applyAlignment="1">
      <alignment horizontal="center" vertical="center"/>
    </xf>
    <xf numFmtId="0" fontId="13" fillId="10" borderId="41" xfId="0" applyFont="1" applyFill="1" applyBorder="1" applyAlignment="1">
      <alignment horizontal="center" vertical="center"/>
    </xf>
    <xf numFmtId="0" fontId="16" fillId="11" borderId="0" xfId="0" applyFont="1" applyFill="1" applyAlignment="1" applyProtection="1">
      <alignment horizontal="center" vertical="center"/>
      <protection locked="0"/>
    </xf>
    <xf numFmtId="0" fontId="12" fillId="0" borderId="40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17" fillId="5" borderId="39" xfId="0" applyFont="1" applyFill="1" applyBorder="1" applyAlignment="1">
      <alignment horizontal="center" vertical="center"/>
    </xf>
    <xf numFmtId="0" fontId="18" fillId="5" borderId="39" xfId="0" applyFont="1" applyFill="1" applyBorder="1" applyAlignment="1">
      <alignment horizontal="center" vertical="center" wrapText="1"/>
    </xf>
    <xf numFmtId="0" fontId="14" fillId="6" borderId="0" xfId="0" applyFont="1" applyFill="1" applyBorder="1" applyAlignment="1">
      <alignment horizontal="center" vertical="center"/>
    </xf>
    <xf numFmtId="0" fontId="15" fillId="6" borderId="41" xfId="0" applyFont="1" applyFill="1" applyBorder="1" applyAlignment="1" applyProtection="1">
      <alignment horizontal="center" vertical="center"/>
      <protection locked="0"/>
    </xf>
    <xf numFmtId="0" fontId="14" fillId="7" borderId="0" xfId="0" applyFont="1" applyFill="1" applyBorder="1" applyAlignment="1">
      <alignment horizontal="center" vertical="center"/>
    </xf>
    <xf numFmtId="0" fontId="15" fillId="7" borderId="41" xfId="0" applyFont="1" applyFill="1" applyBorder="1" applyAlignment="1" applyProtection="1">
      <alignment horizontal="center" vertical="center"/>
      <protection locked="0"/>
    </xf>
    <xf numFmtId="0" fontId="14" fillId="8" borderId="0" xfId="0" applyFont="1" applyFill="1" applyBorder="1" applyAlignment="1">
      <alignment horizontal="center" vertical="center"/>
    </xf>
    <xf numFmtId="0" fontId="15" fillId="8" borderId="41" xfId="0" applyFont="1" applyFill="1" applyBorder="1" applyAlignment="1" applyProtection="1">
      <alignment horizontal="center" vertical="center"/>
      <protection locked="0"/>
    </xf>
    <xf numFmtId="0" fontId="14" fillId="9" borderId="0" xfId="0" applyFont="1" applyFill="1" applyBorder="1" applyAlignment="1">
      <alignment horizontal="center" vertical="center"/>
    </xf>
    <xf numFmtId="0" fontId="15" fillId="9" borderId="41" xfId="0" applyFont="1" applyFill="1" applyBorder="1" applyAlignment="1" applyProtection="1">
      <alignment horizontal="center" vertical="center"/>
      <protection locked="0"/>
    </xf>
    <xf numFmtId="0" fontId="14" fillId="10" borderId="0" xfId="0" applyFont="1" applyFill="1" applyBorder="1" applyAlignment="1">
      <alignment horizontal="center" vertical="center"/>
    </xf>
    <xf numFmtId="0" fontId="15" fillId="10" borderId="41" xfId="0" applyFont="1" applyFill="1" applyBorder="1" applyAlignment="1" applyProtection="1">
      <alignment horizontal="center" vertical="center"/>
      <protection locked="0"/>
    </xf>
    <xf numFmtId="1" fontId="0" fillId="4" borderId="0" xfId="0" applyNumberFormat="1" applyFill="1"/>
    <xf numFmtId="1" fontId="17" fillId="5" borderId="39" xfId="0" applyNumberFormat="1" applyFont="1" applyFill="1" applyBorder="1" applyAlignment="1">
      <alignment horizontal="center" vertical="center"/>
    </xf>
    <xf numFmtId="1" fontId="15" fillId="6" borderId="41" xfId="0" applyNumberFormat="1" applyFont="1" applyFill="1" applyBorder="1" applyAlignment="1" applyProtection="1">
      <alignment horizontal="center" vertical="center"/>
      <protection locked="0"/>
    </xf>
    <xf numFmtId="1" fontId="15" fillId="7" borderId="41" xfId="0" applyNumberFormat="1" applyFont="1" applyFill="1" applyBorder="1" applyAlignment="1" applyProtection="1">
      <alignment horizontal="center" vertical="center"/>
      <protection locked="0"/>
    </xf>
    <xf numFmtId="1" fontId="15" fillId="8" borderId="41" xfId="0" applyNumberFormat="1" applyFont="1" applyFill="1" applyBorder="1" applyAlignment="1" applyProtection="1">
      <alignment horizontal="center" vertical="center"/>
      <protection locked="0"/>
    </xf>
    <xf numFmtId="1" fontId="15" fillId="9" borderId="41" xfId="0" applyNumberFormat="1" applyFont="1" applyFill="1" applyBorder="1" applyAlignment="1" applyProtection="1">
      <alignment horizontal="center" vertical="center"/>
      <protection locked="0"/>
    </xf>
    <xf numFmtId="1" fontId="15" fillId="10" borderId="41" xfId="0" applyNumberFormat="1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16" fillId="4" borderId="0" xfId="0" applyFont="1" applyFill="1" applyAlignment="1" applyProtection="1">
      <alignment horizontal="center" vertical="center"/>
      <protection locked="0"/>
    </xf>
    <xf numFmtId="0" fontId="12" fillId="5" borderId="3" xfId="0" applyFont="1" applyFill="1" applyBorder="1" applyAlignment="1" applyProtection="1">
      <alignment horizontal="center" vertical="center"/>
      <protection locked="0"/>
    </xf>
    <xf numFmtId="0" fontId="12" fillId="5" borderId="10" xfId="0" applyFont="1" applyFill="1" applyBorder="1" applyAlignment="1" applyProtection="1">
      <alignment horizontal="center" vertical="center"/>
      <protection locked="0"/>
    </xf>
    <xf numFmtId="0" fontId="12" fillId="5" borderId="4" xfId="0" applyFont="1" applyFill="1" applyBorder="1" applyAlignment="1" applyProtection="1">
      <alignment horizontal="center" vertical="center"/>
      <protection locked="0"/>
    </xf>
    <xf numFmtId="0" fontId="12" fillId="5" borderId="11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0" fontId="16" fillId="12" borderId="42" xfId="0" applyFont="1" applyFill="1" applyBorder="1" applyAlignment="1">
      <alignment horizontal="center" vertical="center"/>
    </xf>
    <xf numFmtId="0" fontId="16" fillId="12" borderId="45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20" fillId="12" borderId="0" xfId="0" applyFont="1" applyFill="1" applyBorder="1" applyAlignment="1">
      <alignment horizontal="center" vertical="center"/>
    </xf>
    <xf numFmtId="0" fontId="20" fillId="12" borderId="42" xfId="0" applyFont="1" applyFill="1" applyBorder="1" applyAlignment="1">
      <alignment horizontal="center" vertical="center"/>
    </xf>
    <xf numFmtId="0" fontId="21" fillId="12" borderId="0" xfId="0" applyFont="1" applyFill="1" applyBorder="1" applyAlignment="1">
      <alignment horizontal="center" vertical="center"/>
    </xf>
    <xf numFmtId="0" fontId="21" fillId="12" borderId="42" xfId="0" applyFont="1" applyFill="1" applyBorder="1" applyAlignment="1">
      <alignment horizontal="center" vertical="center"/>
    </xf>
    <xf numFmtId="0" fontId="22" fillId="12" borderId="0" xfId="0" applyFont="1" applyFill="1" applyBorder="1" applyAlignment="1">
      <alignment horizontal="center"/>
    </xf>
    <xf numFmtId="0" fontId="22" fillId="12" borderId="42" xfId="0" applyFont="1" applyFill="1" applyBorder="1" applyAlignment="1">
      <alignment horizontal="center"/>
    </xf>
    <xf numFmtId="0" fontId="22" fillId="12" borderId="44" xfId="0" applyFont="1" applyFill="1" applyBorder="1" applyAlignment="1">
      <alignment horizontal="center"/>
    </xf>
    <xf numFmtId="0" fontId="22" fillId="12" borderId="43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1356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82</xdr:row>
          <xdr:rowOff>0</xdr:rowOff>
        </xdr:to>
        <xdr:sp macro="" textlink="">
          <xdr:nvSpPr>
            <xdr:cNvPr id="138241" name="C4PPinscript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17BDD15A-07D1-D7DA-7319-FE5AD0923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252</xdr:row>
          <xdr:rowOff>0</xdr:rowOff>
        </xdr:to>
        <xdr:sp macro="" textlink="">
          <xdr:nvSpPr>
            <xdr:cNvPr id="139265" name="MAJHEUREB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1F46BFA3-1938-36B6-7306-A783645FF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252</xdr:row>
          <xdr:rowOff>0</xdr:rowOff>
        </xdr:to>
        <xdr:sp macro="" textlink="">
          <xdr:nvSpPr>
            <xdr:cNvPr id="139266" name="C4PPMatch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B44DE3D-F343-3179-346A-C0EA9BCBE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102</xdr:row>
          <xdr:rowOff>0</xdr:rowOff>
        </xdr:to>
        <xdr:sp macro="" textlink="">
          <xdr:nvSpPr>
            <xdr:cNvPr id="140289" name="TRIPOULE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C123032-428F-5AD5-64D8-DFC270F55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140290" name="ValiderOrdrePhaseFinale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1F85DEB0-2E62-43F6-41A7-BF7A91672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140291" name="C4PPClassement" hidden="1">
              <a:extLst>
                <a:ext uri="{63B3BB69-23CF-44E3-9099-C40C66FF867C}">
                  <a14:compatExt spid="_x0000_s140291"/>
                </a:ext>
                <a:ext uri="{FF2B5EF4-FFF2-40B4-BE49-F238E27FC236}">
                  <a16:creationId xmlns:a16="http://schemas.microsoft.com/office/drawing/2014/main" id="{5F2606FA-08E5-FD63-4281-CFCD8CAD91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141313" name="C4PPph14" hidden="1">
              <a:extLst>
                <a:ext uri="{63B3BB69-23CF-44E3-9099-C40C66FF867C}">
                  <a14:compatExt spid="_x0000_s141313"/>
                </a:ext>
                <a:ext uri="{FF2B5EF4-FFF2-40B4-BE49-F238E27FC236}">
                  <a16:creationId xmlns:a16="http://schemas.microsoft.com/office/drawing/2014/main" id="{CF4ECA80-69AC-DA18-0CA5-BA79E051D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142337" name="C4PPph14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:a16="http://schemas.microsoft.com/office/drawing/2014/main" id="{44C7F11E-BA49-3EFC-62D4-030C5D407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143361" name="C4PPph14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FEB37F7-21A7-AD94-0A20-0A92C9DD0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108</xdr:row>
          <xdr:rowOff>0</xdr:rowOff>
        </xdr:to>
        <xdr:sp macro="" textlink="">
          <xdr:nvSpPr>
            <xdr:cNvPr id="144385" name="MAJHEUREB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CF19C1F8-C946-D064-F27F-AC13ACBCE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108</xdr:row>
          <xdr:rowOff>0</xdr:rowOff>
        </xdr:to>
        <xdr:sp macro="" textlink="">
          <xdr:nvSpPr>
            <xdr:cNvPr id="144386" name="C4PPMatchph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id="{9AC1AD5C-4CE1-6B48-6E0D-70D1C7C86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145409" name="C4PPphfinalh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C26B3F69-D613-4107-A632-3C760F8E40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146433" name="C4PPphfinalh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547A6675-E327-297C-0F90-1E2AB550E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74</xdr:row>
          <xdr:rowOff>0</xdr:rowOff>
        </xdr:to>
        <xdr:sp macro="" textlink="">
          <xdr:nvSpPr>
            <xdr:cNvPr id="147457" name="C4PPphfinalh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A7A4A7C6-3582-4178-DA8D-ADAF462E9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0" t="s">
        <v>13</v>
      </c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1" ht="15" customHeight="1" x14ac:dyDescent="0.25">
      <c r="A2" s="63"/>
      <c r="B2" s="64"/>
      <c r="C2" s="64"/>
      <c r="D2" s="64"/>
      <c r="E2" s="64"/>
      <c r="F2" s="64"/>
      <c r="G2" s="64"/>
      <c r="H2" s="64"/>
      <c r="I2" s="64"/>
      <c r="J2" s="64"/>
      <c r="K2" s="65"/>
    </row>
    <row r="3" spans="1:11" ht="15" customHeight="1" x14ac:dyDescent="0.25">
      <c r="A3" s="63"/>
      <c r="B3" s="64"/>
      <c r="C3" s="64"/>
      <c r="D3" s="64"/>
      <c r="E3" s="64"/>
      <c r="F3" s="64"/>
      <c r="G3" s="64"/>
      <c r="H3" s="64"/>
      <c r="I3" s="64"/>
      <c r="J3" s="64"/>
      <c r="K3" s="65"/>
    </row>
    <row r="4" spans="1:11" ht="15" customHeigh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5"/>
    </row>
    <row r="5" spans="1:11" ht="15" customHeight="1" x14ac:dyDescent="0.25">
      <c r="A5" s="63"/>
      <c r="B5" s="64"/>
      <c r="C5" s="64"/>
      <c r="D5" s="64"/>
      <c r="E5" s="64"/>
      <c r="F5" s="64"/>
      <c r="G5" s="64"/>
      <c r="H5" s="64"/>
      <c r="I5" s="64"/>
      <c r="J5" s="64"/>
      <c r="K5" s="65"/>
    </row>
    <row r="6" spans="1:11" ht="15" customHeight="1" x14ac:dyDescent="0.25">
      <c r="A6" s="63"/>
      <c r="B6" s="64"/>
      <c r="C6" s="64"/>
      <c r="D6" s="64"/>
      <c r="E6" s="64"/>
      <c r="F6" s="64"/>
      <c r="G6" s="64"/>
      <c r="H6" s="64"/>
      <c r="I6" s="64"/>
      <c r="J6" s="64"/>
      <c r="K6" s="65"/>
    </row>
    <row r="7" spans="1:11" ht="15" customHeight="1" x14ac:dyDescent="0.25">
      <c r="A7" s="63"/>
      <c r="B7" s="64"/>
      <c r="C7" s="64"/>
      <c r="D7" s="64"/>
      <c r="E7" s="64"/>
      <c r="F7" s="64"/>
      <c r="G7" s="64"/>
      <c r="H7" s="64"/>
      <c r="I7" s="64"/>
      <c r="J7" s="64"/>
      <c r="K7" s="65"/>
    </row>
    <row r="8" spans="1:11" ht="15" customHeight="1" x14ac:dyDescent="0.25">
      <c r="A8" s="63"/>
      <c r="B8" s="64"/>
      <c r="C8" s="64"/>
      <c r="D8" s="64"/>
      <c r="E8" s="64"/>
      <c r="F8" s="64"/>
      <c r="G8" s="64"/>
      <c r="H8" s="64"/>
      <c r="I8" s="64"/>
      <c r="J8" s="64"/>
      <c r="K8" s="65"/>
    </row>
    <row r="9" spans="1:11" ht="15" customHeight="1" x14ac:dyDescent="0.25">
      <c r="A9" s="63"/>
      <c r="B9" s="64"/>
      <c r="C9" s="64"/>
      <c r="D9" s="64"/>
      <c r="E9" s="64"/>
      <c r="F9" s="64"/>
      <c r="G9" s="64"/>
      <c r="H9" s="64"/>
      <c r="I9" s="64"/>
      <c r="J9" s="64"/>
      <c r="K9" s="65"/>
    </row>
    <row r="10" spans="1:11" ht="15" customHeight="1" x14ac:dyDescent="0.25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5"/>
    </row>
    <row r="11" spans="1:11" ht="15" customHeight="1" x14ac:dyDescent="0.25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15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5"/>
    </row>
    <row r="13" spans="1:11" ht="15" customHeight="1" x14ac:dyDescent="0.25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5"/>
    </row>
    <row r="14" spans="1:11" ht="15" customHeight="1" x14ac:dyDescent="0.25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5"/>
    </row>
    <row r="15" spans="1:11" ht="15" customHeight="1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5"/>
    </row>
    <row r="16" spans="1:11" ht="15" customHeight="1" x14ac:dyDescent="0.25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5"/>
    </row>
    <row r="17" spans="1:11" ht="15" customHeight="1" x14ac:dyDescent="0.25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5"/>
    </row>
    <row r="18" spans="1:11" ht="15" customHeight="1" x14ac:dyDescent="0.25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5"/>
    </row>
    <row r="19" spans="1:11" ht="15" customHeight="1" x14ac:dyDescent="0.25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5"/>
    </row>
    <row r="20" spans="1:11" ht="15" customHeight="1" x14ac:dyDescent="0.25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5"/>
    </row>
    <row r="21" spans="1:11" ht="15" customHeight="1" x14ac:dyDescent="0.2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5"/>
    </row>
    <row r="22" spans="1:11" ht="15" customHeight="1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5"/>
    </row>
    <row r="23" spans="1:11" ht="15" customHeight="1" x14ac:dyDescent="0.25">
      <c r="A23" s="57" t="s">
        <v>15</v>
      </c>
      <c r="B23" s="58"/>
      <c r="C23" s="58"/>
      <c r="D23" s="58"/>
      <c r="E23" s="58"/>
      <c r="F23" s="58"/>
      <c r="G23" s="58"/>
      <c r="H23" s="58"/>
      <c r="I23" s="58"/>
      <c r="J23" s="58"/>
      <c r="K23" s="59"/>
    </row>
    <row r="24" spans="1:11" ht="1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9"/>
    </row>
    <row r="25" spans="1:11" ht="1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9"/>
    </row>
    <row r="26" spans="1:11" ht="1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9"/>
    </row>
    <row r="27" spans="1:11" ht="15" customHeight="1" x14ac:dyDescent="0.25">
      <c r="A27" s="42"/>
      <c r="B27" s="43"/>
      <c r="C27" s="43"/>
      <c r="D27" s="43"/>
      <c r="E27" s="43"/>
      <c r="F27" s="43"/>
      <c r="G27" s="43"/>
      <c r="H27" s="43"/>
      <c r="I27" s="43"/>
      <c r="J27" s="43"/>
      <c r="K27" s="44"/>
    </row>
    <row r="28" spans="1:11" ht="15" customHeight="1" thickBot="1" x14ac:dyDescent="0.3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7"/>
    </row>
    <row r="29" spans="1:11" ht="15" customHeight="1" x14ac:dyDescent="0.25">
      <c r="A29" s="48" t="s">
        <v>14</v>
      </c>
      <c r="B29" s="49"/>
      <c r="C29" s="49"/>
      <c r="D29" s="49"/>
      <c r="E29" s="49"/>
      <c r="F29" s="49"/>
      <c r="G29" s="49"/>
      <c r="H29" s="49"/>
      <c r="I29" s="49"/>
      <c r="J29" s="49"/>
      <c r="K29" s="50"/>
    </row>
    <row r="30" spans="1:11" ht="15" customHeight="1" x14ac:dyDescent="0.25">
      <c r="A30" s="51"/>
      <c r="B30" s="52"/>
      <c r="C30" s="52"/>
      <c r="D30" s="52"/>
      <c r="E30" s="52"/>
      <c r="F30" s="52"/>
      <c r="G30" s="52"/>
      <c r="H30" s="52"/>
      <c r="I30" s="52"/>
      <c r="J30" s="52"/>
      <c r="K30" s="53"/>
    </row>
    <row r="31" spans="1:11" ht="15" customHeight="1" thickBot="1" x14ac:dyDescent="0.3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6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workbookViewId="0">
      <selection activeCell="C32" sqref="C32"/>
    </sheetView>
  </sheetViews>
  <sheetFormatPr baseColWidth="10" defaultRowHeight="15" x14ac:dyDescent="0.25"/>
  <sheetData>
    <row r="1" spans="1:8" x14ac:dyDescent="0.25">
      <c r="A1" s="66" t="s">
        <v>36</v>
      </c>
      <c r="B1" s="66"/>
      <c r="C1" s="66"/>
      <c r="D1" s="66"/>
      <c r="E1" s="66"/>
      <c r="F1" s="66"/>
      <c r="G1" s="66"/>
      <c r="H1" s="66"/>
    </row>
    <row r="2" spans="1:8" x14ac:dyDescent="0.25">
      <c r="A2" s="66"/>
      <c r="B2" s="66"/>
      <c r="C2" s="66"/>
      <c r="D2" s="66"/>
      <c r="E2" s="66"/>
      <c r="F2" s="66"/>
      <c r="G2" s="66"/>
      <c r="H2" s="66"/>
    </row>
    <row r="3" spans="1:8" x14ac:dyDescent="0.25">
      <c r="A3" s="66"/>
      <c r="B3" s="66"/>
      <c r="C3" s="66"/>
      <c r="D3" s="66"/>
      <c r="E3" s="66"/>
      <c r="F3" s="66"/>
      <c r="G3" s="66"/>
      <c r="H3" s="66"/>
    </row>
    <row r="4" spans="1:8" x14ac:dyDescent="0.25">
      <c r="A4" s="67" t="str">
        <f>Parametres!F16</f>
        <v>Version 3.03</v>
      </c>
      <c r="B4" s="67"/>
      <c r="C4" s="67"/>
      <c r="D4" s="67"/>
      <c r="E4" s="67"/>
      <c r="F4" s="67"/>
      <c r="G4" s="67"/>
      <c r="H4" s="67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46"/>
  <sheetViews>
    <sheetView zoomScale="85" zoomScaleNormal="85" workbookViewId="0"/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0"/>
      <c r="D1" s="24" t="s">
        <v>37</v>
      </c>
      <c r="E1" s="40" t="s">
        <v>38</v>
      </c>
      <c r="F1" s="3" t="s">
        <v>40</v>
      </c>
      <c r="H1" s="16" t="s">
        <v>55</v>
      </c>
      <c r="I1" s="16" t="s">
        <v>56</v>
      </c>
      <c r="J1" s="16" t="s">
        <v>59</v>
      </c>
    </row>
    <row r="2" spans="1:27" ht="15.75" thickBot="1" x14ac:dyDescent="0.3">
      <c r="A2" s="7" t="s">
        <v>53</v>
      </c>
      <c r="C2" s="70"/>
      <c r="D2" s="28">
        <v>10</v>
      </c>
      <c r="E2" s="29">
        <v>11</v>
      </c>
      <c r="F2" s="23">
        <v>4</v>
      </c>
      <c r="H2" s="16" t="s">
        <v>57</v>
      </c>
      <c r="I2" s="16" t="s">
        <v>58</v>
      </c>
      <c r="J2" s="16" t="s">
        <v>59</v>
      </c>
    </row>
    <row r="3" spans="1:27" ht="15.75" thickBot="1" x14ac:dyDescent="0.3">
      <c r="A3" s="8">
        <v>1.3888888888888889E-3</v>
      </c>
      <c r="C3" s="71"/>
      <c r="D3" s="4" t="s">
        <v>39</v>
      </c>
      <c r="E3" s="38" t="str">
        <f>"Nbre de Catégories : " &amp; B30</f>
        <v>Nbre de Catégories : 3</v>
      </c>
      <c r="H3" s="16" t="s">
        <v>72</v>
      </c>
      <c r="I3" s="16" t="s">
        <v>73</v>
      </c>
      <c r="J3" s="16" t="s">
        <v>59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 t="s">
        <v>59</v>
      </c>
      <c r="H4" s="16" t="s">
        <v>74</v>
      </c>
      <c r="I4" s="16" t="s">
        <v>75</v>
      </c>
      <c r="J4" s="16" t="s">
        <v>59</v>
      </c>
    </row>
    <row r="5" spans="1:27" ht="15.75" thickBot="1" x14ac:dyDescent="0.3">
      <c r="A5" s="23">
        <v>10</v>
      </c>
      <c r="B5" s="2">
        <v>2</v>
      </c>
      <c r="C5" s="26" t="str">
        <f t="shared" si="0"/>
        <v>B</v>
      </c>
      <c r="D5" s="30">
        <v>8</v>
      </c>
      <c r="E5" s="6" t="s">
        <v>59</v>
      </c>
      <c r="H5" s="16" t="s">
        <v>76</v>
      </c>
      <c r="I5" s="16" t="s">
        <v>77</v>
      </c>
      <c r="J5" s="16" t="s">
        <v>59</v>
      </c>
      <c r="AA5"/>
    </row>
    <row r="6" spans="1:27" ht="15.75" thickBot="1" x14ac:dyDescent="0.3">
      <c r="B6" s="2">
        <v>3</v>
      </c>
      <c r="C6" s="26" t="str">
        <f t="shared" si="0"/>
        <v>C</v>
      </c>
      <c r="D6" s="30">
        <v>8</v>
      </c>
      <c r="E6" s="6" t="s">
        <v>59</v>
      </c>
      <c r="H6" s="16" t="s">
        <v>78</v>
      </c>
      <c r="I6" s="16" t="s">
        <v>79</v>
      </c>
      <c r="J6" s="16" t="s">
        <v>59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>D</v>
      </c>
      <c r="D7" s="30">
        <v>8</v>
      </c>
      <c r="E7" s="6" t="s">
        <v>59</v>
      </c>
      <c r="H7" s="16" t="s">
        <v>80</v>
      </c>
      <c r="I7" s="16" t="s">
        <v>81</v>
      </c>
      <c r="J7" s="16" t="s">
        <v>59</v>
      </c>
      <c r="AA7"/>
    </row>
    <row r="8" spans="1:27" ht="15.75" thickBot="1" x14ac:dyDescent="0.3">
      <c r="A8" s="5">
        <f>ROUNDUP(SUM(D4:D29)/16,0)</f>
        <v>5</v>
      </c>
      <c r="B8" s="2">
        <v>5</v>
      </c>
      <c r="C8" s="26" t="str">
        <f t="shared" si="0"/>
        <v>E</v>
      </c>
      <c r="D8" s="30">
        <v>7</v>
      </c>
      <c r="E8" s="6" t="s">
        <v>60</v>
      </c>
      <c r="H8" s="16" t="s">
        <v>82</v>
      </c>
      <c r="I8" s="16" t="s">
        <v>83</v>
      </c>
      <c r="J8" s="16" t="s">
        <v>59</v>
      </c>
      <c r="AA8"/>
    </row>
    <row r="9" spans="1:27" x14ac:dyDescent="0.25">
      <c r="B9" s="2">
        <v>6</v>
      </c>
      <c r="C9" s="26" t="str">
        <f t="shared" si="0"/>
        <v>F</v>
      </c>
      <c r="D9" s="30">
        <v>7</v>
      </c>
      <c r="E9" s="6" t="s">
        <v>60</v>
      </c>
      <c r="H9" s="16" t="s">
        <v>84</v>
      </c>
      <c r="I9" s="16" t="s">
        <v>85</v>
      </c>
      <c r="J9" s="16" t="s">
        <v>59</v>
      </c>
      <c r="AA9"/>
    </row>
    <row r="10" spans="1:27" ht="15.75" thickBot="1" x14ac:dyDescent="0.3">
      <c r="B10" s="2">
        <v>7</v>
      </c>
      <c r="C10" s="26" t="str">
        <f t="shared" si="0"/>
        <v>G</v>
      </c>
      <c r="D10" s="30">
        <v>6</v>
      </c>
      <c r="E10" s="6" t="s">
        <v>60</v>
      </c>
      <c r="H10" s="16" t="s">
        <v>86</v>
      </c>
      <c r="I10" s="16" t="s">
        <v>87</v>
      </c>
      <c r="J10" s="16" t="s">
        <v>59</v>
      </c>
      <c r="AA10"/>
    </row>
    <row r="11" spans="1:27" x14ac:dyDescent="0.25">
      <c r="A11" s="3" t="s">
        <v>0</v>
      </c>
      <c r="B11" s="2">
        <v>8</v>
      </c>
      <c r="C11" s="26" t="str">
        <f t="shared" si="0"/>
        <v>H</v>
      </c>
      <c r="D11" s="30">
        <v>7</v>
      </c>
      <c r="E11" s="6" t="s">
        <v>61</v>
      </c>
      <c r="H11" s="16" t="s">
        <v>88</v>
      </c>
      <c r="I11" s="16" t="s">
        <v>89</v>
      </c>
      <c r="J11" s="16" t="s">
        <v>59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>I</v>
      </c>
      <c r="D12" s="30">
        <v>7</v>
      </c>
      <c r="E12" s="6" t="s">
        <v>61</v>
      </c>
      <c r="AA12"/>
    </row>
    <row r="13" spans="1:27" x14ac:dyDescent="0.25">
      <c r="A13" s="12" t="str">
        <f>A2</f>
        <v>00:20</v>
      </c>
      <c r="B13" s="2">
        <v>10</v>
      </c>
      <c r="C13" s="26" t="str">
        <f t="shared" si="0"/>
        <v>J</v>
      </c>
      <c r="D13" s="30">
        <v>6</v>
      </c>
      <c r="E13" s="6" t="s">
        <v>61</v>
      </c>
      <c r="H13" s="16" t="s">
        <v>90</v>
      </c>
      <c r="I13" s="16" t="s">
        <v>91</v>
      </c>
      <c r="J13" s="16" t="s">
        <v>59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92</v>
      </c>
      <c r="I14" s="16" t="s">
        <v>93</v>
      </c>
      <c r="J14" s="16" t="s">
        <v>59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H15" s="16" t="s">
        <v>94</v>
      </c>
      <c r="I15" s="16" t="s">
        <v>95</v>
      </c>
      <c r="J15" s="16" t="s">
        <v>59</v>
      </c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140</v>
      </c>
      <c r="H16" s="16" t="s">
        <v>96</v>
      </c>
      <c r="I16" s="16" t="s">
        <v>97</v>
      </c>
      <c r="J16" s="16" t="s">
        <v>59</v>
      </c>
      <c r="AA16"/>
    </row>
    <row r="17" spans="1:27" x14ac:dyDescent="0.25">
      <c r="A17" s="37">
        <f>(counttour()/E2*(A2+A3)) + (ROUNDUP(IF(B31=TRUE,12*A5,12*A5*B30)/E2,0)*(A2+A3))</f>
        <v>0.4819444444444444</v>
      </c>
      <c r="B17" s="2">
        <v>14</v>
      </c>
      <c r="C17" s="26" t="str">
        <f t="shared" si="0"/>
        <v/>
      </c>
      <c r="D17" s="30"/>
      <c r="E17" s="6"/>
      <c r="H17" s="16" t="s">
        <v>98</v>
      </c>
      <c r="I17" s="16" t="s">
        <v>99</v>
      </c>
      <c r="J17" s="16" t="s">
        <v>59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68" t="s">
        <v>41</v>
      </c>
      <c r="H18" s="16" t="s">
        <v>100</v>
      </c>
      <c r="I18" s="16" t="s">
        <v>101</v>
      </c>
      <c r="J18" s="16" t="s">
        <v>60</v>
      </c>
      <c r="AA18"/>
    </row>
    <row r="19" spans="1:27" x14ac:dyDescent="0.25">
      <c r="A19" s="12">
        <f>A15+A17+A21</f>
        <v>0.87777777777777766</v>
      </c>
      <c r="B19" s="2">
        <v>16</v>
      </c>
      <c r="C19" s="26" t="str">
        <f t="shared" si="0"/>
        <v/>
      </c>
      <c r="D19" s="30"/>
      <c r="E19" s="6"/>
      <c r="F19" s="68"/>
      <c r="H19" s="16" t="s">
        <v>102</v>
      </c>
      <c r="I19" s="16" t="s">
        <v>103</v>
      </c>
      <c r="J19" s="16" t="s">
        <v>60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68"/>
      <c r="H20" s="16" t="s">
        <v>104</v>
      </c>
      <c r="I20" s="16" t="s">
        <v>105</v>
      </c>
      <c r="J20" s="16" t="s">
        <v>60</v>
      </c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68"/>
      <c r="H21" s="16" t="s">
        <v>106</v>
      </c>
      <c r="I21" s="16" t="s">
        <v>107</v>
      </c>
      <c r="J21" s="16" t="s">
        <v>60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108</v>
      </c>
      <c r="I22" s="16" t="s">
        <v>109</v>
      </c>
      <c r="J22" s="16" t="s">
        <v>60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110</v>
      </c>
      <c r="I23" s="16" t="s">
        <v>111</v>
      </c>
      <c r="J23" s="16" t="s">
        <v>60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69" t="s">
        <v>14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69"/>
      <c r="H25" s="16" t="s">
        <v>112</v>
      </c>
      <c r="I25" s="16" t="s">
        <v>113</v>
      </c>
      <c r="J25" s="16" t="s">
        <v>60</v>
      </c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69"/>
      <c r="H26" s="16" t="s">
        <v>114</v>
      </c>
      <c r="I26" s="16" t="s">
        <v>115</v>
      </c>
      <c r="J26" s="16" t="s">
        <v>60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69"/>
      <c r="H27" s="16" t="s">
        <v>116</v>
      </c>
      <c r="I27" s="16" t="s">
        <v>117</v>
      </c>
      <c r="J27" s="16" t="s">
        <v>60</v>
      </c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69"/>
      <c r="H28" s="16" t="s">
        <v>118</v>
      </c>
      <c r="I28" s="16" t="s">
        <v>119</v>
      </c>
      <c r="J28" s="16" t="s">
        <v>61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69" t="s">
        <v>51</v>
      </c>
      <c r="H29" s="16" t="s">
        <v>120</v>
      </c>
      <c r="I29" s="16" t="s">
        <v>121</v>
      </c>
      <c r="J29" s="16" t="s">
        <v>61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3</v>
      </c>
      <c r="E30" s="33"/>
      <c r="F30" s="69"/>
      <c r="H30" s="16" t="s">
        <v>122</v>
      </c>
      <c r="I30" s="16" t="s">
        <v>123</v>
      </c>
      <c r="J30" s="16" t="s">
        <v>61</v>
      </c>
    </row>
    <row r="31" spans="1:27" x14ac:dyDescent="0.25">
      <c r="A31" s="11" t="s">
        <v>45</v>
      </c>
      <c r="B31" s="36" t="b">
        <v>1</v>
      </c>
      <c r="D31" s="11" t="s">
        <v>33</v>
      </c>
      <c r="F31" s="69"/>
      <c r="H31" s="16" t="s">
        <v>124</v>
      </c>
      <c r="I31" s="16" t="s">
        <v>125</v>
      </c>
      <c r="J31" s="16" t="s">
        <v>61</v>
      </c>
    </row>
    <row r="32" spans="1:27" x14ac:dyDescent="0.25">
      <c r="A32" s="41" t="s">
        <v>54</v>
      </c>
      <c r="B32" s="36" t="b">
        <v>0</v>
      </c>
      <c r="D32" s="29">
        <v>0</v>
      </c>
      <c r="H32" s="16" t="s">
        <v>126</v>
      </c>
      <c r="I32" s="16" t="s">
        <v>127</v>
      </c>
      <c r="J32" s="16" t="s">
        <v>61</v>
      </c>
    </row>
    <row r="33" spans="1:10" x14ac:dyDescent="0.25">
      <c r="A33" s="11" t="s">
        <v>47</v>
      </c>
      <c r="B33" s="36" t="b">
        <v>1</v>
      </c>
      <c r="D33" s="11" t="s">
        <v>34</v>
      </c>
      <c r="F33" s="32"/>
      <c r="H33" s="16" t="s">
        <v>128</v>
      </c>
      <c r="I33" s="16" t="s">
        <v>129</v>
      </c>
      <c r="J33" s="16" t="s">
        <v>61</v>
      </c>
    </row>
    <row r="34" spans="1:10" x14ac:dyDescent="0.25">
      <c r="A34" s="39">
        <f>(counttour()/E2*(A2+A3))+A32</f>
        <v>1.1472222222222221</v>
      </c>
      <c r="B34" s="36" t="b">
        <v>1</v>
      </c>
      <c r="D34" s="29">
        <v>0</v>
      </c>
      <c r="H34" s="16" t="s">
        <v>130</v>
      </c>
      <c r="I34" s="16" t="s">
        <v>131</v>
      </c>
      <c r="J34" s="16" t="s">
        <v>61</v>
      </c>
    </row>
    <row r="35" spans="1:10" x14ac:dyDescent="0.25">
      <c r="A35" s="11" t="s">
        <v>48</v>
      </c>
      <c r="D35" s="11" t="s">
        <v>50</v>
      </c>
      <c r="H35" s="16" t="s">
        <v>132</v>
      </c>
      <c r="I35" s="16" t="s">
        <v>133</v>
      </c>
      <c r="J35" s="16" t="s">
        <v>61</v>
      </c>
    </row>
    <row r="36" spans="1:10" x14ac:dyDescent="0.25">
      <c r="A36" s="41" t="s">
        <v>52</v>
      </c>
      <c r="D36" s="29" t="b">
        <v>0</v>
      </c>
      <c r="E36" s="2" t="s">
        <v>35</v>
      </c>
    </row>
    <row r="37" spans="1:10" x14ac:dyDescent="0.25">
      <c r="A37" s="11" t="s">
        <v>32</v>
      </c>
      <c r="H37" s="16" t="s">
        <v>134</v>
      </c>
      <c r="I37" s="16" t="s">
        <v>135</v>
      </c>
      <c r="J37" s="16" t="s">
        <v>61</v>
      </c>
    </row>
    <row r="38" spans="1:10" x14ac:dyDescent="0.25">
      <c r="A38" s="39">
        <f>A36+(ROUNDUP(IF(B31=TRUE,12*A5,12*A5*B30)/E2,0)*(A2+A3))</f>
        <v>0.16805555555555554</v>
      </c>
      <c r="H38" s="16" t="s">
        <v>55</v>
      </c>
      <c r="I38" s="16" t="s">
        <v>57</v>
      </c>
      <c r="J38" s="16" t="s">
        <v>59</v>
      </c>
    </row>
    <row r="39" spans="1:10" ht="16.5" thickBot="1" x14ac:dyDescent="0.3">
      <c r="A39" s="14"/>
      <c r="H39" s="16" t="s">
        <v>56</v>
      </c>
      <c r="I39" s="16" t="s">
        <v>58</v>
      </c>
      <c r="J39" s="16" t="s">
        <v>59</v>
      </c>
    </row>
    <row r="40" spans="1:10" x14ac:dyDescent="0.25">
      <c r="A40" s="3" t="s">
        <v>49</v>
      </c>
      <c r="H40" s="16" t="s">
        <v>72</v>
      </c>
      <c r="I40" s="16" t="s">
        <v>74</v>
      </c>
      <c r="J40" s="16" t="s">
        <v>59</v>
      </c>
    </row>
    <row r="41" spans="1:10" x14ac:dyDescent="0.25">
      <c r="A41" s="29">
        <v>11</v>
      </c>
      <c r="H41" s="16" t="s">
        <v>73</v>
      </c>
      <c r="I41" s="16" t="s">
        <v>75</v>
      </c>
      <c r="J41" s="16" t="s">
        <v>59</v>
      </c>
    </row>
    <row r="42" spans="1:10" ht="15.75" x14ac:dyDescent="0.25">
      <c r="A42" s="14"/>
      <c r="H42" s="16" t="s">
        <v>76</v>
      </c>
      <c r="I42" s="16" t="s">
        <v>78</v>
      </c>
      <c r="J42" s="16" t="s">
        <v>59</v>
      </c>
    </row>
    <row r="43" spans="1:10" ht="15.75" x14ac:dyDescent="0.25">
      <c r="A43" s="14"/>
      <c r="H43" s="16" t="s">
        <v>77</v>
      </c>
      <c r="I43" s="16" t="s">
        <v>79</v>
      </c>
      <c r="J43" s="16" t="s">
        <v>59</v>
      </c>
    </row>
    <row r="44" spans="1:10" x14ac:dyDescent="0.25">
      <c r="A44" s="18"/>
      <c r="H44" s="16" t="s">
        <v>80</v>
      </c>
      <c r="I44" s="16" t="s">
        <v>82</v>
      </c>
      <c r="J44" s="16" t="s">
        <v>59</v>
      </c>
    </row>
    <row r="45" spans="1:10" x14ac:dyDescent="0.25">
      <c r="A45" s="18"/>
      <c r="H45" s="16" t="s">
        <v>81</v>
      </c>
      <c r="I45" s="16" t="s">
        <v>83</v>
      </c>
      <c r="J45" s="16" t="s">
        <v>59</v>
      </c>
    </row>
    <row r="46" spans="1:10" x14ac:dyDescent="0.25">
      <c r="A46" s="17"/>
      <c r="H46" s="16" t="s">
        <v>84</v>
      </c>
      <c r="I46" s="16" t="s">
        <v>86</v>
      </c>
      <c r="J46" s="16" t="s">
        <v>59</v>
      </c>
    </row>
    <row r="47" spans="1:10" x14ac:dyDescent="0.25">
      <c r="A47" s="13"/>
      <c r="H47" s="16" t="s">
        <v>85</v>
      </c>
      <c r="I47" s="16" t="s">
        <v>87</v>
      </c>
      <c r="J47" s="16" t="s">
        <v>59</v>
      </c>
    </row>
    <row r="48" spans="1:10" ht="15.75" x14ac:dyDescent="0.25">
      <c r="A48" s="14"/>
    </row>
    <row r="49" spans="1:10" ht="15.75" x14ac:dyDescent="0.25">
      <c r="A49" s="14"/>
      <c r="H49" s="16" t="s">
        <v>88</v>
      </c>
      <c r="I49" s="16" t="s">
        <v>90</v>
      </c>
      <c r="J49" s="16" t="s">
        <v>59</v>
      </c>
    </row>
    <row r="50" spans="1:10" ht="15.75" x14ac:dyDescent="0.25">
      <c r="A50" s="14"/>
      <c r="H50" s="16" t="s">
        <v>89</v>
      </c>
      <c r="I50" s="16" t="s">
        <v>91</v>
      </c>
      <c r="J50" s="16" t="s">
        <v>59</v>
      </c>
    </row>
    <row r="51" spans="1:10" ht="15.75" x14ac:dyDescent="0.25">
      <c r="A51" s="14"/>
      <c r="H51" s="16" t="s">
        <v>92</v>
      </c>
      <c r="I51" s="16" t="s">
        <v>94</v>
      </c>
      <c r="J51" s="16" t="s">
        <v>59</v>
      </c>
    </row>
    <row r="52" spans="1:10" ht="15.75" x14ac:dyDescent="0.25">
      <c r="A52" s="14"/>
      <c r="H52" s="16" t="s">
        <v>93</v>
      </c>
      <c r="I52" s="16" t="s">
        <v>95</v>
      </c>
      <c r="J52" s="16" t="s">
        <v>59</v>
      </c>
    </row>
    <row r="53" spans="1:10" ht="15.75" x14ac:dyDescent="0.25">
      <c r="A53" s="14"/>
      <c r="H53" s="16" t="s">
        <v>96</v>
      </c>
      <c r="I53" s="16" t="s">
        <v>98</v>
      </c>
      <c r="J53" s="16" t="s">
        <v>59</v>
      </c>
    </row>
    <row r="54" spans="1:10" ht="15.75" x14ac:dyDescent="0.25">
      <c r="A54" s="14"/>
      <c r="H54" s="16" t="s">
        <v>97</v>
      </c>
      <c r="I54" s="16" t="s">
        <v>99</v>
      </c>
      <c r="J54" s="16" t="s">
        <v>59</v>
      </c>
    </row>
    <row r="55" spans="1:10" ht="15.75" x14ac:dyDescent="0.25">
      <c r="A55" s="14"/>
      <c r="H55" s="16" t="s">
        <v>100</v>
      </c>
      <c r="I55" s="16" t="s">
        <v>102</v>
      </c>
      <c r="J55" s="16" t="s">
        <v>60</v>
      </c>
    </row>
    <row r="56" spans="1:10" x14ac:dyDescent="0.25">
      <c r="A56" s="13"/>
      <c r="H56" s="16" t="s">
        <v>104</v>
      </c>
      <c r="I56" s="16" t="s">
        <v>103</v>
      </c>
      <c r="J56" s="16" t="s">
        <v>60</v>
      </c>
    </row>
    <row r="57" spans="1:10" x14ac:dyDescent="0.25">
      <c r="A57" s="17"/>
      <c r="H57" s="16" t="s">
        <v>105</v>
      </c>
      <c r="I57" s="16" t="s">
        <v>136</v>
      </c>
      <c r="J57" s="16" t="s">
        <v>60</v>
      </c>
    </row>
    <row r="58" spans="1:10" x14ac:dyDescent="0.25">
      <c r="A58" s="13"/>
      <c r="H58" s="16" t="s">
        <v>106</v>
      </c>
      <c r="I58" s="16" t="s">
        <v>108</v>
      </c>
      <c r="J58" s="16" t="s">
        <v>60</v>
      </c>
    </row>
    <row r="59" spans="1:10" ht="15.75" x14ac:dyDescent="0.25">
      <c r="A59" s="14"/>
      <c r="H59" s="16" t="s">
        <v>110</v>
      </c>
      <c r="I59" s="16" t="s">
        <v>109</v>
      </c>
      <c r="J59" s="16" t="s">
        <v>60</v>
      </c>
    </row>
    <row r="60" spans="1:10" ht="15.75" x14ac:dyDescent="0.25">
      <c r="A60" s="14"/>
    </row>
    <row r="61" spans="1:10" ht="15.75" x14ac:dyDescent="0.25">
      <c r="A61" s="14"/>
      <c r="H61" s="16" t="s">
        <v>111</v>
      </c>
      <c r="I61" s="16" t="s">
        <v>137</v>
      </c>
      <c r="J61" s="16" t="s">
        <v>60</v>
      </c>
    </row>
    <row r="62" spans="1:10" ht="15.75" x14ac:dyDescent="0.25">
      <c r="A62" s="14"/>
      <c r="H62" s="16" t="s">
        <v>112</v>
      </c>
      <c r="I62" s="16" t="s">
        <v>114</v>
      </c>
      <c r="J62" s="16" t="s">
        <v>60</v>
      </c>
    </row>
    <row r="63" spans="1:10" ht="15.75" x14ac:dyDescent="0.25">
      <c r="A63" s="14"/>
      <c r="H63" s="16" t="s">
        <v>113</v>
      </c>
      <c r="I63" s="16" t="s">
        <v>116</v>
      </c>
      <c r="J63" s="16" t="s">
        <v>60</v>
      </c>
    </row>
    <row r="64" spans="1:10" ht="15.75" x14ac:dyDescent="0.25">
      <c r="A64" s="14"/>
      <c r="H64" s="16" t="s">
        <v>115</v>
      </c>
      <c r="I64" s="16" t="s">
        <v>117</v>
      </c>
      <c r="J64" s="16" t="s">
        <v>60</v>
      </c>
    </row>
    <row r="65" spans="1:10" ht="15.75" x14ac:dyDescent="0.25">
      <c r="A65" s="14"/>
      <c r="H65" s="16" t="s">
        <v>118</v>
      </c>
      <c r="I65" s="16" t="s">
        <v>120</v>
      </c>
      <c r="J65" s="16" t="s">
        <v>61</v>
      </c>
    </row>
    <row r="66" spans="1:10" ht="15.75" x14ac:dyDescent="0.25">
      <c r="A66" s="14"/>
      <c r="H66" s="16" t="s">
        <v>122</v>
      </c>
      <c r="I66" s="16" t="s">
        <v>121</v>
      </c>
      <c r="J66" s="16" t="s">
        <v>61</v>
      </c>
    </row>
    <row r="67" spans="1:10" x14ac:dyDescent="0.25">
      <c r="A67" s="13"/>
      <c r="H67" s="16" t="s">
        <v>123</v>
      </c>
      <c r="I67" s="16" t="s">
        <v>138</v>
      </c>
      <c r="J67" s="16" t="s">
        <v>61</v>
      </c>
    </row>
    <row r="68" spans="1:10" x14ac:dyDescent="0.25">
      <c r="A68" s="17"/>
      <c r="H68" s="16" t="s">
        <v>124</v>
      </c>
      <c r="I68" s="16" t="s">
        <v>126</v>
      </c>
      <c r="J68" s="16" t="s">
        <v>61</v>
      </c>
    </row>
    <row r="69" spans="1:10" x14ac:dyDescent="0.25">
      <c r="A69" s="13"/>
      <c r="H69" s="16" t="s">
        <v>128</v>
      </c>
      <c r="I69" s="16" t="s">
        <v>127</v>
      </c>
      <c r="J69" s="16" t="s">
        <v>61</v>
      </c>
    </row>
    <row r="70" spans="1:10" ht="15.75" x14ac:dyDescent="0.25">
      <c r="A70" s="14"/>
      <c r="H70" s="16" t="s">
        <v>129</v>
      </c>
      <c r="I70" s="16" t="s">
        <v>139</v>
      </c>
      <c r="J70" s="16" t="s">
        <v>61</v>
      </c>
    </row>
    <row r="71" spans="1:10" ht="15.75" x14ac:dyDescent="0.25">
      <c r="A71" s="14"/>
      <c r="H71" s="16" t="s">
        <v>130</v>
      </c>
      <c r="I71" s="16" t="s">
        <v>132</v>
      </c>
      <c r="J71" s="16" t="s">
        <v>61</v>
      </c>
    </row>
    <row r="72" spans="1:10" ht="15.75" x14ac:dyDescent="0.25">
      <c r="A72" s="14"/>
    </row>
    <row r="73" spans="1:10" ht="15.75" x14ac:dyDescent="0.25">
      <c r="A73" s="14"/>
      <c r="H73" s="16" t="s">
        <v>131</v>
      </c>
      <c r="I73" s="16" t="s">
        <v>134</v>
      </c>
      <c r="J73" s="16" t="s">
        <v>61</v>
      </c>
    </row>
    <row r="74" spans="1:10" ht="15.75" x14ac:dyDescent="0.25">
      <c r="A74" s="14"/>
      <c r="H74" s="16" t="s">
        <v>133</v>
      </c>
      <c r="I74" s="16" t="s">
        <v>135</v>
      </c>
      <c r="J74" s="16" t="s">
        <v>61</v>
      </c>
    </row>
    <row r="75" spans="1:10" ht="15.75" x14ac:dyDescent="0.25">
      <c r="A75" s="14"/>
      <c r="H75" s="16" t="s">
        <v>55</v>
      </c>
      <c r="I75" s="16" t="s">
        <v>58</v>
      </c>
      <c r="J75" s="16" t="s">
        <v>59</v>
      </c>
    </row>
    <row r="76" spans="1:10" ht="15.75" x14ac:dyDescent="0.25">
      <c r="A76" s="14"/>
      <c r="H76" s="16" t="s">
        <v>56</v>
      </c>
      <c r="I76" s="16" t="s">
        <v>57</v>
      </c>
      <c r="J76" s="16" t="s">
        <v>59</v>
      </c>
    </row>
    <row r="77" spans="1:10" ht="15.75" x14ac:dyDescent="0.25">
      <c r="A77" s="14"/>
      <c r="H77" s="16" t="s">
        <v>72</v>
      </c>
      <c r="I77" s="16" t="s">
        <v>75</v>
      </c>
      <c r="J77" s="16" t="s">
        <v>59</v>
      </c>
    </row>
    <row r="78" spans="1:10" x14ac:dyDescent="0.25">
      <c r="A78" s="13"/>
      <c r="H78" s="16" t="s">
        <v>73</v>
      </c>
      <c r="I78" s="16" t="s">
        <v>74</v>
      </c>
      <c r="J78" s="16" t="s">
        <v>59</v>
      </c>
    </row>
    <row r="79" spans="1:10" x14ac:dyDescent="0.25">
      <c r="A79" s="17"/>
      <c r="H79" s="16" t="s">
        <v>76</v>
      </c>
      <c r="I79" s="16" t="s">
        <v>79</v>
      </c>
      <c r="J79" s="16" t="s">
        <v>59</v>
      </c>
    </row>
    <row r="80" spans="1:10" x14ac:dyDescent="0.25">
      <c r="A80" s="13"/>
      <c r="H80" s="16" t="s">
        <v>77</v>
      </c>
      <c r="I80" s="16" t="s">
        <v>78</v>
      </c>
      <c r="J80" s="16" t="s">
        <v>59</v>
      </c>
    </row>
    <row r="81" spans="1:10" ht="15.75" x14ac:dyDescent="0.25">
      <c r="A81" s="14"/>
      <c r="H81" s="16" t="s">
        <v>80</v>
      </c>
      <c r="I81" s="16" t="s">
        <v>83</v>
      </c>
      <c r="J81" s="16" t="s">
        <v>59</v>
      </c>
    </row>
    <row r="82" spans="1:10" ht="15.75" x14ac:dyDescent="0.25">
      <c r="A82" s="14"/>
      <c r="H82" s="16" t="s">
        <v>81</v>
      </c>
      <c r="I82" s="16" t="s">
        <v>82</v>
      </c>
      <c r="J82" s="16" t="s">
        <v>59</v>
      </c>
    </row>
    <row r="83" spans="1:10" ht="15.75" x14ac:dyDescent="0.25">
      <c r="A83" s="14"/>
      <c r="H83" s="16" t="s">
        <v>84</v>
      </c>
      <c r="I83" s="16" t="s">
        <v>87</v>
      </c>
      <c r="J83" s="16" t="s">
        <v>59</v>
      </c>
    </row>
    <row r="84" spans="1:10" ht="15.75" x14ac:dyDescent="0.25">
      <c r="A84" s="14"/>
    </row>
    <row r="85" spans="1:10" ht="15.75" x14ac:dyDescent="0.25">
      <c r="A85" s="14"/>
      <c r="H85" s="16" t="s">
        <v>85</v>
      </c>
      <c r="I85" s="16" t="s">
        <v>86</v>
      </c>
      <c r="J85" s="16" t="s">
        <v>59</v>
      </c>
    </row>
    <row r="86" spans="1:10" ht="15.75" x14ac:dyDescent="0.25">
      <c r="A86" s="14"/>
      <c r="H86" s="16" t="s">
        <v>88</v>
      </c>
      <c r="I86" s="16" t="s">
        <v>91</v>
      </c>
      <c r="J86" s="16" t="s">
        <v>59</v>
      </c>
    </row>
    <row r="87" spans="1:10" ht="15.75" x14ac:dyDescent="0.25">
      <c r="A87" s="14"/>
      <c r="H87" s="16" t="s">
        <v>89</v>
      </c>
      <c r="I87" s="16" t="s">
        <v>90</v>
      </c>
      <c r="J87" s="16" t="s">
        <v>59</v>
      </c>
    </row>
    <row r="88" spans="1:10" ht="15.75" x14ac:dyDescent="0.25">
      <c r="A88" s="14"/>
      <c r="H88" s="16" t="s">
        <v>92</v>
      </c>
      <c r="I88" s="16" t="s">
        <v>95</v>
      </c>
      <c r="J88" s="16" t="s">
        <v>59</v>
      </c>
    </row>
    <row r="89" spans="1:10" x14ac:dyDescent="0.25">
      <c r="A89" s="18"/>
      <c r="H89" s="16" t="s">
        <v>93</v>
      </c>
      <c r="I89" s="16" t="s">
        <v>94</v>
      </c>
      <c r="J89" s="16" t="s">
        <v>59</v>
      </c>
    </row>
    <row r="90" spans="1:10" x14ac:dyDescent="0.25">
      <c r="A90" s="18"/>
      <c r="H90" s="16" t="s">
        <v>96</v>
      </c>
      <c r="I90" s="16" t="s">
        <v>99</v>
      </c>
      <c r="J90" s="16" t="s">
        <v>59</v>
      </c>
    </row>
    <row r="91" spans="1:10" x14ac:dyDescent="0.25">
      <c r="A91" s="18"/>
      <c r="H91" s="16" t="s">
        <v>97</v>
      </c>
      <c r="I91" s="16" t="s">
        <v>98</v>
      </c>
      <c r="J91" s="16" t="s">
        <v>59</v>
      </c>
    </row>
    <row r="92" spans="1:10" x14ac:dyDescent="0.25">
      <c r="A92" s="18"/>
      <c r="H92" s="16" t="s">
        <v>100</v>
      </c>
      <c r="I92" s="16" t="s">
        <v>103</v>
      </c>
      <c r="J92" s="16" t="s">
        <v>60</v>
      </c>
    </row>
    <row r="93" spans="1:10" x14ac:dyDescent="0.25">
      <c r="A93" s="18"/>
      <c r="H93" s="16" t="s">
        <v>101</v>
      </c>
      <c r="I93" s="16" t="s">
        <v>104</v>
      </c>
      <c r="J93" s="16" t="s">
        <v>60</v>
      </c>
    </row>
    <row r="94" spans="1:10" x14ac:dyDescent="0.25">
      <c r="A94" s="18"/>
      <c r="H94" s="16" t="s">
        <v>136</v>
      </c>
      <c r="I94" s="16" t="s">
        <v>102</v>
      </c>
      <c r="J94" s="16" t="s">
        <v>60</v>
      </c>
    </row>
    <row r="95" spans="1:10" x14ac:dyDescent="0.25">
      <c r="A95" s="18"/>
      <c r="H95" s="16" t="s">
        <v>106</v>
      </c>
      <c r="I95" s="16" t="s">
        <v>109</v>
      </c>
      <c r="J95" s="16" t="s">
        <v>60</v>
      </c>
    </row>
    <row r="96" spans="1:10" x14ac:dyDescent="0.25">
      <c r="A96" s="18"/>
    </row>
    <row r="97" spans="1:10" x14ac:dyDescent="0.25">
      <c r="A97" s="18"/>
      <c r="H97" s="16" t="s">
        <v>107</v>
      </c>
      <c r="I97" s="16" t="s">
        <v>110</v>
      </c>
      <c r="J97" s="16" t="s">
        <v>60</v>
      </c>
    </row>
    <row r="98" spans="1:10" x14ac:dyDescent="0.25">
      <c r="A98" s="18"/>
      <c r="H98" s="16" t="s">
        <v>137</v>
      </c>
      <c r="I98" s="16" t="s">
        <v>108</v>
      </c>
      <c r="J98" s="16" t="s">
        <v>60</v>
      </c>
    </row>
    <row r="99" spans="1:10" x14ac:dyDescent="0.25">
      <c r="A99" s="18"/>
      <c r="H99" s="16" t="s">
        <v>112</v>
      </c>
      <c r="I99" s="16" t="s">
        <v>117</v>
      </c>
      <c r="J99" s="16" t="s">
        <v>60</v>
      </c>
    </row>
    <row r="100" spans="1:10" x14ac:dyDescent="0.25">
      <c r="A100" s="18"/>
      <c r="H100" s="16" t="s">
        <v>113</v>
      </c>
      <c r="I100" s="16" t="s">
        <v>114</v>
      </c>
      <c r="J100" s="16" t="s">
        <v>60</v>
      </c>
    </row>
    <row r="101" spans="1:10" x14ac:dyDescent="0.25">
      <c r="A101" s="18"/>
      <c r="H101" s="16" t="s">
        <v>115</v>
      </c>
      <c r="I101" s="16" t="s">
        <v>116</v>
      </c>
      <c r="J101" s="16" t="s">
        <v>60</v>
      </c>
    </row>
    <row r="102" spans="1:10" x14ac:dyDescent="0.25">
      <c r="A102" s="18"/>
      <c r="H102" s="16" t="s">
        <v>118</v>
      </c>
      <c r="I102" s="16" t="s">
        <v>121</v>
      </c>
      <c r="J102" s="16" t="s">
        <v>61</v>
      </c>
    </row>
    <row r="103" spans="1:10" x14ac:dyDescent="0.25">
      <c r="A103" s="18"/>
      <c r="H103" s="16" t="s">
        <v>119</v>
      </c>
      <c r="I103" s="16" t="s">
        <v>122</v>
      </c>
      <c r="J103" s="16" t="s">
        <v>61</v>
      </c>
    </row>
    <row r="104" spans="1:10" x14ac:dyDescent="0.25">
      <c r="A104" s="18"/>
      <c r="H104" s="16" t="s">
        <v>138</v>
      </c>
      <c r="I104" s="16" t="s">
        <v>120</v>
      </c>
      <c r="J104" s="16" t="s">
        <v>61</v>
      </c>
    </row>
    <row r="105" spans="1:10" x14ac:dyDescent="0.25">
      <c r="A105" s="18"/>
      <c r="H105" s="16" t="s">
        <v>124</v>
      </c>
      <c r="I105" s="16" t="s">
        <v>127</v>
      </c>
      <c r="J105" s="16" t="s">
        <v>61</v>
      </c>
    </row>
    <row r="106" spans="1:10" x14ac:dyDescent="0.25">
      <c r="A106" s="18"/>
      <c r="H106" s="16" t="s">
        <v>125</v>
      </c>
      <c r="I106" s="16" t="s">
        <v>128</v>
      </c>
      <c r="J106" s="16" t="s">
        <v>61</v>
      </c>
    </row>
    <row r="107" spans="1:10" x14ac:dyDescent="0.25">
      <c r="A107" s="18"/>
      <c r="H107" s="16" t="s">
        <v>139</v>
      </c>
      <c r="I107" s="16" t="s">
        <v>126</v>
      </c>
      <c r="J107" s="16" t="s">
        <v>61</v>
      </c>
    </row>
    <row r="108" spans="1:10" x14ac:dyDescent="0.25">
      <c r="A108" s="18"/>
    </row>
    <row r="109" spans="1:10" x14ac:dyDescent="0.25">
      <c r="A109" s="18"/>
      <c r="H109" s="16" t="s">
        <v>130</v>
      </c>
      <c r="I109" s="16" t="s">
        <v>135</v>
      </c>
      <c r="J109" s="16" t="s">
        <v>61</v>
      </c>
    </row>
    <row r="110" spans="1:10" x14ac:dyDescent="0.25">
      <c r="A110" s="18"/>
      <c r="H110" s="16" t="s">
        <v>131</v>
      </c>
      <c r="I110" s="16" t="s">
        <v>132</v>
      </c>
      <c r="J110" s="16" t="s">
        <v>61</v>
      </c>
    </row>
    <row r="111" spans="1:10" x14ac:dyDescent="0.25">
      <c r="A111" s="18"/>
      <c r="H111" s="16" t="s">
        <v>133</v>
      </c>
      <c r="I111" s="16" t="s">
        <v>134</v>
      </c>
      <c r="J111" s="16" t="s">
        <v>61</v>
      </c>
    </row>
    <row r="112" spans="1:10" x14ac:dyDescent="0.25">
      <c r="A112" s="18"/>
      <c r="H112" s="16" t="s">
        <v>55</v>
      </c>
      <c r="I112" s="16" t="s">
        <v>72</v>
      </c>
      <c r="J112" s="16" t="s">
        <v>59</v>
      </c>
    </row>
    <row r="113" spans="1:10" x14ac:dyDescent="0.25">
      <c r="A113" s="18"/>
      <c r="H113" s="16" t="s">
        <v>56</v>
      </c>
      <c r="I113" s="16" t="s">
        <v>73</v>
      </c>
      <c r="J113" s="16" t="s">
        <v>59</v>
      </c>
    </row>
    <row r="114" spans="1:10" x14ac:dyDescent="0.25">
      <c r="A114" s="18"/>
      <c r="H114" s="16" t="s">
        <v>57</v>
      </c>
      <c r="I114" s="16" t="s">
        <v>74</v>
      </c>
      <c r="J114" s="16" t="s">
        <v>59</v>
      </c>
    </row>
    <row r="115" spans="1:10" x14ac:dyDescent="0.25">
      <c r="A115" s="18"/>
      <c r="H115" s="16" t="s">
        <v>58</v>
      </c>
      <c r="I115" s="16" t="s">
        <v>75</v>
      </c>
      <c r="J115" s="16" t="s">
        <v>59</v>
      </c>
    </row>
    <row r="116" spans="1:10" x14ac:dyDescent="0.25">
      <c r="A116" s="18"/>
      <c r="H116" s="16" t="s">
        <v>76</v>
      </c>
      <c r="I116" s="16" t="s">
        <v>80</v>
      </c>
      <c r="J116" s="16" t="s">
        <v>59</v>
      </c>
    </row>
    <row r="117" spans="1:10" x14ac:dyDescent="0.25">
      <c r="A117" s="18"/>
      <c r="H117" s="16" t="s">
        <v>77</v>
      </c>
      <c r="I117" s="16" t="s">
        <v>81</v>
      </c>
      <c r="J117" s="16" t="s">
        <v>59</v>
      </c>
    </row>
    <row r="118" spans="1:10" x14ac:dyDescent="0.25">
      <c r="A118" s="18"/>
      <c r="H118" s="16" t="s">
        <v>78</v>
      </c>
      <c r="I118" s="16" t="s">
        <v>82</v>
      </c>
      <c r="J118" s="16" t="s">
        <v>59</v>
      </c>
    </row>
    <row r="119" spans="1:10" x14ac:dyDescent="0.25">
      <c r="A119" s="18"/>
      <c r="H119" s="16" t="s">
        <v>79</v>
      </c>
      <c r="I119" s="16" t="s">
        <v>83</v>
      </c>
      <c r="J119" s="16" t="s">
        <v>59</v>
      </c>
    </row>
    <row r="120" spans="1:10" x14ac:dyDescent="0.25">
      <c r="A120" s="18"/>
    </row>
    <row r="121" spans="1:10" x14ac:dyDescent="0.25">
      <c r="A121" s="18"/>
      <c r="H121" s="16" t="s">
        <v>84</v>
      </c>
      <c r="I121" s="16" t="s">
        <v>88</v>
      </c>
      <c r="J121" s="16" t="s">
        <v>59</v>
      </c>
    </row>
    <row r="122" spans="1:10" x14ac:dyDescent="0.25">
      <c r="A122" s="18"/>
      <c r="H122" s="16" t="s">
        <v>85</v>
      </c>
      <c r="I122" s="16" t="s">
        <v>89</v>
      </c>
      <c r="J122" s="16" t="s">
        <v>59</v>
      </c>
    </row>
    <row r="123" spans="1:10" x14ac:dyDescent="0.25">
      <c r="A123" s="18"/>
      <c r="H123" s="16" t="s">
        <v>86</v>
      </c>
      <c r="I123" s="16" t="s">
        <v>90</v>
      </c>
      <c r="J123" s="16" t="s">
        <v>59</v>
      </c>
    </row>
    <row r="124" spans="1:10" x14ac:dyDescent="0.25">
      <c r="A124" s="18"/>
      <c r="H124" s="16" t="s">
        <v>87</v>
      </c>
      <c r="I124" s="16" t="s">
        <v>91</v>
      </c>
      <c r="J124" s="16" t="s">
        <v>59</v>
      </c>
    </row>
    <row r="125" spans="1:10" x14ac:dyDescent="0.25">
      <c r="A125" s="18"/>
      <c r="H125" s="16" t="s">
        <v>92</v>
      </c>
      <c r="I125" s="16" t="s">
        <v>96</v>
      </c>
      <c r="J125" s="16" t="s">
        <v>59</v>
      </c>
    </row>
    <row r="126" spans="1:10" x14ac:dyDescent="0.25">
      <c r="A126" s="18"/>
      <c r="H126" s="16" t="s">
        <v>93</v>
      </c>
      <c r="I126" s="16" t="s">
        <v>97</v>
      </c>
      <c r="J126" s="16" t="s">
        <v>59</v>
      </c>
    </row>
    <row r="127" spans="1:10" x14ac:dyDescent="0.25">
      <c r="A127" s="18"/>
      <c r="H127" s="16" t="s">
        <v>94</v>
      </c>
      <c r="I127" s="16" t="s">
        <v>98</v>
      </c>
      <c r="J127" s="16" t="s">
        <v>59</v>
      </c>
    </row>
    <row r="128" spans="1:10" x14ac:dyDescent="0.25">
      <c r="A128" s="18"/>
      <c r="H128" s="16" t="s">
        <v>95</v>
      </c>
      <c r="I128" s="16" t="s">
        <v>99</v>
      </c>
      <c r="J128" s="16" t="s">
        <v>59</v>
      </c>
    </row>
    <row r="129" spans="1:10" x14ac:dyDescent="0.25">
      <c r="A129" s="18"/>
      <c r="H129" s="16" t="s">
        <v>100</v>
      </c>
      <c r="I129" s="16" t="s">
        <v>104</v>
      </c>
      <c r="J129" s="16" t="s">
        <v>60</v>
      </c>
    </row>
    <row r="130" spans="1:10" x14ac:dyDescent="0.25">
      <c r="A130" s="18"/>
      <c r="H130" s="16" t="s">
        <v>105</v>
      </c>
      <c r="I130" s="16" t="s">
        <v>102</v>
      </c>
      <c r="J130" s="16" t="s">
        <v>60</v>
      </c>
    </row>
    <row r="131" spans="1:10" x14ac:dyDescent="0.25">
      <c r="A131" s="18"/>
      <c r="H131" s="16" t="s">
        <v>101</v>
      </c>
      <c r="I131" s="16" t="s">
        <v>136</v>
      </c>
      <c r="J131" s="16" t="s">
        <v>60</v>
      </c>
    </row>
    <row r="132" spans="1:10" x14ac:dyDescent="0.25">
      <c r="A132" s="18"/>
    </row>
    <row r="133" spans="1:10" x14ac:dyDescent="0.25">
      <c r="A133" s="18"/>
      <c r="H133" s="16" t="s">
        <v>106</v>
      </c>
      <c r="I133" s="16" t="s">
        <v>110</v>
      </c>
      <c r="J133" s="16" t="s">
        <v>60</v>
      </c>
    </row>
    <row r="134" spans="1:10" x14ac:dyDescent="0.25">
      <c r="A134" s="18"/>
      <c r="H134" s="16" t="s">
        <v>111</v>
      </c>
      <c r="I134" s="16" t="s">
        <v>108</v>
      </c>
      <c r="J134" s="16" t="s">
        <v>60</v>
      </c>
    </row>
    <row r="135" spans="1:10" x14ac:dyDescent="0.25">
      <c r="A135" s="18"/>
      <c r="H135" s="16" t="s">
        <v>107</v>
      </c>
      <c r="I135" s="16" t="s">
        <v>137</v>
      </c>
      <c r="J135" s="16" t="s">
        <v>60</v>
      </c>
    </row>
    <row r="136" spans="1:10" x14ac:dyDescent="0.25">
      <c r="A136" s="18"/>
      <c r="H136" s="16" t="s">
        <v>112</v>
      </c>
      <c r="I136" s="16" t="s">
        <v>115</v>
      </c>
      <c r="J136" s="16" t="s">
        <v>60</v>
      </c>
    </row>
    <row r="137" spans="1:10" x14ac:dyDescent="0.25">
      <c r="A137" s="18"/>
      <c r="H137" s="16" t="s">
        <v>113</v>
      </c>
      <c r="I137" s="16" t="s">
        <v>117</v>
      </c>
      <c r="J137" s="16" t="s">
        <v>60</v>
      </c>
    </row>
    <row r="138" spans="1:10" x14ac:dyDescent="0.25">
      <c r="A138" s="18"/>
      <c r="H138" s="16" t="s">
        <v>114</v>
      </c>
      <c r="I138" s="16" t="s">
        <v>116</v>
      </c>
      <c r="J138" s="16" t="s">
        <v>60</v>
      </c>
    </row>
    <row r="139" spans="1:10" x14ac:dyDescent="0.25">
      <c r="A139" s="18"/>
      <c r="H139" s="16" t="s">
        <v>118</v>
      </c>
      <c r="I139" s="16" t="s">
        <v>122</v>
      </c>
      <c r="J139" s="16" t="s">
        <v>61</v>
      </c>
    </row>
    <row r="140" spans="1:10" x14ac:dyDescent="0.25">
      <c r="A140" s="18"/>
      <c r="H140" s="16" t="s">
        <v>123</v>
      </c>
      <c r="I140" s="16" t="s">
        <v>120</v>
      </c>
      <c r="J140" s="16" t="s">
        <v>61</v>
      </c>
    </row>
    <row r="141" spans="1:10" x14ac:dyDescent="0.25">
      <c r="A141" s="18"/>
      <c r="H141" s="16" t="s">
        <v>119</v>
      </c>
      <c r="I141" s="16" t="s">
        <v>138</v>
      </c>
      <c r="J141" s="16" t="s">
        <v>61</v>
      </c>
    </row>
    <row r="142" spans="1:10" x14ac:dyDescent="0.25">
      <c r="A142" s="18"/>
      <c r="H142" s="16" t="s">
        <v>124</v>
      </c>
      <c r="I142" s="16" t="s">
        <v>128</v>
      </c>
      <c r="J142" s="16" t="s">
        <v>61</v>
      </c>
    </row>
    <row r="143" spans="1:10" x14ac:dyDescent="0.25">
      <c r="A143" s="18"/>
      <c r="H143" s="16" t="s">
        <v>129</v>
      </c>
      <c r="I143" s="16" t="s">
        <v>126</v>
      </c>
      <c r="J143" s="16" t="s">
        <v>61</v>
      </c>
    </row>
    <row r="144" spans="1:10" x14ac:dyDescent="0.25">
      <c r="A144" s="18"/>
    </row>
    <row r="145" spans="1:10" x14ac:dyDescent="0.25">
      <c r="A145" s="18"/>
      <c r="H145" s="16" t="s">
        <v>125</v>
      </c>
      <c r="I145" s="16" t="s">
        <v>139</v>
      </c>
      <c r="J145" s="16" t="s">
        <v>61</v>
      </c>
    </row>
    <row r="146" spans="1:10" x14ac:dyDescent="0.25">
      <c r="A146" s="18"/>
      <c r="H146" s="16" t="s">
        <v>130</v>
      </c>
      <c r="I146" s="16" t="s">
        <v>133</v>
      </c>
      <c r="J146" s="16" t="s">
        <v>61</v>
      </c>
    </row>
    <row r="147" spans="1:10" x14ac:dyDescent="0.25">
      <c r="A147" s="18"/>
      <c r="H147" s="16" t="s">
        <v>131</v>
      </c>
      <c r="I147" s="16" t="s">
        <v>135</v>
      </c>
      <c r="J147" s="16" t="s">
        <v>61</v>
      </c>
    </row>
    <row r="148" spans="1:10" x14ac:dyDescent="0.25">
      <c r="A148" s="18"/>
      <c r="H148" s="16" t="s">
        <v>132</v>
      </c>
      <c r="I148" s="16" t="s">
        <v>134</v>
      </c>
      <c r="J148" s="16" t="s">
        <v>61</v>
      </c>
    </row>
    <row r="149" spans="1:10" x14ac:dyDescent="0.25">
      <c r="A149" s="18"/>
      <c r="H149" s="16" t="s">
        <v>55</v>
      </c>
      <c r="I149" s="16" t="s">
        <v>73</v>
      </c>
      <c r="J149" s="16" t="s">
        <v>59</v>
      </c>
    </row>
    <row r="150" spans="1:10" x14ac:dyDescent="0.25">
      <c r="A150" s="18"/>
      <c r="H150" s="16" t="s">
        <v>56</v>
      </c>
      <c r="I150" s="16" t="s">
        <v>72</v>
      </c>
      <c r="J150" s="16" t="s">
        <v>59</v>
      </c>
    </row>
    <row r="151" spans="1:10" x14ac:dyDescent="0.25">
      <c r="A151" s="18"/>
      <c r="H151" s="16" t="s">
        <v>57</v>
      </c>
      <c r="I151" s="16" t="s">
        <v>75</v>
      </c>
      <c r="J151" s="16" t="s">
        <v>59</v>
      </c>
    </row>
    <row r="152" spans="1:10" x14ac:dyDescent="0.25">
      <c r="A152" s="18"/>
      <c r="H152" s="16" t="s">
        <v>58</v>
      </c>
      <c r="I152" s="16" t="s">
        <v>74</v>
      </c>
      <c r="J152" s="16" t="s">
        <v>59</v>
      </c>
    </row>
    <row r="153" spans="1:10" x14ac:dyDescent="0.25">
      <c r="A153" s="18"/>
      <c r="H153" s="16" t="s">
        <v>76</v>
      </c>
      <c r="I153" s="16" t="s">
        <v>81</v>
      </c>
      <c r="J153" s="16" t="s">
        <v>59</v>
      </c>
    </row>
    <row r="154" spans="1:10" x14ac:dyDescent="0.25">
      <c r="A154" s="18"/>
      <c r="H154" s="16" t="s">
        <v>77</v>
      </c>
      <c r="I154" s="16" t="s">
        <v>80</v>
      </c>
      <c r="J154" s="16" t="s">
        <v>59</v>
      </c>
    </row>
    <row r="155" spans="1:10" x14ac:dyDescent="0.25">
      <c r="A155" s="18"/>
      <c r="H155" s="16" t="s">
        <v>78</v>
      </c>
      <c r="I155" s="16" t="s">
        <v>83</v>
      </c>
      <c r="J155" s="16" t="s">
        <v>59</v>
      </c>
    </row>
    <row r="156" spans="1:10" x14ac:dyDescent="0.25">
      <c r="A156" s="18"/>
    </row>
    <row r="157" spans="1:10" x14ac:dyDescent="0.25">
      <c r="A157" s="18"/>
      <c r="H157" s="16" t="s">
        <v>79</v>
      </c>
      <c r="I157" s="16" t="s">
        <v>82</v>
      </c>
      <c r="J157" s="16" t="s">
        <v>59</v>
      </c>
    </row>
    <row r="158" spans="1:10" x14ac:dyDescent="0.25">
      <c r="A158" s="18"/>
      <c r="H158" s="16" t="s">
        <v>84</v>
      </c>
      <c r="I158" s="16" t="s">
        <v>89</v>
      </c>
      <c r="J158" s="16" t="s">
        <v>59</v>
      </c>
    </row>
    <row r="159" spans="1:10" x14ac:dyDescent="0.25">
      <c r="A159" s="18"/>
      <c r="H159" s="16" t="s">
        <v>85</v>
      </c>
      <c r="I159" s="16" t="s">
        <v>88</v>
      </c>
      <c r="J159" s="16" t="s">
        <v>59</v>
      </c>
    </row>
    <row r="160" spans="1:10" x14ac:dyDescent="0.25">
      <c r="A160" s="18"/>
      <c r="H160" s="16" t="s">
        <v>86</v>
      </c>
      <c r="I160" s="16" t="s">
        <v>91</v>
      </c>
      <c r="J160" s="16" t="s">
        <v>59</v>
      </c>
    </row>
    <row r="161" spans="1:10" x14ac:dyDescent="0.25">
      <c r="A161" s="18"/>
      <c r="H161" s="16" t="s">
        <v>87</v>
      </c>
      <c r="I161" s="16" t="s">
        <v>90</v>
      </c>
      <c r="J161" s="16" t="s">
        <v>59</v>
      </c>
    </row>
    <row r="162" spans="1:10" x14ac:dyDescent="0.25">
      <c r="A162" s="18"/>
      <c r="H162" s="16" t="s">
        <v>92</v>
      </c>
      <c r="I162" s="16" t="s">
        <v>97</v>
      </c>
      <c r="J162" s="16" t="s">
        <v>59</v>
      </c>
    </row>
    <row r="163" spans="1:10" x14ac:dyDescent="0.25">
      <c r="A163" s="18"/>
      <c r="H163" s="16" t="s">
        <v>93</v>
      </c>
      <c r="I163" s="16" t="s">
        <v>96</v>
      </c>
      <c r="J163" s="16" t="s">
        <v>59</v>
      </c>
    </row>
    <row r="164" spans="1:10" x14ac:dyDescent="0.25">
      <c r="A164" s="18"/>
      <c r="H164" s="16" t="s">
        <v>94</v>
      </c>
      <c r="I164" s="16" t="s">
        <v>99</v>
      </c>
      <c r="J164" s="16" t="s">
        <v>59</v>
      </c>
    </row>
    <row r="165" spans="1:10" x14ac:dyDescent="0.25">
      <c r="A165" s="18"/>
      <c r="H165" s="16" t="s">
        <v>95</v>
      </c>
      <c r="I165" s="16" t="s">
        <v>98</v>
      </c>
      <c r="J165" s="16" t="s">
        <v>59</v>
      </c>
    </row>
    <row r="166" spans="1:10" x14ac:dyDescent="0.25">
      <c r="A166" s="18"/>
      <c r="H166" s="16" t="s">
        <v>102</v>
      </c>
      <c r="I166" s="16" t="s">
        <v>104</v>
      </c>
      <c r="J166" s="16" t="s">
        <v>60</v>
      </c>
    </row>
    <row r="167" spans="1:10" x14ac:dyDescent="0.25">
      <c r="A167" s="18"/>
      <c r="H167" s="16" t="s">
        <v>101</v>
      </c>
      <c r="I167" s="16" t="s">
        <v>105</v>
      </c>
      <c r="J167" s="16" t="s">
        <v>60</v>
      </c>
    </row>
    <row r="168" spans="1:10" x14ac:dyDescent="0.25">
      <c r="A168" s="18"/>
    </row>
    <row r="169" spans="1:10" x14ac:dyDescent="0.25">
      <c r="A169" s="18"/>
      <c r="H169" s="16" t="s">
        <v>103</v>
      </c>
      <c r="I169" s="16" t="s">
        <v>136</v>
      </c>
      <c r="J169" s="16" t="s">
        <v>60</v>
      </c>
    </row>
    <row r="170" spans="1:10" x14ac:dyDescent="0.25">
      <c r="A170" s="18"/>
      <c r="H170" s="16" t="s">
        <v>108</v>
      </c>
      <c r="I170" s="16" t="s">
        <v>110</v>
      </c>
      <c r="J170" s="16" t="s">
        <v>60</v>
      </c>
    </row>
    <row r="171" spans="1:10" x14ac:dyDescent="0.25">
      <c r="A171" s="18"/>
      <c r="H171" s="16" t="s">
        <v>107</v>
      </c>
      <c r="I171" s="16" t="s">
        <v>111</v>
      </c>
      <c r="J171" s="16" t="s">
        <v>60</v>
      </c>
    </row>
    <row r="172" spans="1:10" x14ac:dyDescent="0.25">
      <c r="A172" s="18"/>
      <c r="H172" s="16" t="s">
        <v>109</v>
      </c>
      <c r="I172" s="16" t="s">
        <v>137</v>
      </c>
      <c r="J172" s="16" t="s">
        <v>60</v>
      </c>
    </row>
    <row r="173" spans="1:10" x14ac:dyDescent="0.25">
      <c r="A173" s="18"/>
      <c r="H173" s="16" t="s">
        <v>112</v>
      </c>
      <c r="I173" s="16" t="s">
        <v>116</v>
      </c>
      <c r="J173" s="16" t="s">
        <v>60</v>
      </c>
    </row>
    <row r="174" spans="1:10" x14ac:dyDescent="0.25">
      <c r="A174" s="18"/>
      <c r="H174" s="16" t="s">
        <v>113</v>
      </c>
      <c r="I174" s="16" t="s">
        <v>115</v>
      </c>
      <c r="J174" s="16" t="s">
        <v>60</v>
      </c>
    </row>
    <row r="175" spans="1:10" x14ac:dyDescent="0.25">
      <c r="A175" s="18"/>
      <c r="H175" s="16" t="s">
        <v>114</v>
      </c>
      <c r="I175" s="16" t="s">
        <v>117</v>
      </c>
      <c r="J175" s="16" t="s">
        <v>60</v>
      </c>
    </row>
    <row r="176" spans="1:10" x14ac:dyDescent="0.25">
      <c r="A176" s="18"/>
      <c r="H176" s="16" t="s">
        <v>120</v>
      </c>
      <c r="I176" s="16" t="s">
        <v>122</v>
      </c>
      <c r="J176" s="16" t="s">
        <v>61</v>
      </c>
    </row>
    <row r="177" spans="1:10" x14ac:dyDescent="0.25">
      <c r="A177" s="18"/>
      <c r="H177" s="16" t="s">
        <v>119</v>
      </c>
      <c r="I177" s="16" t="s">
        <v>123</v>
      </c>
      <c r="J177" s="16" t="s">
        <v>61</v>
      </c>
    </row>
    <row r="178" spans="1:10" x14ac:dyDescent="0.25">
      <c r="A178" s="18"/>
      <c r="H178" s="16" t="s">
        <v>121</v>
      </c>
      <c r="I178" s="16" t="s">
        <v>138</v>
      </c>
      <c r="J178" s="16" t="s">
        <v>61</v>
      </c>
    </row>
    <row r="179" spans="1:10" x14ac:dyDescent="0.25">
      <c r="A179" s="18"/>
      <c r="H179" s="16" t="s">
        <v>126</v>
      </c>
      <c r="I179" s="16" t="s">
        <v>128</v>
      </c>
      <c r="J179" s="16" t="s">
        <v>61</v>
      </c>
    </row>
    <row r="180" spans="1:10" x14ac:dyDescent="0.25">
      <c r="A180" s="18"/>
    </row>
    <row r="181" spans="1:10" x14ac:dyDescent="0.25">
      <c r="A181" s="18"/>
      <c r="H181" s="16" t="s">
        <v>125</v>
      </c>
      <c r="I181" s="16" t="s">
        <v>129</v>
      </c>
      <c r="J181" s="16" t="s">
        <v>61</v>
      </c>
    </row>
    <row r="182" spans="1:10" x14ac:dyDescent="0.25">
      <c r="A182" s="18"/>
      <c r="H182" s="16" t="s">
        <v>127</v>
      </c>
      <c r="I182" s="16" t="s">
        <v>139</v>
      </c>
      <c r="J182" s="16" t="s">
        <v>61</v>
      </c>
    </row>
    <row r="183" spans="1:10" x14ac:dyDescent="0.25">
      <c r="A183" s="18"/>
      <c r="H183" s="16" t="s">
        <v>130</v>
      </c>
      <c r="I183" s="16" t="s">
        <v>134</v>
      </c>
      <c r="J183" s="16" t="s">
        <v>61</v>
      </c>
    </row>
    <row r="184" spans="1:10" x14ac:dyDescent="0.25">
      <c r="A184" s="18"/>
      <c r="H184" s="16" t="s">
        <v>131</v>
      </c>
      <c r="I184" s="16" t="s">
        <v>133</v>
      </c>
      <c r="J184" s="16" t="s">
        <v>61</v>
      </c>
    </row>
    <row r="185" spans="1:10" x14ac:dyDescent="0.25">
      <c r="A185" s="18"/>
      <c r="H185" s="16" t="s">
        <v>132</v>
      </c>
      <c r="I185" s="16" t="s">
        <v>135</v>
      </c>
      <c r="J185" s="16" t="s">
        <v>61</v>
      </c>
    </row>
    <row r="186" spans="1:10" x14ac:dyDescent="0.25">
      <c r="A186" s="18"/>
      <c r="H186" s="16" t="s">
        <v>55</v>
      </c>
      <c r="I186" s="16" t="s">
        <v>74</v>
      </c>
      <c r="J186" s="16" t="s">
        <v>59</v>
      </c>
    </row>
    <row r="187" spans="1:10" x14ac:dyDescent="0.25">
      <c r="A187" s="18"/>
      <c r="H187" s="16" t="s">
        <v>56</v>
      </c>
      <c r="I187" s="16" t="s">
        <v>75</v>
      </c>
      <c r="J187" s="16" t="s">
        <v>59</v>
      </c>
    </row>
    <row r="188" spans="1:10" x14ac:dyDescent="0.25">
      <c r="A188" s="18"/>
      <c r="H188" s="16" t="s">
        <v>57</v>
      </c>
      <c r="I188" s="16" t="s">
        <v>72</v>
      </c>
      <c r="J188" s="16" t="s">
        <v>59</v>
      </c>
    </row>
    <row r="189" spans="1:10" x14ac:dyDescent="0.25">
      <c r="A189" s="18"/>
      <c r="H189" s="16" t="s">
        <v>58</v>
      </c>
      <c r="I189" s="16" t="s">
        <v>73</v>
      </c>
      <c r="J189" s="16" t="s">
        <v>59</v>
      </c>
    </row>
    <row r="190" spans="1:10" x14ac:dyDescent="0.25">
      <c r="A190" s="18"/>
      <c r="H190" s="16" t="s">
        <v>76</v>
      </c>
      <c r="I190" s="16" t="s">
        <v>82</v>
      </c>
      <c r="J190" s="16" t="s">
        <v>59</v>
      </c>
    </row>
    <row r="191" spans="1:10" x14ac:dyDescent="0.25">
      <c r="A191" s="18"/>
      <c r="H191" s="16" t="s">
        <v>77</v>
      </c>
      <c r="I191" s="16" t="s">
        <v>83</v>
      </c>
      <c r="J191" s="16" t="s">
        <v>59</v>
      </c>
    </row>
    <row r="192" spans="1:10" x14ac:dyDescent="0.25">
      <c r="A192" s="18"/>
    </row>
    <row r="193" spans="1:10" x14ac:dyDescent="0.25">
      <c r="A193" s="18"/>
      <c r="H193" s="16" t="s">
        <v>78</v>
      </c>
      <c r="I193" s="16" t="s">
        <v>80</v>
      </c>
      <c r="J193" s="16" t="s">
        <v>59</v>
      </c>
    </row>
    <row r="194" spans="1:10" x14ac:dyDescent="0.25">
      <c r="A194" s="18"/>
      <c r="H194" s="16" t="s">
        <v>79</v>
      </c>
      <c r="I194" s="16" t="s">
        <v>81</v>
      </c>
      <c r="J194" s="16" t="s">
        <v>59</v>
      </c>
    </row>
    <row r="195" spans="1:10" x14ac:dyDescent="0.25">
      <c r="A195" s="18"/>
      <c r="H195" s="16" t="s">
        <v>84</v>
      </c>
      <c r="I195" s="16" t="s">
        <v>90</v>
      </c>
      <c r="J195" s="16" t="s">
        <v>59</v>
      </c>
    </row>
    <row r="196" spans="1:10" x14ac:dyDescent="0.25">
      <c r="A196" s="18"/>
      <c r="H196" s="16" t="s">
        <v>85</v>
      </c>
      <c r="I196" s="16" t="s">
        <v>91</v>
      </c>
      <c r="J196" s="16" t="s">
        <v>59</v>
      </c>
    </row>
    <row r="197" spans="1:10" x14ac:dyDescent="0.25">
      <c r="A197" s="18"/>
      <c r="H197" s="16" t="s">
        <v>86</v>
      </c>
      <c r="I197" s="16" t="s">
        <v>88</v>
      </c>
      <c r="J197" s="16" t="s">
        <v>59</v>
      </c>
    </row>
    <row r="198" spans="1:10" x14ac:dyDescent="0.25">
      <c r="A198" s="18"/>
      <c r="H198" s="16" t="s">
        <v>87</v>
      </c>
      <c r="I198" s="16" t="s">
        <v>89</v>
      </c>
      <c r="J198" s="16" t="s">
        <v>59</v>
      </c>
    </row>
    <row r="199" spans="1:10" x14ac:dyDescent="0.25">
      <c r="A199" s="18"/>
      <c r="H199" s="16" t="s">
        <v>92</v>
      </c>
      <c r="I199" s="16" t="s">
        <v>98</v>
      </c>
      <c r="J199" s="16" t="s">
        <v>59</v>
      </c>
    </row>
    <row r="200" spans="1:10" x14ac:dyDescent="0.25">
      <c r="A200" s="18"/>
      <c r="H200" s="16" t="s">
        <v>93</v>
      </c>
      <c r="I200" s="16" t="s">
        <v>99</v>
      </c>
      <c r="J200" s="16" t="s">
        <v>59</v>
      </c>
    </row>
    <row r="201" spans="1:10" x14ac:dyDescent="0.25">
      <c r="A201" s="18"/>
      <c r="H201" s="16" t="s">
        <v>94</v>
      </c>
      <c r="I201" s="16" t="s">
        <v>96</v>
      </c>
      <c r="J201" s="16" t="s">
        <v>59</v>
      </c>
    </row>
    <row r="202" spans="1:10" x14ac:dyDescent="0.25">
      <c r="A202" s="18"/>
      <c r="H202" s="16" t="s">
        <v>95</v>
      </c>
      <c r="I202" s="16" t="s">
        <v>97</v>
      </c>
      <c r="J202" s="16" t="s">
        <v>59</v>
      </c>
    </row>
    <row r="203" spans="1:10" x14ac:dyDescent="0.25">
      <c r="A203" s="18"/>
      <c r="H203" s="16" t="s">
        <v>100</v>
      </c>
      <c r="I203" s="16" t="s">
        <v>105</v>
      </c>
      <c r="J203" s="16" t="s">
        <v>60</v>
      </c>
    </row>
    <row r="204" spans="1:10" x14ac:dyDescent="0.25">
      <c r="A204" s="18"/>
    </row>
    <row r="205" spans="1:10" x14ac:dyDescent="0.25">
      <c r="A205" s="18"/>
      <c r="H205" s="16" t="s">
        <v>101</v>
      </c>
      <c r="I205" s="16" t="s">
        <v>103</v>
      </c>
      <c r="J205" s="16" t="s">
        <v>60</v>
      </c>
    </row>
    <row r="206" spans="1:10" x14ac:dyDescent="0.25">
      <c r="A206" s="18"/>
      <c r="H206" s="16" t="s">
        <v>104</v>
      </c>
      <c r="I206" s="16" t="s">
        <v>136</v>
      </c>
      <c r="J206" s="16" t="s">
        <v>60</v>
      </c>
    </row>
    <row r="207" spans="1:10" x14ac:dyDescent="0.25">
      <c r="A207" s="18"/>
      <c r="H207" s="16" t="s">
        <v>106</v>
      </c>
      <c r="I207" s="16" t="s">
        <v>111</v>
      </c>
      <c r="J207" s="16" t="s">
        <v>60</v>
      </c>
    </row>
    <row r="208" spans="1:10" x14ac:dyDescent="0.25">
      <c r="A208" s="18"/>
      <c r="H208" s="16" t="s">
        <v>107</v>
      </c>
      <c r="I208" s="16" t="s">
        <v>109</v>
      </c>
      <c r="J208" s="16" t="s">
        <v>60</v>
      </c>
    </row>
    <row r="209" spans="1:10" x14ac:dyDescent="0.25">
      <c r="A209" s="18"/>
      <c r="H209" s="16" t="s">
        <v>110</v>
      </c>
      <c r="I209" s="16" t="s">
        <v>137</v>
      </c>
      <c r="J209" s="16" t="s">
        <v>60</v>
      </c>
    </row>
    <row r="210" spans="1:10" x14ac:dyDescent="0.25">
      <c r="A210" s="18"/>
      <c r="H210" s="16" t="s">
        <v>55</v>
      </c>
      <c r="I210" s="16" t="s">
        <v>75</v>
      </c>
      <c r="J210" s="16" t="s">
        <v>59</v>
      </c>
    </row>
    <row r="211" spans="1:10" x14ac:dyDescent="0.25">
      <c r="A211" s="18"/>
      <c r="H211" s="16" t="s">
        <v>56</v>
      </c>
      <c r="I211" s="16" t="s">
        <v>74</v>
      </c>
      <c r="J211" s="16" t="s">
        <v>59</v>
      </c>
    </row>
    <row r="212" spans="1:10" x14ac:dyDescent="0.25">
      <c r="A212" s="18"/>
      <c r="H212" s="16" t="s">
        <v>57</v>
      </c>
      <c r="I212" s="16" t="s">
        <v>73</v>
      </c>
      <c r="J212" s="16" t="s">
        <v>59</v>
      </c>
    </row>
    <row r="213" spans="1:10" x14ac:dyDescent="0.25">
      <c r="A213" s="18"/>
      <c r="H213" s="16" t="s">
        <v>58</v>
      </c>
      <c r="I213" s="16" t="s">
        <v>72</v>
      </c>
      <c r="J213" s="16" t="s">
        <v>59</v>
      </c>
    </row>
    <row r="214" spans="1:10" x14ac:dyDescent="0.25">
      <c r="A214" s="18"/>
      <c r="H214" s="16" t="s">
        <v>76</v>
      </c>
      <c r="I214" s="16" t="s">
        <v>83</v>
      </c>
      <c r="J214" s="16" t="s">
        <v>59</v>
      </c>
    </row>
    <row r="215" spans="1:10" x14ac:dyDescent="0.25">
      <c r="A215" s="18"/>
      <c r="H215" s="16" t="s">
        <v>77</v>
      </c>
      <c r="I215" s="16" t="s">
        <v>82</v>
      </c>
      <c r="J215" s="16" t="s">
        <v>59</v>
      </c>
    </row>
    <row r="216" spans="1:10" x14ac:dyDescent="0.25">
      <c r="A216" s="18"/>
    </row>
    <row r="217" spans="1:10" x14ac:dyDescent="0.25">
      <c r="A217" s="18"/>
      <c r="H217" s="16" t="s">
        <v>78</v>
      </c>
      <c r="I217" s="16" t="s">
        <v>81</v>
      </c>
      <c r="J217" s="16" t="s">
        <v>59</v>
      </c>
    </row>
    <row r="218" spans="1:10" x14ac:dyDescent="0.25">
      <c r="A218" s="18"/>
      <c r="H218" s="16" t="s">
        <v>79</v>
      </c>
      <c r="I218" s="16" t="s">
        <v>80</v>
      </c>
      <c r="J218" s="16" t="s">
        <v>59</v>
      </c>
    </row>
    <row r="219" spans="1:10" x14ac:dyDescent="0.25">
      <c r="A219" s="18"/>
      <c r="H219" s="16" t="s">
        <v>84</v>
      </c>
      <c r="I219" s="16" t="s">
        <v>91</v>
      </c>
      <c r="J219" s="16" t="s">
        <v>59</v>
      </c>
    </row>
    <row r="220" spans="1:10" x14ac:dyDescent="0.25">
      <c r="A220" s="18"/>
      <c r="H220" s="16" t="s">
        <v>85</v>
      </c>
      <c r="I220" s="16" t="s">
        <v>90</v>
      </c>
      <c r="J220" s="16" t="s">
        <v>59</v>
      </c>
    </row>
    <row r="221" spans="1:10" x14ac:dyDescent="0.25">
      <c r="A221" s="18"/>
      <c r="H221" s="16" t="s">
        <v>86</v>
      </c>
      <c r="I221" s="16" t="s">
        <v>89</v>
      </c>
      <c r="J221" s="16" t="s">
        <v>59</v>
      </c>
    </row>
    <row r="222" spans="1:10" x14ac:dyDescent="0.25">
      <c r="A222" s="18"/>
      <c r="H222" s="16" t="s">
        <v>87</v>
      </c>
      <c r="I222" s="16" t="s">
        <v>88</v>
      </c>
      <c r="J222" s="16" t="s">
        <v>59</v>
      </c>
    </row>
    <row r="223" spans="1:10" x14ac:dyDescent="0.25">
      <c r="A223" s="18"/>
      <c r="H223" s="16" t="s">
        <v>92</v>
      </c>
      <c r="I223" s="16" t="s">
        <v>99</v>
      </c>
      <c r="J223" s="16" t="s">
        <v>59</v>
      </c>
    </row>
    <row r="224" spans="1:10" x14ac:dyDescent="0.25">
      <c r="A224" s="18"/>
      <c r="H224" s="16" t="s">
        <v>93</v>
      </c>
      <c r="I224" s="16" t="s">
        <v>98</v>
      </c>
      <c r="J224" s="16" t="s">
        <v>59</v>
      </c>
    </row>
    <row r="225" spans="1:10" x14ac:dyDescent="0.25">
      <c r="A225" s="18"/>
      <c r="H225" s="16" t="s">
        <v>94</v>
      </c>
      <c r="I225" s="16" t="s">
        <v>97</v>
      </c>
      <c r="J225" s="16" t="s">
        <v>59</v>
      </c>
    </row>
    <row r="226" spans="1:10" x14ac:dyDescent="0.25">
      <c r="A226" s="18"/>
      <c r="H226" s="16" t="s">
        <v>95</v>
      </c>
      <c r="I226" s="16" t="s">
        <v>96</v>
      </c>
      <c r="J226" s="16" t="s">
        <v>59</v>
      </c>
    </row>
    <row r="227" spans="1:10" x14ac:dyDescent="0.25">
      <c r="H227" s="16" t="s">
        <v>100</v>
      </c>
      <c r="I227" s="16" t="s">
        <v>136</v>
      </c>
      <c r="J227" s="16" t="s">
        <v>60</v>
      </c>
    </row>
    <row r="229" spans="1:10" x14ac:dyDescent="0.25">
      <c r="H229" s="16" t="s">
        <v>101</v>
      </c>
      <c r="I229" s="16" t="s">
        <v>102</v>
      </c>
      <c r="J229" s="16" t="s">
        <v>60</v>
      </c>
    </row>
    <row r="230" spans="1:10" x14ac:dyDescent="0.25">
      <c r="H230" s="16" t="s">
        <v>103</v>
      </c>
      <c r="I230" s="16" t="s">
        <v>105</v>
      </c>
      <c r="J230" s="16" t="s">
        <v>60</v>
      </c>
    </row>
    <row r="231" spans="1:10" x14ac:dyDescent="0.25">
      <c r="H231" s="16" t="s">
        <v>106</v>
      </c>
      <c r="I231" s="16" t="s">
        <v>137</v>
      </c>
      <c r="J231" s="16" t="s">
        <v>60</v>
      </c>
    </row>
    <row r="232" spans="1:10" x14ac:dyDescent="0.25">
      <c r="H232" s="16" t="s">
        <v>107</v>
      </c>
      <c r="I232" s="16" t="s">
        <v>108</v>
      </c>
      <c r="J232" s="16" t="s">
        <v>60</v>
      </c>
    </row>
    <row r="233" spans="1:10" x14ac:dyDescent="0.25">
      <c r="H233" s="16" t="s">
        <v>109</v>
      </c>
      <c r="I233" s="16" t="s">
        <v>111</v>
      </c>
      <c r="J233" s="16" t="s">
        <v>60</v>
      </c>
    </row>
    <row r="234" spans="1:10" x14ac:dyDescent="0.25">
      <c r="H234" s="16" t="s">
        <v>118</v>
      </c>
      <c r="I234" s="16" t="s">
        <v>123</v>
      </c>
      <c r="J234" s="16" t="s">
        <v>61</v>
      </c>
    </row>
    <row r="235" spans="1:10" x14ac:dyDescent="0.25">
      <c r="H235" s="16" t="s">
        <v>119</v>
      </c>
      <c r="I235" s="16" t="s">
        <v>121</v>
      </c>
      <c r="J235" s="16" t="s">
        <v>61</v>
      </c>
    </row>
    <row r="236" spans="1:10" x14ac:dyDescent="0.25">
      <c r="H236" s="16" t="s">
        <v>122</v>
      </c>
      <c r="I236" s="16" t="s">
        <v>138</v>
      </c>
      <c r="J236" s="16" t="s">
        <v>61</v>
      </c>
    </row>
    <row r="237" spans="1:10" x14ac:dyDescent="0.25">
      <c r="H237" s="16" t="s">
        <v>124</v>
      </c>
      <c r="I237" s="16" t="s">
        <v>129</v>
      </c>
      <c r="J237" s="16" t="s">
        <v>61</v>
      </c>
    </row>
    <row r="238" spans="1:10" x14ac:dyDescent="0.25">
      <c r="H238" s="16" t="s">
        <v>125</v>
      </c>
      <c r="I238" s="16" t="s">
        <v>127</v>
      </c>
      <c r="J238" s="16" t="s">
        <v>61</v>
      </c>
    </row>
    <row r="239" spans="1:10" x14ac:dyDescent="0.25">
      <c r="H239" s="16" t="s">
        <v>128</v>
      </c>
      <c r="I239" s="16" t="s">
        <v>139</v>
      </c>
      <c r="J239" s="16" t="s">
        <v>61</v>
      </c>
    </row>
    <row r="241" spans="8:10" x14ac:dyDescent="0.25">
      <c r="H241" s="16" t="s">
        <v>118</v>
      </c>
      <c r="I241" s="16" t="s">
        <v>138</v>
      </c>
      <c r="J241" s="16" t="s">
        <v>61</v>
      </c>
    </row>
    <row r="242" spans="8:10" x14ac:dyDescent="0.25">
      <c r="H242" s="16" t="s">
        <v>119</v>
      </c>
      <c r="I242" s="16" t="s">
        <v>120</v>
      </c>
      <c r="J242" s="16" t="s">
        <v>61</v>
      </c>
    </row>
    <row r="243" spans="8:10" x14ac:dyDescent="0.25">
      <c r="H243" s="16" t="s">
        <v>121</v>
      </c>
      <c r="I243" s="16" t="s">
        <v>123</v>
      </c>
      <c r="J243" s="16" t="s">
        <v>61</v>
      </c>
    </row>
    <row r="244" spans="8:10" x14ac:dyDescent="0.25">
      <c r="H244" s="16" t="s">
        <v>124</v>
      </c>
      <c r="I244" s="16" t="s">
        <v>139</v>
      </c>
      <c r="J244" s="16" t="s">
        <v>61</v>
      </c>
    </row>
    <row r="245" spans="8:10" x14ac:dyDescent="0.25">
      <c r="H245" s="16" t="s">
        <v>125</v>
      </c>
      <c r="I245" s="16" t="s">
        <v>126</v>
      </c>
      <c r="J245" s="16" t="s">
        <v>61</v>
      </c>
    </row>
    <row r="246" spans="8:10" x14ac:dyDescent="0.25">
      <c r="H246" s="16" t="s">
        <v>127</v>
      </c>
      <c r="I246" s="16" t="s">
        <v>129</v>
      </c>
      <c r="J246" s="16" t="s">
        <v>61</v>
      </c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"/>
  <sheetViews>
    <sheetView workbookViewId="0">
      <selection activeCell="O12" sqref="N12:O12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9F7B9-0812-4E50-9220-44F547F53028}">
  <dimension ref="B1:C82"/>
  <sheetViews>
    <sheetView workbookViewId="0"/>
  </sheetViews>
  <sheetFormatPr baseColWidth="10" defaultRowHeight="15" x14ac:dyDescent="0.25"/>
  <cols>
    <col min="1" max="2" width="11.42578125" style="72"/>
    <col min="3" max="3" width="75.7109375" style="72" customWidth="1"/>
    <col min="4" max="16384" width="11.42578125" style="72"/>
  </cols>
  <sheetData>
    <row r="1" spans="2:3" ht="15.75" thickBot="1" x14ac:dyDescent="0.3">
      <c r="B1" s="73"/>
      <c r="C1" s="77" t="s">
        <v>59</v>
      </c>
    </row>
    <row r="2" spans="2:3" ht="15.75" x14ac:dyDescent="0.25">
      <c r="B2" s="74" t="s">
        <v>62</v>
      </c>
      <c r="C2" s="78" t="s">
        <v>55</v>
      </c>
    </row>
    <row r="3" spans="2:3" ht="15.75" x14ac:dyDescent="0.25">
      <c r="B3" s="75"/>
      <c r="C3" s="79" t="s">
        <v>56</v>
      </c>
    </row>
    <row r="4" spans="2:3" ht="15.75" x14ac:dyDescent="0.25">
      <c r="B4" s="75"/>
      <c r="C4" s="79" t="s">
        <v>57</v>
      </c>
    </row>
    <row r="5" spans="2:3" ht="15.75" x14ac:dyDescent="0.25">
      <c r="B5" s="75"/>
      <c r="C5" s="79" t="s">
        <v>58</v>
      </c>
    </row>
    <row r="6" spans="2:3" ht="15.75" x14ac:dyDescent="0.25">
      <c r="B6" s="75"/>
      <c r="C6" s="79" t="s">
        <v>72</v>
      </c>
    </row>
    <row r="7" spans="2:3" ht="15.75" x14ac:dyDescent="0.25">
      <c r="B7" s="75"/>
      <c r="C7" s="79" t="s">
        <v>73</v>
      </c>
    </row>
    <row r="8" spans="2:3" ht="15.75" x14ac:dyDescent="0.25">
      <c r="B8" s="75"/>
      <c r="C8" s="79" t="s">
        <v>74</v>
      </c>
    </row>
    <row r="9" spans="2:3" ht="16.5" thickBot="1" x14ac:dyDescent="0.3">
      <c r="B9" s="76"/>
      <c r="C9" s="80" t="s">
        <v>75</v>
      </c>
    </row>
    <row r="10" spans="2:3" ht="15.75" thickBot="1" x14ac:dyDescent="0.3">
      <c r="B10" s="73"/>
      <c r="C10" s="77" t="s">
        <v>59</v>
      </c>
    </row>
    <row r="11" spans="2:3" ht="15.75" x14ac:dyDescent="0.25">
      <c r="B11" s="81" t="s">
        <v>63</v>
      </c>
      <c r="C11" s="84" t="s">
        <v>76</v>
      </c>
    </row>
    <row r="12" spans="2:3" ht="15.75" x14ac:dyDescent="0.25">
      <c r="B12" s="82"/>
      <c r="C12" s="85" t="s">
        <v>77</v>
      </c>
    </row>
    <row r="13" spans="2:3" ht="15.75" x14ac:dyDescent="0.25">
      <c r="B13" s="82"/>
      <c r="C13" s="85" t="s">
        <v>78</v>
      </c>
    </row>
    <row r="14" spans="2:3" ht="15.75" x14ac:dyDescent="0.25">
      <c r="B14" s="82"/>
      <c r="C14" s="85" t="s">
        <v>79</v>
      </c>
    </row>
    <row r="15" spans="2:3" ht="15.75" x14ac:dyDescent="0.25">
      <c r="B15" s="82"/>
      <c r="C15" s="85" t="s">
        <v>80</v>
      </c>
    </row>
    <row r="16" spans="2:3" ht="15.75" x14ac:dyDescent="0.25">
      <c r="B16" s="82"/>
      <c r="C16" s="85" t="s">
        <v>81</v>
      </c>
    </row>
    <row r="17" spans="2:3" ht="15.75" x14ac:dyDescent="0.25">
      <c r="B17" s="82"/>
      <c r="C17" s="85" t="s">
        <v>82</v>
      </c>
    </row>
    <row r="18" spans="2:3" ht="16.5" thickBot="1" x14ac:dyDescent="0.3">
      <c r="B18" s="83"/>
      <c r="C18" s="86" t="s">
        <v>83</v>
      </c>
    </row>
    <row r="19" spans="2:3" ht="15.75" thickBot="1" x14ac:dyDescent="0.3">
      <c r="B19" s="73"/>
      <c r="C19" s="77" t="s">
        <v>59</v>
      </c>
    </row>
    <row r="20" spans="2:3" ht="15.75" x14ac:dyDescent="0.25">
      <c r="B20" s="87" t="s">
        <v>64</v>
      </c>
      <c r="C20" s="90" t="s">
        <v>84</v>
      </c>
    </row>
    <row r="21" spans="2:3" ht="15.75" x14ac:dyDescent="0.25">
      <c r="B21" s="88"/>
      <c r="C21" s="91" t="s">
        <v>85</v>
      </c>
    </row>
    <row r="22" spans="2:3" ht="15.75" x14ac:dyDescent="0.25">
      <c r="B22" s="88"/>
      <c r="C22" s="91" t="s">
        <v>86</v>
      </c>
    </row>
    <row r="23" spans="2:3" ht="15.75" x14ac:dyDescent="0.25">
      <c r="B23" s="88"/>
      <c r="C23" s="91" t="s">
        <v>87</v>
      </c>
    </row>
    <row r="24" spans="2:3" ht="15.75" x14ac:dyDescent="0.25">
      <c r="B24" s="88"/>
      <c r="C24" s="91" t="s">
        <v>88</v>
      </c>
    </row>
    <row r="25" spans="2:3" ht="15.75" x14ac:dyDescent="0.25">
      <c r="B25" s="88"/>
      <c r="C25" s="91" t="s">
        <v>89</v>
      </c>
    </row>
    <row r="26" spans="2:3" ht="15.75" x14ac:dyDescent="0.25">
      <c r="B26" s="88"/>
      <c r="C26" s="91" t="s">
        <v>90</v>
      </c>
    </row>
    <row r="27" spans="2:3" ht="16.5" thickBot="1" x14ac:dyDescent="0.3">
      <c r="B27" s="89"/>
      <c r="C27" s="92" t="s">
        <v>91</v>
      </c>
    </row>
    <row r="28" spans="2:3" ht="15.75" thickBot="1" x14ac:dyDescent="0.3">
      <c r="B28" s="73"/>
      <c r="C28" s="77" t="s">
        <v>59</v>
      </c>
    </row>
    <row r="29" spans="2:3" ht="15.75" x14ac:dyDescent="0.25">
      <c r="B29" s="93" t="s">
        <v>65</v>
      </c>
      <c r="C29" s="96" t="s">
        <v>92</v>
      </c>
    </row>
    <row r="30" spans="2:3" ht="15.75" x14ac:dyDescent="0.25">
      <c r="B30" s="94"/>
      <c r="C30" s="97" t="s">
        <v>93</v>
      </c>
    </row>
    <row r="31" spans="2:3" ht="15.75" x14ac:dyDescent="0.25">
      <c r="B31" s="94"/>
      <c r="C31" s="97" t="s">
        <v>94</v>
      </c>
    </row>
    <row r="32" spans="2:3" ht="15.75" x14ac:dyDescent="0.25">
      <c r="B32" s="94"/>
      <c r="C32" s="97" t="s">
        <v>95</v>
      </c>
    </row>
    <row r="33" spans="2:3" ht="15.75" x14ac:dyDescent="0.25">
      <c r="B33" s="94"/>
      <c r="C33" s="97" t="s">
        <v>96</v>
      </c>
    </row>
    <row r="34" spans="2:3" ht="15.75" x14ac:dyDescent="0.25">
      <c r="B34" s="94"/>
      <c r="C34" s="97" t="s">
        <v>97</v>
      </c>
    </row>
    <row r="35" spans="2:3" ht="15.75" x14ac:dyDescent="0.25">
      <c r="B35" s="94"/>
      <c r="C35" s="97" t="s">
        <v>98</v>
      </c>
    </row>
    <row r="36" spans="2:3" ht="16.5" thickBot="1" x14ac:dyDescent="0.3">
      <c r="B36" s="95"/>
      <c r="C36" s="98" t="s">
        <v>99</v>
      </c>
    </row>
    <row r="37" spans="2:3" ht="15.75" thickBot="1" x14ac:dyDescent="0.3">
      <c r="B37" s="73"/>
      <c r="C37" s="77" t="s">
        <v>60</v>
      </c>
    </row>
    <row r="38" spans="2:3" ht="15.75" x14ac:dyDescent="0.25">
      <c r="B38" s="99" t="s">
        <v>66</v>
      </c>
      <c r="C38" s="102" t="s">
        <v>100</v>
      </c>
    </row>
    <row r="39" spans="2:3" ht="15.75" x14ac:dyDescent="0.25">
      <c r="B39" s="100"/>
      <c r="C39" s="103" t="s">
        <v>101</v>
      </c>
    </row>
    <row r="40" spans="2:3" ht="15.75" x14ac:dyDescent="0.25">
      <c r="B40" s="100"/>
      <c r="C40" s="103" t="s">
        <v>102</v>
      </c>
    </row>
    <row r="41" spans="2:3" ht="15.75" x14ac:dyDescent="0.25">
      <c r="B41" s="100"/>
      <c r="C41" s="103" t="s">
        <v>103</v>
      </c>
    </row>
    <row r="42" spans="2:3" ht="15.75" x14ac:dyDescent="0.25">
      <c r="B42" s="100"/>
      <c r="C42" s="103" t="s">
        <v>104</v>
      </c>
    </row>
    <row r="43" spans="2:3" ht="15.75" x14ac:dyDescent="0.25">
      <c r="B43" s="100"/>
      <c r="C43" s="103" t="s">
        <v>105</v>
      </c>
    </row>
    <row r="44" spans="2:3" ht="16.5" thickBot="1" x14ac:dyDescent="0.3">
      <c r="B44" s="101"/>
      <c r="C44" s="104" t="s">
        <v>136</v>
      </c>
    </row>
    <row r="45" spans="2:3" ht="15.75" thickBot="1" x14ac:dyDescent="0.3">
      <c r="B45" s="73"/>
      <c r="C45" s="77" t="s">
        <v>60</v>
      </c>
    </row>
    <row r="46" spans="2:3" ht="15.75" x14ac:dyDescent="0.25">
      <c r="B46" s="74" t="s">
        <v>67</v>
      </c>
      <c r="C46" s="78" t="s">
        <v>106</v>
      </c>
    </row>
    <row r="47" spans="2:3" ht="15.75" x14ac:dyDescent="0.25">
      <c r="B47" s="75"/>
      <c r="C47" s="79" t="s">
        <v>107</v>
      </c>
    </row>
    <row r="48" spans="2:3" ht="15.75" x14ac:dyDescent="0.25">
      <c r="B48" s="75"/>
      <c r="C48" s="79" t="s">
        <v>108</v>
      </c>
    </row>
    <row r="49" spans="2:3" ht="15.75" x14ac:dyDescent="0.25">
      <c r="B49" s="75"/>
      <c r="C49" s="79" t="s">
        <v>109</v>
      </c>
    </row>
    <row r="50" spans="2:3" ht="15.75" x14ac:dyDescent="0.25">
      <c r="B50" s="75"/>
      <c r="C50" s="79" t="s">
        <v>110</v>
      </c>
    </row>
    <row r="51" spans="2:3" ht="15.75" x14ac:dyDescent="0.25">
      <c r="B51" s="75"/>
      <c r="C51" s="79" t="s">
        <v>111</v>
      </c>
    </row>
    <row r="52" spans="2:3" ht="16.5" thickBot="1" x14ac:dyDescent="0.3">
      <c r="B52" s="76"/>
      <c r="C52" s="80" t="s">
        <v>137</v>
      </c>
    </row>
    <row r="53" spans="2:3" ht="15.75" thickBot="1" x14ac:dyDescent="0.3">
      <c r="B53" s="73"/>
      <c r="C53" s="77" t="s">
        <v>60</v>
      </c>
    </row>
    <row r="54" spans="2:3" ht="15.75" x14ac:dyDescent="0.25">
      <c r="B54" s="81" t="s">
        <v>68</v>
      </c>
      <c r="C54" s="84" t="s">
        <v>112</v>
      </c>
    </row>
    <row r="55" spans="2:3" ht="15.75" x14ac:dyDescent="0.25">
      <c r="B55" s="82"/>
      <c r="C55" s="85" t="s">
        <v>113</v>
      </c>
    </row>
    <row r="56" spans="2:3" ht="15.75" x14ac:dyDescent="0.25">
      <c r="B56" s="82"/>
      <c r="C56" s="85" t="s">
        <v>114</v>
      </c>
    </row>
    <row r="57" spans="2:3" ht="15.75" x14ac:dyDescent="0.25">
      <c r="B57" s="82"/>
      <c r="C57" s="85" t="s">
        <v>115</v>
      </c>
    </row>
    <row r="58" spans="2:3" ht="15.75" x14ac:dyDescent="0.25">
      <c r="B58" s="82"/>
      <c r="C58" s="85" t="s">
        <v>116</v>
      </c>
    </row>
    <row r="59" spans="2:3" ht="16.5" thickBot="1" x14ac:dyDescent="0.3">
      <c r="B59" s="83"/>
      <c r="C59" s="86" t="s">
        <v>117</v>
      </c>
    </row>
    <row r="60" spans="2:3" ht="15.75" thickBot="1" x14ac:dyDescent="0.3">
      <c r="B60" s="73"/>
      <c r="C60" s="77" t="s">
        <v>61</v>
      </c>
    </row>
    <row r="61" spans="2:3" ht="15.75" x14ac:dyDescent="0.25">
      <c r="B61" s="87" t="s">
        <v>69</v>
      </c>
      <c r="C61" s="90" t="s">
        <v>118</v>
      </c>
    </row>
    <row r="62" spans="2:3" ht="15.75" x14ac:dyDescent="0.25">
      <c r="B62" s="88"/>
      <c r="C62" s="91" t="s">
        <v>119</v>
      </c>
    </row>
    <row r="63" spans="2:3" ht="15.75" x14ac:dyDescent="0.25">
      <c r="B63" s="88"/>
      <c r="C63" s="91" t="s">
        <v>120</v>
      </c>
    </row>
    <row r="64" spans="2:3" ht="15.75" x14ac:dyDescent="0.25">
      <c r="B64" s="88"/>
      <c r="C64" s="91" t="s">
        <v>121</v>
      </c>
    </row>
    <row r="65" spans="2:3" ht="15.75" x14ac:dyDescent="0.25">
      <c r="B65" s="88"/>
      <c r="C65" s="91" t="s">
        <v>122</v>
      </c>
    </row>
    <row r="66" spans="2:3" ht="15.75" x14ac:dyDescent="0.25">
      <c r="B66" s="88"/>
      <c r="C66" s="91" t="s">
        <v>123</v>
      </c>
    </row>
    <row r="67" spans="2:3" ht="16.5" thickBot="1" x14ac:dyDescent="0.3">
      <c r="B67" s="89"/>
      <c r="C67" s="92" t="s">
        <v>138</v>
      </c>
    </row>
    <row r="68" spans="2:3" ht="15.75" thickBot="1" x14ac:dyDescent="0.3">
      <c r="B68" s="73"/>
      <c r="C68" s="77" t="s">
        <v>61</v>
      </c>
    </row>
    <row r="69" spans="2:3" ht="15.75" x14ac:dyDescent="0.25">
      <c r="B69" s="93" t="s">
        <v>70</v>
      </c>
      <c r="C69" s="96" t="s">
        <v>124</v>
      </c>
    </row>
    <row r="70" spans="2:3" ht="15.75" x14ac:dyDescent="0.25">
      <c r="B70" s="94"/>
      <c r="C70" s="97" t="s">
        <v>125</v>
      </c>
    </row>
    <row r="71" spans="2:3" ht="15.75" x14ac:dyDescent="0.25">
      <c r="B71" s="94"/>
      <c r="C71" s="97" t="s">
        <v>126</v>
      </c>
    </row>
    <row r="72" spans="2:3" ht="15.75" x14ac:dyDescent="0.25">
      <c r="B72" s="94"/>
      <c r="C72" s="97" t="s">
        <v>127</v>
      </c>
    </row>
    <row r="73" spans="2:3" ht="15.75" x14ac:dyDescent="0.25">
      <c r="B73" s="94"/>
      <c r="C73" s="97" t="s">
        <v>128</v>
      </c>
    </row>
    <row r="74" spans="2:3" ht="15.75" x14ac:dyDescent="0.25">
      <c r="B74" s="94"/>
      <c r="C74" s="97" t="s">
        <v>129</v>
      </c>
    </row>
    <row r="75" spans="2:3" ht="16.5" thickBot="1" x14ac:dyDescent="0.3">
      <c r="B75" s="95"/>
      <c r="C75" s="98" t="s">
        <v>139</v>
      </c>
    </row>
    <row r="76" spans="2:3" ht="15.75" thickBot="1" x14ac:dyDescent="0.3">
      <c r="B76" s="73"/>
      <c r="C76" s="77" t="s">
        <v>61</v>
      </c>
    </row>
    <row r="77" spans="2:3" ht="15.75" x14ac:dyDescent="0.25">
      <c r="B77" s="99" t="s">
        <v>71</v>
      </c>
      <c r="C77" s="102" t="s">
        <v>130</v>
      </c>
    </row>
    <row r="78" spans="2:3" ht="15.75" x14ac:dyDescent="0.25">
      <c r="B78" s="100"/>
      <c r="C78" s="103" t="s">
        <v>131</v>
      </c>
    </row>
    <row r="79" spans="2:3" ht="15.75" x14ac:dyDescent="0.25">
      <c r="B79" s="100"/>
      <c r="C79" s="103" t="s">
        <v>132</v>
      </c>
    </row>
    <row r="80" spans="2:3" ht="15.75" x14ac:dyDescent="0.25">
      <c r="B80" s="100"/>
      <c r="C80" s="103" t="s">
        <v>133</v>
      </c>
    </row>
    <row r="81" spans="2:3" ht="15.75" x14ac:dyDescent="0.25">
      <c r="B81" s="100"/>
      <c r="C81" s="103" t="s">
        <v>134</v>
      </c>
    </row>
    <row r="82" spans="2:3" ht="16.5" thickBot="1" x14ac:dyDescent="0.3">
      <c r="B82" s="101"/>
      <c r="C82" s="104" t="s">
        <v>135</v>
      </c>
    </row>
  </sheetData>
  <mergeCells count="10">
    <mergeCell ref="B54:B59"/>
    <mergeCell ref="B61:B67"/>
    <mergeCell ref="B69:B75"/>
    <mergeCell ref="B77:B82"/>
    <mergeCell ref="B2:B9"/>
    <mergeCell ref="B11:B18"/>
    <mergeCell ref="B20:B27"/>
    <mergeCell ref="B29:B36"/>
    <mergeCell ref="B38:B44"/>
    <mergeCell ref="B46:B5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3" name="C4PPinscript">
              <controlPr defaultSize="0" print="0" autoFill="0" autoPict="0" macro="[0]!'copyimage &quot;B2:C82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CB46E-42D8-45EF-883F-81D60BC1FF69}">
  <dimension ref="A1:G2701"/>
  <sheetViews>
    <sheetView topLeftCell="B1" workbookViewId="0"/>
  </sheetViews>
  <sheetFormatPr baseColWidth="10" defaultRowHeight="15" x14ac:dyDescent="0.25"/>
  <cols>
    <col min="1" max="1" width="0" style="72" hidden="1" customWidth="1"/>
    <col min="2" max="2" width="43.5703125" style="72" customWidth="1"/>
    <col min="3" max="3" width="6" style="115" customWidth="1"/>
    <col min="4" max="4" width="16.7109375" style="72" customWidth="1"/>
    <col min="5" max="5" width="6" style="115" customWidth="1"/>
    <col min="6" max="6" width="43.5703125" style="72" customWidth="1"/>
    <col min="7" max="7" width="6" style="72" hidden="1" customWidth="1"/>
    <col min="8" max="16384" width="11.42578125" style="72"/>
  </cols>
  <sheetData>
    <row r="1" spans="1:7" x14ac:dyDescent="0.25">
      <c r="A1" s="105"/>
      <c r="B1" s="105"/>
      <c r="C1" s="113"/>
      <c r="D1" s="106">
        <v>0.83333333333333337</v>
      </c>
      <c r="E1" s="113"/>
      <c r="F1" s="105"/>
      <c r="G1" s="105"/>
    </row>
    <row r="2" spans="1:7" x14ac:dyDescent="0.25">
      <c r="A2" s="108" t="s">
        <v>55</v>
      </c>
      <c r="B2" s="108" t="str">
        <f>INSCRIPTS!C2</f>
        <v>1A</v>
      </c>
      <c r="C2" s="114"/>
      <c r="D2" s="107" t="s">
        <v>141</v>
      </c>
      <c r="E2" s="114"/>
      <c r="F2" s="108" t="str">
        <f>INSCRIPTS!C3</f>
        <v>2A</v>
      </c>
      <c r="G2" s="108" t="s">
        <v>56</v>
      </c>
    </row>
    <row r="3" spans="1:7" x14ac:dyDescent="0.25">
      <c r="A3" s="108" t="s">
        <v>57</v>
      </c>
      <c r="B3" s="108" t="str">
        <f>INSCRIPTS!C4</f>
        <v>3A</v>
      </c>
      <c r="C3" s="114"/>
      <c r="D3" s="107" t="s">
        <v>142</v>
      </c>
      <c r="E3" s="114"/>
      <c r="F3" s="108" t="str">
        <f>INSCRIPTS!C5</f>
        <v>4A</v>
      </c>
      <c r="G3" s="108" t="s">
        <v>58</v>
      </c>
    </row>
    <row r="4" spans="1:7" x14ac:dyDescent="0.25">
      <c r="A4" s="108" t="s">
        <v>72</v>
      </c>
      <c r="B4" s="108" t="str">
        <f>INSCRIPTS!C6</f>
        <v>5A</v>
      </c>
      <c r="C4" s="114"/>
      <c r="D4" s="107" t="s">
        <v>143</v>
      </c>
      <c r="E4" s="114"/>
      <c r="F4" s="108" t="str">
        <f>INSCRIPTS!C7</f>
        <v>6A</v>
      </c>
      <c r="G4" s="108" t="s">
        <v>73</v>
      </c>
    </row>
    <row r="5" spans="1:7" x14ac:dyDescent="0.25">
      <c r="A5" s="108" t="s">
        <v>74</v>
      </c>
      <c r="B5" s="108" t="str">
        <f>INSCRIPTS!C8</f>
        <v>7A</v>
      </c>
      <c r="C5" s="114"/>
      <c r="D5" s="107" t="s">
        <v>144</v>
      </c>
      <c r="E5" s="114"/>
      <c r="F5" s="108" t="str">
        <f>INSCRIPTS!C9</f>
        <v>8A</v>
      </c>
      <c r="G5" s="108" t="s">
        <v>75</v>
      </c>
    </row>
    <row r="6" spans="1:7" x14ac:dyDescent="0.25">
      <c r="A6" s="109" t="s">
        <v>76</v>
      </c>
      <c r="B6" s="109" t="str">
        <f>INSCRIPTS!C11</f>
        <v>1B</v>
      </c>
      <c r="C6" s="114"/>
      <c r="D6" s="107" t="s">
        <v>145</v>
      </c>
      <c r="E6" s="114"/>
      <c r="F6" s="109" t="str">
        <f>INSCRIPTS!C12</f>
        <v>2B</v>
      </c>
      <c r="G6" s="109" t="s">
        <v>77</v>
      </c>
    </row>
    <row r="7" spans="1:7" x14ac:dyDescent="0.25">
      <c r="A7" s="109" t="s">
        <v>78</v>
      </c>
      <c r="B7" s="109" t="str">
        <f>INSCRIPTS!C13</f>
        <v>3B</v>
      </c>
      <c r="C7" s="114"/>
      <c r="D7" s="107" t="s">
        <v>146</v>
      </c>
      <c r="E7" s="114"/>
      <c r="F7" s="109" t="str">
        <f>INSCRIPTS!C14</f>
        <v>4B</v>
      </c>
      <c r="G7" s="109" t="s">
        <v>79</v>
      </c>
    </row>
    <row r="8" spans="1:7" x14ac:dyDescent="0.25">
      <c r="A8" s="109" t="s">
        <v>80</v>
      </c>
      <c r="B8" s="109" t="str">
        <f>INSCRIPTS!C15</f>
        <v>5B</v>
      </c>
      <c r="C8" s="114"/>
      <c r="D8" s="107" t="s">
        <v>147</v>
      </c>
      <c r="E8" s="114"/>
      <c r="F8" s="109" t="str">
        <f>INSCRIPTS!C16</f>
        <v>6B</v>
      </c>
      <c r="G8" s="109" t="s">
        <v>81</v>
      </c>
    </row>
    <row r="9" spans="1:7" x14ac:dyDescent="0.25">
      <c r="A9" s="109" t="s">
        <v>82</v>
      </c>
      <c r="B9" s="109" t="str">
        <f>INSCRIPTS!C17</f>
        <v>7B</v>
      </c>
      <c r="C9" s="114"/>
      <c r="D9" s="107" t="s">
        <v>148</v>
      </c>
      <c r="E9" s="114"/>
      <c r="F9" s="109" t="str">
        <f>INSCRIPTS!C18</f>
        <v>8B</v>
      </c>
      <c r="G9" s="109" t="s">
        <v>83</v>
      </c>
    </row>
    <row r="10" spans="1:7" x14ac:dyDescent="0.25">
      <c r="A10" s="110" t="s">
        <v>84</v>
      </c>
      <c r="B10" s="110" t="str">
        <f>INSCRIPTS!C20</f>
        <v>1C</v>
      </c>
      <c r="C10" s="114"/>
      <c r="D10" s="107" t="s">
        <v>149</v>
      </c>
      <c r="E10" s="114"/>
      <c r="F10" s="110" t="str">
        <f>INSCRIPTS!C21</f>
        <v>2C</v>
      </c>
      <c r="G10" s="110" t="s">
        <v>85</v>
      </c>
    </row>
    <row r="11" spans="1:7" x14ac:dyDescent="0.25">
      <c r="A11" s="110" t="s">
        <v>86</v>
      </c>
      <c r="B11" s="110" t="str">
        <f>INSCRIPTS!C22</f>
        <v>3C</v>
      </c>
      <c r="C11" s="114"/>
      <c r="D11" s="107" t="s">
        <v>150</v>
      </c>
      <c r="E11" s="114"/>
      <c r="F11" s="110" t="str">
        <f>INSCRIPTS!C23</f>
        <v>4C</v>
      </c>
      <c r="G11" s="110" t="s">
        <v>87</v>
      </c>
    </row>
    <row r="12" spans="1:7" x14ac:dyDescent="0.25">
      <c r="A12" s="110" t="s">
        <v>88</v>
      </c>
      <c r="B12" s="110" t="str">
        <f>INSCRIPTS!C24</f>
        <v>5C</v>
      </c>
      <c r="C12" s="114"/>
      <c r="D12" s="107" t="s">
        <v>151</v>
      </c>
      <c r="E12" s="114"/>
      <c r="F12" s="110" t="str">
        <f>INSCRIPTS!C25</f>
        <v>6C</v>
      </c>
      <c r="G12" s="110" t="s">
        <v>89</v>
      </c>
    </row>
    <row r="13" spans="1:7" x14ac:dyDescent="0.25">
      <c r="A13" s="105"/>
      <c r="B13" s="105"/>
      <c r="C13" s="113"/>
      <c r="D13" s="106">
        <f>0.833333333333333 + "00:20:00"</f>
        <v>0.84722222222222188</v>
      </c>
      <c r="E13" s="113"/>
      <c r="F13" s="105"/>
      <c r="G13" s="105"/>
    </row>
    <row r="14" spans="1:7" x14ac:dyDescent="0.25">
      <c r="A14" s="110" t="s">
        <v>90</v>
      </c>
      <c r="B14" s="110" t="str">
        <f>INSCRIPTS!C26</f>
        <v>7C</v>
      </c>
      <c r="C14" s="114"/>
      <c r="D14" s="107" t="s">
        <v>141</v>
      </c>
      <c r="E14" s="114"/>
      <c r="F14" s="110" t="str">
        <f>INSCRIPTS!C27</f>
        <v>8C</v>
      </c>
      <c r="G14" s="110" t="s">
        <v>91</v>
      </c>
    </row>
    <row r="15" spans="1:7" x14ac:dyDescent="0.25">
      <c r="A15" s="111" t="s">
        <v>92</v>
      </c>
      <c r="B15" s="111" t="str">
        <f>INSCRIPTS!C29</f>
        <v>1D</v>
      </c>
      <c r="C15" s="114"/>
      <c r="D15" s="107" t="s">
        <v>142</v>
      </c>
      <c r="E15" s="114"/>
      <c r="F15" s="111" t="str">
        <f>INSCRIPTS!C30</f>
        <v>2D</v>
      </c>
      <c r="G15" s="111" t="s">
        <v>93</v>
      </c>
    </row>
    <row r="16" spans="1:7" x14ac:dyDescent="0.25">
      <c r="A16" s="111" t="s">
        <v>94</v>
      </c>
      <c r="B16" s="111" t="str">
        <f>INSCRIPTS!C31</f>
        <v>3D</v>
      </c>
      <c r="C16" s="114"/>
      <c r="D16" s="107" t="s">
        <v>143</v>
      </c>
      <c r="E16" s="114"/>
      <c r="F16" s="111" t="str">
        <f>INSCRIPTS!C32</f>
        <v>4D</v>
      </c>
      <c r="G16" s="111" t="s">
        <v>95</v>
      </c>
    </row>
    <row r="17" spans="1:7" x14ac:dyDescent="0.25">
      <c r="A17" s="111" t="s">
        <v>96</v>
      </c>
      <c r="B17" s="111" t="str">
        <f>INSCRIPTS!C33</f>
        <v>5D</v>
      </c>
      <c r="C17" s="114"/>
      <c r="D17" s="107" t="s">
        <v>144</v>
      </c>
      <c r="E17" s="114"/>
      <c r="F17" s="111" t="str">
        <f>INSCRIPTS!C34</f>
        <v>6D</v>
      </c>
      <c r="G17" s="111" t="s">
        <v>97</v>
      </c>
    </row>
    <row r="18" spans="1:7" x14ac:dyDescent="0.25">
      <c r="A18" s="111" t="s">
        <v>98</v>
      </c>
      <c r="B18" s="111" t="str">
        <f>INSCRIPTS!C35</f>
        <v>7D</v>
      </c>
      <c r="C18" s="114"/>
      <c r="D18" s="107" t="s">
        <v>145</v>
      </c>
      <c r="E18" s="114"/>
      <c r="F18" s="111" t="str">
        <f>INSCRIPTS!C36</f>
        <v>8D</v>
      </c>
      <c r="G18" s="111" t="s">
        <v>99</v>
      </c>
    </row>
    <row r="19" spans="1:7" x14ac:dyDescent="0.25">
      <c r="A19" s="112" t="s">
        <v>100</v>
      </c>
      <c r="B19" s="112" t="str">
        <f>INSCRIPTS!C38</f>
        <v>1E</v>
      </c>
      <c r="C19" s="114"/>
      <c r="D19" s="107" t="s">
        <v>152</v>
      </c>
      <c r="E19" s="114"/>
      <c r="F19" s="112" t="str">
        <f>INSCRIPTS!C39</f>
        <v>2E</v>
      </c>
      <c r="G19" s="112" t="s">
        <v>101</v>
      </c>
    </row>
    <row r="20" spans="1:7" x14ac:dyDescent="0.25">
      <c r="A20" s="112" t="s">
        <v>102</v>
      </c>
      <c r="B20" s="112" t="str">
        <f>INSCRIPTS!C40</f>
        <v>3E</v>
      </c>
      <c r="C20" s="114"/>
      <c r="D20" s="107" t="s">
        <v>153</v>
      </c>
      <c r="E20" s="114"/>
      <c r="F20" s="112" t="str">
        <f>INSCRIPTS!C41</f>
        <v>4E</v>
      </c>
      <c r="G20" s="112" t="s">
        <v>103</v>
      </c>
    </row>
    <row r="21" spans="1:7" x14ac:dyDescent="0.25">
      <c r="A21" s="112" t="s">
        <v>104</v>
      </c>
      <c r="B21" s="112" t="str">
        <f>INSCRIPTS!C42</f>
        <v>5E</v>
      </c>
      <c r="C21" s="114"/>
      <c r="D21" s="107" t="s">
        <v>154</v>
      </c>
      <c r="E21" s="114"/>
      <c r="F21" s="112" t="str">
        <f>INSCRIPTS!C43</f>
        <v>6E</v>
      </c>
      <c r="G21" s="112" t="s">
        <v>105</v>
      </c>
    </row>
    <row r="22" spans="1:7" x14ac:dyDescent="0.25">
      <c r="A22" s="108" t="s">
        <v>106</v>
      </c>
      <c r="B22" s="108" t="str">
        <f>INSCRIPTS!C46</f>
        <v>1F</v>
      </c>
      <c r="C22" s="114"/>
      <c r="D22" s="107" t="s">
        <v>155</v>
      </c>
      <c r="E22" s="114"/>
      <c r="F22" s="108" t="str">
        <f>INSCRIPTS!C47</f>
        <v>2F</v>
      </c>
      <c r="G22" s="108" t="s">
        <v>107</v>
      </c>
    </row>
    <row r="23" spans="1:7" x14ac:dyDescent="0.25">
      <c r="A23" s="108" t="s">
        <v>108</v>
      </c>
      <c r="B23" s="108" t="str">
        <f>INSCRIPTS!C48</f>
        <v>3F</v>
      </c>
      <c r="C23" s="114"/>
      <c r="D23" s="107" t="s">
        <v>156</v>
      </c>
      <c r="E23" s="114"/>
      <c r="F23" s="108" t="str">
        <f>INSCRIPTS!C49</f>
        <v>4F</v>
      </c>
      <c r="G23" s="108" t="s">
        <v>109</v>
      </c>
    </row>
    <row r="24" spans="1:7" x14ac:dyDescent="0.25">
      <c r="A24" s="108" t="s">
        <v>110</v>
      </c>
      <c r="B24" s="108" t="str">
        <f>INSCRIPTS!C50</f>
        <v>5F</v>
      </c>
      <c r="C24" s="114"/>
      <c r="D24" s="107" t="s">
        <v>157</v>
      </c>
      <c r="E24" s="114"/>
      <c r="F24" s="108" t="str">
        <f>INSCRIPTS!C51</f>
        <v>6F</v>
      </c>
      <c r="G24" s="108" t="s">
        <v>111</v>
      </c>
    </row>
    <row r="25" spans="1:7" x14ac:dyDescent="0.25">
      <c r="A25" s="105"/>
      <c r="B25" s="105"/>
      <c r="C25" s="113"/>
      <c r="D25" s="106">
        <f>0.847222222222222 + "00:20:00"</f>
        <v>0.86111111111111083</v>
      </c>
      <c r="E25" s="113"/>
      <c r="F25" s="105"/>
      <c r="G25" s="105"/>
    </row>
    <row r="26" spans="1:7" x14ac:dyDescent="0.25">
      <c r="A26" s="109" t="s">
        <v>112</v>
      </c>
      <c r="B26" s="109" t="str">
        <f>INSCRIPTS!C54</f>
        <v>1G</v>
      </c>
      <c r="C26" s="114"/>
      <c r="D26" s="107" t="s">
        <v>158</v>
      </c>
      <c r="E26" s="114"/>
      <c r="F26" s="109" t="str">
        <f>INSCRIPTS!C55</f>
        <v>2G</v>
      </c>
      <c r="G26" s="109" t="s">
        <v>113</v>
      </c>
    </row>
    <row r="27" spans="1:7" x14ac:dyDescent="0.25">
      <c r="A27" s="109" t="s">
        <v>114</v>
      </c>
      <c r="B27" s="109" t="str">
        <f>INSCRIPTS!C56</f>
        <v>3G</v>
      </c>
      <c r="C27" s="114"/>
      <c r="D27" s="107" t="s">
        <v>159</v>
      </c>
      <c r="E27" s="114"/>
      <c r="F27" s="109" t="str">
        <f>INSCRIPTS!C57</f>
        <v>4G</v>
      </c>
      <c r="G27" s="109" t="s">
        <v>115</v>
      </c>
    </row>
    <row r="28" spans="1:7" x14ac:dyDescent="0.25">
      <c r="A28" s="109" t="s">
        <v>116</v>
      </c>
      <c r="B28" s="109" t="str">
        <f>INSCRIPTS!C58</f>
        <v>5G</v>
      </c>
      <c r="C28" s="114"/>
      <c r="D28" s="107" t="s">
        <v>160</v>
      </c>
      <c r="E28" s="114"/>
      <c r="F28" s="109" t="str">
        <f>INSCRIPTS!C59</f>
        <v>6G</v>
      </c>
      <c r="G28" s="109" t="s">
        <v>117</v>
      </c>
    </row>
    <row r="29" spans="1:7" x14ac:dyDescent="0.25">
      <c r="A29" s="110" t="s">
        <v>118</v>
      </c>
      <c r="B29" s="110" t="str">
        <f>INSCRIPTS!C61</f>
        <v>1H</v>
      </c>
      <c r="C29" s="114"/>
      <c r="D29" s="107" t="s">
        <v>161</v>
      </c>
      <c r="E29" s="114"/>
      <c r="F29" s="110" t="str">
        <f>INSCRIPTS!C62</f>
        <v>2H</v>
      </c>
      <c r="G29" s="110" t="s">
        <v>119</v>
      </c>
    </row>
    <row r="30" spans="1:7" x14ac:dyDescent="0.25">
      <c r="A30" s="110" t="s">
        <v>120</v>
      </c>
      <c r="B30" s="110" t="str">
        <f>INSCRIPTS!C63</f>
        <v>3H</v>
      </c>
      <c r="C30" s="114"/>
      <c r="D30" s="107" t="s">
        <v>162</v>
      </c>
      <c r="E30" s="114"/>
      <c r="F30" s="110" t="str">
        <f>INSCRIPTS!C64</f>
        <v>4H</v>
      </c>
      <c r="G30" s="110" t="s">
        <v>121</v>
      </c>
    </row>
    <row r="31" spans="1:7" x14ac:dyDescent="0.25">
      <c r="A31" s="110" t="s">
        <v>122</v>
      </c>
      <c r="B31" s="110" t="str">
        <f>INSCRIPTS!C65</f>
        <v>5H</v>
      </c>
      <c r="C31" s="114"/>
      <c r="D31" s="107" t="s">
        <v>163</v>
      </c>
      <c r="E31" s="114"/>
      <c r="F31" s="110" t="str">
        <f>INSCRIPTS!C66</f>
        <v>6H</v>
      </c>
      <c r="G31" s="110" t="s">
        <v>123</v>
      </c>
    </row>
    <row r="32" spans="1:7" x14ac:dyDescent="0.25">
      <c r="A32" s="111" t="s">
        <v>124</v>
      </c>
      <c r="B32" s="111" t="str">
        <f>INSCRIPTS!C69</f>
        <v>1I</v>
      </c>
      <c r="C32" s="114"/>
      <c r="D32" s="107" t="s">
        <v>164</v>
      </c>
      <c r="E32" s="114"/>
      <c r="F32" s="111" t="str">
        <f>INSCRIPTS!C70</f>
        <v>2I</v>
      </c>
      <c r="G32" s="111" t="s">
        <v>125</v>
      </c>
    </row>
    <row r="33" spans="1:7" x14ac:dyDescent="0.25">
      <c r="A33" s="111" t="s">
        <v>126</v>
      </c>
      <c r="B33" s="111" t="str">
        <f>INSCRIPTS!C71</f>
        <v>3I</v>
      </c>
      <c r="C33" s="114"/>
      <c r="D33" s="107" t="s">
        <v>165</v>
      </c>
      <c r="E33" s="114"/>
      <c r="F33" s="111" t="str">
        <f>INSCRIPTS!C72</f>
        <v>4I</v>
      </c>
      <c r="G33" s="111" t="s">
        <v>127</v>
      </c>
    </row>
    <row r="34" spans="1:7" x14ac:dyDescent="0.25">
      <c r="A34" s="111" t="s">
        <v>128</v>
      </c>
      <c r="B34" s="111" t="str">
        <f>INSCRIPTS!C73</f>
        <v>5I</v>
      </c>
      <c r="C34" s="114"/>
      <c r="D34" s="107" t="s">
        <v>166</v>
      </c>
      <c r="E34" s="114"/>
      <c r="F34" s="111" t="str">
        <f>INSCRIPTS!C74</f>
        <v>6I</v>
      </c>
      <c r="G34" s="111" t="s">
        <v>129</v>
      </c>
    </row>
    <row r="35" spans="1:7" x14ac:dyDescent="0.25">
      <c r="A35" s="112" t="s">
        <v>130</v>
      </c>
      <c r="B35" s="112" t="str">
        <f>INSCRIPTS!C77</f>
        <v>1J</v>
      </c>
      <c r="C35" s="114"/>
      <c r="D35" s="107" t="s">
        <v>167</v>
      </c>
      <c r="E35" s="114"/>
      <c r="F35" s="112" t="str">
        <f>INSCRIPTS!C78</f>
        <v>2J</v>
      </c>
      <c r="G35" s="112" t="s">
        <v>131</v>
      </c>
    </row>
    <row r="36" spans="1:7" x14ac:dyDescent="0.25">
      <c r="A36" s="112" t="s">
        <v>132</v>
      </c>
      <c r="B36" s="112" t="str">
        <f>INSCRIPTS!C79</f>
        <v>3J</v>
      </c>
      <c r="C36" s="114"/>
      <c r="D36" s="107" t="s">
        <v>168</v>
      </c>
      <c r="E36" s="114"/>
      <c r="F36" s="112" t="str">
        <f>INSCRIPTS!C80</f>
        <v>4J</v>
      </c>
      <c r="G36" s="112" t="s">
        <v>133</v>
      </c>
    </row>
    <row r="37" spans="1:7" x14ac:dyDescent="0.25">
      <c r="A37" s="105"/>
      <c r="B37" s="105"/>
      <c r="C37" s="113"/>
      <c r="D37" s="106">
        <f>0.861111111111111 + "00:20:00"</f>
        <v>0.87499999999999989</v>
      </c>
      <c r="E37" s="113"/>
      <c r="F37" s="105"/>
      <c r="G37" s="105"/>
    </row>
    <row r="38" spans="1:7" x14ac:dyDescent="0.25">
      <c r="A38" s="112" t="s">
        <v>134</v>
      </c>
      <c r="B38" s="112" t="str">
        <f>INSCRIPTS!C81</f>
        <v>5J</v>
      </c>
      <c r="C38" s="114"/>
      <c r="D38" s="107" t="s">
        <v>169</v>
      </c>
      <c r="E38" s="114"/>
      <c r="F38" s="112" t="str">
        <f>INSCRIPTS!C82</f>
        <v>6J</v>
      </c>
      <c r="G38" s="112" t="s">
        <v>135</v>
      </c>
    </row>
    <row r="39" spans="1:7" x14ac:dyDescent="0.25">
      <c r="A39" s="108" t="s">
        <v>55</v>
      </c>
      <c r="B39" s="108" t="str">
        <f>INSCRIPTS!C2</f>
        <v>1A</v>
      </c>
      <c r="C39" s="114"/>
      <c r="D39" s="107" t="s">
        <v>142</v>
      </c>
      <c r="E39" s="114"/>
      <c r="F39" s="108" t="str">
        <f>INSCRIPTS!C4</f>
        <v>3A</v>
      </c>
      <c r="G39" s="108" t="s">
        <v>57</v>
      </c>
    </row>
    <row r="40" spans="1:7" x14ac:dyDescent="0.25">
      <c r="A40" s="108" t="s">
        <v>56</v>
      </c>
      <c r="B40" s="108" t="str">
        <f>INSCRIPTS!C3</f>
        <v>2A</v>
      </c>
      <c r="C40" s="114"/>
      <c r="D40" s="107" t="s">
        <v>143</v>
      </c>
      <c r="E40" s="114"/>
      <c r="F40" s="108" t="str">
        <f>INSCRIPTS!C5</f>
        <v>4A</v>
      </c>
      <c r="G40" s="108" t="s">
        <v>58</v>
      </c>
    </row>
    <row r="41" spans="1:7" x14ac:dyDescent="0.25">
      <c r="A41" s="108" t="s">
        <v>72</v>
      </c>
      <c r="B41" s="108" t="str">
        <f>INSCRIPTS!C6</f>
        <v>5A</v>
      </c>
      <c r="C41" s="114"/>
      <c r="D41" s="107" t="s">
        <v>144</v>
      </c>
      <c r="E41" s="114"/>
      <c r="F41" s="108" t="str">
        <f>INSCRIPTS!C8</f>
        <v>7A</v>
      </c>
      <c r="G41" s="108" t="s">
        <v>74</v>
      </c>
    </row>
    <row r="42" spans="1:7" x14ac:dyDescent="0.25">
      <c r="A42" s="108" t="s">
        <v>73</v>
      </c>
      <c r="B42" s="108" t="str">
        <f>INSCRIPTS!C7</f>
        <v>6A</v>
      </c>
      <c r="C42" s="114"/>
      <c r="D42" s="107" t="s">
        <v>145</v>
      </c>
      <c r="E42" s="114"/>
      <c r="F42" s="108" t="str">
        <f>INSCRIPTS!C9</f>
        <v>8A</v>
      </c>
      <c r="G42" s="108" t="s">
        <v>75</v>
      </c>
    </row>
    <row r="43" spans="1:7" x14ac:dyDescent="0.25">
      <c r="A43" s="109" t="s">
        <v>76</v>
      </c>
      <c r="B43" s="109" t="str">
        <f>INSCRIPTS!C11</f>
        <v>1B</v>
      </c>
      <c r="C43" s="114"/>
      <c r="D43" s="107" t="s">
        <v>146</v>
      </c>
      <c r="E43" s="114"/>
      <c r="F43" s="109" t="str">
        <f>INSCRIPTS!C13</f>
        <v>3B</v>
      </c>
      <c r="G43" s="109" t="s">
        <v>78</v>
      </c>
    </row>
    <row r="44" spans="1:7" x14ac:dyDescent="0.25">
      <c r="A44" s="109" t="s">
        <v>77</v>
      </c>
      <c r="B44" s="109" t="str">
        <f>INSCRIPTS!C12</f>
        <v>2B</v>
      </c>
      <c r="C44" s="114"/>
      <c r="D44" s="107" t="s">
        <v>147</v>
      </c>
      <c r="E44" s="114"/>
      <c r="F44" s="109" t="str">
        <f>INSCRIPTS!C14</f>
        <v>4B</v>
      </c>
      <c r="G44" s="109" t="s">
        <v>79</v>
      </c>
    </row>
    <row r="45" spans="1:7" x14ac:dyDescent="0.25">
      <c r="A45" s="109" t="s">
        <v>80</v>
      </c>
      <c r="B45" s="109" t="str">
        <f>INSCRIPTS!C15</f>
        <v>5B</v>
      </c>
      <c r="C45" s="114"/>
      <c r="D45" s="107" t="s">
        <v>148</v>
      </c>
      <c r="E45" s="114"/>
      <c r="F45" s="109" t="str">
        <f>INSCRIPTS!C17</f>
        <v>7B</v>
      </c>
      <c r="G45" s="109" t="s">
        <v>82</v>
      </c>
    </row>
    <row r="46" spans="1:7" x14ac:dyDescent="0.25">
      <c r="A46" s="109" t="s">
        <v>81</v>
      </c>
      <c r="B46" s="109" t="str">
        <f>INSCRIPTS!C16</f>
        <v>6B</v>
      </c>
      <c r="C46" s="114"/>
      <c r="D46" s="107" t="s">
        <v>149</v>
      </c>
      <c r="E46" s="114"/>
      <c r="F46" s="109" t="str">
        <f>INSCRIPTS!C18</f>
        <v>8B</v>
      </c>
      <c r="G46" s="109" t="s">
        <v>83</v>
      </c>
    </row>
    <row r="47" spans="1:7" x14ac:dyDescent="0.25">
      <c r="A47" s="110" t="s">
        <v>84</v>
      </c>
      <c r="B47" s="110" t="str">
        <f>INSCRIPTS!C20</f>
        <v>1C</v>
      </c>
      <c r="C47" s="114"/>
      <c r="D47" s="107" t="s">
        <v>150</v>
      </c>
      <c r="E47" s="114"/>
      <c r="F47" s="110" t="str">
        <f>INSCRIPTS!C22</f>
        <v>3C</v>
      </c>
      <c r="G47" s="110" t="s">
        <v>86</v>
      </c>
    </row>
    <row r="48" spans="1:7" x14ac:dyDescent="0.25">
      <c r="A48" s="110" t="s">
        <v>85</v>
      </c>
      <c r="B48" s="110" t="str">
        <f>INSCRIPTS!C21</f>
        <v>2C</v>
      </c>
      <c r="C48" s="114"/>
      <c r="D48" s="107" t="s">
        <v>151</v>
      </c>
      <c r="E48" s="114"/>
      <c r="F48" s="110" t="str">
        <f>INSCRIPTS!C23</f>
        <v>4C</v>
      </c>
      <c r="G48" s="110" t="s">
        <v>87</v>
      </c>
    </row>
    <row r="49" spans="1:7" x14ac:dyDescent="0.25">
      <c r="A49" s="105"/>
      <c r="B49" s="105"/>
      <c r="C49" s="113"/>
      <c r="D49" s="106">
        <f>0.875 + "00:20:00"</f>
        <v>0.88888888888888884</v>
      </c>
      <c r="E49" s="113"/>
      <c r="F49" s="105"/>
      <c r="G49" s="105"/>
    </row>
    <row r="50" spans="1:7" x14ac:dyDescent="0.25">
      <c r="A50" s="110" t="s">
        <v>88</v>
      </c>
      <c r="B50" s="110" t="str">
        <f>INSCRIPTS!C24</f>
        <v>5C</v>
      </c>
      <c r="C50" s="114"/>
      <c r="D50" s="107" t="s">
        <v>141</v>
      </c>
      <c r="E50" s="114"/>
      <c r="F50" s="110" t="str">
        <f>INSCRIPTS!C26</f>
        <v>7C</v>
      </c>
      <c r="G50" s="110" t="s">
        <v>90</v>
      </c>
    </row>
    <row r="51" spans="1:7" x14ac:dyDescent="0.25">
      <c r="A51" s="110" t="s">
        <v>89</v>
      </c>
      <c r="B51" s="110" t="str">
        <f>INSCRIPTS!C25</f>
        <v>6C</v>
      </c>
      <c r="C51" s="114"/>
      <c r="D51" s="107" t="s">
        <v>142</v>
      </c>
      <c r="E51" s="114"/>
      <c r="F51" s="110" t="str">
        <f>INSCRIPTS!C27</f>
        <v>8C</v>
      </c>
      <c r="G51" s="110" t="s">
        <v>91</v>
      </c>
    </row>
    <row r="52" spans="1:7" x14ac:dyDescent="0.25">
      <c r="A52" s="111" t="s">
        <v>92</v>
      </c>
      <c r="B52" s="111" t="str">
        <f>INSCRIPTS!C29</f>
        <v>1D</v>
      </c>
      <c r="C52" s="114"/>
      <c r="D52" s="107" t="s">
        <v>143</v>
      </c>
      <c r="E52" s="114"/>
      <c r="F52" s="111" t="str">
        <f>INSCRIPTS!C31</f>
        <v>3D</v>
      </c>
      <c r="G52" s="111" t="s">
        <v>94</v>
      </c>
    </row>
    <row r="53" spans="1:7" x14ac:dyDescent="0.25">
      <c r="A53" s="111" t="s">
        <v>93</v>
      </c>
      <c r="B53" s="111" t="str">
        <f>INSCRIPTS!C30</f>
        <v>2D</v>
      </c>
      <c r="C53" s="114"/>
      <c r="D53" s="107" t="s">
        <v>144</v>
      </c>
      <c r="E53" s="114"/>
      <c r="F53" s="111" t="str">
        <f>INSCRIPTS!C32</f>
        <v>4D</v>
      </c>
      <c r="G53" s="111" t="s">
        <v>95</v>
      </c>
    </row>
    <row r="54" spans="1:7" x14ac:dyDescent="0.25">
      <c r="A54" s="111" t="s">
        <v>96</v>
      </c>
      <c r="B54" s="111" t="str">
        <f>INSCRIPTS!C33</f>
        <v>5D</v>
      </c>
      <c r="C54" s="114"/>
      <c r="D54" s="107" t="s">
        <v>145</v>
      </c>
      <c r="E54" s="114"/>
      <c r="F54" s="111" t="str">
        <f>INSCRIPTS!C35</f>
        <v>7D</v>
      </c>
      <c r="G54" s="111" t="s">
        <v>98</v>
      </c>
    </row>
    <row r="55" spans="1:7" x14ac:dyDescent="0.25">
      <c r="A55" s="111" t="s">
        <v>97</v>
      </c>
      <c r="B55" s="111" t="str">
        <f>INSCRIPTS!C34</f>
        <v>6D</v>
      </c>
      <c r="C55" s="114"/>
      <c r="D55" s="107" t="s">
        <v>146</v>
      </c>
      <c r="E55" s="114"/>
      <c r="F55" s="111" t="str">
        <f>INSCRIPTS!C36</f>
        <v>8D</v>
      </c>
      <c r="G55" s="111" t="s">
        <v>99</v>
      </c>
    </row>
    <row r="56" spans="1:7" x14ac:dyDescent="0.25">
      <c r="A56" s="112" t="s">
        <v>100</v>
      </c>
      <c r="B56" s="112" t="str">
        <f>INSCRIPTS!C38</f>
        <v>1E</v>
      </c>
      <c r="C56" s="114"/>
      <c r="D56" s="107" t="s">
        <v>153</v>
      </c>
      <c r="E56" s="114"/>
      <c r="F56" s="112" t="str">
        <f>INSCRIPTS!C40</f>
        <v>3E</v>
      </c>
      <c r="G56" s="112" t="s">
        <v>102</v>
      </c>
    </row>
    <row r="57" spans="1:7" x14ac:dyDescent="0.25">
      <c r="A57" s="112" t="s">
        <v>104</v>
      </c>
      <c r="B57" s="112" t="str">
        <f>INSCRIPTS!C42</f>
        <v>5E</v>
      </c>
      <c r="C57" s="114"/>
      <c r="D57" s="107" t="s">
        <v>154</v>
      </c>
      <c r="E57" s="114"/>
      <c r="F57" s="112" t="str">
        <f>INSCRIPTS!C41</f>
        <v>4E</v>
      </c>
      <c r="G57" s="112" t="s">
        <v>103</v>
      </c>
    </row>
    <row r="58" spans="1:7" x14ac:dyDescent="0.25">
      <c r="A58" s="112" t="s">
        <v>105</v>
      </c>
      <c r="B58" s="112" t="str">
        <f>INSCRIPTS!C43</f>
        <v>6E</v>
      </c>
      <c r="C58" s="114"/>
      <c r="D58" s="107" t="s">
        <v>155</v>
      </c>
      <c r="E58" s="114"/>
      <c r="F58" s="112" t="str">
        <f>INSCRIPTS!C44</f>
        <v>7E</v>
      </c>
      <c r="G58" s="112" t="s">
        <v>136</v>
      </c>
    </row>
    <row r="59" spans="1:7" x14ac:dyDescent="0.25">
      <c r="A59" s="108" t="s">
        <v>106</v>
      </c>
      <c r="B59" s="108" t="str">
        <f>INSCRIPTS!C46</f>
        <v>1F</v>
      </c>
      <c r="C59" s="114"/>
      <c r="D59" s="107" t="s">
        <v>156</v>
      </c>
      <c r="E59" s="114"/>
      <c r="F59" s="108" t="str">
        <f>INSCRIPTS!C48</f>
        <v>3F</v>
      </c>
      <c r="G59" s="108" t="s">
        <v>108</v>
      </c>
    </row>
    <row r="60" spans="1:7" x14ac:dyDescent="0.25">
      <c r="A60" s="108" t="s">
        <v>110</v>
      </c>
      <c r="B60" s="108" t="str">
        <f>INSCRIPTS!C50</f>
        <v>5F</v>
      </c>
      <c r="C60" s="114"/>
      <c r="D60" s="107" t="s">
        <v>157</v>
      </c>
      <c r="E60" s="114"/>
      <c r="F60" s="108" t="str">
        <f>INSCRIPTS!C49</f>
        <v>4F</v>
      </c>
      <c r="G60" s="108" t="s">
        <v>109</v>
      </c>
    </row>
    <row r="61" spans="1:7" x14ac:dyDescent="0.25">
      <c r="A61" s="105"/>
      <c r="B61" s="105"/>
      <c r="C61" s="113"/>
      <c r="D61" s="106">
        <f>0.888888888888889 + "00:20:00"</f>
        <v>0.90277777777777779</v>
      </c>
      <c r="E61" s="113"/>
      <c r="F61" s="105"/>
      <c r="G61" s="105"/>
    </row>
    <row r="62" spans="1:7" x14ac:dyDescent="0.25">
      <c r="A62" s="108" t="s">
        <v>111</v>
      </c>
      <c r="B62" s="108" t="str">
        <f>INSCRIPTS!C51</f>
        <v>6F</v>
      </c>
      <c r="C62" s="114"/>
      <c r="D62" s="107" t="s">
        <v>158</v>
      </c>
      <c r="E62" s="114"/>
      <c r="F62" s="108" t="str">
        <f>INSCRIPTS!C52</f>
        <v>7F</v>
      </c>
      <c r="G62" s="108" t="s">
        <v>137</v>
      </c>
    </row>
    <row r="63" spans="1:7" x14ac:dyDescent="0.25">
      <c r="A63" s="109" t="s">
        <v>112</v>
      </c>
      <c r="B63" s="109" t="str">
        <f>INSCRIPTS!C54</f>
        <v>1G</v>
      </c>
      <c r="C63" s="114"/>
      <c r="D63" s="107" t="s">
        <v>159</v>
      </c>
      <c r="E63" s="114"/>
      <c r="F63" s="109" t="str">
        <f>INSCRIPTS!C56</f>
        <v>3G</v>
      </c>
      <c r="G63" s="109" t="s">
        <v>114</v>
      </c>
    </row>
    <row r="64" spans="1:7" x14ac:dyDescent="0.25">
      <c r="A64" s="109" t="s">
        <v>113</v>
      </c>
      <c r="B64" s="109" t="str">
        <f>INSCRIPTS!C55</f>
        <v>2G</v>
      </c>
      <c r="C64" s="114"/>
      <c r="D64" s="107" t="s">
        <v>160</v>
      </c>
      <c r="E64" s="114"/>
      <c r="F64" s="109" t="str">
        <f>INSCRIPTS!C58</f>
        <v>5G</v>
      </c>
      <c r="G64" s="109" t="s">
        <v>116</v>
      </c>
    </row>
    <row r="65" spans="1:7" x14ac:dyDescent="0.25">
      <c r="A65" s="109" t="s">
        <v>115</v>
      </c>
      <c r="B65" s="109" t="str">
        <f>INSCRIPTS!C57</f>
        <v>4G</v>
      </c>
      <c r="C65" s="114"/>
      <c r="D65" s="107" t="s">
        <v>170</v>
      </c>
      <c r="E65" s="114"/>
      <c r="F65" s="109" t="str">
        <f>INSCRIPTS!C59</f>
        <v>6G</v>
      </c>
      <c r="G65" s="109" t="s">
        <v>117</v>
      </c>
    </row>
    <row r="66" spans="1:7" x14ac:dyDescent="0.25">
      <c r="A66" s="110" t="s">
        <v>118</v>
      </c>
      <c r="B66" s="110" t="str">
        <f>INSCRIPTS!C61</f>
        <v>1H</v>
      </c>
      <c r="C66" s="114"/>
      <c r="D66" s="107" t="s">
        <v>162</v>
      </c>
      <c r="E66" s="114"/>
      <c r="F66" s="110" t="str">
        <f>INSCRIPTS!C63</f>
        <v>3H</v>
      </c>
      <c r="G66" s="110" t="s">
        <v>120</v>
      </c>
    </row>
    <row r="67" spans="1:7" x14ac:dyDescent="0.25">
      <c r="A67" s="110" t="s">
        <v>122</v>
      </c>
      <c r="B67" s="110" t="str">
        <f>INSCRIPTS!C65</f>
        <v>5H</v>
      </c>
      <c r="C67" s="114"/>
      <c r="D67" s="107" t="s">
        <v>163</v>
      </c>
      <c r="E67" s="114"/>
      <c r="F67" s="110" t="str">
        <f>INSCRIPTS!C64</f>
        <v>4H</v>
      </c>
      <c r="G67" s="110" t="s">
        <v>121</v>
      </c>
    </row>
    <row r="68" spans="1:7" x14ac:dyDescent="0.25">
      <c r="A68" s="110" t="s">
        <v>123</v>
      </c>
      <c r="B68" s="110" t="str">
        <f>INSCRIPTS!C66</f>
        <v>6H</v>
      </c>
      <c r="C68" s="114"/>
      <c r="D68" s="107" t="s">
        <v>164</v>
      </c>
      <c r="E68" s="114"/>
      <c r="F68" s="110" t="str">
        <f>INSCRIPTS!C67</f>
        <v>7H</v>
      </c>
      <c r="G68" s="110" t="s">
        <v>138</v>
      </c>
    </row>
    <row r="69" spans="1:7" x14ac:dyDescent="0.25">
      <c r="A69" s="111" t="s">
        <v>124</v>
      </c>
      <c r="B69" s="111" t="str">
        <f>INSCRIPTS!C69</f>
        <v>1I</v>
      </c>
      <c r="C69" s="114"/>
      <c r="D69" s="107" t="s">
        <v>165</v>
      </c>
      <c r="E69" s="114"/>
      <c r="F69" s="111" t="str">
        <f>INSCRIPTS!C71</f>
        <v>3I</v>
      </c>
      <c r="G69" s="111" t="s">
        <v>126</v>
      </c>
    </row>
    <row r="70" spans="1:7" x14ac:dyDescent="0.25">
      <c r="A70" s="111" t="s">
        <v>128</v>
      </c>
      <c r="B70" s="111" t="str">
        <f>INSCRIPTS!C73</f>
        <v>5I</v>
      </c>
      <c r="C70" s="114"/>
      <c r="D70" s="107" t="s">
        <v>166</v>
      </c>
      <c r="E70" s="114"/>
      <c r="F70" s="111" t="str">
        <f>INSCRIPTS!C72</f>
        <v>4I</v>
      </c>
      <c r="G70" s="111" t="s">
        <v>127</v>
      </c>
    </row>
    <row r="71" spans="1:7" x14ac:dyDescent="0.25">
      <c r="A71" s="111" t="s">
        <v>129</v>
      </c>
      <c r="B71" s="111" t="str">
        <f>INSCRIPTS!C74</f>
        <v>6I</v>
      </c>
      <c r="C71" s="114"/>
      <c r="D71" s="107" t="s">
        <v>167</v>
      </c>
      <c r="E71" s="114"/>
      <c r="F71" s="111" t="str">
        <f>INSCRIPTS!C75</f>
        <v>7I</v>
      </c>
      <c r="G71" s="111" t="s">
        <v>139</v>
      </c>
    </row>
    <row r="72" spans="1:7" x14ac:dyDescent="0.25">
      <c r="A72" s="112" t="s">
        <v>130</v>
      </c>
      <c r="B72" s="112" t="str">
        <f>INSCRIPTS!C77</f>
        <v>1J</v>
      </c>
      <c r="C72" s="114"/>
      <c r="D72" s="107" t="s">
        <v>168</v>
      </c>
      <c r="E72" s="114"/>
      <c r="F72" s="112" t="str">
        <f>INSCRIPTS!C79</f>
        <v>3J</v>
      </c>
      <c r="G72" s="112" t="s">
        <v>132</v>
      </c>
    </row>
    <row r="73" spans="1:7" x14ac:dyDescent="0.25">
      <c r="A73" s="105"/>
      <c r="B73" s="105"/>
      <c r="C73" s="113"/>
      <c r="D73" s="106">
        <f>0.902777777777778 + "00:20:00"</f>
        <v>0.91666666666666685</v>
      </c>
      <c r="E73" s="113"/>
      <c r="F73" s="105"/>
      <c r="G73" s="105"/>
    </row>
    <row r="74" spans="1:7" x14ac:dyDescent="0.25">
      <c r="A74" s="112" t="s">
        <v>131</v>
      </c>
      <c r="B74" s="112" t="str">
        <f>INSCRIPTS!C78</f>
        <v>2J</v>
      </c>
      <c r="C74" s="114"/>
      <c r="D74" s="107" t="s">
        <v>169</v>
      </c>
      <c r="E74" s="114"/>
      <c r="F74" s="112" t="str">
        <f>INSCRIPTS!C81</f>
        <v>5J</v>
      </c>
      <c r="G74" s="112" t="s">
        <v>134</v>
      </c>
    </row>
    <row r="75" spans="1:7" x14ac:dyDescent="0.25">
      <c r="A75" s="112" t="s">
        <v>133</v>
      </c>
      <c r="B75" s="112" t="str">
        <f>INSCRIPTS!C80</f>
        <v>4J</v>
      </c>
      <c r="C75" s="114"/>
      <c r="D75" s="107" t="s">
        <v>171</v>
      </c>
      <c r="E75" s="114"/>
      <c r="F75" s="112" t="str">
        <f>INSCRIPTS!C82</f>
        <v>6J</v>
      </c>
      <c r="G75" s="112" t="s">
        <v>135</v>
      </c>
    </row>
    <row r="76" spans="1:7" x14ac:dyDescent="0.25">
      <c r="A76" s="108" t="s">
        <v>55</v>
      </c>
      <c r="B76" s="108" t="str">
        <f>INSCRIPTS!C2</f>
        <v>1A</v>
      </c>
      <c r="C76" s="114"/>
      <c r="D76" s="107" t="s">
        <v>143</v>
      </c>
      <c r="E76" s="114"/>
      <c r="F76" s="108" t="str">
        <f>INSCRIPTS!C5</f>
        <v>4A</v>
      </c>
      <c r="G76" s="108" t="s">
        <v>58</v>
      </c>
    </row>
    <row r="77" spans="1:7" x14ac:dyDescent="0.25">
      <c r="A77" s="108" t="s">
        <v>56</v>
      </c>
      <c r="B77" s="108" t="str">
        <f>INSCRIPTS!C3</f>
        <v>2A</v>
      </c>
      <c r="C77" s="114"/>
      <c r="D77" s="107" t="s">
        <v>144</v>
      </c>
      <c r="E77" s="114"/>
      <c r="F77" s="108" t="str">
        <f>INSCRIPTS!C4</f>
        <v>3A</v>
      </c>
      <c r="G77" s="108" t="s">
        <v>57</v>
      </c>
    </row>
    <row r="78" spans="1:7" x14ac:dyDescent="0.25">
      <c r="A78" s="108" t="s">
        <v>72</v>
      </c>
      <c r="B78" s="108" t="str">
        <f>INSCRIPTS!C6</f>
        <v>5A</v>
      </c>
      <c r="C78" s="114"/>
      <c r="D78" s="107" t="s">
        <v>145</v>
      </c>
      <c r="E78" s="114"/>
      <c r="F78" s="108" t="str">
        <f>INSCRIPTS!C9</f>
        <v>8A</v>
      </c>
      <c r="G78" s="108" t="s">
        <v>75</v>
      </c>
    </row>
    <row r="79" spans="1:7" x14ac:dyDescent="0.25">
      <c r="A79" s="108" t="s">
        <v>73</v>
      </c>
      <c r="B79" s="108" t="str">
        <f>INSCRIPTS!C7</f>
        <v>6A</v>
      </c>
      <c r="C79" s="114"/>
      <c r="D79" s="107" t="s">
        <v>146</v>
      </c>
      <c r="E79" s="114"/>
      <c r="F79" s="108" t="str">
        <f>INSCRIPTS!C8</f>
        <v>7A</v>
      </c>
      <c r="G79" s="108" t="s">
        <v>74</v>
      </c>
    </row>
    <row r="80" spans="1:7" x14ac:dyDescent="0.25">
      <c r="A80" s="109" t="s">
        <v>76</v>
      </c>
      <c r="B80" s="109" t="str">
        <f>INSCRIPTS!C11</f>
        <v>1B</v>
      </c>
      <c r="C80" s="114"/>
      <c r="D80" s="107" t="s">
        <v>147</v>
      </c>
      <c r="E80" s="114"/>
      <c r="F80" s="109" t="str">
        <f>INSCRIPTS!C14</f>
        <v>4B</v>
      </c>
      <c r="G80" s="109" t="s">
        <v>79</v>
      </c>
    </row>
    <row r="81" spans="1:7" x14ac:dyDescent="0.25">
      <c r="A81" s="109" t="s">
        <v>77</v>
      </c>
      <c r="B81" s="109" t="str">
        <f>INSCRIPTS!C12</f>
        <v>2B</v>
      </c>
      <c r="C81" s="114"/>
      <c r="D81" s="107" t="s">
        <v>148</v>
      </c>
      <c r="E81" s="114"/>
      <c r="F81" s="109" t="str">
        <f>INSCRIPTS!C13</f>
        <v>3B</v>
      </c>
      <c r="G81" s="109" t="s">
        <v>78</v>
      </c>
    </row>
    <row r="82" spans="1:7" x14ac:dyDescent="0.25">
      <c r="A82" s="109" t="s">
        <v>80</v>
      </c>
      <c r="B82" s="109" t="str">
        <f>INSCRIPTS!C15</f>
        <v>5B</v>
      </c>
      <c r="C82" s="114"/>
      <c r="D82" s="107" t="s">
        <v>149</v>
      </c>
      <c r="E82" s="114"/>
      <c r="F82" s="109" t="str">
        <f>INSCRIPTS!C18</f>
        <v>8B</v>
      </c>
      <c r="G82" s="109" t="s">
        <v>83</v>
      </c>
    </row>
    <row r="83" spans="1:7" x14ac:dyDescent="0.25">
      <c r="A83" s="109" t="s">
        <v>81</v>
      </c>
      <c r="B83" s="109" t="str">
        <f>INSCRIPTS!C16</f>
        <v>6B</v>
      </c>
      <c r="C83" s="114"/>
      <c r="D83" s="107" t="s">
        <v>150</v>
      </c>
      <c r="E83" s="114"/>
      <c r="F83" s="109" t="str">
        <f>INSCRIPTS!C17</f>
        <v>7B</v>
      </c>
      <c r="G83" s="109" t="s">
        <v>82</v>
      </c>
    </row>
    <row r="84" spans="1:7" x14ac:dyDescent="0.25">
      <c r="A84" s="110" t="s">
        <v>84</v>
      </c>
      <c r="B84" s="110" t="str">
        <f>INSCRIPTS!C20</f>
        <v>1C</v>
      </c>
      <c r="C84" s="114"/>
      <c r="D84" s="107" t="s">
        <v>151</v>
      </c>
      <c r="E84" s="114"/>
      <c r="F84" s="110" t="str">
        <f>INSCRIPTS!C23</f>
        <v>4C</v>
      </c>
      <c r="G84" s="110" t="s">
        <v>87</v>
      </c>
    </row>
    <row r="85" spans="1:7" x14ac:dyDescent="0.25">
      <c r="A85" s="105"/>
      <c r="B85" s="105"/>
      <c r="C85" s="113"/>
      <c r="D85" s="106">
        <f>0.916666666666667 + "00:20:00"</f>
        <v>0.9305555555555558</v>
      </c>
      <c r="E85" s="113"/>
      <c r="F85" s="105"/>
      <c r="G85" s="105"/>
    </row>
    <row r="86" spans="1:7" x14ac:dyDescent="0.25">
      <c r="A86" s="110" t="s">
        <v>85</v>
      </c>
      <c r="B86" s="110" t="str">
        <f>INSCRIPTS!C21</f>
        <v>2C</v>
      </c>
      <c r="C86" s="114"/>
      <c r="D86" s="107" t="s">
        <v>141</v>
      </c>
      <c r="E86" s="114"/>
      <c r="F86" s="110" t="str">
        <f>INSCRIPTS!C22</f>
        <v>3C</v>
      </c>
      <c r="G86" s="110" t="s">
        <v>86</v>
      </c>
    </row>
    <row r="87" spans="1:7" x14ac:dyDescent="0.25">
      <c r="A87" s="110" t="s">
        <v>88</v>
      </c>
      <c r="B87" s="110" t="str">
        <f>INSCRIPTS!C24</f>
        <v>5C</v>
      </c>
      <c r="C87" s="114"/>
      <c r="D87" s="107" t="s">
        <v>142</v>
      </c>
      <c r="E87" s="114"/>
      <c r="F87" s="110" t="str">
        <f>INSCRIPTS!C27</f>
        <v>8C</v>
      </c>
      <c r="G87" s="110" t="s">
        <v>91</v>
      </c>
    </row>
    <row r="88" spans="1:7" x14ac:dyDescent="0.25">
      <c r="A88" s="110" t="s">
        <v>89</v>
      </c>
      <c r="B88" s="110" t="str">
        <f>INSCRIPTS!C25</f>
        <v>6C</v>
      </c>
      <c r="C88" s="114"/>
      <c r="D88" s="107" t="s">
        <v>143</v>
      </c>
      <c r="E88" s="114"/>
      <c r="F88" s="110" t="str">
        <f>INSCRIPTS!C26</f>
        <v>7C</v>
      </c>
      <c r="G88" s="110" t="s">
        <v>90</v>
      </c>
    </row>
    <row r="89" spans="1:7" x14ac:dyDescent="0.25">
      <c r="A89" s="111" t="s">
        <v>92</v>
      </c>
      <c r="B89" s="111" t="str">
        <f>INSCRIPTS!C29</f>
        <v>1D</v>
      </c>
      <c r="C89" s="114"/>
      <c r="D89" s="107" t="s">
        <v>144</v>
      </c>
      <c r="E89" s="114"/>
      <c r="F89" s="111" t="str">
        <f>INSCRIPTS!C32</f>
        <v>4D</v>
      </c>
      <c r="G89" s="111" t="s">
        <v>95</v>
      </c>
    </row>
    <row r="90" spans="1:7" x14ac:dyDescent="0.25">
      <c r="A90" s="111" t="s">
        <v>93</v>
      </c>
      <c r="B90" s="111" t="str">
        <f>INSCRIPTS!C30</f>
        <v>2D</v>
      </c>
      <c r="C90" s="114"/>
      <c r="D90" s="107" t="s">
        <v>145</v>
      </c>
      <c r="E90" s="114"/>
      <c r="F90" s="111" t="str">
        <f>INSCRIPTS!C31</f>
        <v>3D</v>
      </c>
      <c r="G90" s="111" t="s">
        <v>94</v>
      </c>
    </row>
    <row r="91" spans="1:7" x14ac:dyDescent="0.25">
      <c r="A91" s="111" t="s">
        <v>96</v>
      </c>
      <c r="B91" s="111" t="str">
        <f>INSCRIPTS!C33</f>
        <v>5D</v>
      </c>
      <c r="C91" s="114"/>
      <c r="D91" s="107" t="s">
        <v>146</v>
      </c>
      <c r="E91" s="114"/>
      <c r="F91" s="111" t="str">
        <f>INSCRIPTS!C36</f>
        <v>8D</v>
      </c>
      <c r="G91" s="111" t="s">
        <v>99</v>
      </c>
    </row>
    <row r="92" spans="1:7" x14ac:dyDescent="0.25">
      <c r="A92" s="111" t="s">
        <v>97</v>
      </c>
      <c r="B92" s="111" t="str">
        <f>INSCRIPTS!C34</f>
        <v>6D</v>
      </c>
      <c r="C92" s="114"/>
      <c r="D92" s="107" t="s">
        <v>147</v>
      </c>
      <c r="E92" s="114"/>
      <c r="F92" s="111" t="str">
        <f>INSCRIPTS!C35</f>
        <v>7D</v>
      </c>
      <c r="G92" s="111" t="s">
        <v>98</v>
      </c>
    </row>
    <row r="93" spans="1:7" x14ac:dyDescent="0.25">
      <c r="A93" s="112" t="s">
        <v>100</v>
      </c>
      <c r="B93" s="112" t="str">
        <f>INSCRIPTS!C38</f>
        <v>1E</v>
      </c>
      <c r="C93" s="114"/>
      <c r="D93" s="107" t="s">
        <v>154</v>
      </c>
      <c r="E93" s="114"/>
      <c r="F93" s="112" t="str">
        <f>INSCRIPTS!C41</f>
        <v>4E</v>
      </c>
      <c r="G93" s="112" t="s">
        <v>103</v>
      </c>
    </row>
    <row r="94" spans="1:7" x14ac:dyDescent="0.25">
      <c r="A94" s="112" t="s">
        <v>101</v>
      </c>
      <c r="B94" s="112" t="str">
        <f>INSCRIPTS!C39</f>
        <v>2E</v>
      </c>
      <c r="C94" s="114"/>
      <c r="D94" s="107" t="s">
        <v>155</v>
      </c>
      <c r="E94" s="114"/>
      <c r="F94" s="112" t="str">
        <f>INSCRIPTS!C42</f>
        <v>5E</v>
      </c>
      <c r="G94" s="112" t="s">
        <v>104</v>
      </c>
    </row>
    <row r="95" spans="1:7" x14ac:dyDescent="0.25">
      <c r="A95" s="112" t="s">
        <v>136</v>
      </c>
      <c r="B95" s="112" t="str">
        <f>INSCRIPTS!C44</f>
        <v>7E</v>
      </c>
      <c r="C95" s="114"/>
      <c r="D95" s="107" t="s">
        <v>156</v>
      </c>
      <c r="E95" s="114"/>
      <c r="F95" s="112" t="str">
        <f>INSCRIPTS!C40</f>
        <v>3E</v>
      </c>
      <c r="G95" s="112" t="s">
        <v>102</v>
      </c>
    </row>
    <row r="96" spans="1:7" x14ac:dyDescent="0.25">
      <c r="A96" s="108" t="s">
        <v>106</v>
      </c>
      <c r="B96" s="108" t="str">
        <f>INSCRIPTS!C46</f>
        <v>1F</v>
      </c>
      <c r="C96" s="114"/>
      <c r="D96" s="107" t="s">
        <v>157</v>
      </c>
      <c r="E96" s="114"/>
      <c r="F96" s="108" t="str">
        <f>INSCRIPTS!C49</f>
        <v>4F</v>
      </c>
      <c r="G96" s="108" t="s">
        <v>109</v>
      </c>
    </row>
    <row r="97" spans="1:7" x14ac:dyDescent="0.25">
      <c r="A97" s="105"/>
      <c r="B97" s="105"/>
      <c r="C97" s="113"/>
      <c r="D97" s="106">
        <f>0.930555555555556 + "00:20:00"</f>
        <v>0.94444444444444486</v>
      </c>
      <c r="E97" s="113"/>
      <c r="F97" s="105"/>
      <c r="G97" s="105"/>
    </row>
    <row r="98" spans="1:7" x14ac:dyDescent="0.25">
      <c r="A98" s="108" t="s">
        <v>107</v>
      </c>
      <c r="B98" s="108" t="str">
        <f>INSCRIPTS!C47</f>
        <v>2F</v>
      </c>
      <c r="C98" s="114"/>
      <c r="D98" s="107" t="s">
        <v>158</v>
      </c>
      <c r="E98" s="114"/>
      <c r="F98" s="108" t="str">
        <f>INSCRIPTS!C50</f>
        <v>5F</v>
      </c>
      <c r="G98" s="108" t="s">
        <v>110</v>
      </c>
    </row>
    <row r="99" spans="1:7" x14ac:dyDescent="0.25">
      <c r="A99" s="108" t="s">
        <v>137</v>
      </c>
      <c r="B99" s="108" t="str">
        <f>INSCRIPTS!C52</f>
        <v>7F</v>
      </c>
      <c r="C99" s="114"/>
      <c r="D99" s="107" t="s">
        <v>159</v>
      </c>
      <c r="E99" s="114"/>
      <c r="F99" s="108" t="str">
        <f>INSCRIPTS!C48</f>
        <v>3F</v>
      </c>
      <c r="G99" s="108" t="s">
        <v>108</v>
      </c>
    </row>
    <row r="100" spans="1:7" x14ac:dyDescent="0.25">
      <c r="A100" s="109" t="s">
        <v>112</v>
      </c>
      <c r="B100" s="109" t="str">
        <f>INSCRIPTS!C54</f>
        <v>1G</v>
      </c>
      <c r="C100" s="114"/>
      <c r="D100" s="107" t="s">
        <v>160</v>
      </c>
      <c r="E100" s="114"/>
      <c r="F100" s="109" t="str">
        <f>INSCRIPTS!C59</f>
        <v>6G</v>
      </c>
      <c r="G100" s="109" t="s">
        <v>117</v>
      </c>
    </row>
    <row r="101" spans="1:7" x14ac:dyDescent="0.25">
      <c r="A101" s="109" t="s">
        <v>113</v>
      </c>
      <c r="B101" s="109" t="str">
        <f>INSCRIPTS!C55</f>
        <v>2G</v>
      </c>
      <c r="C101" s="114"/>
      <c r="D101" s="107" t="s">
        <v>170</v>
      </c>
      <c r="E101" s="114"/>
      <c r="F101" s="109" t="str">
        <f>INSCRIPTS!C56</f>
        <v>3G</v>
      </c>
      <c r="G101" s="109" t="s">
        <v>114</v>
      </c>
    </row>
    <row r="102" spans="1:7" x14ac:dyDescent="0.25">
      <c r="A102" s="109" t="s">
        <v>115</v>
      </c>
      <c r="B102" s="109" t="str">
        <f>INSCRIPTS!C57</f>
        <v>4G</v>
      </c>
      <c r="C102" s="114"/>
      <c r="D102" s="107" t="s">
        <v>172</v>
      </c>
      <c r="E102" s="114"/>
      <c r="F102" s="109" t="str">
        <f>INSCRIPTS!C58</f>
        <v>5G</v>
      </c>
      <c r="G102" s="109" t="s">
        <v>116</v>
      </c>
    </row>
    <row r="103" spans="1:7" x14ac:dyDescent="0.25">
      <c r="A103" s="110" t="s">
        <v>118</v>
      </c>
      <c r="B103" s="110" t="str">
        <f>INSCRIPTS!C61</f>
        <v>1H</v>
      </c>
      <c r="C103" s="114"/>
      <c r="D103" s="107" t="s">
        <v>163</v>
      </c>
      <c r="E103" s="114"/>
      <c r="F103" s="110" t="str">
        <f>INSCRIPTS!C64</f>
        <v>4H</v>
      </c>
      <c r="G103" s="110" t="s">
        <v>121</v>
      </c>
    </row>
    <row r="104" spans="1:7" x14ac:dyDescent="0.25">
      <c r="A104" s="110" t="s">
        <v>119</v>
      </c>
      <c r="B104" s="110" t="str">
        <f>INSCRIPTS!C62</f>
        <v>2H</v>
      </c>
      <c r="C104" s="114"/>
      <c r="D104" s="107" t="s">
        <v>164</v>
      </c>
      <c r="E104" s="114"/>
      <c r="F104" s="110" t="str">
        <f>INSCRIPTS!C65</f>
        <v>5H</v>
      </c>
      <c r="G104" s="110" t="s">
        <v>122</v>
      </c>
    </row>
    <row r="105" spans="1:7" x14ac:dyDescent="0.25">
      <c r="A105" s="110" t="s">
        <v>138</v>
      </c>
      <c r="B105" s="110" t="str">
        <f>INSCRIPTS!C67</f>
        <v>7H</v>
      </c>
      <c r="C105" s="114"/>
      <c r="D105" s="107" t="s">
        <v>165</v>
      </c>
      <c r="E105" s="114"/>
      <c r="F105" s="110" t="str">
        <f>INSCRIPTS!C63</f>
        <v>3H</v>
      </c>
      <c r="G105" s="110" t="s">
        <v>120</v>
      </c>
    </row>
    <row r="106" spans="1:7" x14ac:dyDescent="0.25">
      <c r="A106" s="111" t="s">
        <v>124</v>
      </c>
      <c r="B106" s="111" t="str">
        <f>INSCRIPTS!C69</f>
        <v>1I</v>
      </c>
      <c r="C106" s="114"/>
      <c r="D106" s="107" t="s">
        <v>166</v>
      </c>
      <c r="E106" s="114"/>
      <c r="F106" s="111" t="str">
        <f>INSCRIPTS!C72</f>
        <v>4I</v>
      </c>
      <c r="G106" s="111" t="s">
        <v>127</v>
      </c>
    </row>
    <row r="107" spans="1:7" x14ac:dyDescent="0.25">
      <c r="A107" s="111" t="s">
        <v>125</v>
      </c>
      <c r="B107" s="111" t="str">
        <f>INSCRIPTS!C70</f>
        <v>2I</v>
      </c>
      <c r="C107" s="114"/>
      <c r="D107" s="107" t="s">
        <v>167</v>
      </c>
      <c r="E107" s="114"/>
      <c r="F107" s="111" t="str">
        <f>INSCRIPTS!C73</f>
        <v>5I</v>
      </c>
      <c r="G107" s="111" t="s">
        <v>128</v>
      </c>
    </row>
    <row r="108" spans="1:7" x14ac:dyDescent="0.25">
      <c r="A108" s="111" t="s">
        <v>139</v>
      </c>
      <c r="B108" s="111" t="str">
        <f>INSCRIPTS!C75</f>
        <v>7I</v>
      </c>
      <c r="C108" s="114"/>
      <c r="D108" s="107" t="s">
        <v>168</v>
      </c>
      <c r="E108" s="114"/>
      <c r="F108" s="111" t="str">
        <f>INSCRIPTS!C71</f>
        <v>3I</v>
      </c>
      <c r="G108" s="111" t="s">
        <v>126</v>
      </c>
    </row>
    <row r="109" spans="1:7" x14ac:dyDescent="0.25">
      <c r="A109" s="105"/>
      <c r="B109" s="105"/>
      <c r="C109" s="113"/>
      <c r="D109" s="106">
        <f>0.944444444444445 + "00:20:00"</f>
        <v>0.95833333333333381</v>
      </c>
      <c r="E109" s="113"/>
      <c r="F109" s="105"/>
      <c r="G109" s="105"/>
    </row>
    <row r="110" spans="1:7" x14ac:dyDescent="0.25">
      <c r="A110" s="112" t="s">
        <v>130</v>
      </c>
      <c r="B110" s="112" t="str">
        <f>INSCRIPTS!C77</f>
        <v>1J</v>
      </c>
      <c r="C110" s="114"/>
      <c r="D110" s="107" t="s">
        <v>169</v>
      </c>
      <c r="E110" s="114"/>
      <c r="F110" s="112" t="str">
        <f>INSCRIPTS!C82</f>
        <v>6J</v>
      </c>
      <c r="G110" s="112" t="s">
        <v>135</v>
      </c>
    </row>
    <row r="111" spans="1:7" x14ac:dyDescent="0.25">
      <c r="A111" s="112" t="s">
        <v>131</v>
      </c>
      <c r="B111" s="112" t="str">
        <f>INSCRIPTS!C78</f>
        <v>2J</v>
      </c>
      <c r="C111" s="114"/>
      <c r="D111" s="107" t="s">
        <v>171</v>
      </c>
      <c r="E111" s="114"/>
      <c r="F111" s="112" t="str">
        <f>INSCRIPTS!C79</f>
        <v>3J</v>
      </c>
      <c r="G111" s="112" t="s">
        <v>132</v>
      </c>
    </row>
    <row r="112" spans="1:7" x14ac:dyDescent="0.25">
      <c r="A112" s="112" t="s">
        <v>133</v>
      </c>
      <c r="B112" s="112" t="str">
        <f>INSCRIPTS!C80</f>
        <v>4J</v>
      </c>
      <c r="C112" s="114"/>
      <c r="D112" s="107" t="s">
        <v>173</v>
      </c>
      <c r="E112" s="114"/>
      <c r="F112" s="112" t="str">
        <f>INSCRIPTS!C81</f>
        <v>5J</v>
      </c>
      <c r="G112" s="112" t="s">
        <v>134</v>
      </c>
    </row>
    <row r="113" spans="1:7" x14ac:dyDescent="0.25">
      <c r="A113" s="108" t="s">
        <v>55</v>
      </c>
      <c r="B113" s="108" t="str">
        <f>INSCRIPTS!C2</f>
        <v>1A</v>
      </c>
      <c r="C113" s="114"/>
      <c r="D113" s="107" t="s">
        <v>144</v>
      </c>
      <c r="E113" s="114"/>
      <c r="F113" s="108" t="str">
        <f>INSCRIPTS!C6</f>
        <v>5A</v>
      </c>
      <c r="G113" s="108" t="s">
        <v>72</v>
      </c>
    </row>
    <row r="114" spans="1:7" x14ac:dyDescent="0.25">
      <c r="A114" s="108" t="s">
        <v>56</v>
      </c>
      <c r="B114" s="108" t="str">
        <f>INSCRIPTS!C3</f>
        <v>2A</v>
      </c>
      <c r="C114" s="114"/>
      <c r="D114" s="107" t="s">
        <v>145</v>
      </c>
      <c r="E114" s="114"/>
      <c r="F114" s="108" t="str">
        <f>INSCRIPTS!C7</f>
        <v>6A</v>
      </c>
      <c r="G114" s="108" t="s">
        <v>73</v>
      </c>
    </row>
    <row r="115" spans="1:7" x14ac:dyDescent="0.25">
      <c r="A115" s="108" t="s">
        <v>57</v>
      </c>
      <c r="B115" s="108" t="str">
        <f>INSCRIPTS!C4</f>
        <v>3A</v>
      </c>
      <c r="C115" s="114"/>
      <c r="D115" s="107" t="s">
        <v>146</v>
      </c>
      <c r="E115" s="114"/>
      <c r="F115" s="108" t="str">
        <f>INSCRIPTS!C8</f>
        <v>7A</v>
      </c>
      <c r="G115" s="108" t="s">
        <v>74</v>
      </c>
    </row>
    <row r="116" spans="1:7" x14ac:dyDescent="0.25">
      <c r="A116" s="108" t="s">
        <v>58</v>
      </c>
      <c r="B116" s="108" t="str">
        <f>INSCRIPTS!C5</f>
        <v>4A</v>
      </c>
      <c r="C116" s="114"/>
      <c r="D116" s="107" t="s">
        <v>147</v>
      </c>
      <c r="E116" s="114"/>
      <c r="F116" s="108" t="str">
        <f>INSCRIPTS!C9</f>
        <v>8A</v>
      </c>
      <c r="G116" s="108" t="s">
        <v>75</v>
      </c>
    </row>
    <row r="117" spans="1:7" x14ac:dyDescent="0.25">
      <c r="A117" s="109" t="s">
        <v>76</v>
      </c>
      <c r="B117" s="109" t="str">
        <f>INSCRIPTS!C11</f>
        <v>1B</v>
      </c>
      <c r="C117" s="114"/>
      <c r="D117" s="107" t="s">
        <v>148</v>
      </c>
      <c r="E117" s="114"/>
      <c r="F117" s="109" t="str">
        <f>INSCRIPTS!C15</f>
        <v>5B</v>
      </c>
      <c r="G117" s="109" t="s">
        <v>80</v>
      </c>
    </row>
    <row r="118" spans="1:7" x14ac:dyDescent="0.25">
      <c r="A118" s="109" t="s">
        <v>77</v>
      </c>
      <c r="B118" s="109" t="str">
        <f>INSCRIPTS!C12</f>
        <v>2B</v>
      </c>
      <c r="C118" s="114"/>
      <c r="D118" s="107" t="s">
        <v>149</v>
      </c>
      <c r="E118" s="114"/>
      <c r="F118" s="109" t="str">
        <f>INSCRIPTS!C16</f>
        <v>6B</v>
      </c>
      <c r="G118" s="109" t="s">
        <v>81</v>
      </c>
    </row>
    <row r="119" spans="1:7" x14ac:dyDescent="0.25">
      <c r="A119" s="109" t="s">
        <v>78</v>
      </c>
      <c r="B119" s="109" t="str">
        <f>INSCRIPTS!C13</f>
        <v>3B</v>
      </c>
      <c r="C119" s="114"/>
      <c r="D119" s="107" t="s">
        <v>150</v>
      </c>
      <c r="E119" s="114"/>
      <c r="F119" s="109" t="str">
        <f>INSCRIPTS!C17</f>
        <v>7B</v>
      </c>
      <c r="G119" s="109" t="s">
        <v>82</v>
      </c>
    </row>
    <row r="120" spans="1:7" x14ac:dyDescent="0.25">
      <c r="A120" s="109" t="s">
        <v>79</v>
      </c>
      <c r="B120" s="109" t="str">
        <f>INSCRIPTS!C14</f>
        <v>4B</v>
      </c>
      <c r="C120" s="114"/>
      <c r="D120" s="107" t="s">
        <v>151</v>
      </c>
      <c r="E120" s="114"/>
      <c r="F120" s="109" t="str">
        <f>INSCRIPTS!C18</f>
        <v>8B</v>
      </c>
      <c r="G120" s="109" t="s">
        <v>83</v>
      </c>
    </row>
    <row r="121" spans="1:7" x14ac:dyDescent="0.25">
      <c r="A121" s="105"/>
      <c r="B121" s="105"/>
      <c r="C121" s="113"/>
      <c r="D121" s="106">
        <f>0.958333333333334 + "00:20:00"</f>
        <v>0.97222222222222288</v>
      </c>
      <c r="E121" s="113"/>
      <c r="F121" s="105"/>
      <c r="G121" s="105"/>
    </row>
    <row r="122" spans="1:7" x14ac:dyDescent="0.25">
      <c r="A122" s="110" t="s">
        <v>84</v>
      </c>
      <c r="B122" s="110" t="str">
        <f>INSCRIPTS!C20</f>
        <v>1C</v>
      </c>
      <c r="C122" s="114"/>
      <c r="D122" s="107" t="s">
        <v>141</v>
      </c>
      <c r="E122" s="114"/>
      <c r="F122" s="110" t="str">
        <f>INSCRIPTS!C24</f>
        <v>5C</v>
      </c>
      <c r="G122" s="110" t="s">
        <v>88</v>
      </c>
    </row>
    <row r="123" spans="1:7" x14ac:dyDescent="0.25">
      <c r="A123" s="110" t="s">
        <v>85</v>
      </c>
      <c r="B123" s="110" t="str">
        <f>INSCRIPTS!C21</f>
        <v>2C</v>
      </c>
      <c r="C123" s="114"/>
      <c r="D123" s="107" t="s">
        <v>142</v>
      </c>
      <c r="E123" s="114"/>
      <c r="F123" s="110" t="str">
        <f>INSCRIPTS!C25</f>
        <v>6C</v>
      </c>
      <c r="G123" s="110" t="s">
        <v>89</v>
      </c>
    </row>
    <row r="124" spans="1:7" x14ac:dyDescent="0.25">
      <c r="A124" s="110" t="s">
        <v>86</v>
      </c>
      <c r="B124" s="110" t="str">
        <f>INSCRIPTS!C22</f>
        <v>3C</v>
      </c>
      <c r="C124" s="114"/>
      <c r="D124" s="107" t="s">
        <v>143</v>
      </c>
      <c r="E124" s="114"/>
      <c r="F124" s="110" t="str">
        <f>INSCRIPTS!C26</f>
        <v>7C</v>
      </c>
      <c r="G124" s="110" t="s">
        <v>90</v>
      </c>
    </row>
    <row r="125" spans="1:7" x14ac:dyDescent="0.25">
      <c r="A125" s="110" t="s">
        <v>87</v>
      </c>
      <c r="B125" s="110" t="str">
        <f>INSCRIPTS!C23</f>
        <v>4C</v>
      </c>
      <c r="C125" s="114"/>
      <c r="D125" s="107" t="s">
        <v>144</v>
      </c>
      <c r="E125" s="114"/>
      <c r="F125" s="110" t="str">
        <f>INSCRIPTS!C27</f>
        <v>8C</v>
      </c>
      <c r="G125" s="110" t="s">
        <v>91</v>
      </c>
    </row>
    <row r="126" spans="1:7" x14ac:dyDescent="0.25">
      <c r="A126" s="111" t="s">
        <v>92</v>
      </c>
      <c r="B126" s="111" t="str">
        <f>INSCRIPTS!C29</f>
        <v>1D</v>
      </c>
      <c r="C126" s="114"/>
      <c r="D126" s="107" t="s">
        <v>145</v>
      </c>
      <c r="E126" s="114"/>
      <c r="F126" s="111" t="str">
        <f>INSCRIPTS!C33</f>
        <v>5D</v>
      </c>
      <c r="G126" s="111" t="s">
        <v>96</v>
      </c>
    </row>
    <row r="127" spans="1:7" x14ac:dyDescent="0.25">
      <c r="A127" s="111" t="s">
        <v>93</v>
      </c>
      <c r="B127" s="111" t="str">
        <f>INSCRIPTS!C30</f>
        <v>2D</v>
      </c>
      <c r="C127" s="114"/>
      <c r="D127" s="107" t="s">
        <v>146</v>
      </c>
      <c r="E127" s="114"/>
      <c r="F127" s="111" t="str">
        <f>INSCRIPTS!C34</f>
        <v>6D</v>
      </c>
      <c r="G127" s="111" t="s">
        <v>97</v>
      </c>
    </row>
    <row r="128" spans="1:7" x14ac:dyDescent="0.25">
      <c r="A128" s="111" t="s">
        <v>94</v>
      </c>
      <c r="B128" s="111" t="str">
        <f>INSCRIPTS!C31</f>
        <v>3D</v>
      </c>
      <c r="C128" s="114"/>
      <c r="D128" s="107" t="s">
        <v>147</v>
      </c>
      <c r="E128" s="114"/>
      <c r="F128" s="111" t="str">
        <f>INSCRIPTS!C35</f>
        <v>7D</v>
      </c>
      <c r="G128" s="111" t="s">
        <v>98</v>
      </c>
    </row>
    <row r="129" spans="1:7" x14ac:dyDescent="0.25">
      <c r="A129" s="111" t="s">
        <v>95</v>
      </c>
      <c r="B129" s="111" t="str">
        <f>INSCRIPTS!C32</f>
        <v>4D</v>
      </c>
      <c r="C129" s="114"/>
      <c r="D129" s="107" t="s">
        <v>148</v>
      </c>
      <c r="E129" s="114"/>
      <c r="F129" s="111" t="str">
        <f>INSCRIPTS!C36</f>
        <v>8D</v>
      </c>
      <c r="G129" s="111" t="s">
        <v>99</v>
      </c>
    </row>
    <row r="130" spans="1:7" x14ac:dyDescent="0.25">
      <c r="A130" s="112" t="s">
        <v>100</v>
      </c>
      <c r="B130" s="112" t="str">
        <f>INSCRIPTS!C38</f>
        <v>1E</v>
      </c>
      <c r="C130" s="114"/>
      <c r="D130" s="107" t="s">
        <v>155</v>
      </c>
      <c r="E130" s="114"/>
      <c r="F130" s="112" t="str">
        <f>INSCRIPTS!C42</f>
        <v>5E</v>
      </c>
      <c r="G130" s="112" t="s">
        <v>104</v>
      </c>
    </row>
    <row r="131" spans="1:7" x14ac:dyDescent="0.25">
      <c r="A131" s="112" t="s">
        <v>105</v>
      </c>
      <c r="B131" s="112" t="str">
        <f>INSCRIPTS!C43</f>
        <v>6E</v>
      </c>
      <c r="C131" s="114"/>
      <c r="D131" s="107" t="s">
        <v>156</v>
      </c>
      <c r="E131" s="114"/>
      <c r="F131" s="112" t="str">
        <f>INSCRIPTS!C40</f>
        <v>3E</v>
      </c>
      <c r="G131" s="112" t="s">
        <v>102</v>
      </c>
    </row>
    <row r="132" spans="1:7" x14ac:dyDescent="0.25">
      <c r="A132" s="112" t="s">
        <v>101</v>
      </c>
      <c r="B132" s="112" t="str">
        <f>INSCRIPTS!C39</f>
        <v>2E</v>
      </c>
      <c r="C132" s="114"/>
      <c r="D132" s="107" t="s">
        <v>157</v>
      </c>
      <c r="E132" s="114"/>
      <c r="F132" s="112" t="str">
        <f>INSCRIPTS!C44</f>
        <v>7E</v>
      </c>
      <c r="G132" s="112" t="s">
        <v>136</v>
      </c>
    </row>
    <row r="133" spans="1:7" x14ac:dyDescent="0.25">
      <c r="A133" s="105"/>
      <c r="B133" s="105"/>
      <c r="C133" s="113"/>
      <c r="D133" s="106">
        <f>0.972222222222223 + "00:20:00"</f>
        <v>0.98611111111111183</v>
      </c>
      <c r="E133" s="113"/>
      <c r="F133" s="105"/>
      <c r="G133" s="105"/>
    </row>
    <row r="134" spans="1:7" x14ac:dyDescent="0.25">
      <c r="A134" s="108" t="s">
        <v>106</v>
      </c>
      <c r="B134" s="108" t="str">
        <f>INSCRIPTS!C46</f>
        <v>1F</v>
      </c>
      <c r="C134" s="114"/>
      <c r="D134" s="107" t="s">
        <v>158</v>
      </c>
      <c r="E134" s="114"/>
      <c r="F134" s="108" t="str">
        <f>INSCRIPTS!C50</f>
        <v>5F</v>
      </c>
      <c r="G134" s="108" t="s">
        <v>110</v>
      </c>
    </row>
    <row r="135" spans="1:7" x14ac:dyDescent="0.25">
      <c r="A135" s="108" t="s">
        <v>111</v>
      </c>
      <c r="B135" s="108" t="str">
        <f>INSCRIPTS!C51</f>
        <v>6F</v>
      </c>
      <c r="C135" s="114"/>
      <c r="D135" s="107" t="s">
        <v>159</v>
      </c>
      <c r="E135" s="114"/>
      <c r="F135" s="108" t="str">
        <f>INSCRIPTS!C48</f>
        <v>3F</v>
      </c>
      <c r="G135" s="108" t="s">
        <v>108</v>
      </c>
    </row>
    <row r="136" spans="1:7" x14ac:dyDescent="0.25">
      <c r="A136" s="108" t="s">
        <v>107</v>
      </c>
      <c r="B136" s="108" t="str">
        <f>INSCRIPTS!C47</f>
        <v>2F</v>
      </c>
      <c r="C136" s="114"/>
      <c r="D136" s="107" t="s">
        <v>160</v>
      </c>
      <c r="E136" s="114"/>
      <c r="F136" s="108" t="str">
        <f>INSCRIPTS!C52</f>
        <v>7F</v>
      </c>
      <c r="G136" s="108" t="s">
        <v>137</v>
      </c>
    </row>
    <row r="137" spans="1:7" x14ac:dyDescent="0.25">
      <c r="A137" s="109" t="s">
        <v>112</v>
      </c>
      <c r="B137" s="109" t="str">
        <f>INSCRIPTS!C54</f>
        <v>1G</v>
      </c>
      <c r="C137" s="114"/>
      <c r="D137" s="107" t="s">
        <v>170</v>
      </c>
      <c r="E137" s="114"/>
      <c r="F137" s="109" t="str">
        <f>INSCRIPTS!C57</f>
        <v>4G</v>
      </c>
      <c r="G137" s="109" t="s">
        <v>115</v>
      </c>
    </row>
    <row r="138" spans="1:7" x14ac:dyDescent="0.25">
      <c r="A138" s="109" t="s">
        <v>113</v>
      </c>
      <c r="B138" s="109" t="str">
        <f>INSCRIPTS!C55</f>
        <v>2G</v>
      </c>
      <c r="C138" s="114"/>
      <c r="D138" s="107" t="s">
        <v>172</v>
      </c>
      <c r="E138" s="114"/>
      <c r="F138" s="109" t="str">
        <f>INSCRIPTS!C59</f>
        <v>6G</v>
      </c>
      <c r="G138" s="109" t="s">
        <v>117</v>
      </c>
    </row>
    <row r="139" spans="1:7" x14ac:dyDescent="0.25">
      <c r="A139" s="109" t="s">
        <v>114</v>
      </c>
      <c r="B139" s="109" t="str">
        <f>INSCRIPTS!C56</f>
        <v>3G</v>
      </c>
      <c r="C139" s="114"/>
      <c r="D139" s="107" t="s">
        <v>152</v>
      </c>
      <c r="E139" s="114"/>
      <c r="F139" s="109" t="str">
        <f>INSCRIPTS!C58</f>
        <v>5G</v>
      </c>
      <c r="G139" s="109" t="s">
        <v>116</v>
      </c>
    </row>
    <row r="140" spans="1:7" x14ac:dyDescent="0.25">
      <c r="A140" s="110" t="s">
        <v>118</v>
      </c>
      <c r="B140" s="110" t="str">
        <f>INSCRIPTS!C61</f>
        <v>1H</v>
      </c>
      <c r="C140" s="114"/>
      <c r="D140" s="107" t="s">
        <v>164</v>
      </c>
      <c r="E140" s="114"/>
      <c r="F140" s="110" t="str">
        <f>INSCRIPTS!C65</f>
        <v>5H</v>
      </c>
      <c r="G140" s="110" t="s">
        <v>122</v>
      </c>
    </row>
    <row r="141" spans="1:7" x14ac:dyDescent="0.25">
      <c r="A141" s="110" t="s">
        <v>123</v>
      </c>
      <c r="B141" s="110" t="str">
        <f>INSCRIPTS!C66</f>
        <v>6H</v>
      </c>
      <c r="C141" s="114"/>
      <c r="D141" s="107" t="s">
        <v>165</v>
      </c>
      <c r="E141" s="114"/>
      <c r="F141" s="110" t="str">
        <f>INSCRIPTS!C63</f>
        <v>3H</v>
      </c>
      <c r="G141" s="110" t="s">
        <v>120</v>
      </c>
    </row>
    <row r="142" spans="1:7" x14ac:dyDescent="0.25">
      <c r="A142" s="110" t="s">
        <v>119</v>
      </c>
      <c r="B142" s="110" t="str">
        <f>INSCRIPTS!C62</f>
        <v>2H</v>
      </c>
      <c r="C142" s="114"/>
      <c r="D142" s="107" t="s">
        <v>166</v>
      </c>
      <c r="E142" s="114"/>
      <c r="F142" s="110" t="str">
        <f>INSCRIPTS!C67</f>
        <v>7H</v>
      </c>
      <c r="G142" s="110" t="s">
        <v>138</v>
      </c>
    </row>
    <row r="143" spans="1:7" x14ac:dyDescent="0.25">
      <c r="A143" s="111" t="s">
        <v>124</v>
      </c>
      <c r="B143" s="111" t="str">
        <f>INSCRIPTS!C69</f>
        <v>1I</v>
      </c>
      <c r="C143" s="114"/>
      <c r="D143" s="107" t="s">
        <v>167</v>
      </c>
      <c r="E143" s="114"/>
      <c r="F143" s="111" t="str">
        <f>INSCRIPTS!C73</f>
        <v>5I</v>
      </c>
      <c r="G143" s="111" t="s">
        <v>128</v>
      </c>
    </row>
    <row r="144" spans="1:7" x14ac:dyDescent="0.25">
      <c r="A144" s="111" t="s">
        <v>129</v>
      </c>
      <c r="B144" s="111" t="str">
        <f>INSCRIPTS!C74</f>
        <v>6I</v>
      </c>
      <c r="C144" s="114"/>
      <c r="D144" s="107" t="s">
        <v>168</v>
      </c>
      <c r="E144" s="114"/>
      <c r="F144" s="111" t="str">
        <f>INSCRIPTS!C71</f>
        <v>3I</v>
      </c>
      <c r="G144" s="111" t="s">
        <v>126</v>
      </c>
    </row>
    <row r="145" spans="1:7" x14ac:dyDescent="0.25">
      <c r="A145" s="105"/>
      <c r="B145" s="105"/>
      <c r="C145" s="113"/>
      <c r="D145" s="106">
        <f>0.986111111111112 + "00:20:00"</f>
        <v>1.0000000000000009</v>
      </c>
      <c r="E145" s="113"/>
      <c r="F145" s="105"/>
      <c r="G145" s="105"/>
    </row>
    <row r="146" spans="1:7" x14ac:dyDescent="0.25">
      <c r="A146" s="111" t="s">
        <v>125</v>
      </c>
      <c r="B146" s="111" t="str">
        <f>INSCRIPTS!C70</f>
        <v>2I</v>
      </c>
      <c r="C146" s="114"/>
      <c r="D146" s="107" t="s">
        <v>169</v>
      </c>
      <c r="E146" s="114"/>
      <c r="F146" s="111" t="str">
        <f>INSCRIPTS!C75</f>
        <v>7I</v>
      </c>
      <c r="G146" s="111" t="s">
        <v>139</v>
      </c>
    </row>
    <row r="147" spans="1:7" x14ac:dyDescent="0.25">
      <c r="A147" s="112" t="s">
        <v>130</v>
      </c>
      <c r="B147" s="112" t="str">
        <f>INSCRIPTS!C77</f>
        <v>1J</v>
      </c>
      <c r="C147" s="114"/>
      <c r="D147" s="107" t="s">
        <v>171</v>
      </c>
      <c r="E147" s="114"/>
      <c r="F147" s="112" t="str">
        <f>INSCRIPTS!C80</f>
        <v>4J</v>
      </c>
      <c r="G147" s="112" t="s">
        <v>133</v>
      </c>
    </row>
    <row r="148" spans="1:7" x14ac:dyDescent="0.25">
      <c r="A148" s="112" t="s">
        <v>131</v>
      </c>
      <c r="B148" s="112" t="str">
        <f>INSCRIPTS!C78</f>
        <v>2J</v>
      </c>
      <c r="C148" s="114"/>
      <c r="D148" s="107" t="s">
        <v>173</v>
      </c>
      <c r="E148" s="114"/>
      <c r="F148" s="112" t="str">
        <f>INSCRIPTS!C82</f>
        <v>6J</v>
      </c>
      <c r="G148" s="112" t="s">
        <v>135</v>
      </c>
    </row>
    <row r="149" spans="1:7" x14ac:dyDescent="0.25">
      <c r="A149" s="112" t="s">
        <v>132</v>
      </c>
      <c r="B149" s="112" t="str">
        <f>INSCRIPTS!C79</f>
        <v>3J</v>
      </c>
      <c r="C149" s="114"/>
      <c r="D149" s="107" t="s">
        <v>161</v>
      </c>
      <c r="E149" s="114"/>
      <c r="F149" s="112" t="str">
        <f>INSCRIPTS!C81</f>
        <v>5J</v>
      </c>
      <c r="G149" s="112" t="s">
        <v>134</v>
      </c>
    </row>
    <row r="150" spans="1:7" x14ac:dyDescent="0.25">
      <c r="A150" s="108" t="s">
        <v>55</v>
      </c>
      <c r="B150" s="108" t="str">
        <f>INSCRIPTS!C2</f>
        <v>1A</v>
      </c>
      <c r="C150" s="114"/>
      <c r="D150" s="107" t="s">
        <v>145</v>
      </c>
      <c r="E150" s="114"/>
      <c r="F150" s="108" t="str">
        <f>INSCRIPTS!C7</f>
        <v>6A</v>
      </c>
      <c r="G150" s="108" t="s">
        <v>73</v>
      </c>
    </row>
    <row r="151" spans="1:7" x14ac:dyDescent="0.25">
      <c r="A151" s="108" t="s">
        <v>56</v>
      </c>
      <c r="B151" s="108" t="str">
        <f>INSCRIPTS!C3</f>
        <v>2A</v>
      </c>
      <c r="C151" s="114"/>
      <c r="D151" s="107" t="s">
        <v>146</v>
      </c>
      <c r="E151" s="114"/>
      <c r="F151" s="108" t="str">
        <f>INSCRIPTS!C6</f>
        <v>5A</v>
      </c>
      <c r="G151" s="108" t="s">
        <v>72</v>
      </c>
    </row>
    <row r="152" spans="1:7" x14ac:dyDescent="0.25">
      <c r="A152" s="108" t="s">
        <v>57</v>
      </c>
      <c r="B152" s="108" t="str">
        <f>INSCRIPTS!C4</f>
        <v>3A</v>
      </c>
      <c r="C152" s="114"/>
      <c r="D152" s="107" t="s">
        <v>147</v>
      </c>
      <c r="E152" s="114"/>
      <c r="F152" s="108" t="str">
        <f>INSCRIPTS!C9</f>
        <v>8A</v>
      </c>
      <c r="G152" s="108" t="s">
        <v>75</v>
      </c>
    </row>
    <row r="153" spans="1:7" x14ac:dyDescent="0.25">
      <c r="A153" s="108" t="s">
        <v>58</v>
      </c>
      <c r="B153" s="108" t="str">
        <f>INSCRIPTS!C5</f>
        <v>4A</v>
      </c>
      <c r="C153" s="114"/>
      <c r="D153" s="107" t="s">
        <v>148</v>
      </c>
      <c r="E153" s="114"/>
      <c r="F153" s="108" t="str">
        <f>INSCRIPTS!C8</f>
        <v>7A</v>
      </c>
      <c r="G153" s="108" t="s">
        <v>74</v>
      </c>
    </row>
    <row r="154" spans="1:7" x14ac:dyDescent="0.25">
      <c r="A154" s="109" t="s">
        <v>76</v>
      </c>
      <c r="B154" s="109" t="str">
        <f>INSCRIPTS!C11</f>
        <v>1B</v>
      </c>
      <c r="C154" s="114"/>
      <c r="D154" s="107" t="s">
        <v>149</v>
      </c>
      <c r="E154" s="114"/>
      <c r="F154" s="109" t="str">
        <f>INSCRIPTS!C16</f>
        <v>6B</v>
      </c>
      <c r="G154" s="109" t="s">
        <v>81</v>
      </c>
    </row>
    <row r="155" spans="1:7" x14ac:dyDescent="0.25">
      <c r="A155" s="109" t="s">
        <v>77</v>
      </c>
      <c r="B155" s="109" t="str">
        <f>INSCRIPTS!C12</f>
        <v>2B</v>
      </c>
      <c r="C155" s="114"/>
      <c r="D155" s="107" t="s">
        <v>150</v>
      </c>
      <c r="E155" s="114"/>
      <c r="F155" s="109" t="str">
        <f>INSCRIPTS!C15</f>
        <v>5B</v>
      </c>
      <c r="G155" s="109" t="s">
        <v>80</v>
      </c>
    </row>
    <row r="156" spans="1:7" x14ac:dyDescent="0.25">
      <c r="A156" s="109" t="s">
        <v>78</v>
      </c>
      <c r="B156" s="109" t="str">
        <f>INSCRIPTS!C13</f>
        <v>3B</v>
      </c>
      <c r="C156" s="114"/>
      <c r="D156" s="107" t="s">
        <v>151</v>
      </c>
      <c r="E156" s="114"/>
      <c r="F156" s="109" t="str">
        <f>INSCRIPTS!C18</f>
        <v>8B</v>
      </c>
      <c r="G156" s="109" t="s">
        <v>83</v>
      </c>
    </row>
    <row r="157" spans="1:7" x14ac:dyDescent="0.25">
      <c r="A157" s="105"/>
      <c r="B157" s="105"/>
      <c r="C157" s="113"/>
      <c r="D157" s="106">
        <f>1 + "00:20:00"</f>
        <v>1.0138888888888888</v>
      </c>
      <c r="E157" s="113"/>
      <c r="F157" s="105"/>
      <c r="G157" s="105"/>
    </row>
    <row r="158" spans="1:7" x14ac:dyDescent="0.25">
      <c r="A158" s="109" t="s">
        <v>79</v>
      </c>
      <c r="B158" s="109" t="str">
        <f>INSCRIPTS!C14</f>
        <v>4B</v>
      </c>
      <c r="C158" s="114"/>
      <c r="D158" s="107" t="s">
        <v>141</v>
      </c>
      <c r="E158" s="114"/>
      <c r="F158" s="109" t="str">
        <f>INSCRIPTS!C17</f>
        <v>7B</v>
      </c>
      <c r="G158" s="109" t="s">
        <v>82</v>
      </c>
    </row>
    <row r="159" spans="1:7" x14ac:dyDescent="0.25">
      <c r="A159" s="110" t="s">
        <v>84</v>
      </c>
      <c r="B159" s="110" t="str">
        <f>INSCRIPTS!C20</f>
        <v>1C</v>
      </c>
      <c r="C159" s="114"/>
      <c r="D159" s="107" t="s">
        <v>142</v>
      </c>
      <c r="E159" s="114"/>
      <c r="F159" s="110" t="str">
        <f>INSCRIPTS!C25</f>
        <v>6C</v>
      </c>
      <c r="G159" s="110" t="s">
        <v>89</v>
      </c>
    </row>
    <row r="160" spans="1:7" x14ac:dyDescent="0.25">
      <c r="A160" s="110" t="s">
        <v>85</v>
      </c>
      <c r="B160" s="110" t="str">
        <f>INSCRIPTS!C21</f>
        <v>2C</v>
      </c>
      <c r="C160" s="114"/>
      <c r="D160" s="107" t="s">
        <v>143</v>
      </c>
      <c r="E160" s="114"/>
      <c r="F160" s="110" t="str">
        <f>INSCRIPTS!C24</f>
        <v>5C</v>
      </c>
      <c r="G160" s="110" t="s">
        <v>88</v>
      </c>
    </row>
    <row r="161" spans="1:7" x14ac:dyDescent="0.25">
      <c r="A161" s="110" t="s">
        <v>86</v>
      </c>
      <c r="B161" s="110" t="str">
        <f>INSCRIPTS!C22</f>
        <v>3C</v>
      </c>
      <c r="C161" s="114"/>
      <c r="D161" s="107" t="s">
        <v>144</v>
      </c>
      <c r="E161" s="114"/>
      <c r="F161" s="110" t="str">
        <f>INSCRIPTS!C27</f>
        <v>8C</v>
      </c>
      <c r="G161" s="110" t="s">
        <v>91</v>
      </c>
    </row>
    <row r="162" spans="1:7" x14ac:dyDescent="0.25">
      <c r="A162" s="110" t="s">
        <v>87</v>
      </c>
      <c r="B162" s="110" t="str">
        <f>INSCRIPTS!C23</f>
        <v>4C</v>
      </c>
      <c r="C162" s="114"/>
      <c r="D162" s="107" t="s">
        <v>145</v>
      </c>
      <c r="E162" s="114"/>
      <c r="F162" s="110" t="str">
        <f>INSCRIPTS!C26</f>
        <v>7C</v>
      </c>
      <c r="G162" s="110" t="s">
        <v>90</v>
      </c>
    </row>
    <row r="163" spans="1:7" x14ac:dyDescent="0.25">
      <c r="A163" s="111" t="s">
        <v>92</v>
      </c>
      <c r="B163" s="111" t="str">
        <f>INSCRIPTS!C29</f>
        <v>1D</v>
      </c>
      <c r="C163" s="114"/>
      <c r="D163" s="107" t="s">
        <v>146</v>
      </c>
      <c r="E163" s="114"/>
      <c r="F163" s="111" t="str">
        <f>INSCRIPTS!C34</f>
        <v>6D</v>
      </c>
      <c r="G163" s="111" t="s">
        <v>97</v>
      </c>
    </row>
    <row r="164" spans="1:7" x14ac:dyDescent="0.25">
      <c r="A164" s="111" t="s">
        <v>93</v>
      </c>
      <c r="B164" s="111" t="str">
        <f>INSCRIPTS!C30</f>
        <v>2D</v>
      </c>
      <c r="C164" s="114"/>
      <c r="D164" s="107" t="s">
        <v>147</v>
      </c>
      <c r="E164" s="114"/>
      <c r="F164" s="111" t="str">
        <f>INSCRIPTS!C33</f>
        <v>5D</v>
      </c>
      <c r="G164" s="111" t="s">
        <v>96</v>
      </c>
    </row>
    <row r="165" spans="1:7" x14ac:dyDescent="0.25">
      <c r="A165" s="111" t="s">
        <v>94</v>
      </c>
      <c r="B165" s="111" t="str">
        <f>INSCRIPTS!C31</f>
        <v>3D</v>
      </c>
      <c r="C165" s="114"/>
      <c r="D165" s="107" t="s">
        <v>148</v>
      </c>
      <c r="E165" s="114"/>
      <c r="F165" s="111" t="str">
        <f>INSCRIPTS!C36</f>
        <v>8D</v>
      </c>
      <c r="G165" s="111" t="s">
        <v>99</v>
      </c>
    </row>
    <row r="166" spans="1:7" x14ac:dyDescent="0.25">
      <c r="A166" s="111" t="s">
        <v>95</v>
      </c>
      <c r="B166" s="111" t="str">
        <f>INSCRIPTS!C32</f>
        <v>4D</v>
      </c>
      <c r="C166" s="114"/>
      <c r="D166" s="107" t="s">
        <v>149</v>
      </c>
      <c r="E166" s="114"/>
      <c r="F166" s="111" t="str">
        <f>INSCRIPTS!C35</f>
        <v>7D</v>
      </c>
      <c r="G166" s="111" t="s">
        <v>98</v>
      </c>
    </row>
    <row r="167" spans="1:7" x14ac:dyDescent="0.25">
      <c r="A167" s="112" t="s">
        <v>102</v>
      </c>
      <c r="B167" s="112" t="str">
        <f>INSCRIPTS!C40</f>
        <v>3E</v>
      </c>
      <c r="C167" s="114"/>
      <c r="D167" s="107" t="s">
        <v>156</v>
      </c>
      <c r="E167" s="114"/>
      <c r="F167" s="112" t="str">
        <f>INSCRIPTS!C42</f>
        <v>5E</v>
      </c>
      <c r="G167" s="112" t="s">
        <v>104</v>
      </c>
    </row>
    <row r="168" spans="1:7" x14ac:dyDescent="0.25">
      <c r="A168" s="112" t="s">
        <v>101</v>
      </c>
      <c r="B168" s="112" t="str">
        <f>INSCRIPTS!C39</f>
        <v>2E</v>
      </c>
      <c r="C168" s="114"/>
      <c r="D168" s="107" t="s">
        <v>157</v>
      </c>
      <c r="E168" s="114"/>
      <c r="F168" s="112" t="str">
        <f>INSCRIPTS!C43</f>
        <v>6E</v>
      </c>
      <c r="G168" s="112" t="s">
        <v>105</v>
      </c>
    </row>
    <row r="169" spans="1:7" x14ac:dyDescent="0.25">
      <c r="A169" s="105"/>
      <c r="B169" s="105"/>
      <c r="C169" s="113"/>
      <c r="D169" s="106">
        <f>1.01388888888889 + "00:20:00"</f>
        <v>1.0277777777777788</v>
      </c>
      <c r="E169" s="113"/>
      <c r="F169" s="105"/>
      <c r="G169" s="105"/>
    </row>
    <row r="170" spans="1:7" x14ac:dyDescent="0.25">
      <c r="A170" s="112" t="s">
        <v>103</v>
      </c>
      <c r="B170" s="112" t="str">
        <f>INSCRIPTS!C41</f>
        <v>4E</v>
      </c>
      <c r="C170" s="114"/>
      <c r="D170" s="107" t="s">
        <v>158</v>
      </c>
      <c r="E170" s="114"/>
      <c r="F170" s="112" t="str">
        <f>INSCRIPTS!C44</f>
        <v>7E</v>
      </c>
      <c r="G170" s="112" t="s">
        <v>136</v>
      </c>
    </row>
    <row r="171" spans="1:7" x14ac:dyDescent="0.25">
      <c r="A171" s="108" t="s">
        <v>108</v>
      </c>
      <c r="B171" s="108" t="str">
        <f>INSCRIPTS!C48</f>
        <v>3F</v>
      </c>
      <c r="C171" s="114"/>
      <c r="D171" s="107" t="s">
        <v>159</v>
      </c>
      <c r="E171" s="114"/>
      <c r="F171" s="108" t="str">
        <f>INSCRIPTS!C50</f>
        <v>5F</v>
      </c>
      <c r="G171" s="108" t="s">
        <v>110</v>
      </c>
    </row>
    <row r="172" spans="1:7" x14ac:dyDescent="0.25">
      <c r="A172" s="108" t="s">
        <v>107</v>
      </c>
      <c r="B172" s="108" t="str">
        <f>INSCRIPTS!C47</f>
        <v>2F</v>
      </c>
      <c r="C172" s="114"/>
      <c r="D172" s="107" t="s">
        <v>160</v>
      </c>
      <c r="E172" s="114"/>
      <c r="F172" s="108" t="str">
        <f>INSCRIPTS!C51</f>
        <v>6F</v>
      </c>
      <c r="G172" s="108" t="s">
        <v>111</v>
      </c>
    </row>
    <row r="173" spans="1:7" x14ac:dyDescent="0.25">
      <c r="A173" s="108" t="s">
        <v>109</v>
      </c>
      <c r="B173" s="108" t="str">
        <f>INSCRIPTS!C49</f>
        <v>4F</v>
      </c>
      <c r="C173" s="114"/>
      <c r="D173" s="107" t="s">
        <v>170</v>
      </c>
      <c r="E173" s="114"/>
      <c r="F173" s="108" t="str">
        <f>INSCRIPTS!C52</f>
        <v>7F</v>
      </c>
      <c r="G173" s="108" t="s">
        <v>137</v>
      </c>
    </row>
    <row r="174" spans="1:7" x14ac:dyDescent="0.25">
      <c r="A174" s="109" t="s">
        <v>112</v>
      </c>
      <c r="B174" s="109" t="str">
        <f>INSCRIPTS!C54</f>
        <v>1G</v>
      </c>
      <c r="C174" s="114"/>
      <c r="D174" s="107" t="s">
        <v>172</v>
      </c>
      <c r="E174" s="114"/>
      <c r="F174" s="109" t="str">
        <f>INSCRIPTS!C58</f>
        <v>5G</v>
      </c>
      <c r="G174" s="109" t="s">
        <v>116</v>
      </c>
    </row>
    <row r="175" spans="1:7" x14ac:dyDescent="0.25">
      <c r="A175" s="109" t="s">
        <v>113</v>
      </c>
      <c r="B175" s="109" t="str">
        <f>INSCRIPTS!C55</f>
        <v>2G</v>
      </c>
      <c r="C175" s="114"/>
      <c r="D175" s="107" t="s">
        <v>152</v>
      </c>
      <c r="E175" s="114"/>
      <c r="F175" s="109" t="str">
        <f>INSCRIPTS!C57</f>
        <v>4G</v>
      </c>
      <c r="G175" s="109" t="s">
        <v>115</v>
      </c>
    </row>
    <row r="176" spans="1:7" x14ac:dyDescent="0.25">
      <c r="A176" s="109" t="s">
        <v>114</v>
      </c>
      <c r="B176" s="109" t="str">
        <f>INSCRIPTS!C56</f>
        <v>3G</v>
      </c>
      <c r="C176" s="114"/>
      <c r="D176" s="107" t="s">
        <v>153</v>
      </c>
      <c r="E176" s="114"/>
      <c r="F176" s="109" t="str">
        <f>INSCRIPTS!C59</f>
        <v>6G</v>
      </c>
      <c r="G176" s="109" t="s">
        <v>117</v>
      </c>
    </row>
    <row r="177" spans="1:7" x14ac:dyDescent="0.25">
      <c r="A177" s="110" t="s">
        <v>120</v>
      </c>
      <c r="B177" s="110" t="str">
        <f>INSCRIPTS!C63</f>
        <v>3H</v>
      </c>
      <c r="C177" s="114"/>
      <c r="D177" s="107" t="s">
        <v>165</v>
      </c>
      <c r="E177" s="114"/>
      <c r="F177" s="110" t="str">
        <f>INSCRIPTS!C65</f>
        <v>5H</v>
      </c>
      <c r="G177" s="110" t="s">
        <v>122</v>
      </c>
    </row>
    <row r="178" spans="1:7" x14ac:dyDescent="0.25">
      <c r="A178" s="110" t="s">
        <v>119</v>
      </c>
      <c r="B178" s="110" t="str">
        <f>INSCRIPTS!C62</f>
        <v>2H</v>
      </c>
      <c r="C178" s="114"/>
      <c r="D178" s="107" t="s">
        <v>166</v>
      </c>
      <c r="E178" s="114"/>
      <c r="F178" s="110" t="str">
        <f>INSCRIPTS!C66</f>
        <v>6H</v>
      </c>
      <c r="G178" s="110" t="s">
        <v>123</v>
      </c>
    </row>
    <row r="179" spans="1:7" x14ac:dyDescent="0.25">
      <c r="A179" s="110" t="s">
        <v>121</v>
      </c>
      <c r="B179" s="110" t="str">
        <f>INSCRIPTS!C64</f>
        <v>4H</v>
      </c>
      <c r="C179" s="114"/>
      <c r="D179" s="107" t="s">
        <v>167</v>
      </c>
      <c r="E179" s="114"/>
      <c r="F179" s="110" t="str">
        <f>INSCRIPTS!C67</f>
        <v>7H</v>
      </c>
      <c r="G179" s="110" t="s">
        <v>138</v>
      </c>
    </row>
    <row r="180" spans="1:7" x14ac:dyDescent="0.25">
      <c r="A180" s="111" t="s">
        <v>126</v>
      </c>
      <c r="B180" s="111" t="str">
        <f>INSCRIPTS!C71</f>
        <v>3I</v>
      </c>
      <c r="C180" s="114"/>
      <c r="D180" s="107" t="s">
        <v>168</v>
      </c>
      <c r="E180" s="114"/>
      <c r="F180" s="111" t="str">
        <f>INSCRIPTS!C73</f>
        <v>5I</v>
      </c>
      <c r="G180" s="111" t="s">
        <v>128</v>
      </c>
    </row>
    <row r="181" spans="1:7" x14ac:dyDescent="0.25">
      <c r="A181" s="105"/>
      <c r="B181" s="105"/>
      <c r="C181" s="113"/>
      <c r="D181" s="106">
        <f>1.02777777777778 + "00:20:00"</f>
        <v>1.0416666666666687</v>
      </c>
      <c r="E181" s="113"/>
      <c r="F181" s="105"/>
      <c r="G181" s="105"/>
    </row>
    <row r="182" spans="1:7" x14ac:dyDescent="0.25">
      <c r="A182" s="111" t="s">
        <v>125</v>
      </c>
      <c r="B182" s="111" t="str">
        <f>INSCRIPTS!C70</f>
        <v>2I</v>
      </c>
      <c r="C182" s="114"/>
      <c r="D182" s="107" t="s">
        <v>169</v>
      </c>
      <c r="E182" s="114"/>
      <c r="F182" s="111" t="str">
        <f>INSCRIPTS!C74</f>
        <v>6I</v>
      </c>
      <c r="G182" s="111" t="s">
        <v>129</v>
      </c>
    </row>
    <row r="183" spans="1:7" x14ac:dyDescent="0.25">
      <c r="A183" s="111" t="s">
        <v>127</v>
      </c>
      <c r="B183" s="111" t="str">
        <f>INSCRIPTS!C72</f>
        <v>4I</v>
      </c>
      <c r="C183" s="114"/>
      <c r="D183" s="107" t="s">
        <v>171</v>
      </c>
      <c r="E183" s="114"/>
      <c r="F183" s="111" t="str">
        <f>INSCRIPTS!C75</f>
        <v>7I</v>
      </c>
      <c r="G183" s="111" t="s">
        <v>139</v>
      </c>
    </row>
    <row r="184" spans="1:7" x14ac:dyDescent="0.25">
      <c r="A184" s="112" t="s">
        <v>130</v>
      </c>
      <c r="B184" s="112" t="str">
        <f>INSCRIPTS!C77</f>
        <v>1J</v>
      </c>
      <c r="C184" s="114"/>
      <c r="D184" s="107" t="s">
        <v>173</v>
      </c>
      <c r="E184" s="114"/>
      <c r="F184" s="112" t="str">
        <f>INSCRIPTS!C81</f>
        <v>5J</v>
      </c>
      <c r="G184" s="112" t="s">
        <v>134</v>
      </c>
    </row>
    <row r="185" spans="1:7" x14ac:dyDescent="0.25">
      <c r="A185" s="112" t="s">
        <v>131</v>
      </c>
      <c r="B185" s="112" t="str">
        <f>INSCRIPTS!C78</f>
        <v>2J</v>
      </c>
      <c r="C185" s="114"/>
      <c r="D185" s="107" t="s">
        <v>161</v>
      </c>
      <c r="E185" s="114"/>
      <c r="F185" s="112" t="str">
        <f>INSCRIPTS!C80</f>
        <v>4J</v>
      </c>
      <c r="G185" s="112" t="s">
        <v>133</v>
      </c>
    </row>
    <row r="186" spans="1:7" x14ac:dyDescent="0.25">
      <c r="A186" s="112" t="s">
        <v>132</v>
      </c>
      <c r="B186" s="112" t="str">
        <f>INSCRIPTS!C79</f>
        <v>3J</v>
      </c>
      <c r="C186" s="114"/>
      <c r="D186" s="107" t="s">
        <v>162</v>
      </c>
      <c r="E186" s="114"/>
      <c r="F186" s="112" t="str">
        <f>INSCRIPTS!C82</f>
        <v>6J</v>
      </c>
      <c r="G186" s="112" t="s">
        <v>135</v>
      </c>
    </row>
    <row r="187" spans="1:7" x14ac:dyDescent="0.25">
      <c r="A187" s="108" t="s">
        <v>55</v>
      </c>
      <c r="B187" s="108" t="str">
        <f>INSCRIPTS!C2</f>
        <v>1A</v>
      </c>
      <c r="C187" s="114"/>
      <c r="D187" s="107" t="s">
        <v>146</v>
      </c>
      <c r="E187" s="114"/>
      <c r="F187" s="108" t="str">
        <f>INSCRIPTS!C8</f>
        <v>7A</v>
      </c>
      <c r="G187" s="108" t="s">
        <v>74</v>
      </c>
    </row>
    <row r="188" spans="1:7" x14ac:dyDescent="0.25">
      <c r="A188" s="108" t="s">
        <v>56</v>
      </c>
      <c r="B188" s="108" t="str">
        <f>INSCRIPTS!C3</f>
        <v>2A</v>
      </c>
      <c r="C188" s="114"/>
      <c r="D188" s="107" t="s">
        <v>147</v>
      </c>
      <c r="E188" s="114"/>
      <c r="F188" s="108" t="str">
        <f>INSCRIPTS!C9</f>
        <v>8A</v>
      </c>
      <c r="G188" s="108" t="s">
        <v>75</v>
      </c>
    </row>
    <row r="189" spans="1:7" x14ac:dyDescent="0.25">
      <c r="A189" s="108" t="s">
        <v>57</v>
      </c>
      <c r="B189" s="108" t="str">
        <f>INSCRIPTS!C4</f>
        <v>3A</v>
      </c>
      <c r="C189" s="114"/>
      <c r="D189" s="107" t="s">
        <v>148</v>
      </c>
      <c r="E189" s="114"/>
      <c r="F189" s="108" t="str">
        <f>INSCRIPTS!C6</f>
        <v>5A</v>
      </c>
      <c r="G189" s="108" t="s">
        <v>72</v>
      </c>
    </row>
    <row r="190" spans="1:7" x14ac:dyDescent="0.25">
      <c r="A190" s="108" t="s">
        <v>58</v>
      </c>
      <c r="B190" s="108" t="str">
        <f>INSCRIPTS!C5</f>
        <v>4A</v>
      </c>
      <c r="C190" s="114"/>
      <c r="D190" s="107" t="s">
        <v>149</v>
      </c>
      <c r="E190" s="114"/>
      <c r="F190" s="108" t="str">
        <f>INSCRIPTS!C7</f>
        <v>6A</v>
      </c>
      <c r="G190" s="108" t="s">
        <v>73</v>
      </c>
    </row>
    <row r="191" spans="1:7" x14ac:dyDescent="0.25">
      <c r="A191" s="109" t="s">
        <v>76</v>
      </c>
      <c r="B191" s="109" t="str">
        <f>INSCRIPTS!C11</f>
        <v>1B</v>
      </c>
      <c r="C191" s="114"/>
      <c r="D191" s="107" t="s">
        <v>150</v>
      </c>
      <c r="E191" s="114"/>
      <c r="F191" s="109" t="str">
        <f>INSCRIPTS!C17</f>
        <v>7B</v>
      </c>
      <c r="G191" s="109" t="s">
        <v>82</v>
      </c>
    </row>
    <row r="192" spans="1:7" x14ac:dyDescent="0.25">
      <c r="A192" s="109" t="s">
        <v>77</v>
      </c>
      <c r="B192" s="109" t="str">
        <f>INSCRIPTS!C12</f>
        <v>2B</v>
      </c>
      <c r="C192" s="114"/>
      <c r="D192" s="107" t="s">
        <v>151</v>
      </c>
      <c r="E192" s="114"/>
      <c r="F192" s="109" t="str">
        <f>INSCRIPTS!C18</f>
        <v>8B</v>
      </c>
      <c r="G192" s="109" t="s">
        <v>83</v>
      </c>
    </row>
    <row r="193" spans="1:7" x14ac:dyDescent="0.25">
      <c r="A193" s="105"/>
      <c r="B193" s="105"/>
      <c r="C193" s="113"/>
      <c r="D193" s="106">
        <f>1.04166666666667 + "00:20:00"</f>
        <v>1.0555555555555589</v>
      </c>
      <c r="E193" s="113"/>
      <c r="F193" s="105"/>
      <c r="G193" s="105"/>
    </row>
    <row r="194" spans="1:7" x14ac:dyDescent="0.25">
      <c r="A194" s="109" t="s">
        <v>78</v>
      </c>
      <c r="B194" s="109" t="str">
        <f>INSCRIPTS!C13</f>
        <v>3B</v>
      </c>
      <c r="C194" s="114"/>
      <c r="D194" s="107" t="s">
        <v>141</v>
      </c>
      <c r="E194" s="114"/>
      <c r="F194" s="109" t="str">
        <f>INSCRIPTS!C15</f>
        <v>5B</v>
      </c>
      <c r="G194" s="109" t="s">
        <v>80</v>
      </c>
    </row>
    <row r="195" spans="1:7" x14ac:dyDescent="0.25">
      <c r="A195" s="109" t="s">
        <v>79</v>
      </c>
      <c r="B195" s="109" t="str">
        <f>INSCRIPTS!C14</f>
        <v>4B</v>
      </c>
      <c r="C195" s="114"/>
      <c r="D195" s="107" t="s">
        <v>142</v>
      </c>
      <c r="E195" s="114"/>
      <c r="F195" s="109" t="str">
        <f>INSCRIPTS!C16</f>
        <v>6B</v>
      </c>
      <c r="G195" s="109" t="s">
        <v>81</v>
      </c>
    </row>
    <row r="196" spans="1:7" x14ac:dyDescent="0.25">
      <c r="A196" s="110" t="s">
        <v>84</v>
      </c>
      <c r="B196" s="110" t="str">
        <f>INSCRIPTS!C20</f>
        <v>1C</v>
      </c>
      <c r="C196" s="114"/>
      <c r="D196" s="107" t="s">
        <v>143</v>
      </c>
      <c r="E196" s="114"/>
      <c r="F196" s="110" t="str">
        <f>INSCRIPTS!C26</f>
        <v>7C</v>
      </c>
      <c r="G196" s="110" t="s">
        <v>90</v>
      </c>
    </row>
    <row r="197" spans="1:7" x14ac:dyDescent="0.25">
      <c r="A197" s="110" t="s">
        <v>85</v>
      </c>
      <c r="B197" s="110" t="str">
        <f>INSCRIPTS!C21</f>
        <v>2C</v>
      </c>
      <c r="C197" s="114"/>
      <c r="D197" s="107" t="s">
        <v>144</v>
      </c>
      <c r="E197" s="114"/>
      <c r="F197" s="110" t="str">
        <f>INSCRIPTS!C27</f>
        <v>8C</v>
      </c>
      <c r="G197" s="110" t="s">
        <v>91</v>
      </c>
    </row>
    <row r="198" spans="1:7" x14ac:dyDescent="0.25">
      <c r="A198" s="110" t="s">
        <v>86</v>
      </c>
      <c r="B198" s="110" t="str">
        <f>INSCRIPTS!C22</f>
        <v>3C</v>
      </c>
      <c r="C198" s="114"/>
      <c r="D198" s="107" t="s">
        <v>145</v>
      </c>
      <c r="E198" s="114"/>
      <c r="F198" s="110" t="str">
        <f>INSCRIPTS!C24</f>
        <v>5C</v>
      </c>
      <c r="G198" s="110" t="s">
        <v>88</v>
      </c>
    </row>
    <row r="199" spans="1:7" x14ac:dyDescent="0.25">
      <c r="A199" s="110" t="s">
        <v>87</v>
      </c>
      <c r="B199" s="110" t="str">
        <f>INSCRIPTS!C23</f>
        <v>4C</v>
      </c>
      <c r="C199" s="114"/>
      <c r="D199" s="107" t="s">
        <v>146</v>
      </c>
      <c r="E199" s="114"/>
      <c r="F199" s="110" t="str">
        <f>INSCRIPTS!C25</f>
        <v>6C</v>
      </c>
      <c r="G199" s="110" t="s">
        <v>89</v>
      </c>
    </row>
    <row r="200" spans="1:7" x14ac:dyDescent="0.25">
      <c r="A200" s="111" t="s">
        <v>92</v>
      </c>
      <c r="B200" s="111" t="str">
        <f>INSCRIPTS!C29</f>
        <v>1D</v>
      </c>
      <c r="C200" s="114"/>
      <c r="D200" s="107" t="s">
        <v>147</v>
      </c>
      <c r="E200" s="114"/>
      <c r="F200" s="111" t="str">
        <f>INSCRIPTS!C35</f>
        <v>7D</v>
      </c>
      <c r="G200" s="111" t="s">
        <v>98</v>
      </c>
    </row>
    <row r="201" spans="1:7" x14ac:dyDescent="0.25">
      <c r="A201" s="111" t="s">
        <v>93</v>
      </c>
      <c r="B201" s="111" t="str">
        <f>INSCRIPTS!C30</f>
        <v>2D</v>
      </c>
      <c r="C201" s="114"/>
      <c r="D201" s="107" t="s">
        <v>148</v>
      </c>
      <c r="E201" s="114"/>
      <c r="F201" s="111" t="str">
        <f>INSCRIPTS!C36</f>
        <v>8D</v>
      </c>
      <c r="G201" s="111" t="s">
        <v>99</v>
      </c>
    </row>
    <row r="202" spans="1:7" x14ac:dyDescent="0.25">
      <c r="A202" s="111" t="s">
        <v>94</v>
      </c>
      <c r="B202" s="111" t="str">
        <f>INSCRIPTS!C31</f>
        <v>3D</v>
      </c>
      <c r="C202" s="114"/>
      <c r="D202" s="107" t="s">
        <v>149</v>
      </c>
      <c r="E202" s="114"/>
      <c r="F202" s="111" t="str">
        <f>INSCRIPTS!C33</f>
        <v>5D</v>
      </c>
      <c r="G202" s="111" t="s">
        <v>96</v>
      </c>
    </row>
    <row r="203" spans="1:7" x14ac:dyDescent="0.25">
      <c r="A203" s="111" t="s">
        <v>95</v>
      </c>
      <c r="B203" s="111" t="str">
        <f>INSCRIPTS!C32</f>
        <v>4D</v>
      </c>
      <c r="C203" s="114"/>
      <c r="D203" s="107" t="s">
        <v>150</v>
      </c>
      <c r="E203" s="114"/>
      <c r="F203" s="111" t="str">
        <f>INSCRIPTS!C34</f>
        <v>6D</v>
      </c>
      <c r="G203" s="111" t="s">
        <v>97</v>
      </c>
    </row>
    <row r="204" spans="1:7" x14ac:dyDescent="0.25">
      <c r="A204" s="112" t="s">
        <v>100</v>
      </c>
      <c r="B204" s="112" t="str">
        <f>INSCRIPTS!C38</f>
        <v>1E</v>
      </c>
      <c r="C204" s="114"/>
      <c r="D204" s="107" t="s">
        <v>157</v>
      </c>
      <c r="E204" s="114"/>
      <c r="F204" s="112" t="str">
        <f>INSCRIPTS!C43</f>
        <v>6E</v>
      </c>
      <c r="G204" s="112" t="s">
        <v>105</v>
      </c>
    </row>
    <row r="205" spans="1:7" x14ac:dyDescent="0.25">
      <c r="A205" s="105"/>
      <c r="B205" s="105"/>
      <c r="C205" s="113"/>
      <c r="D205" s="106">
        <f>1.05555555555556 + "00:20:00"</f>
        <v>1.0694444444444489</v>
      </c>
      <c r="E205" s="113"/>
      <c r="F205" s="105"/>
      <c r="G205" s="105"/>
    </row>
    <row r="206" spans="1:7" x14ac:dyDescent="0.25">
      <c r="A206" s="112" t="s">
        <v>101</v>
      </c>
      <c r="B206" s="112" t="str">
        <f>INSCRIPTS!C39</f>
        <v>2E</v>
      </c>
      <c r="C206" s="114"/>
      <c r="D206" s="107" t="s">
        <v>158</v>
      </c>
      <c r="E206" s="114"/>
      <c r="F206" s="112" t="str">
        <f>INSCRIPTS!C41</f>
        <v>4E</v>
      </c>
      <c r="G206" s="112" t="s">
        <v>103</v>
      </c>
    </row>
    <row r="207" spans="1:7" x14ac:dyDescent="0.25">
      <c r="A207" s="112" t="s">
        <v>104</v>
      </c>
      <c r="B207" s="112" t="str">
        <f>INSCRIPTS!C42</f>
        <v>5E</v>
      </c>
      <c r="C207" s="114"/>
      <c r="D207" s="107" t="s">
        <v>159</v>
      </c>
      <c r="E207" s="114"/>
      <c r="F207" s="112" t="str">
        <f>INSCRIPTS!C44</f>
        <v>7E</v>
      </c>
      <c r="G207" s="112" t="s">
        <v>136</v>
      </c>
    </row>
    <row r="208" spans="1:7" x14ac:dyDescent="0.25">
      <c r="A208" s="108" t="s">
        <v>106</v>
      </c>
      <c r="B208" s="108" t="str">
        <f>INSCRIPTS!C46</f>
        <v>1F</v>
      </c>
      <c r="C208" s="114"/>
      <c r="D208" s="107" t="s">
        <v>160</v>
      </c>
      <c r="E208" s="114"/>
      <c r="F208" s="108" t="str">
        <f>INSCRIPTS!C51</f>
        <v>6F</v>
      </c>
      <c r="G208" s="108" t="s">
        <v>111</v>
      </c>
    </row>
    <row r="209" spans="1:7" x14ac:dyDescent="0.25">
      <c r="A209" s="108" t="s">
        <v>107</v>
      </c>
      <c r="B209" s="108" t="str">
        <f>INSCRIPTS!C47</f>
        <v>2F</v>
      </c>
      <c r="C209" s="114"/>
      <c r="D209" s="107" t="s">
        <v>170</v>
      </c>
      <c r="E209" s="114"/>
      <c r="F209" s="108" t="str">
        <f>INSCRIPTS!C49</f>
        <v>4F</v>
      </c>
      <c r="G209" s="108" t="s">
        <v>109</v>
      </c>
    </row>
    <row r="210" spans="1:7" x14ac:dyDescent="0.25">
      <c r="A210" s="108" t="s">
        <v>110</v>
      </c>
      <c r="B210" s="108" t="str">
        <f>INSCRIPTS!C50</f>
        <v>5F</v>
      </c>
      <c r="C210" s="114"/>
      <c r="D210" s="107" t="s">
        <v>172</v>
      </c>
      <c r="E210" s="114"/>
      <c r="F210" s="108" t="str">
        <f>INSCRIPTS!C52</f>
        <v>7F</v>
      </c>
      <c r="G210" s="108" t="s">
        <v>137</v>
      </c>
    </row>
    <row r="211" spans="1:7" x14ac:dyDescent="0.25">
      <c r="A211" s="108" t="s">
        <v>55</v>
      </c>
      <c r="B211" s="108" t="str">
        <f>INSCRIPTS!C2</f>
        <v>1A</v>
      </c>
      <c r="C211" s="114"/>
      <c r="D211" s="107" t="s">
        <v>146</v>
      </c>
      <c r="E211" s="114"/>
      <c r="F211" s="108" t="str">
        <f>INSCRIPTS!C9</f>
        <v>8A</v>
      </c>
      <c r="G211" s="108" t="s">
        <v>75</v>
      </c>
    </row>
    <row r="212" spans="1:7" x14ac:dyDescent="0.25">
      <c r="A212" s="108" t="s">
        <v>56</v>
      </c>
      <c r="B212" s="108" t="str">
        <f>INSCRIPTS!C3</f>
        <v>2A</v>
      </c>
      <c r="C212" s="114"/>
      <c r="D212" s="107" t="s">
        <v>147</v>
      </c>
      <c r="E212" s="114"/>
      <c r="F212" s="108" t="str">
        <f>INSCRIPTS!C8</f>
        <v>7A</v>
      </c>
      <c r="G212" s="108" t="s">
        <v>74</v>
      </c>
    </row>
    <row r="213" spans="1:7" x14ac:dyDescent="0.25">
      <c r="A213" s="108" t="s">
        <v>57</v>
      </c>
      <c r="B213" s="108" t="str">
        <f>INSCRIPTS!C4</f>
        <v>3A</v>
      </c>
      <c r="C213" s="114"/>
      <c r="D213" s="107" t="s">
        <v>148</v>
      </c>
      <c r="E213" s="114"/>
      <c r="F213" s="108" t="str">
        <f>INSCRIPTS!C7</f>
        <v>6A</v>
      </c>
      <c r="G213" s="108" t="s">
        <v>73</v>
      </c>
    </row>
    <row r="214" spans="1:7" x14ac:dyDescent="0.25">
      <c r="A214" s="108" t="s">
        <v>58</v>
      </c>
      <c r="B214" s="108" t="str">
        <f>INSCRIPTS!C5</f>
        <v>4A</v>
      </c>
      <c r="C214" s="114"/>
      <c r="D214" s="107" t="s">
        <v>149</v>
      </c>
      <c r="E214" s="114"/>
      <c r="F214" s="108" t="str">
        <f>INSCRIPTS!C6</f>
        <v>5A</v>
      </c>
      <c r="G214" s="108" t="s">
        <v>72</v>
      </c>
    </row>
    <row r="215" spans="1:7" x14ac:dyDescent="0.25">
      <c r="A215" s="109" t="s">
        <v>76</v>
      </c>
      <c r="B215" s="109" t="str">
        <f>INSCRIPTS!C11</f>
        <v>1B</v>
      </c>
      <c r="C215" s="114"/>
      <c r="D215" s="107" t="s">
        <v>150</v>
      </c>
      <c r="E215" s="114"/>
      <c r="F215" s="109" t="str">
        <f>INSCRIPTS!C18</f>
        <v>8B</v>
      </c>
      <c r="G215" s="109" t="s">
        <v>83</v>
      </c>
    </row>
    <row r="216" spans="1:7" x14ac:dyDescent="0.25">
      <c r="A216" s="109" t="s">
        <v>77</v>
      </c>
      <c r="B216" s="109" t="str">
        <f>INSCRIPTS!C12</f>
        <v>2B</v>
      </c>
      <c r="C216" s="114"/>
      <c r="D216" s="107" t="s">
        <v>151</v>
      </c>
      <c r="E216" s="114"/>
      <c r="F216" s="109" t="str">
        <f>INSCRIPTS!C17</f>
        <v>7B</v>
      </c>
      <c r="G216" s="109" t="s">
        <v>82</v>
      </c>
    </row>
    <row r="217" spans="1:7" x14ac:dyDescent="0.25">
      <c r="A217" s="105"/>
      <c r="B217" s="105"/>
      <c r="C217" s="113"/>
      <c r="D217" s="106">
        <f>1.06944444444445 + "00:20:00"</f>
        <v>1.0833333333333388</v>
      </c>
      <c r="E217" s="113"/>
      <c r="F217" s="105"/>
      <c r="G217" s="105"/>
    </row>
    <row r="218" spans="1:7" x14ac:dyDescent="0.25">
      <c r="A218" s="109" t="s">
        <v>78</v>
      </c>
      <c r="B218" s="109" t="str">
        <f>INSCRIPTS!C13</f>
        <v>3B</v>
      </c>
      <c r="C218" s="114"/>
      <c r="D218" s="107" t="s">
        <v>141</v>
      </c>
      <c r="E218" s="114"/>
      <c r="F218" s="109" t="str">
        <f>INSCRIPTS!C16</f>
        <v>6B</v>
      </c>
      <c r="G218" s="109" t="s">
        <v>81</v>
      </c>
    </row>
    <row r="219" spans="1:7" x14ac:dyDescent="0.25">
      <c r="A219" s="109" t="s">
        <v>79</v>
      </c>
      <c r="B219" s="109" t="str">
        <f>INSCRIPTS!C14</f>
        <v>4B</v>
      </c>
      <c r="C219" s="114"/>
      <c r="D219" s="107" t="s">
        <v>142</v>
      </c>
      <c r="E219" s="114"/>
      <c r="F219" s="109" t="str">
        <f>INSCRIPTS!C15</f>
        <v>5B</v>
      </c>
      <c r="G219" s="109" t="s">
        <v>80</v>
      </c>
    </row>
    <row r="220" spans="1:7" x14ac:dyDescent="0.25">
      <c r="A220" s="110" t="s">
        <v>84</v>
      </c>
      <c r="B220" s="110" t="str">
        <f>INSCRIPTS!C20</f>
        <v>1C</v>
      </c>
      <c r="C220" s="114"/>
      <c r="D220" s="107" t="s">
        <v>143</v>
      </c>
      <c r="E220" s="114"/>
      <c r="F220" s="110" t="str">
        <f>INSCRIPTS!C27</f>
        <v>8C</v>
      </c>
      <c r="G220" s="110" t="s">
        <v>91</v>
      </c>
    </row>
    <row r="221" spans="1:7" x14ac:dyDescent="0.25">
      <c r="A221" s="110" t="s">
        <v>85</v>
      </c>
      <c r="B221" s="110" t="str">
        <f>INSCRIPTS!C21</f>
        <v>2C</v>
      </c>
      <c r="C221" s="114"/>
      <c r="D221" s="107" t="s">
        <v>144</v>
      </c>
      <c r="E221" s="114"/>
      <c r="F221" s="110" t="str">
        <f>INSCRIPTS!C26</f>
        <v>7C</v>
      </c>
      <c r="G221" s="110" t="s">
        <v>90</v>
      </c>
    </row>
    <row r="222" spans="1:7" x14ac:dyDescent="0.25">
      <c r="A222" s="110" t="s">
        <v>86</v>
      </c>
      <c r="B222" s="110" t="str">
        <f>INSCRIPTS!C22</f>
        <v>3C</v>
      </c>
      <c r="C222" s="114"/>
      <c r="D222" s="107" t="s">
        <v>145</v>
      </c>
      <c r="E222" s="114"/>
      <c r="F222" s="110" t="str">
        <f>INSCRIPTS!C25</f>
        <v>6C</v>
      </c>
      <c r="G222" s="110" t="s">
        <v>89</v>
      </c>
    </row>
    <row r="223" spans="1:7" x14ac:dyDescent="0.25">
      <c r="A223" s="110" t="s">
        <v>87</v>
      </c>
      <c r="B223" s="110" t="str">
        <f>INSCRIPTS!C23</f>
        <v>4C</v>
      </c>
      <c r="C223" s="114"/>
      <c r="D223" s="107" t="s">
        <v>146</v>
      </c>
      <c r="E223" s="114"/>
      <c r="F223" s="110" t="str">
        <f>INSCRIPTS!C24</f>
        <v>5C</v>
      </c>
      <c r="G223" s="110" t="s">
        <v>88</v>
      </c>
    </row>
    <row r="224" spans="1:7" x14ac:dyDescent="0.25">
      <c r="A224" s="111" t="s">
        <v>92</v>
      </c>
      <c r="B224" s="111" t="str">
        <f>INSCRIPTS!C29</f>
        <v>1D</v>
      </c>
      <c r="C224" s="114"/>
      <c r="D224" s="107" t="s">
        <v>147</v>
      </c>
      <c r="E224" s="114"/>
      <c r="F224" s="111" t="str">
        <f>INSCRIPTS!C36</f>
        <v>8D</v>
      </c>
      <c r="G224" s="111" t="s">
        <v>99</v>
      </c>
    </row>
    <row r="225" spans="1:7" x14ac:dyDescent="0.25">
      <c r="A225" s="111" t="s">
        <v>93</v>
      </c>
      <c r="B225" s="111" t="str">
        <f>INSCRIPTS!C30</f>
        <v>2D</v>
      </c>
      <c r="C225" s="114"/>
      <c r="D225" s="107" t="s">
        <v>148</v>
      </c>
      <c r="E225" s="114"/>
      <c r="F225" s="111" t="str">
        <f>INSCRIPTS!C35</f>
        <v>7D</v>
      </c>
      <c r="G225" s="111" t="s">
        <v>98</v>
      </c>
    </row>
    <row r="226" spans="1:7" x14ac:dyDescent="0.25">
      <c r="A226" s="111" t="s">
        <v>94</v>
      </c>
      <c r="B226" s="111" t="str">
        <f>INSCRIPTS!C31</f>
        <v>3D</v>
      </c>
      <c r="C226" s="114"/>
      <c r="D226" s="107" t="s">
        <v>149</v>
      </c>
      <c r="E226" s="114"/>
      <c r="F226" s="111" t="str">
        <f>INSCRIPTS!C34</f>
        <v>6D</v>
      </c>
      <c r="G226" s="111" t="s">
        <v>97</v>
      </c>
    </row>
    <row r="227" spans="1:7" x14ac:dyDescent="0.25">
      <c r="A227" s="111" t="s">
        <v>95</v>
      </c>
      <c r="B227" s="111" t="str">
        <f>INSCRIPTS!C32</f>
        <v>4D</v>
      </c>
      <c r="C227" s="114"/>
      <c r="D227" s="107" t="s">
        <v>150</v>
      </c>
      <c r="E227" s="114"/>
      <c r="F227" s="111" t="str">
        <f>INSCRIPTS!C33</f>
        <v>5D</v>
      </c>
      <c r="G227" s="111" t="s">
        <v>96</v>
      </c>
    </row>
    <row r="228" spans="1:7" x14ac:dyDescent="0.25">
      <c r="A228" s="112" t="s">
        <v>100</v>
      </c>
      <c r="B228" s="112" t="str">
        <f>INSCRIPTS!C38</f>
        <v>1E</v>
      </c>
      <c r="C228" s="114"/>
      <c r="D228" s="107" t="s">
        <v>157</v>
      </c>
      <c r="E228" s="114"/>
      <c r="F228" s="112" t="str">
        <f>INSCRIPTS!C44</f>
        <v>7E</v>
      </c>
      <c r="G228" s="112" t="s">
        <v>136</v>
      </c>
    </row>
    <row r="229" spans="1:7" x14ac:dyDescent="0.25">
      <c r="A229" s="105"/>
      <c r="B229" s="105"/>
      <c r="C229" s="113"/>
      <c r="D229" s="106">
        <f>1.08333333333334 + "00:20:00"</f>
        <v>1.0972222222222288</v>
      </c>
      <c r="E229" s="113"/>
      <c r="F229" s="105"/>
      <c r="G229" s="105"/>
    </row>
    <row r="230" spans="1:7" x14ac:dyDescent="0.25">
      <c r="A230" s="112" t="s">
        <v>101</v>
      </c>
      <c r="B230" s="112" t="str">
        <f>INSCRIPTS!C39</f>
        <v>2E</v>
      </c>
      <c r="C230" s="114"/>
      <c r="D230" s="107" t="s">
        <v>158</v>
      </c>
      <c r="E230" s="114"/>
      <c r="F230" s="112" t="str">
        <f>INSCRIPTS!C40</f>
        <v>3E</v>
      </c>
      <c r="G230" s="112" t="s">
        <v>102</v>
      </c>
    </row>
    <row r="231" spans="1:7" x14ac:dyDescent="0.25">
      <c r="A231" s="112" t="s">
        <v>103</v>
      </c>
      <c r="B231" s="112" t="str">
        <f>INSCRIPTS!C41</f>
        <v>4E</v>
      </c>
      <c r="C231" s="114"/>
      <c r="D231" s="107" t="s">
        <v>159</v>
      </c>
      <c r="E231" s="114"/>
      <c r="F231" s="112" t="str">
        <f>INSCRIPTS!C43</f>
        <v>6E</v>
      </c>
      <c r="G231" s="112" t="s">
        <v>105</v>
      </c>
    </row>
    <row r="232" spans="1:7" x14ac:dyDescent="0.25">
      <c r="A232" s="108" t="s">
        <v>106</v>
      </c>
      <c r="B232" s="108" t="str">
        <f>INSCRIPTS!C46</f>
        <v>1F</v>
      </c>
      <c r="C232" s="114"/>
      <c r="D232" s="107" t="s">
        <v>160</v>
      </c>
      <c r="E232" s="114"/>
      <c r="F232" s="108" t="str">
        <f>INSCRIPTS!C52</f>
        <v>7F</v>
      </c>
      <c r="G232" s="108" t="s">
        <v>137</v>
      </c>
    </row>
    <row r="233" spans="1:7" x14ac:dyDescent="0.25">
      <c r="A233" s="108" t="s">
        <v>107</v>
      </c>
      <c r="B233" s="108" t="str">
        <f>INSCRIPTS!C47</f>
        <v>2F</v>
      </c>
      <c r="C233" s="114"/>
      <c r="D233" s="107" t="s">
        <v>170</v>
      </c>
      <c r="E233" s="114"/>
      <c r="F233" s="108" t="str">
        <f>INSCRIPTS!C48</f>
        <v>3F</v>
      </c>
      <c r="G233" s="108" t="s">
        <v>108</v>
      </c>
    </row>
    <row r="234" spans="1:7" x14ac:dyDescent="0.25">
      <c r="A234" s="108" t="s">
        <v>109</v>
      </c>
      <c r="B234" s="108" t="str">
        <f>INSCRIPTS!C49</f>
        <v>4F</v>
      </c>
      <c r="C234" s="114"/>
      <c r="D234" s="107" t="s">
        <v>172</v>
      </c>
      <c r="E234" s="114"/>
      <c r="F234" s="108" t="str">
        <f>INSCRIPTS!C51</f>
        <v>6F</v>
      </c>
      <c r="G234" s="108" t="s">
        <v>111</v>
      </c>
    </row>
    <row r="235" spans="1:7" x14ac:dyDescent="0.25">
      <c r="A235" s="110" t="s">
        <v>118</v>
      </c>
      <c r="B235" s="110" t="str">
        <f>INSCRIPTS!C61</f>
        <v>1H</v>
      </c>
      <c r="C235" s="114"/>
      <c r="D235" s="107" t="s">
        <v>163</v>
      </c>
      <c r="E235" s="114"/>
      <c r="F235" s="110" t="str">
        <f>INSCRIPTS!C66</f>
        <v>6H</v>
      </c>
      <c r="G235" s="110" t="s">
        <v>123</v>
      </c>
    </row>
    <row r="236" spans="1:7" x14ac:dyDescent="0.25">
      <c r="A236" s="110" t="s">
        <v>119</v>
      </c>
      <c r="B236" s="110" t="str">
        <f>INSCRIPTS!C62</f>
        <v>2H</v>
      </c>
      <c r="C236" s="114"/>
      <c r="D236" s="107" t="s">
        <v>164</v>
      </c>
      <c r="E236" s="114"/>
      <c r="F236" s="110" t="str">
        <f>INSCRIPTS!C64</f>
        <v>4H</v>
      </c>
      <c r="G236" s="110" t="s">
        <v>121</v>
      </c>
    </row>
    <row r="237" spans="1:7" x14ac:dyDescent="0.25">
      <c r="A237" s="110" t="s">
        <v>122</v>
      </c>
      <c r="B237" s="110" t="str">
        <f>INSCRIPTS!C65</f>
        <v>5H</v>
      </c>
      <c r="C237" s="114"/>
      <c r="D237" s="107" t="s">
        <v>165</v>
      </c>
      <c r="E237" s="114"/>
      <c r="F237" s="110" t="str">
        <f>INSCRIPTS!C67</f>
        <v>7H</v>
      </c>
      <c r="G237" s="110" t="s">
        <v>138</v>
      </c>
    </row>
    <row r="238" spans="1:7" x14ac:dyDescent="0.25">
      <c r="A238" s="111" t="s">
        <v>124</v>
      </c>
      <c r="B238" s="111" t="str">
        <f>INSCRIPTS!C69</f>
        <v>1I</v>
      </c>
      <c r="C238" s="114"/>
      <c r="D238" s="107" t="s">
        <v>166</v>
      </c>
      <c r="E238" s="114"/>
      <c r="F238" s="111" t="str">
        <f>INSCRIPTS!C74</f>
        <v>6I</v>
      </c>
      <c r="G238" s="111" t="s">
        <v>129</v>
      </c>
    </row>
    <row r="239" spans="1:7" x14ac:dyDescent="0.25">
      <c r="A239" s="111" t="s">
        <v>125</v>
      </c>
      <c r="B239" s="111" t="str">
        <f>INSCRIPTS!C70</f>
        <v>2I</v>
      </c>
      <c r="C239" s="114"/>
      <c r="D239" s="107" t="s">
        <v>167</v>
      </c>
      <c r="E239" s="114"/>
      <c r="F239" s="111" t="str">
        <f>INSCRIPTS!C72</f>
        <v>4I</v>
      </c>
      <c r="G239" s="111" t="s">
        <v>127</v>
      </c>
    </row>
    <row r="240" spans="1:7" x14ac:dyDescent="0.25">
      <c r="A240" s="111" t="s">
        <v>128</v>
      </c>
      <c r="B240" s="111" t="str">
        <f>INSCRIPTS!C73</f>
        <v>5I</v>
      </c>
      <c r="C240" s="114"/>
      <c r="D240" s="107" t="s">
        <v>168</v>
      </c>
      <c r="E240" s="114"/>
      <c r="F240" s="111" t="str">
        <f>INSCRIPTS!C75</f>
        <v>7I</v>
      </c>
      <c r="G240" s="111" t="s">
        <v>139</v>
      </c>
    </row>
    <row r="241" spans="1:7" x14ac:dyDescent="0.25">
      <c r="A241" s="105"/>
      <c r="B241" s="105"/>
      <c r="C241" s="113"/>
      <c r="D241" s="106">
        <f>1.09722222222223 + "00:20:00"</f>
        <v>1.1111111111111189</v>
      </c>
      <c r="E241" s="113"/>
      <c r="F241" s="105"/>
      <c r="G241" s="105"/>
    </row>
    <row r="242" spans="1:7" x14ac:dyDescent="0.25">
      <c r="A242" s="110" t="s">
        <v>118</v>
      </c>
      <c r="B242" s="110" t="str">
        <f>INSCRIPTS!C61</f>
        <v>1H</v>
      </c>
      <c r="C242" s="114"/>
      <c r="D242" s="107" t="s">
        <v>169</v>
      </c>
      <c r="E242" s="114"/>
      <c r="F242" s="110" t="str">
        <f>INSCRIPTS!C67</f>
        <v>7H</v>
      </c>
      <c r="G242" s="110" t="s">
        <v>138</v>
      </c>
    </row>
    <row r="243" spans="1:7" x14ac:dyDescent="0.25">
      <c r="A243" s="110" t="s">
        <v>119</v>
      </c>
      <c r="B243" s="110" t="str">
        <f>INSCRIPTS!C62</f>
        <v>2H</v>
      </c>
      <c r="C243" s="114"/>
      <c r="D243" s="107" t="s">
        <v>171</v>
      </c>
      <c r="E243" s="114"/>
      <c r="F243" s="110" t="str">
        <f>INSCRIPTS!C63</f>
        <v>3H</v>
      </c>
      <c r="G243" s="110" t="s">
        <v>120</v>
      </c>
    </row>
    <row r="244" spans="1:7" x14ac:dyDescent="0.25">
      <c r="A244" s="110" t="s">
        <v>121</v>
      </c>
      <c r="B244" s="110" t="str">
        <f>INSCRIPTS!C64</f>
        <v>4H</v>
      </c>
      <c r="C244" s="114"/>
      <c r="D244" s="107" t="s">
        <v>173</v>
      </c>
      <c r="E244" s="114"/>
      <c r="F244" s="110" t="str">
        <f>INSCRIPTS!C66</f>
        <v>6H</v>
      </c>
      <c r="G244" s="110" t="s">
        <v>123</v>
      </c>
    </row>
    <row r="245" spans="1:7" x14ac:dyDescent="0.25">
      <c r="A245" s="111" t="s">
        <v>124</v>
      </c>
      <c r="B245" s="111" t="str">
        <f>INSCRIPTS!C69</f>
        <v>1I</v>
      </c>
      <c r="C245" s="114"/>
      <c r="D245" s="107" t="s">
        <v>161</v>
      </c>
      <c r="E245" s="114"/>
      <c r="F245" s="111" t="str">
        <f>INSCRIPTS!C75</f>
        <v>7I</v>
      </c>
      <c r="G245" s="111" t="s">
        <v>139</v>
      </c>
    </row>
    <row r="246" spans="1:7" x14ac:dyDescent="0.25">
      <c r="A246" s="111" t="s">
        <v>125</v>
      </c>
      <c r="B246" s="111" t="str">
        <f>INSCRIPTS!C70</f>
        <v>2I</v>
      </c>
      <c r="C246" s="114"/>
      <c r="D246" s="107" t="s">
        <v>162</v>
      </c>
      <c r="E246" s="114"/>
      <c r="F246" s="111" t="str">
        <f>INSCRIPTS!C71</f>
        <v>3I</v>
      </c>
      <c r="G246" s="111" t="s">
        <v>126</v>
      </c>
    </row>
    <row r="247" spans="1:7" x14ac:dyDescent="0.25">
      <c r="A247" s="111" t="s">
        <v>127</v>
      </c>
      <c r="B247" s="111" t="str">
        <f>INSCRIPTS!C72</f>
        <v>4I</v>
      </c>
      <c r="C247" s="114"/>
      <c r="D247" s="107" t="s">
        <v>163</v>
      </c>
      <c r="E247" s="114"/>
      <c r="F247" s="111" t="str">
        <f>INSCRIPTS!C74</f>
        <v>6I</v>
      </c>
      <c r="G247" s="111" t="s">
        <v>129</v>
      </c>
    </row>
    <row r="248" spans="1:7" x14ac:dyDescent="0.25">
      <c r="A248" s="107"/>
      <c r="B248" s="107"/>
      <c r="C248" s="114"/>
      <c r="D248" s="107" t="s">
        <v>174</v>
      </c>
      <c r="E248" s="114"/>
      <c r="F248" s="107"/>
      <c r="G248" s="107"/>
    </row>
    <row r="249" spans="1:7" x14ac:dyDescent="0.25">
      <c r="A249" s="107"/>
      <c r="B249" s="107"/>
      <c r="C249" s="114"/>
      <c r="D249" s="107" t="s">
        <v>175</v>
      </c>
      <c r="E249" s="114"/>
      <c r="F249" s="107"/>
      <c r="G249" s="107"/>
    </row>
    <row r="250" spans="1:7" x14ac:dyDescent="0.25">
      <c r="A250" s="107"/>
      <c r="B250" s="107"/>
      <c r="C250" s="114"/>
      <c r="D250" s="107" t="s">
        <v>176</v>
      </c>
      <c r="E250" s="114"/>
      <c r="F250" s="107"/>
      <c r="G250" s="107"/>
    </row>
    <row r="251" spans="1:7" x14ac:dyDescent="0.25">
      <c r="A251" s="107"/>
      <c r="B251" s="107"/>
      <c r="C251" s="114"/>
      <c r="D251" s="107" t="s">
        <v>177</v>
      </c>
      <c r="E251" s="114"/>
      <c r="F251" s="107"/>
      <c r="G251" s="107"/>
    </row>
    <row r="252" spans="1:7" x14ac:dyDescent="0.25">
      <c r="A252" s="107"/>
      <c r="B252" s="107"/>
      <c r="C252" s="114"/>
      <c r="D252" s="107" t="s">
        <v>178</v>
      </c>
      <c r="E252" s="114"/>
      <c r="F252" s="107"/>
      <c r="G252" s="107"/>
    </row>
    <row r="253" spans="1:7" x14ac:dyDescent="0.25">
      <c r="A253" s="105"/>
      <c r="B253" s="105"/>
      <c r="C253" s="113"/>
      <c r="D253" s="106">
        <f>1.11111111111112 + "00:20:00"</f>
        <v>1.1250000000000089</v>
      </c>
      <c r="E253" s="113"/>
      <c r="F253" s="105"/>
      <c r="G253" s="105"/>
    </row>
    <row r="265" spans="4:4" x14ac:dyDescent="0.25">
      <c r="D265" s="72">
        <f>1.12500000000001 + "00:20:00"</f>
        <v>1.1388888888888988</v>
      </c>
    </row>
    <row r="277" spans="4:4" x14ac:dyDescent="0.25">
      <c r="D277" s="72">
        <f>1.1388888888889 + "00:20:00"</f>
        <v>1.1527777777777888</v>
      </c>
    </row>
    <row r="289" spans="4:4" x14ac:dyDescent="0.25">
      <c r="D289" s="72">
        <f>1.15277777777779 + "00:20:00"</f>
        <v>1.1666666666666787</v>
      </c>
    </row>
    <row r="301" spans="4:4" x14ac:dyDescent="0.25">
      <c r="D301" s="72">
        <f>1.16666666666668 + "00:20:00"</f>
        <v>1.1805555555555689</v>
      </c>
    </row>
    <row r="313" spans="4:4" x14ac:dyDescent="0.25">
      <c r="D313" s="72">
        <f>1.18055555555557 + "00:20:00"</f>
        <v>1.1944444444444589</v>
      </c>
    </row>
    <row r="325" spans="4:4" x14ac:dyDescent="0.25">
      <c r="D325" s="72">
        <f>1.19444444444446 + "00:20:00"</f>
        <v>1.2083333333333488</v>
      </c>
    </row>
    <row r="337" spans="4:4" x14ac:dyDescent="0.25">
      <c r="D337" s="72">
        <f>1.20833333333335 + "00:20:00"</f>
        <v>1.2222222222222388</v>
      </c>
    </row>
    <row r="349" spans="4:4" x14ac:dyDescent="0.25">
      <c r="D349" s="72">
        <f>1.22222222222224 + "00:20:00"</f>
        <v>1.2361111111111289</v>
      </c>
    </row>
    <row r="361" spans="4:4" x14ac:dyDescent="0.25">
      <c r="D361" s="72">
        <f>1.23611111111113 + "00:20:00"</f>
        <v>1.2500000000000189</v>
      </c>
    </row>
    <row r="373" spans="4:4" x14ac:dyDescent="0.25">
      <c r="D373" s="72">
        <f>1.25000000000002 + "00:20:00"</f>
        <v>1.2638888888889088</v>
      </c>
    </row>
    <row r="385" spans="4:4" x14ac:dyDescent="0.25">
      <c r="D385" s="72">
        <f>1.26388888888891 + "00:20:00"</f>
        <v>1.2777777777777988</v>
      </c>
    </row>
    <row r="397" spans="4:4" x14ac:dyDescent="0.25">
      <c r="D397" s="72">
        <f>1.2777777777778 + "00:20:00"</f>
        <v>1.2916666666666889</v>
      </c>
    </row>
    <row r="409" spans="4:4" x14ac:dyDescent="0.25">
      <c r="D409" s="72">
        <f>1.29166666666669 + "00:20:00"</f>
        <v>1.3055555555555789</v>
      </c>
    </row>
    <row r="421" spans="4:4" x14ac:dyDescent="0.25">
      <c r="D421" s="72">
        <f>1.30555555555558 + "00:20:00"</f>
        <v>1.3194444444444688</v>
      </c>
    </row>
    <row r="433" spans="4:4" x14ac:dyDescent="0.25">
      <c r="D433" s="72">
        <f>1.31944444444447 + "00:20:00"</f>
        <v>1.3333333333333588</v>
      </c>
    </row>
    <row r="445" spans="4:4" x14ac:dyDescent="0.25">
      <c r="D445" s="72">
        <f>1.33333333333336 + "00:20:00"</f>
        <v>1.3472222222222487</v>
      </c>
    </row>
    <row r="457" spans="4:4" x14ac:dyDescent="0.25">
      <c r="D457" s="72">
        <f>1.34722222222225 + "00:20:00"</f>
        <v>1.3611111111111389</v>
      </c>
    </row>
    <row r="469" spans="4:4" x14ac:dyDescent="0.25">
      <c r="D469" s="72">
        <f>1.36111111111114 + "00:20:00"</f>
        <v>1.3750000000000289</v>
      </c>
    </row>
    <row r="481" spans="4:4" x14ac:dyDescent="0.25">
      <c r="D481" s="72">
        <f>1.37500000000003 + "00:20:00"</f>
        <v>1.3888888888889188</v>
      </c>
    </row>
    <row r="493" spans="4:4" x14ac:dyDescent="0.25">
      <c r="D493" s="72">
        <f>1.38888888888892 + "00:20:00"</f>
        <v>1.4027777777778088</v>
      </c>
    </row>
    <row r="505" spans="4:4" x14ac:dyDescent="0.25">
      <c r="D505" s="72">
        <f>1.40277777777781 + "00:20:00"</f>
        <v>1.4166666666666989</v>
      </c>
    </row>
    <row r="517" spans="4:4" x14ac:dyDescent="0.25">
      <c r="D517" s="72">
        <f>1.4166666666667 + "00:20:00"</f>
        <v>1.4305555555555889</v>
      </c>
    </row>
    <row r="529" spans="4:4" x14ac:dyDescent="0.25">
      <c r="D529" s="72">
        <f>1.43055555555559 + "00:20:00"</f>
        <v>1.4444444444444788</v>
      </c>
    </row>
    <row r="541" spans="4:4" x14ac:dyDescent="0.25">
      <c r="D541" s="72">
        <f>1.44444444444448 + "00:20:00"</f>
        <v>1.4583333333333688</v>
      </c>
    </row>
    <row r="553" spans="4:4" x14ac:dyDescent="0.25">
      <c r="D553" s="72">
        <f>1.45833333333337 + "00:20:00"</f>
        <v>1.4722222222222587</v>
      </c>
    </row>
    <row r="565" spans="4:4" x14ac:dyDescent="0.25">
      <c r="D565" s="72">
        <f>1.47222222222226 + "00:20:00"</f>
        <v>1.4861111111111489</v>
      </c>
    </row>
    <row r="577" spans="4:4" x14ac:dyDescent="0.25">
      <c r="D577" s="72">
        <f>1.48611111111115 + "00:20:00"</f>
        <v>1.5000000000000389</v>
      </c>
    </row>
    <row r="589" spans="4:4" x14ac:dyDescent="0.25">
      <c r="D589" s="72">
        <f>1.50000000000004 + "00:20:00"</f>
        <v>1.5138888888889288</v>
      </c>
    </row>
    <row r="601" spans="4:4" x14ac:dyDescent="0.25">
      <c r="D601" s="72">
        <f>1.51388888888893 + "00:20:00"</f>
        <v>1.5277777777778188</v>
      </c>
    </row>
    <row r="613" spans="4:4" x14ac:dyDescent="0.25">
      <c r="D613" s="72">
        <f>1.52777777777782 + "00:20:00"</f>
        <v>1.5416666666667089</v>
      </c>
    </row>
    <row r="625" spans="4:4" x14ac:dyDescent="0.25">
      <c r="D625" s="72">
        <f>1.54166666666671 + "00:20:00"</f>
        <v>1.5555555555555989</v>
      </c>
    </row>
    <row r="637" spans="4:4" x14ac:dyDescent="0.25">
      <c r="D637" s="72">
        <f>1.5555555555556 + "00:20:00"</f>
        <v>1.5694444444444888</v>
      </c>
    </row>
    <row r="649" spans="4:4" x14ac:dyDescent="0.25">
      <c r="D649" s="72">
        <f>1.56944444444449 + "00:20:00"</f>
        <v>1.5833333333333788</v>
      </c>
    </row>
    <row r="661" spans="4:4" x14ac:dyDescent="0.25">
      <c r="D661" s="72">
        <f>1.58333333333338 + "00:20:00"</f>
        <v>1.597222222222269</v>
      </c>
    </row>
    <row r="673" spans="4:4" x14ac:dyDescent="0.25">
      <c r="D673" s="72">
        <f>1.59722222222227 + "00:20:00"</f>
        <v>1.6111111111111589</v>
      </c>
    </row>
    <row r="685" spans="4:4" x14ac:dyDescent="0.25">
      <c r="D685" s="72">
        <f>1.61111111111116 + "00:20:00"</f>
        <v>1.6250000000000488</v>
      </c>
    </row>
    <row r="697" spans="4:4" x14ac:dyDescent="0.25">
      <c r="D697" s="72">
        <f>1.62500000000005 + "00:20:00"</f>
        <v>1.6388888888889388</v>
      </c>
    </row>
    <row r="709" spans="4:4" x14ac:dyDescent="0.25">
      <c r="D709" s="72">
        <f>1.63888888888894 + "00:20:00"</f>
        <v>1.6527777777778287</v>
      </c>
    </row>
    <row r="721" spans="4:4" x14ac:dyDescent="0.25">
      <c r="D721" s="72">
        <f>1.65277777777783 + "00:20:00"</f>
        <v>1.6666666666667189</v>
      </c>
    </row>
    <row r="733" spans="4:4" x14ac:dyDescent="0.25">
      <c r="D733" s="72">
        <f>1.66666666666672 + "00:20:00"</f>
        <v>1.6805555555556089</v>
      </c>
    </row>
    <row r="745" spans="4:4" x14ac:dyDescent="0.25">
      <c r="D745" s="72">
        <f>1.68055555555561 + "00:20:00"</f>
        <v>1.6944444444444988</v>
      </c>
    </row>
    <row r="757" spans="4:4" x14ac:dyDescent="0.25">
      <c r="D757" s="72">
        <f>1.6944444444445 + "00:20:00"</f>
        <v>1.7083333333333888</v>
      </c>
    </row>
    <row r="769" spans="4:4" x14ac:dyDescent="0.25">
      <c r="D769" s="72">
        <f>1.70833333333339 + "00:20:00"</f>
        <v>1.7222222222222789</v>
      </c>
    </row>
    <row r="781" spans="4:4" x14ac:dyDescent="0.25">
      <c r="D781" s="72">
        <f>1.72222222222228 + "00:20:00"</f>
        <v>1.7361111111111689</v>
      </c>
    </row>
    <row r="793" spans="4:4" x14ac:dyDescent="0.25">
      <c r="D793" s="72">
        <f>1.73611111111117 + "00:20:00"</f>
        <v>1.7500000000000588</v>
      </c>
    </row>
    <row r="805" spans="4:4" x14ac:dyDescent="0.25">
      <c r="D805" s="72">
        <f>1.75000000000006 + "00:20:00"</f>
        <v>1.7638888888889488</v>
      </c>
    </row>
    <row r="817" spans="4:4" x14ac:dyDescent="0.25">
      <c r="D817" s="72">
        <f>1.76388888888895 + "00:20:00"</f>
        <v>1.7777777777778387</v>
      </c>
    </row>
    <row r="829" spans="4:4" x14ac:dyDescent="0.25">
      <c r="D829" s="72">
        <f>1.77777777777784 + "00:20:00"</f>
        <v>1.7916666666667289</v>
      </c>
    </row>
    <row r="841" spans="4:4" x14ac:dyDescent="0.25">
      <c r="D841" s="72">
        <f>1.79166666666673 + "00:20:00"</f>
        <v>1.8055555555556189</v>
      </c>
    </row>
    <row r="853" spans="4:4" x14ac:dyDescent="0.25">
      <c r="D853" s="72">
        <f>1.80555555555562 + "00:20:00"</f>
        <v>1.8194444444445088</v>
      </c>
    </row>
    <row r="865" spans="4:4" x14ac:dyDescent="0.25">
      <c r="D865" s="72">
        <f>1.81944444444451 + "00:20:00"</f>
        <v>1.8333333333333988</v>
      </c>
    </row>
    <row r="877" spans="4:4" x14ac:dyDescent="0.25">
      <c r="D877" s="72">
        <f>1.8333333333334 + "00:20:00"</f>
        <v>1.8472222222222889</v>
      </c>
    </row>
    <row r="889" spans="4:4" x14ac:dyDescent="0.25">
      <c r="D889" s="72">
        <f>1.84722222222229 + "00:20:00"</f>
        <v>1.8611111111111789</v>
      </c>
    </row>
    <row r="901" spans="4:4" x14ac:dyDescent="0.25">
      <c r="D901" s="72">
        <f>1.86111111111118 + "00:20:00"</f>
        <v>1.8750000000000688</v>
      </c>
    </row>
    <row r="913" spans="4:4" x14ac:dyDescent="0.25">
      <c r="D913" s="72">
        <f>1.87500000000007 + "00:20:00"</f>
        <v>1.8888888888889588</v>
      </c>
    </row>
    <row r="925" spans="4:4" x14ac:dyDescent="0.25">
      <c r="D925" s="72">
        <f>1.88888888888896 + "00:20:00"</f>
        <v>1.9027777777778487</v>
      </c>
    </row>
    <row r="937" spans="4:4" x14ac:dyDescent="0.25">
      <c r="D937" s="72">
        <f>1.90277777777785 + "00:20:00"</f>
        <v>1.9166666666667389</v>
      </c>
    </row>
    <row r="949" spans="4:4" x14ac:dyDescent="0.25">
      <c r="D949" s="72">
        <f>1.91666666666674 + "00:20:00"</f>
        <v>1.9305555555556289</v>
      </c>
    </row>
    <row r="961" spans="4:4" x14ac:dyDescent="0.25">
      <c r="D961" s="72">
        <f>1.93055555555563 + "00:20:00"</f>
        <v>1.9444444444445188</v>
      </c>
    </row>
    <row r="973" spans="4:4" x14ac:dyDescent="0.25">
      <c r="D973" s="72">
        <f>1.94444444444452 + "00:20:00"</f>
        <v>1.9583333333334088</v>
      </c>
    </row>
    <row r="985" spans="4:4" x14ac:dyDescent="0.25">
      <c r="D985" s="72">
        <f>1.95833333333341 + "00:20:00"</f>
        <v>1.9722222222222989</v>
      </c>
    </row>
    <row r="997" spans="4:4" x14ac:dyDescent="0.25">
      <c r="D997" s="72">
        <f>1.9722222222223 + "00:20:00"</f>
        <v>1.9861111111111889</v>
      </c>
    </row>
    <row r="1009" spans="4:4" x14ac:dyDescent="0.25">
      <c r="D1009" s="72">
        <f>1.98611111111119 + "00:20:00"</f>
        <v>2.000000000000079</v>
      </c>
    </row>
    <row r="1021" spans="4:4" x14ac:dyDescent="0.25">
      <c r="D1021" s="72">
        <f>2.00000000000008 + "00:20:00"</f>
        <v>2.0138888888889688</v>
      </c>
    </row>
    <row r="1033" spans="4:4" x14ac:dyDescent="0.25">
      <c r="D1033" s="72">
        <f>2.01388888888897 + "00:20:00"</f>
        <v>2.0277777777778589</v>
      </c>
    </row>
    <row r="1045" spans="4:4" x14ac:dyDescent="0.25">
      <c r="D1045" s="72">
        <f>2.02777777777786 + "00:20:00"</f>
        <v>2.0416666666667487</v>
      </c>
    </row>
    <row r="1057" spans="4:4" x14ac:dyDescent="0.25">
      <c r="D1057" s="72">
        <f>2.04166666666675 + "00:20:00"</f>
        <v>2.0555555555556388</v>
      </c>
    </row>
    <row r="1069" spans="4:4" x14ac:dyDescent="0.25">
      <c r="D1069" s="72">
        <f>2.05555555555564 + "00:20:00"</f>
        <v>2.069444444444529</v>
      </c>
    </row>
    <row r="1081" spans="4:4" x14ac:dyDescent="0.25">
      <c r="D1081" s="72">
        <f>2.06944444444453 + "00:20:00"</f>
        <v>2.0833333333334187</v>
      </c>
    </row>
    <row r="1093" spans="4:4" x14ac:dyDescent="0.25">
      <c r="D1093" s="72">
        <f>2.08333333333342 + "00:20:00"</f>
        <v>2.0972222222223089</v>
      </c>
    </row>
    <row r="1105" spans="4:4" x14ac:dyDescent="0.25">
      <c r="D1105" s="72">
        <f>2.09722222222231 + "00:20:00"</f>
        <v>2.1111111111111986</v>
      </c>
    </row>
    <row r="1117" spans="4:4" x14ac:dyDescent="0.25">
      <c r="D1117" s="72">
        <f>2.1111111111112 + "00:20:00"</f>
        <v>2.1250000000000888</v>
      </c>
    </row>
    <row r="1129" spans="4:4" x14ac:dyDescent="0.25">
      <c r="D1129" s="72">
        <f>2.12500000000009 + "00:20:00"</f>
        <v>2.138888888888979</v>
      </c>
    </row>
    <row r="1141" spans="4:4" x14ac:dyDescent="0.25">
      <c r="D1141" s="72">
        <f>2.13888888888898 + "00:20:00"</f>
        <v>2.1527777777778687</v>
      </c>
    </row>
    <row r="1153" spans="4:4" x14ac:dyDescent="0.25">
      <c r="D1153" s="72">
        <f>2.15277777777787 + "00:20:00"</f>
        <v>2.1666666666667589</v>
      </c>
    </row>
    <row r="1165" spans="4:4" x14ac:dyDescent="0.25">
      <c r="D1165" s="72">
        <f>2.16666666666676 + "00:20:00"</f>
        <v>2.1805555555556491</v>
      </c>
    </row>
    <row r="1177" spans="4:4" x14ac:dyDescent="0.25">
      <c r="D1177" s="72">
        <f>2.18055555555565 + "00:20:00"</f>
        <v>2.1944444444445388</v>
      </c>
    </row>
    <row r="1189" spans="4:4" x14ac:dyDescent="0.25">
      <c r="D1189" s="72">
        <f>2.19444444444454 + "00:20:00"</f>
        <v>2.208333333333429</v>
      </c>
    </row>
    <row r="1201" spans="4:4" x14ac:dyDescent="0.25">
      <c r="D1201" s="72">
        <f>2.20833333333343 + "00:20:00"</f>
        <v>2.2222222222223187</v>
      </c>
    </row>
    <row r="1213" spans="4:4" x14ac:dyDescent="0.25">
      <c r="D1213" s="72">
        <f>2.22222222222232 + "00:20:00"</f>
        <v>2.2361111111112089</v>
      </c>
    </row>
    <row r="1225" spans="4:4" x14ac:dyDescent="0.25">
      <c r="D1225" s="72">
        <f>2.23611111111121 + "00:20:00"</f>
        <v>2.250000000000099</v>
      </c>
    </row>
    <row r="1237" spans="4:4" x14ac:dyDescent="0.25">
      <c r="D1237" s="72">
        <f>2.2500000000001 + "00:20:00"</f>
        <v>2.2638888888889888</v>
      </c>
    </row>
    <row r="1249" spans="4:4" x14ac:dyDescent="0.25">
      <c r="D1249" s="72">
        <f>2.26388888888899 + "00:20:00"</f>
        <v>2.2777777777778789</v>
      </c>
    </row>
    <row r="1261" spans="4:4" x14ac:dyDescent="0.25">
      <c r="D1261" s="72">
        <f>2.27777777777788 + "00:20:00"</f>
        <v>2.2916666666667687</v>
      </c>
    </row>
    <row r="1273" spans="4:4" x14ac:dyDescent="0.25">
      <c r="D1273" s="72">
        <f>2.29166666666677 + "00:20:00"</f>
        <v>2.3055555555556588</v>
      </c>
    </row>
    <row r="1285" spans="4:4" x14ac:dyDescent="0.25">
      <c r="D1285" s="72">
        <f>2.30555555555566 + "00:20:00"</f>
        <v>2.319444444444549</v>
      </c>
    </row>
    <row r="1297" spans="4:4" x14ac:dyDescent="0.25">
      <c r="D1297" s="72">
        <f>2.31944444444455 + "00:20:00"</f>
        <v>2.3333333333334387</v>
      </c>
    </row>
    <row r="1309" spans="4:4" x14ac:dyDescent="0.25">
      <c r="D1309" s="72">
        <f>2.33333333333344 + "00:20:00"</f>
        <v>2.3472222222223289</v>
      </c>
    </row>
    <row r="1321" spans="4:4" x14ac:dyDescent="0.25">
      <c r="D1321" s="72">
        <f>2.34722222222233 + "00:20:00"</f>
        <v>2.3611111111112186</v>
      </c>
    </row>
    <row r="1333" spans="4:4" x14ac:dyDescent="0.25">
      <c r="D1333" s="72">
        <f>2.36111111111122 + "00:20:00"</f>
        <v>2.3750000000001088</v>
      </c>
    </row>
    <row r="1345" spans="4:4" x14ac:dyDescent="0.25">
      <c r="D1345" s="72">
        <f>2.37500000000011 + "00:20:00"</f>
        <v>2.388888888888999</v>
      </c>
    </row>
    <row r="1357" spans="4:4" x14ac:dyDescent="0.25">
      <c r="D1357" s="72">
        <f>2.388888888889 + "00:20:00"</f>
        <v>2.4027777777778887</v>
      </c>
    </row>
    <row r="1369" spans="4:4" x14ac:dyDescent="0.25">
      <c r="D1369" s="72">
        <f>2.40277777777789 + "00:20:00"</f>
        <v>2.4166666666667789</v>
      </c>
    </row>
    <row r="1381" spans="4:4" x14ac:dyDescent="0.25">
      <c r="D1381" s="72">
        <f>2.41666666666678 + "00:20:00"</f>
        <v>2.430555555555669</v>
      </c>
    </row>
    <row r="1393" spans="4:4" x14ac:dyDescent="0.25">
      <c r="D1393" s="72">
        <f>2.43055555555567 + "00:20:00"</f>
        <v>2.4444444444445588</v>
      </c>
    </row>
    <row r="1405" spans="4:4" x14ac:dyDescent="0.25">
      <c r="D1405" s="72">
        <f>2.44444444444456 + "00:20:00"</f>
        <v>2.4583333333334489</v>
      </c>
    </row>
    <row r="1417" spans="4:4" x14ac:dyDescent="0.25">
      <c r="D1417" s="72">
        <f>2.45833333333345 + "00:20:00"</f>
        <v>2.4722222222223387</v>
      </c>
    </row>
    <row r="1429" spans="4:4" x14ac:dyDescent="0.25">
      <c r="D1429" s="72">
        <f>2.47222222222234 + "00:20:00"</f>
        <v>2.4861111111112288</v>
      </c>
    </row>
    <row r="1441" spans="4:4" x14ac:dyDescent="0.25">
      <c r="D1441" s="72">
        <f>2.48611111111123 + "00:20:00"</f>
        <v>2.500000000000119</v>
      </c>
    </row>
    <row r="1453" spans="4:4" x14ac:dyDescent="0.25">
      <c r="D1453" s="72">
        <f>2.50000000000012 + "00:20:00"</f>
        <v>2.5138888888890087</v>
      </c>
    </row>
    <row r="1465" spans="4:4" x14ac:dyDescent="0.25">
      <c r="D1465" s="72">
        <f>2.51388888888901 + "00:20:00"</f>
        <v>2.5277777777778989</v>
      </c>
    </row>
    <row r="1477" spans="4:4" x14ac:dyDescent="0.25">
      <c r="D1477" s="72">
        <f>2.5277777777779 + "00:20:00"</f>
        <v>2.5416666666667886</v>
      </c>
    </row>
    <row r="1489" spans="4:4" x14ac:dyDescent="0.25">
      <c r="D1489" s="72">
        <f>2.54166666666679 + "00:20:00"</f>
        <v>2.5555555555556788</v>
      </c>
    </row>
    <row r="1501" spans="4:4" x14ac:dyDescent="0.25">
      <c r="D1501" s="72">
        <f>2.55555555555568 + "00:20:00"</f>
        <v>2.569444444444569</v>
      </c>
    </row>
    <row r="1513" spans="4:4" x14ac:dyDescent="0.25">
      <c r="D1513" s="72">
        <f>2.56944444444457 + "00:20:00"</f>
        <v>2.5833333333334587</v>
      </c>
    </row>
    <row r="1525" spans="4:4" x14ac:dyDescent="0.25">
      <c r="D1525" s="72">
        <f>2.58333333333346 + "00:20:00"</f>
        <v>2.5972222222223489</v>
      </c>
    </row>
    <row r="1537" spans="4:4" x14ac:dyDescent="0.25">
      <c r="D1537" s="72">
        <f>2.59722222222235 + "00:20:00"</f>
        <v>2.6111111111112391</v>
      </c>
    </row>
    <row r="1549" spans="4:4" x14ac:dyDescent="0.25">
      <c r="D1549" s="72">
        <f>2.61111111111124 + "00:20:00"</f>
        <v>2.6250000000001288</v>
      </c>
    </row>
    <row r="1561" spans="4:4" x14ac:dyDescent="0.25">
      <c r="D1561" s="72">
        <f>2.62500000000013 + "00:20:00"</f>
        <v>2.638888888889019</v>
      </c>
    </row>
    <row r="1573" spans="4:4" x14ac:dyDescent="0.25">
      <c r="D1573" s="72">
        <f>2.63888888888902 + "00:20:00"</f>
        <v>2.6527777777779087</v>
      </c>
    </row>
    <row r="1585" spans="4:4" x14ac:dyDescent="0.25">
      <c r="D1585" s="72">
        <f>2.65277777777791 + "00:20:00"</f>
        <v>2.6666666666667989</v>
      </c>
    </row>
    <row r="1597" spans="4:4" x14ac:dyDescent="0.25">
      <c r="D1597" s="72">
        <f>2.6666666666668 + "00:20:00"</f>
        <v>2.680555555555689</v>
      </c>
    </row>
    <row r="1609" spans="4:4" x14ac:dyDescent="0.25">
      <c r="D1609" s="72">
        <f>2.68055555555569 + "00:20:00"</f>
        <v>2.6944444444445788</v>
      </c>
    </row>
    <row r="1621" spans="4:4" x14ac:dyDescent="0.25">
      <c r="D1621" s="72">
        <f>2.69444444444458 + "00:20:00"</f>
        <v>2.7083333333334689</v>
      </c>
    </row>
    <row r="1633" spans="4:4" x14ac:dyDescent="0.25">
      <c r="D1633" s="72">
        <f>2.70833333333347 + "00:20:00"</f>
        <v>2.7222222222223587</v>
      </c>
    </row>
    <row r="1645" spans="4:4" x14ac:dyDescent="0.25">
      <c r="D1645" s="72">
        <f>2.72222222222236 + "00:20:00"</f>
        <v>2.7361111111112488</v>
      </c>
    </row>
    <row r="1657" spans="4:4" x14ac:dyDescent="0.25">
      <c r="D1657" s="72">
        <f>2.73611111111125 + "00:20:00"</f>
        <v>2.750000000000139</v>
      </c>
    </row>
    <row r="1669" spans="4:4" x14ac:dyDescent="0.25">
      <c r="D1669" s="72">
        <f>2.75000000000014 + "00:20:00"</f>
        <v>2.7638888888890287</v>
      </c>
    </row>
    <row r="1681" spans="4:4" x14ac:dyDescent="0.25">
      <c r="D1681" s="72">
        <f>2.76388888888903 + "00:20:00"</f>
        <v>2.7777777777779189</v>
      </c>
    </row>
    <row r="1693" spans="4:4" x14ac:dyDescent="0.25">
      <c r="D1693" s="72">
        <f>2.77777777777792 + "00:20:00"</f>
        <v>2.7916666666668086</v>
      </c>
    </row>
    <row r="1705" spans="4:4" x14ac:dyDescent="0.25">
      <c r="D1705" s="72">
        <f>2.79166666666681 + "00:20:00"</f>
        <v>2.8055555555556988</v>
      </c>
    </row>
    <row r="1717" spans="4:4" x14ac:dyDescent="0.25">
      <c r="D1717" s="72">
        <f>2.8055555555557 + "00:20:00"</f>
        <v>2.819444444444589</v>
      </c>
    </row>
    <row r="1729" spans="4:4" x14ac:dyDescent="0.25">
      <c r="D1729" s="72">
        <f>2.81944444444459 + "00:20:00"</f>
        <v>2.8333333333334787</v>
      </c>
    </row>
    <row r="1741" spans="4:4" x14ac:dyDescent="0.25">
      <c r="D1741" s="72">
        <f>2.83333333333348 + "00:20:00"</f>
        <v>2.8472222222223689</v>
      </c>
    </row>
    <row r="1753" spans="4:4" x14ac:dyDescent="0.25">
      <c r="D1753" s="72">
        <f>2.84722222222237 + "00:20:00"</f>
        <v>2.861111111111259</v>
      </c>
    </row>
    <row r="1765" spans="4:4" x14ac:dyDescent="0.25">
      <c r="D1765" s="72">
        <f>2.86111111111126 + "00:20:00"</f>
        <v>2.8750000000001488</v>
      </c>
    </row>
    <row r="1777" spans="4:4" x14ac:dyDescent="0.25">
      <c r="D1777" s="72">
        <f>2.87500000000015 + "00:20:00"</f>
        <v>2.8888888888890389</v>
      </c>
    </row>
    <row r="1789" spans="4:4" x14ac:dyDescent="0.25">
      <c r="D1789" s="72">
        <f>2.88888888888904 + "00:20:00"</f>
        <v>2.9027777777779287</v>
      </c>
    </row>
    <row r="1801" spans="4:4" x14ac:dyDescent="0.25">
      <c r="D1801" s="72">
        <f>2.90277777777793 + "00:20:00"</f>
        <v>2.9166666666668188</v>
      </c>
    </row>
    <row r="1813" spans="4:4" x14ac:dyDescent="0.25">
      <c r="D1813" s="72">
        <f>2.91666666666682 + "00:20:00"</f>
        <v>2.930555555555709</v>
      </c>
    </row>
    <row r="1825" spans="4:4" x14ac:dyDescent="0.25">
      <c r="D1825" s="72">
        <f>2.93055555555571 + "00:20:00"</f>
        <v>2.9444444444445987</v>
      </c>
    </row>
    <row r="1837" spans="4:4" x14ac:dyDescent="0.25">
      <c r="D1837" s="72">
        <f>2.9444444444446 + "00:20:00"</f>
        <v>2.9583333333334889</v>
      </c>
    </row>
    <row r="1849" spans="4:4" x14ac:dyDescent="0.25">
      <c r="D1849" s="72">
        <f>2.95833333333349 + "00:20:00"</f>
        <v>2.9722222222223786</v>
      </c>
    </row>
    <row r="1861" spans="4:4" x14ac:dyDescent="0.25">
      <c r="D1861" s="72">
        <f>2.97222222222238 + "00:20:00"</f>
        <v>2.9861111111112688</v>
      </c>
    </row>
    <row r="1873" spans="4:4" x14ac:dyDescent="0.25">
      <c r="D1873" s="72">
        <f>2.98611111111127 + "00:20:00"</f>
        <v>3.000000000000159</v>
      </c>
    </row>
    <row r="1885" spans="4:4" x14ac:dyDescent="0.25">
      <c r="D1885" s="72">
        <f>3.00000000000016 + "00:20:00"</f>
        <v>3.0138888888890487</v>
      </c>
    </row>
    <row r="1897" spans="4:4" x14ac:dyDescent="0.25">
      <c r="D1897" s="72">
        <f>3.01388888888905 + "00:20:00"</f>
        <v>3.0277777777779389</v>
      </c>
    </row>
    <row r="1909" spans="4:4" x14ac:dyDescent="0.25">
      <c r="D1909" s="72">
        <f>3.02777777777794 + "00:20:00"</f>
        <v>3.0416666666668291</v>
      </c>
    </row>
    <row r="1921" spans="4:4" x14ac:dyDescent="0.25">
      <c r="D1921" s="72">
        <f>3.04166666666683 + "00:20:00"</f>
        <v>3.0555555555557188</v>
      </c>
    </row>
    <row r="1933" spans="4:4" x14ac:dyDescent="0.25">
      <c r="D1933" s="72">
        <f>3.05555555555572 + "00:20:00"</f>
        <v>3.069444444444609</v>
      </c>
    </row>
    <row r="1945" spans="4:4" x14ac:dyDescent="0.25">
      <c r="D1945" s="72">
        <f>3.06944444444461 + "00:20:00"</f>
        <v>3.0833333333334987</v>
      </c>
    </row>
    <row r="1957" spans="4:4" x14ac:dyDescent="0.25">
      <c r="D1957" s="72">
        <f>3.0833333333335 + "00:20:00"</f>
        <v>3.0972222222223889</v>
      </c>
    </row>
    <row r="1969" spans="4:4" x14ac:dyDescent="0.25">
      <c r="D1969" s="72">
        <f>3.09722222222239 + "00:20:00"</f>
        <v>3.111111111111279</v>
      </c>
    </row>
    <row r="1981" spans="4:4" x14ac:dyDescent="0.25">
      <c r="D1981" s="72">
        <f>3.11111111111128 + "00:20:00"</f>
        <v>3.1250000000001688</v>
      </c>
    </row>
    <row r="1993" spans="4:4" x14ac:dyDescent="0.25">
      <c r="D1993" s="72">
        <f>3.12500000000017 + "00:20:00"</f>
        <v>3.1388888888890589</v>
      </c>
    </row>
    <row r="2005" spans="4:4" x14ac:dyDescent="0.25">
      <c r="D2005" s="72">
        <f>3.13888888888906 + "00:20:00"</f>
        <v>3.1527777777779487</v>
      </c>
    </row>
    <row r="2017" spans="4:4" x14ac:dyDescent="0.25">
      <c r="D2017" s="72">
        <f>3.15277777777795 + "00:20:00"</f>
        <v>3.1666666666668388</v>
      </c>
    </row>
    <row r="2029" spans="4:4" x14ac:dyDescent="0.25">
      <c r="D2029" s="72">
        <f>3.16666666666684 + "00:20:00"</f>
        <v>3.180555555555729</v>
      </c>
    </row>
    <row r="2041" spans="4:4" x14ac:dyDescent="0.25">
      <c r="D2041" s="72">
        <f>3.18055555555573 + "00:20:00"</f>
        <v>3.1944444444446187</v>
      </c>
    </row>
    <row r="2053" spans="4:4" x14ac:dyDescent="0.25">
      <c r="D2053" s="72">
        <f>3.19444444444462 + "00:20:00"</f>
        <v>3.2083333333335089</v>
      </c>
    </row>
    <row r="2065" spans="4:4" x14ac:dyDescent="0.25">
      <c r="D2065" s="72">
        <f>3.20833333333351 + "00:20:00"</f>
        <v>3.2222222222223986</v>
      </c>
    </row>
    <row r="2077" spans="4:4" x14ac:dyDescent="0.25">
      <c r="D2077" s="72">
        <f>3.2222222222224 + "00:20:00"</f>
        <v>3.2361111111112888</v>
      </c>
    </row>
    <row r="2089" spans="4:4" x14ac:dyDescent="0.25">
      <c r="D2089" s="72">
        <f>3.23611111111129 + "00:20:00"</f>
        <v>3.250000000000179</v>
      </c>
    </row>
    <row r="2101" spans="4:4" x14ac:dyDescent="0.25">
      <c r="D2101" s="72">
        <f>3.25000000000018 + "00:20:00"</f>
        <v>3.2638888888890687</v>
      </c>
    </row>
    <row r="2113" spans="4:4" x14ac:dyDescent="0.25">
      <c r="D2113" s="72">
        <f>3.26388888888907 + "00:20:00"</f>
        <v>3.2777777777779589</v>
      </c>
    </row>
    <row r="2125" spans="4:4" x14ac:dyDescent="0.25">
      <c r="D2125" s="72">
        <f>3.27777777777796 + "00:20:00"</f>
        <v>3.291666666666849</v>
      </c>
    </row>
    <row r="2137" spans="4:4" x14ac:dyDescent="0.25">
      <c r="D2137" s="72">
        <f>3.29166666666685 + "00:20:00"</f>
        <v>3.3055555555557388</v>
      </c>
    </row>
    <row r="2149" spans="4:4" x14ac:dyDescent="0.25">
      <c r="D2149" s="72">
        <f>3.30555555555574 + "00:20:00"</f>
        <v>3.3194444444446289</v>
      </c>
    </row>
    <row r="2161" spans="4:4" x14ac:dyDescent="0.25">
      <c r="D2161" s="72">
        <f>3.31944444444463 + "00:20:00"</f>
        <v>3.3333333333335187</v>
      </c>
    </row>
    <row r="2173" spans="4:4" x14ac:dyDescent="0.25">
      <c r="D2173" s="72">
        <f>3.33333333333352 + "00:20:00"</f>
        <v>3.3472222222224088</v>
      </c>
    </row>
    <row r="2185" spans="4:4" x14ac:dyDescent="0.25">
      <c r="D2185" s="72">
        <f>3.34722222222241 + "00:20:00"</f>
        <v>3.361111111111299</v>
      </c>
    </row>
    <row r="2197" spans="4:4" x14ac:dyDescent="0.25">
      <c r="D2197" s="72">
        <f>3.3611111111113 + "00:20:00"</f>
        <v>3.3750000000001887</v>
      </c>
    </row>
    <row r="2209" spans="4:4" x14ac:dyDescent="0.25">
      <c r="D2209" s="72">
        <f>3.37500000000019 + "00:20:00"</f>
        <v>3.3888888888890789</v>
      </c>
    </row>
    <row r="2221" spans="4:4" x14ac:dyDescent="0.25">
      <c r="D2221" s="72">
        <f>3.38888888888908 + "00:20:00"</f>
        <v>3.4027777777779686</v>
      </c>
    </row>
    <row r="2233" spans="4:4" x14ac:dyDescent="0.25">
      <c r="D2233" s="72">
        <f>3.40277777777797 + "00:20:00"</f>
        <v>3.4166666666668588</v>
      </c>
    </row>
    <row r="2245" spans="4:4" x14ac:dyDescent="0.25">
      <c r="D2245" s="72">
        <f>3.41666666666686 + "00:20:00"</f>
        <v>3.430555555555749</v>
      </c>
    </row>
    <row r="2257" spans="4:4" x14ac:dyDescent="0.25">
      <c r="D2257" s="72">
        <f>3.43055555555575 + "00:20:00"</f>
        <v>3.4444444444446387</v>
      </c>
    </row>
    <row r="2269" spans="4:4" x14ac:dyDescent="0.25">
      <c r="D2269" s="72">
        <f>3.44444444444464 + "00:20:00"</f>
        <v>3.4583333333335289</v>
      </c>
    </row>
    <row r="2281" spans="4:4" x14ac:dyDescent="0.25">
      <c r="D2281" s="72">
        <f>3.45833333333353 + "00:20:00"</f>
        <v>3.4722222222224191</v>
      </c>
    </row>
    <row r="2293" spans="4:4" x14ac:dyDescent="0.25">
      <c r="D2293" s="72">
        <f>3.47222222222242 + "00:20:00"</f>
        <v>3.4861111111113088</v>
      </c>
    </row>
    <row r="2305" spans="4:4" x14ac:dyDescent="0.25">
      <c r="D2305" s="72">
        <f>3.48611111111131 + "00:20:00"</f>
        <v>3.500000000000199</v>
      </c>
    </row>
    <row r="2317" spans="4:4" x14ac:dyDescent="0.25">
      <c r="D2317" s="72">
        <f>3.5000000000002 + "00:20:00"</f>
        <v>3.5138888888890887</v>
      </c>
    </row>
    <row r="2329" spans="4:4" x14ac:dyDescent="0.25">
      <c r="D2329" s="72">
        <f>3.51388888888909 + "00:20:00"</f>
        <v>3.5277777777779789</v>
      </c>
    </row>
    <row r="2341" spans="4:4" x14ac:dyDescent="0.25">
      <c r="D2341" s="72">
        <f>3.52777777777798 + "00:20:00"</f>
        <v>3.541666666666869</v>
      </c>
    </row>
    <row r="2353" spans="4:4" x14ac:dyDescent="0.25">
      <c r="D2353" s="72">
        <f>3.54166666666687 + "00:20:00"</f>
        <v>3.5555555555557588</v>
      </c>
    </row>
    <row r="2365" spans="4:4" x14ac:dyDescent="0.25">
      <c r="D2365" s="72">
        <f>3.55555555555576 + "00:20:00"</f>
        <v>3.5694444444446489</v>
      </c>
    </row>
    <row r="2377" spans="4:4" x14ac:dyDescent="0.25">
      <c r="D2377" s="72">
        <f>3.56944444444465 + "00:20:00"</f>
        <v>3.5833333333335387</v>
      </c>
    </row>
    <row r="2389" spans="4:4" x14ac:dyDescent="0.25">
      <c r="D2389" s="72">
        <f>3.58333333333354 + "00:20:00"</f>
        <v>3.5972222222224288</v>
      </c>
    </row>
    <row r="2401" spans="4:4" x14ac:dyDescent="0.25">
      <c r="D2401" s="72">
        <f>3.59722222222243 + "00:20:00"</f>
        <v>3.611111111111319</v>
      </c>
    </row>
    <row r="2413" spans="4:4" x14ac:dyDescent="0.25">
      <c r="D2413" s="72">
        <f>3.61111111111132 + "00:20:00"</f>
        <v>3.6250000000002087</v>
      </c>
    </row>
    <row r="2425" spans="4:4" x14ac:dyDescent="0.25">
      <c r="D2425" s="72">
        <f>3.62500000000021 + "00:20:00"</f>
        <v>3.6388888888890989</v>
      </c>
    </row>
    <row r="2437" spans="4:4" x14ac:dyDescent="0.25">
      <c r="D2437" s="72">
        <f>3.6388888888891 + "00:20:00"</f>
        <v>3.6527777777779886</v>
      </c>
    </row>
    <row r="2449" spans="4:4" x14ac:dyDescent="0.25">
      <c r="D2449" s="72">
        <f>3.65277777777799 + "00:20:00"</f>
        <v>3.6666666666668788</v>
      </c>
    </row>
    <row r="2461" spans="4:4" x14ac:dyDescent="0.25">
      <c r="D2461" s="72">
        <f>3.66666666666688 + "00:20:00"</f>
        <v>3.680555555555769</v>
      </c>
    </row>
    <row r="2473" spans="4:4" x14ac:dyDescent="0.25">
      <c r="D2473" s="72">
        <f>3.68055555555577 + "00:20:00"</f>
        <v>3.6944444444446587</v>
      </c>
    </row>
    <row r="2485" spans="4:4" x14ac:dyDescent="0.25">
      <c r="D2485" s="72">
        <f>3.69444444444466 + "00:20:00"</f>
        <v>3.7083333333335489</v>
      </c>
    </row>
    <row r="2497" spans="4:4" x14ac:dyDescent="0.25">
      <c r="D2497" s="72">
        <f>3.70833333333355 + "00:20:00"</f>
        <v>3.722222222222439</v>
      </c>
    </row>
    <row r="2509" spans="4:4" x14ac:dyDescent="0.25">
      <c r="D2509" s="72">
        <f>3.72222222222244 + "00:20:00"</f>
        <v>3.7361111111113288</v>
      </c>
    </row>
    <row r="2521" spans="4:4" x14ac:dyDescent="0.25">
      <c r="D2521" s="72">
        <f>3.73611111111133 + "00:20:00"</f>
        <v>3.7500000000002189</v>
      </c>
    </row>
    <row r="2533" spans="4:4" x14ac:dyDescent="0.25">
      <c r="D2533" s="72">
        <f>3.75000000000022 + "00:20:00"</f>
        <v>3.7638888888891087</v>
      </c>
    </row>
    <row r="2545" spans="4:4" x14ac:dyDescent="0.25">
      <c r="D2545" s="72">
        <f>3.76388888888911 + "00:20:00"</f>
        <v>3.7777777777779988</v>
      </c>
    </row>
    <row r="2557" spans="4:4" x14ac:dyDescent="0.25">
      <c r="D2557" s="72">
        <f>3.777777777778 + "00:20:00"</f>
        <v>3.791666666666889</v>
      </c>
    </row>
    <row r="2569" spans="4:4" x14ac:dyDescent="0.25">
      <c r="D2569" s="72">
        <f>3.79166666666689 + "00:20:00"</f>
        <v>3.8055555555557787</v>
      </c>
    </row>
    <row r="2581" spans="4:4" x14ac:dyDescent="0.25">
      <c r="D2581" s="72">
        <f>3.80555555555578 + "00:20:00"</f>
        <v>3.8194444444446689</v>
      </c>
    </row>
    <row r="2593" spans="4:4" x14ac:dyDescent="0.25">
      <c r="D2593" s="72">
        <f>3.81944444444467 + "00:20:00"</f>
        <v>3.8333333333335586</v>
      </c>
    </row>
    <row r="2605" spans="4:4" x14ac:dyDescent="0.25">
      <c r="D2605" s="72">
        <f>3.83333333333356 + "00:20:00"</f>
        <v>3.8472222222224488</v>
      </c>
    </row>
    <row r="2617" spans="4:4" x14ac:dyDescent="0.25">
      <c r="D2617" s="72">
        <f>3.84722222222245 + "00:20:00"</f>
        <v>3.861111111111339</v>
      </c>
    </row>
    <row r="2629" spans="4:4" x14ac:dyDescent="0.25">
      <c r="D2629" s="72">
        <f>3.86111111111134 + "00:20:00"</f>
        <v>3.8750000000002287</v>
      </c>
    </row>
    <row r="2641" spans="4:4" x14ac:dyDescent="0.25">
      <c r="D2641" s="72">
        <f>3.87500000000023 + "00:20:00"</f>
        <v>3.8888888888891189</v>
      </c>
    </row>
    <row r="2653" spans="4:4" x14ac:dyDescent="0.25">
      <c r="D2653" s="72">
        <f>3.88888888888912 + "00:20:00"</f>
        <v>3.902777777778009</v>
      </c>
    </row>
    <row r="2665" spans="4:4" x14ac:dyDescent="0.25">
      <c r="D2665" s="72">
        <f>3.90277777777801 + "00:20:00"</f>
        <v>3.9166666666668988</v>
      </c>
    </row>
    <row r="2677" spans="4:4" x14ac:dyDescent="0.25">
      <c r="D2677" s="72">
        <f>3.9166666666669 + "00:20:00"</f>
        <v>3.9305555555557889</v>
      </c>
    </row>
    <row r="2689" spans="4:4" x14ac:dyDescent="0.25">
      <c r="D2689" s="72">
        <f>3.93055555555579 + "00:20:00"</f>
        <v>3.9444444444446787</v>
      </c>
    </row>
    <row r="2701" spans="4:4" x14ac:dyDescent="0.25">
      <c r="D2701" s="72">
        <f>3.94444444444468 + "00:20:00"</f>
        <v>3.9583333333335688</v>
      </c>
    </row>
  </sheetData>
  <conditionalFormatting sqref="C2">
    <cfRule type="expression" dxfId="1355" priority="924">
      <formula>$C2&gt;$E2</formula>
    </cfRule>
    <cfRule type="expression" dxfId="1354" priority="923">
      <formula>$C2&lt;$E2</formula>
    </cfRule>
  </conditionalFormatting>
  <conditionalFormatting sqref="E2">
    <cfRule type="expression" dxfId="1353" priority="922">
      <formula>$C2&lt;$E2</formula>
    </cfRule>
    <cfRule type="expression" dxfId="1352" priority="921">
      <formula>$C2&gt;$E2</formula>
    </cfRule>
  </conditionalFormatting>
  <conditionalFormatting sqref="C3">
    <cfRule type="expression" dxfId="1351" priority="920">
      <formula>$C3&gt;$E3</formula>
    </cfRule>
    <cfRule type="expression" dxfId="1350" priority="919">
      <formula>$C3&lt;$E3</formula>
    </cfRule>
  </conditionalFormatting>
  <conditionalFormatting sqref="E3">
    <cfRule type="expression" dxfId="1349" priority="918">
      <formula>$C3&lt;$E3</formula>
    </cfRule>
    <cfRule type="expression" dxfId="1348" priority="917">
      <formula>$C3&gt;$E3</formula>
    </cfRule>
  </conditionalFormatting>
  <conditionalFormatting sqref="C4">
    <cfRule type="expression" dxfId="1347" priority="916">
      <formula>$C4&gt;$E4</formula>
    </cfRule>
    <cfRule type="expression" dxfId="1346" priority="915">
      <formula>$C4&lt;$E4</formula>
    </cfRule>
  </conditionalFormatting>
  <conditionalFormatting sqref="E4">
    <cfRule type="expression" dxfId="1345" priority="914">
      <formula>$C4&lt;$E4</formula>
    </cfRule>
    <cfRule type="expression" dxfId="1344" priority="913">
      <formula>$C4&gt;$E4</formula>
    </cfRule>
  </conditionalFormatting>
  <conditionalFormatting sqref="C5">
    <cfRule type="expression" dxfId="1343" priority="912">
      <formula>$C5&gt;$E5</formula>
    </cfRule>
    <cfRule type="expression" dxfId="1342" priority="911">
      <formula>$C5&lt;$E5</formula>
    </cfRule>
  </conditionalFormatting>
  <conditionalFormatting sqref="E5">
    <cfRule type="expression" dxfId="1341" priority="910">
      <formula>$C5&lt;$E5</formula>
    </cfRule>
    <cfRule type="expression" dxfId="1340" priority="909">
      <formula>$C5&gt;$E5</formula>
    </cfRule>
  </conditionalFormatting>
  <conditionalFormatting sqref="C6">
    <cfRule type="expression" dxfId="1339" priority="908">
      <formula>$C6&gt;$E6</formula>
    </cfRule>
    <cfRule type="expression" dxfId="1338" priority="907">
      <formula>$C6&lt;$E6</formula>
    </cfRule>
  </conditionalFormatting>
  <conditionalFormatting sqref="E6">
    <cfRule type="expression" dxfId="1337" priority="906">
      <formula>$C6&lt;$E6</formula>
    </cfRule>
    <cfRule type="expression" dxfId="1336" priority="905">
      <formula>$C6&gt;$E6</formula>
    </cfRule>
  </conditionalFormatting>
  <conditionalFormatting sqref="C7">
    <cfRule type="expression" dxfId="1335" priority="904">
      <formula>$C7&gt;$E7</formula>
    </cfRule>
    <cfRule type="expression" dxfId="1334" priority="903">
      <formula>$C7&lt;$E7</formula>
    </cfRule>
  </conditionalFormatting>
  <conditionalFormatting sqref="E7">
    <cfRule type="expression" dxfId="1333" priority="902">
      <formula>$C7&lt;$E7</formula>
    </cfRule>
    <cfRule type="expression" dxfId="1332" priority="901">
      <formula>$C7&gt;$E7</formula>
    </cfRule>
  </conditionalFormatting>
  <conditionalFormatting sqref="C8">
    <cfRule type="expression" dxfId="1331" priority="900">
      <formula>$C8&gt;$E8</formula>
    </cfRule>
    <cfRule type="expression" dxfId="1330" priority="899">
      <formula>$C8&lt;$E8</formula>
    </cfRule>
  </conditionalFormatting>
  <conditionalFormatting sqref="E8">
    <cfRule type="expression" dxfId="1329" priority="898">
      <formula>$C8&lt;$E8</formula>
    </cfRule>
    <cfRule type="expression" dxfId="1328" priority="897">
      <formula>$C8&gt;$E8</formula>
    </cfRule>
  </conditionalFormatting>
  <conditionalFormatting sqref="C9">
    <cfRule type="expression" dxfId="1327" priority="896">
      <formula>$C9&gt;$E9</formula>
    </cfRule>
    <cfRule type="expression" dxfId="1326" priority="895">
      <formula>$C9&lt;$E9</formula>
    </cfRule>
  </conditionalFormatting>
  <conditionalFormatting sqref="E9">
    <cfRule type="expression" dxfId="1325" priority="894">
      <formula>$C9&lt;$E9</formula>
    </cfRule>
    <cfRule type="expression" dxfId="1324" priority="893">
      <formula>$C9&gt;$E9</formula>
    </cfRule>
  </conditionalFormatting>
  <conditionalFormatting sqref="C10">
    <cfRule type="expression" dxfId="1323" priority="892">
      <formula>$C10&gt;$E10</formula>
    </cfRule>
    <cfRule type="expression" dxfId="1322" priority="891">
      <formula>$C10&lt;$E10</formula>
    </cfRule>
  </conditionalFormatting>
  <conditionalFormatting sqref="E10">
    <cfRule type="expression" dxfId="1321" priority="890">
      <formula>$C10&lt;$E10</formula>
    </cfRule>
    <cfRule type="expression" dxfId="1320" priority="889">
      <formula>$C10&gt;$E10</formula>
    </cfRule>
  </conditionalFormatting>
  <conditionalFormatting sqref="C11">
    <cfRule type="expression" dxfId="1319" priority="888">
      <formula>$C11&gt;$E11</formula>
    </cfRule>
    <cfRule type="expression" dxfId="1318" priority="887">
      <formula>$C11&lt;$E11</formula>
    </cfRule>
  </conditionalFormatting>
  <conditionalFormatting sqref="E11">
    <cfRule type="expression" dxfId="1317" priority="886">
      <formula>$C11&lt;$E11</formula>
    </cfRule>
    <cfRule type="expression" dxfId="1316" priority="885">
      <formula>$C11&gt;$E11</formula>
    </cfRule>
  </conditionalFormatting>
  <conditionalFormatting sqref="C12">
    <cfRule type="expression" dxfId="1315" priority="884">
      <formula>$C12&gt;$E12</formula>
    </cfRule>
  </conditionalFormatting>
  <conditionalFormatting sqref="C12">
    <cfRule type="expression" dxfId="1314" priority="883">
      <formula>$C12&lt;$E12</formula>
    </cfRule>
  </conditionalFormatting>
  <conditionalFormatting sqref="E12">
    <cfRule type="expression" dxfId="1313" priority="882">
      <formula>$C12&lt;$E12</formula>
    </cfRule>
  </conditionalFormatting>
  <conditionalFormatting sqref="E12">
    <cfRule type="expression" dxfId="1312" priority="881">
      <formula>$C12&gt;$E12</formula>
    </cfRule>
  </conditionalFormatting>
  <conditionalFormatting sqref="C14">
    <cfRule type="expression" dxfId="1311" priority="880">
      <formula>$C14&gt;$E14</formula>
    </cfRule>
  </conditionalFormatting>
  <conditionalFormatting sqref="C14">
    <cfRule type="expression" dxfId="1310" priority="879">
      <formula>$C14&lt;$E14</formula>
    </cfRule>
  </conditionalFormatting>
  <conditionalFormatting sqref="E14">
    <cfRule type="expression" dxfId="1309" priority="878">
      <formula>$C14&lt;$E14</formula>
    </cfRule>
  </conditionalFormatting>
  <conditionalFormatting sqref="E14">
    <cfRule type="expression" dxfId="1308" priority="877">
      <formula>$C14&gt;$E14</formula>
    </cfRule>
  </conditionalFormatting>
  <conditionalFormatting sqref="C15">
    <cfRule type="expression" dxfId="1307" priority="876">
      <formula>$C15&gt;$E15</formula>
    </cfRule>
  </conditionalFormatting>
  <conditionalFormatting sqref="C15">
    <cfRule type="expression" dxfId="1306" priority="875">
      <formula>$C15&lt;$E15</formula>
    </cfRule>
  </conditionalFormatting>
  <conditionalFormatting sqref="E15">
    <cfRule type="expression" dxfId="1305" priority="874">
      <formula>$C15&lt;$E15</formula>
    </cfRule>
  </conditionalFormatting>
  <conditionalFormatting sqref="E15">
    <cfRule type="expression" dxfId="1304" priority="873">
      <formula>$C15&gt;$E15</formula>
    </cfRule>
  </conditionalFormatting>
  <conditionalFormatting sqref="C16">
    <cfRule type="expression" dxfId="1303" priority="872">
      <formula>$C16&gt;$E16</formula>
    </cfRule>
  </conditionalFormatting>
  <conditionalFormatting sqref="C16">
    <cfRule type="expression" dxfId="1302" priority="871">
      <formula>$C16&lt;$E16</formula>
    </cfRule>
  </conditionalFormatting>
  <conditionalFormatting sqref="E16">
    <cfRule type="expression" dxfId="1301" priority="870">
      <formula>$C16&lt;$E16</formula>
    </cfRule>
  </conditionalFormatting>
  <conditionalFormatting sqref="E16">
    <cfRule type="expression" dxfId="1300" priority="869">
      <formula>$C16&gt;$E16</formula>
    </cfRule>
  </conditionalFormatting>
  <conditionalFormatting sqref="C17">
    <cfRule type="expression" dxfId="1299" priority="868">
      <formula>$C17&gt;$E17</formula>
    </cfRule>
  </conditionalFormatting>
  <conditionalFormatting sqref="C17">
    <cfRule type="expression" dxfId="1298" priority="867">
      <formula>$C17&lt;$E17</formula>
    </cfRule>
  </conditionalFormatting>
  <conditionalFormatting sqref="E17">
    <cfRule type="expression" dxfId="1297" priority="866">
      <formula>$C17&lt;$E17</formula>
    </cfRule>
  </conditionalFormatting>
  <conditionalFormatting sqref="E17">
    <cfRule type="expression" dxfId="1296" priority="865">
      <formula>$C17&gt;$E17</formula>
    </cfRule>
  </conditionalFormatting>
  <conditionalFormatting sqref="C18">
    <cfRule type="expression" dxfId="1295" priority="864">
      <formula>$C18&gt;$E18</formula>
    </cfRule>
  </conditionalFormatting>
  <conditionalFormatting sqref="C18">
    <cfRule type="expression" dxfId="1294" priority="863">
      <formula>$C18&lt;$E18</formula>
    </cfRule>
  </conditionalFormatting>
  <conditionalFormatting sqref="E18">
    <cfRule type="expression" dxfId="1293" priority="862">
      <formula>$C18&lt;$E18</formula>
    </cfRule>
  </conditionalFormatting>
  <conditionalFormatting sqref="E18">
    <cfRule type="expression" dxfId="1292" priority="861">
      <formula>$C18&gt;$E18</formula>
    </cfRule>
  </conditionalFormatting>
  <conditionalFormatting sqref="C19">
    <cfRule type="expression" dxfId="1291" priority="860">
      <formula>$C19&gt;$E19</formula>
    </cfRule>
  </conditionalFormatting>
  <conditionalFormatting sqref="C19">
    <cfRule type="expression" dxfId="1290" priority="859">
      <formula>$C19&lt;$E19</formula>
    </cfRule>
  </conditionalFormatting>
  <conditionalFormatting sqref="E19">
    <cfRule type="expression" dxfId="1289" priority="858">
      <formula>$C19&lt;$E19</formula>
    </cfRule>
  </conditionalFormatting>
  <conditionalFormatting sqref="E19">
    <cfRule type="expression" dxfId="1288" priority="857">
      <formula>$C19&gt;$E19</formula>
    </cfRule>
  </conditionalFormatting>
  <conditionalFormatting sqref="C20">
    <cfRule type="expression" dxfId="1287" priority="856">
      <formula>$C20&gt;$E20</formula>
    </cfRule>
  </conditionalFormatting>
  <conditionalFormatting sqref="C20">
    <cfRule type="expression" dxfId="1286" priority="855">
      <formula>$C20&lt;$E20</formula>
    </cfRule>
  </conditionalFormatting>
  <conditionalFormatting sqref="E20">
    <cfRule type="expression" dxfId="1285" priority="854">
      <formula>$C20&lt;$E20</formula>
    </cfRule>
  </conditionalFormatting>
  <conditionalFormatting sqref="E20">
    <cfRule type="expression" dxfId="1284" priority="853">
      <formula>$C20&gt;$E20</formula>
    </cfRule>
  </conditionalFormatting>
  <conditionalFormatting sqref="C21">
    <cfRule type="expression" dxfId="1283" priority="852">
      <formula>$C21&gt;$E21</formula>
    </cfRule>
  </conditionalFormatting>
  <conditionalFormatting sqref="C21">
    <cfRule type="expression" dxfId="1282" priority="851">
      <formula>$C21&lt;$E21</formula>
    </cfRule>
  </conditionalFormatting>
  <conditionalFormatting sqref="E21">
    <cfRule type="expression" dxfId="1281" priority="850">
      <formula>$C21&lt;$E21</formula>
    </cfRule>
  </conditionalFormatting>
  <conditionalFormatting sqref="E21">
    <cfRule type="expression" dxfId="1280" priority="849">
      <formula>$C21&gt;$E21</formula>
    </cfRule>
  </conditionalFormatting>
  <conditionalFormatting sqref="C22">
    <cfRule type="expression" dxfId="1279" priority="848">
      <formula>$C22&gt;$E22</formula>
    </cfRule>
  </conditionalFormatting>
  <conditionalFormatting sqref="C22">
    <cfRule type="expression" dxfId="1278" priority="847">
      <formula>$C22&lt;$E22</formula>
    </cfRule>
  </conditionalFormatting>
  <conditionalFormatting sqref="E22">
    <cfRule type="expression" dxfId="1277" priority="846">
      <formula>$C22&lt;$E22</formula>
    </cfRule>
  </conditionalFormatting>
  <conditionalFormatting sqref="E22">
    <cfRule type="expression" dxfId="1276" priority="845">
      <formula>$C22&gt;$E22</formula>
    </cfRule>
  </conditionalFormatting>
  <conditionalFormatting sqref="C23">
    <cfRule type="expression" dxfId="1275" priority="844">
      <formula>$C23&gt;$E23</formula>
    </cfRule>
  </conditionalFormatting>
  <conditionalFormatting sqref="C23">
    <cfRule type="expression" dxfId="1274" priority="843">
      <formula>$C23&lt;$E23</formula>
    </cfRule>
  </conditionalFormatting>
  <conditionalFormatting sqref="E23">
    <cfRule type="expression" dxfId="1273" priority="842">
      <formula>$C23&lt;$E23</formula>
    </cfRule>
  </conditionalFormatting>
  <conditionalFormatting sqref="E23">
    <cfRule type="expression" dxfId="1272" priority="841">
      <formula>$C23&gt;$E23</formula>
    </cfRule>
  </conditionalFormatting>
  <conditionalFormatting sqref="C24">
    <cfRule type="expression" dxfId="1271" priority="840">
      <formula>$C24&gt;$E24</formula>
    </cfRule>
  </conditionalFormatting>
  <conditionalFormatting sqref="C24">
    <cfRule type="expression" dxfId="1270" priority="839">
      <formula>$C24&lt;$E24</formula>
    </cfRule>
  </conditionalFormatting>
  <conditionalFormatting sqref="E24">
    <cfRule type="expression" dxfId="1269" priority="838">
      <formula>$C24&lt;$E24</formula>
    </cfRule>
  </conditionalFormatting>
  <conditionalFormatting sqref="E24">
    <cfRule type="expression" dxfId="1268" priority="837">
      <formula>$C24&gt;$E24</formula>
    </cfRule>
  </conditionalFormatting>
  <conditionalFormatting sqref="C26">
    <cfRule type="expression" dxfId="1267" priority="836">
      <formula>$C26&gt;$E26</formula>
    </cfRule>
  </conditionalFormatting>
  <conditionalFormatting sqref="C26">
    <cfRule type="expression" dxfId="1266" priority="835">
      <formula>$C26&lt;$E26</formula>
    </cfRule>
  </conditionalFormatting>
  <conditionalFormatting sqref="E26">
    <cfRule type="expression" dxfId="1265" priority="834">
      <formula>$C26&lt;$E26</formula>
    </cfRule>
  </conditionalFormatting>
  <conditionalFormatting sqref="E26">
    <cfRule type="expression" dxfId="1264" priority="833">
      <formula>$C26&gt;$E26</formula>
    </cfRule>
  </conditionalFormatting>
  <conditionalFormatting sqref="C27">
    <cfRule type="expression" dxfId="1263" priority="832">
      <formula>$C27&gt;$E27</formula>
    </cfRule>
  </conditionalFormatting>
  <conditionalFormatting sqref="C27">
    <cfRule type="expression" dxfId="1262" priority="831">
      <formula>$C27&lt;$E27</formula>
    </cfRule>
  </conditionalFormatting>
  <conditionalFormatting sqref="E27">
    <cfRule type="expression" dxfId="1261" priority="830">
      <formula>$C27&lt;$E27</formula>
    </cfRule>
  </conditionalFormatting>
  <conditionalFormatting sqref="E27">
    <cfRule type="expression" dxfId="1260" priority="829">
      <formula>$C27&gt;$E27</formula>
    </cfRule>
  </conditionalFormatting>
  <conditionalFormatting sqref="C28">
    <cfRule type="expression" dxfId="1259" priority="828">
      <formula>$C28&gt;$E28</formula>
    </cfRule>
  </conditionalFormatting>
  <conditionalFormatting sqref="C28">
    <cfRule type="expression" dxfId="1258" priority="827">
      <formula>$C28&lt;$E28</formula>
    </cfRule>
  </conditionalFormatting>
  <conditionalFormatting sqref="E28">
    <cfRule type="expression" dxfId="1257" priority="826">
      <formula>$C28&lt;$E28</formula>
    </cfRule>
  </conditionalFormatting>
  <conditionalFormatting sqref="E28">
    <cfRule type="expression" dxfId="1256" priority="825">
      <formula>$C28&gt;$E28</formula>
    </cfRule>
  </conditionalFormatting>
  <conditionalFormatting sqref="C29">
    <cfRule type="expression" dxfId="1255" priority="824">
      <formula>$C29&gt;$E29</formula>
    </cfRule>
  </conditionalFormatting>
  <conditionalFormatting sqref="C29">
    <cfRule type="expression" dxfId="1254" priority="823">
      <formula>$C29&lt;$E29</formula>
    </cfRule>
  </conditionalFormatting>
  <conditionalFormatting sqref="E29">
    <cfRule type="expression" dxfId="1253" priority="822">
      <formula>$C29&lt;$E29</formula>
    </cfRule>
  </conditionalFormatting>
  <conditionalFormatting sqref="E29">
    <cfRule type="expression" dxfId="1252" priority="821">
      <formula>$C29&gt;$E29</formula>
    </cfRule>
  </conditionalFormatting>
  <conditionalFormatting sqref="C30">
    <cfRule type="expression" dxfId="1251" priority="820">
      <formula>$C30&gt;$E30</formula>
    </cfRule>
  </conditionalFormatting>
  <conditionalFormatting sqref="C30">
    <cfRule type="expression" dxfId="1250" priority="819">
      <formula>$C30&lt;$E30</formula>
    </cfRule>
  </conditionalFormatting>
  <conditionalFormatting sqref="E30">
    <cfRule type="expression" dxfId="1249" priority="818">
      <formula>$C30&lt;$E30</formula>
    </cfRule>
  </conditionalFormatting>
  <conditionalFormatting sqref="E30">
    <cfRule type="expression" dxfId="1248" priority="817">
      <formula>$C30&gt;$E30</formula>
    </cfRule>
  </conditionalFormatting>
  <conditionalFormatting sqref="C31">
    <cfRule type="expression" dxfId="1247" priority="816">
      <formula>$C31&gt;$E31</formula>
    </cfRule>
  </conditionalFormatting>
  <conditionalFormatting sqref="C31">
    <cfRule type="expression" dxfId="1246" priority="815">
      <formula>$C31&lt;$E31</formula>
    </cfRule>
  </conditionalFormatting>
  <conditionalFormatting sqref="E31">
    <cfRule type="expression" dxfId="1245" priority="814">
      <formula>$C31&lt;$E31</formula>
    </cfRule>
  </conditionalFormatting>
  <conditionalFormatting sqref="E31">
    <cfRule type="expression" dxfId="1244" priority="813">
      <formula>$C31&gt;$E31</formula>
    </cfRule>
  </conditionalFormatting>
  <conditionalFormatting sqref="C32">
    <cfRule type="expression" dxfId="1243" priority="812">
      <formula>$C32&gt;$E32</formula>
    </cfRule>
  </conditionalFormatting>
  <conditionalFormatting sqref="C32">
    <cfRule type="expression" dxfId="1242" priority="811">
      <formula>$C32&lt;$E32</formula>
    </cfRule>
  </conditionalFormatting>
  <conditionalFormatting sqref="E32">
    <cfRule type="expression" dxfId="1241" priority="810">
      <formula>$C32&lt;$E32</formula>
    </cfRule>
  </conditionalFormatting>
  <conditionalFormatting sqref="E32">
    <cfRule type="expression" dxfId="1240" priority="809">
      <formula>$C32&gt;$E32</formula>
    </cfRule>
  </conditionalFormatting>
  <conditionalFormatting sqref="C33">
    <cfRule type="expression" dxfId="1239" priority="808">
      <formula>$C33&gt;$E33</formula>
    </cfRule>
  </conditionalFormatting>
  <conditionalFormatting sqref="C33">
    <cfRule type="expression" dxfId="1238" priority="807">
      <formula>$C33&lt;$E33</formula>
    </cfRule>
  </conditionalFormatting>
  <conditionalFormatting sqref="E33">
    <cfRule type="expression" dxfId="1237" priority="806">
      <formula>$C33&lt;$E33</formula>
    </cfRule>
  </conditionalFormatting>
  <conditionalFormatting sqref="E33">
    <cfRule type="expression" dxfId="1236" priority="805">
      <formula>$C33&gt;$E33</formula>
    </cfRule>
  </conditionalFormatting>
  <conditionalFormatting sqref="C34">
    <cfRule type="expression" dxfId="1235" priority="804">
      <formula>$C34&gt;$E34</formula>
    </cfRule>
  </conditionalFormatting>
  <conditionalFormatting sqref="C34">
    <cfRule type="expression" dxfId="1234" priority="803">
      <formula>$C34&lt;$E34</formula>
    </cfRule>
  </conditionalFormatting>
  <conditionalFormatting sqref="E34">
    <cfRule type="expression" dxfId="1233" priority="802">
      <formula>$C34&lt;$E34</formula>
    </cfRule>
  </conditionalFormatting>
  <conditionalFormatting sqref="E34">
    <cfRule type="expression" dxfId="1232" priority="801">
      <formula>$C34&gt;$E34</formula>
    </cfRule>
  </conditionalFormatting>
  <conditionalFormatting sqref="C35">
    <cfRule type="expression" dxfId="1231" priority="800">
      <formula>$C35&gt;$E35</formula>
    </cfRule>
  </conditionalFormatting>
  <conditionalFormatting sqref="C35">
    <cfRule type="expression" dxfId="1230" priority="799">
      <formula>$C35&lt;$E35</formula>
    </cfRule>
  </conditionalFormatting>
  <conditionalFormatting sqref="E35">
    <cfRule type="expression" dxfId="1229" priority="798">
      <formula>$C35&lt;$E35</formula>
    </cfRule>
  </conditionalFormatting>
  <conditionalFormatting sqref="E35">
    <cfRule type="expression" dxfId="1228" priority="797">
      <formula>$C35&gt;$E35</formula>
    </cfRule>
  </conditionalFormatting>
  <conditionalFormatting sqref="C36">
    <cfRule type="expression" dxfId="1227" priority="796">
      <formula>$C36&gt;$E36</formula>
    </cfRule>
  </conditionalFormatting>
  <conditionalFormatting sqref="C36">
    <cfRule type="expression" dxfId="1226" priority="795">
      <formula>$C36&lt;$E36</formula>
    </cfRule>
  </conditionalFormatting>
  <conditionalFormatting sqref="E36">
    <cfRule type="expression" dxfId="1225" priority="794">
      <formula>$C36&lt;$E36</formula>
    </cfRule>
  </conditionalFormatting>
  <conditionalFormatting sqref="E36">
    <cfRule type="expression" dxfId="1224" priority="793">
      <formula>$C36&gt;$E36</formula>
    </cfRule>
  </conditionalFormatting>
  <conditionalFormatting sqref="C38">
    <cfRule type="expression" dxfId="1223" priority="792">
      <formula>$C38&gt;$E38</formula>
    </cfRule>
  </conditionalFormatting>
  <conditionalFormatting sqref="C38">
    <cfRule type="expression" dxfId="1222" priority="791">
      <formula>$C38&lt;$E38</formula>
    </cfRule>
  </conditionalFormatting>
  <conditionalFormatting sqref="E38">
    <cfRule type="expression" dxfId="1221" priority="790">
      <formula>$C38&lt;$E38</formula>
    </cfRule>
  </conditionalFormatting>
  <conditionalFormatting sqref="E38">
    <cfRule type="expression" dxfId="1220" priority="789">
      <formula>$C38&gt;$E38</formula>
    </cfRule>
  </conditionalFormatting>
  <conditionalFormatting sqref="C39">
    <cfRule type="expression" dxfId="1219" priority="788">
      <formula>$C39&gt;$E39</formula>
    </cfRule>
  </conditionalFormatting>
  <conditionalFormatting sqref="C39">
    <cfRule type="expression" dxfId="1218" priority="787">
      <formula>$C39&lt;$E39</formula>
    </cfRule>
  </conditionalFormatting>
  <conditionalFormatting sqref="E39">
    <cfRule type="expression" dxfId="1217" priority="786">
      <formula>$C39&lt;$E39</formula>
    </cfRule>
  </conditionalFormatting>
  <conditionalFormatting sqref="E39">
    <cfRule type="expression" dxfId="1216" priority="785">
      <formula>$C39&gt;$E39</formula>
    </cfRule>
  </conditionalFormatting>
  <conditionalFormatting sqref="C40">
    <cfRule type="expression" dxfId="1215" priority="784">
      <formula>$C40&gt;$E40</formula>
    </cfRule>
  </conditionalFormatting>
  <conditionalFormatting sqref="C40">
    <cfRule type="expression" dxfId="1214" priority="783">
      <formula>$C40&lt;$E40</formula>
    </cfRule>
  </conditionalFormatting>
  <conditionalFormatting sqref="E40">
    <cfRule type="expression" dxfId="1213" priority="782">
      <formula>$C40&lt;$E40</formula>
    </cfRule>
  </conditionalFormatting>
  <conditionalFormatting sqref="E40">
    <cfRule type="expression" dxfId="1212" priority="781">
      <formula>$C40&gt;$E40</formula>
    </cfRule>
  </conditionalFormatting>
  <conditionalFormatting sqref="C41">
    <cfRule type="expression" dxfId="1211" priority="780">
      <formula>$C41&gt;$E41</formula>
    </cfRule>
  </conditionalFormatting>
  <conditionalFormatting sqref="C41">
    <cfRule type="expression" dxfId="1210" priority="779">
      <formula>$C41&lt;$E41</formula>
    </cfRule>
  </conditionalFormatting>
  <conditionalFormatting sqref="E41">
    <cfRule type="expression" dxfId="1209" priority="778">
      <formula>$C41&lt;$E41</formula>
    </cfRule>
  </conditionalFormatting>
  <conditionalFormatting sqref="E41">
    <cfRule type="expression" dxfId="1208" priority="777">
      <formula>$C41&gt;$E41</formula>
    </cfRule>
  </conditionalFormatting>
  <conditionalFormatting sqref="C42">
    <cfRule type="expression" dxfId="1207" priority="776">
      <formula>$C42&gt;$E42</formula>
    </cfRule>
  </conditionalFormatting>
  <conditionalFormatting sqref="C42">
    <cfRule type="expression" dxfId="1206" priority="775">
      <formula>$C42&lt;$E42</formula>
    </cfRule>
  </conditionalFormatting>
  <conditionalFormatting sqref="E42">
    <cfRule type="expression" dxfId="1205" priority="774">
      <formula>$C42&lt;$E42</formula>
    </cfRule>
  </conditionalFormatting>
  <conditionalFormatting sqref="E42">
    <cfRule type="expression" dxfId="1204" priority="773">
      <formula>$C42&gt;$E42</formula>
    </cfRule>
  </conditionalFormatting>
  <conditionalFormatting sqref="C43">
    <cfRule type="expression" dxfId="1203" priority="772">
      <formula>$C43&gt;$E43</formula>
    </cfRule>
  </conditionalFormatting>
  <conditionalFormatting sqref="C43">
    <cfRule type="expression" dxfId="1202" priority="771">
      <formula>$C43&lt;$E43</formula>
    </cfRule>
  </conditionalFormatting>
  <conditionalFormatting sqref="E43">
    <cfRule type="expression" dxfId="1201" priority="770">
      <formula>$C43&lt;$E43</formula>
    </cfRule>
  </conditionalFormatting>
  <conditionalFormatting sqref="E43">
    <cfRule type="expression" dxfId="1200" priority="769">
      <formula>$C43&gt;$E43</formula>
    </cfRule>
  </conditionalFormatting>
  <conditionalFormatting sqref="C44">
    <cfRule type="expression" dxfId="1199" priority="768">
      <formula>$C44&gt;$E44</formula>
    </cfRule>
  </conditionalFormatting>
  <conditionalFormatting sqref="C44">
    <cfRule type="expression" dxfId="1198" priority="767">
      <formula>$C44&lt;$E44</formula>
    </cfRule>
  </conditionalFormatting>
  <conditionalFormatting sqref="E44">
    <cfRule type="expression" dxfId="1197" priority="766">
      <formula>$C44&lt;$E44</formula>
    </cfRule>
  </conditionalFormatting>
  <conditionalFormatting sqref="E44">
    <cfRule type="expression" dxfId="1196" priority="765">
      <formula>$C44&gt;$E44</formula>
    </cfRule>
  </conditionalFormatting>
  <conditionalFormatting sqref="C45">
    <cfRule type="expression" dxfId="1195" priority="764">
      <formula>$C45&gt;$E45</formula>
    </cfRule>
  </conditionalFormatting>
  <conditionalFormatting sqref="C45">
    <cfRule type="expression" dxfId="1194" priority="763">
      <formula>$C45&lt;$E45</formula>
    </cfRule>
  </conditionalFormatting>
  <conditionalFormatting sqref="E45">
    <cfRule type="expression" dxfId="1193" priority="762">
      <formula>$C45&lt;$E45</formula>
    </cfRule>
  </conditionalFormatting>
  <conditionalFormatting sqref="E45">
    <cfRule type="expression" dxfId="1192" priority="761">
      <formula>$C45&gt;$E45</formula>
    </cfRule>
  </conditionalFormatting>
  <conditionalFormatting sqref="C46">
    <cfRule type="expression" dxfId="1191" priority="760">
      <formula>$C46&gt;$E46</formula>
    </cfRule>
  </conditionalFormatting>
  <conditionalFormatting sqref="C46">
    <cfRule type="expression" dxfId="1190" priority="759">
      <formula>$C46&lt;$E46</formula>
    </cfRule>
  </conditionalFormatting>
  <conditionalFormatting sqref="E46">
    <cfRule type="expression" dxfId="1189" priority="758">
      <formula>$C46&lt;$E46</formula>
    </cfRule>
  </conditionalFormatting>
  <conditionalFormatting sqref="E46">
    <cfRule type="expression" dxfId="1188" priority="757">
      <formula>$C46&gt;$E46</formula>
    </cfRule>
  </conditionalFormatting>
  <conditionalFormatting sqref="C47">
    <cfRule type="expression" dxfId="1187" priority="756">
      <formula>$C47&gt;$E47</formula>
    </cfRule>
  </conditionalFormatting>
  <conditionalFormatting sqref="C47">
    <cfRule type="expression" dxfId="1186" priority="755">
      <formula>$C47&lt;$E47</formula>
    </cfRule>
  </conditionalFormatting>
  <conditionalFormatting sqref="E47">
    <cfRule type="expression" dxfId="1185" priority="754">
      <formula>$C47&lt;$E47</formula>
    </cfRule>
  </conditionalFormatting>
  <conditionalFormatting sqref="E47">
    <cfRule type="expression" dxfId="1184" priority="753">
      <formula>$C47&gt;$E47</formula>
    </cfRule>
  </conditionalFormatting>
  <conditionalFormatting sqref="C48">
    <cfRule type="expression" dxfId="1183" priority="752">
      <formula>$C48&gt;$E48</formula>
    </cfRule>
  </conditionalFormatting>
  <conditionalFormatting sqref="C48">
    <cfRule type="expression" dxfId="1182" priority="751">
      <formula>$C48&lt;$E48</formula>
    </cfRule>
  </conditionalFormatting>
  <conditionalFormatting sqref="E48">
    <cfRule type="expression" dxfId="1181" priority="750">
      <formula>$C48&lt;$E48</formula>
    </cfRule>
  </conditionalFormatting>
  <conditionalFormatting sqref="E48">
    <cfRule type="expression" dxfId="1180" priority="749">
      <formula>$C48&gt;$E48</formula>
    </cfRule>
  </conditionalFormatting>
  <conditionalFormatting sqref="C50">
    <cfRule type="expression" dxfId="1179" priority="748">
      <formula>$C50&gt;$E50</formula>
    </cfRule>
  </conditionalFormatting>
  <conditionalFormatting sqref="C50">
    <cfRule type="expression" dxfId="1178" priority="747">
      <formula>$C50&lt;$E50</formula>
    </cfRule>
  </conditionalFormatting>
  <conditionalFormatting sqref="E50">
    <cfRule type="expression" dxfId="1177" priority="746">
      <formula>$C50&lt;$E50</formula>
    </cfRule>
  </conditionalFormatting>
  <conditionalFormatting sqref="E50">
    <cfRule type="expression" dxfId="1176" priority="745">
      <formula>$C50&gt;$E50</formula>
    </cfRule>
  </conditionalFormatting>
  <conditionalFormatting sqref="C51">
    <cfRule type="expression" dxfId="1175" priority="744">
      <formula>$C51&gt;$E51</formula>
    </cfRule>
  </conditionalFormatting>
  <conditionalFormatting sqref="C51">
    <cfRule type="expression" dxfId="1174" priority="743">
      <formula>$C51&lt;$E51</formula>
    </cfRule>
  </conditionalFormatting>
  <conditionalFormatting sqref="E51">
    <cfRule type="expression" dxfId="1173" priority="742">
      <formula>$C51&lt;$E51</formula>
    </cfRule>
  </conditionalFormatting>
  <conditionalFormatting sqref="E51">
    <cfRule type="expression" dxfId="1172" priority="741">
      <formula>$C51&gt;$E51</formula>
    </cfRule>
  </conditionalFormatting>
  <conditionalFormatting sqref="C52">
    <cfRule type="expression" dxfId="1171" priority="740">
      <formula>$C52&gt;$E52</formula>
    </cfRule>
  </conditionalFormatting>
  <conditionalFormatting sqref="C52">
    <cfRule type="expression" dxfId="1170" priority="739">
      <formula>$C52&lt;$E52</formula>
    </cfRule>
  </conditionalFormatting>
  <conditionalFormatting sqref="E52">
    <cfRule type="expression" dxfId="1169" priority="738">
      <formula>$C52&lt;$E52</formula>
    </cfRule>
  </conditionalFormatting>
  <conditionalFormatting sqref="E52">
    <cfRule type="expression" dxfId="1168" priority="737">
      <formula>$C52&gt;$E52</formula>
    </cfRule>
  </conditionalFormatting>
  <conditionalFormatting sqref="C53">
    <cfRule type="expression" dxfId="1167" priority="736">
      <formula>$C53&gt;$E53</formula>
    </cfRule>
  </conditionalFormatting>
  <conditionalFormatting sqref="C53">
    <cfRule type="expression" dxfId="1166" priority="735">
      <formula>$C53&lt;$E53</formula>
    </cfRule>
  </conditionalFormatting>
  <conditionalFormatting sqref="E53">
    <cfRule type="expression" dxfId="1165" priority="734">
      <formula>$C53&lt;$E53</formula>
    </cfRule>
  </conditionalFormatting>
  <conditionalFormatting sqref="E53">
    <cfRule type="expression" dxfId="1164" priority="733">
      <formula>$C53&gt;$E53</formula>
    </cfRule>
  </conditionalFormatting>
  <conditionalFormatting sqref="C54">
    <cfRule type="expression" dxfId="1163" priority="732">
      <formula>$C54&gt;$E54</formula>
    </cfRule>
  </conditionalFormatting>
  <conditionalFormatting sqref="C54">
    <cfRule type="expression" dxfId="1162" priority="731">
      <formula>$C54&lt;$E54</formula>
    </cfRule>
  </conditionalFormatting>
  <conditionalFormatting sqref="E54">
    <cfRule type="expression" dxfId="1161" priority="730">
      <formula>$C54&lt;$E54</formula>
    </cfRule>
  </conditionalFormatting>
  <conditionalFormatting sqref="E54">
    <cfRule type="expression" dxfId="1160" priority="729">
      <formula>$C54&gt;$E54</formula>
    </cfRule>
  </conditionalFormatting>
  <conditionalFormatting sqref="C55">
    <cfRule type="expression" dxfId="1159" priority="728">
      <formula>$C55&gt;$E55</formula>
    </cfRule>
  </conditionalFormatting>
  <conditionalFormatting sqref="C55">
    <cfRule type="expression" dxfId="1158" priority="727">
      <formula>$C55&lt;$E55</formula>
    </cfRule>
  </conditionalFormatting>
  <conditionalFormatting sqref="E55">
    <cfRule type="expression" dxfId="1157" priority="726">
      <formula>$C55&lt;$E55</formula>
    </cfRule>
  </conditionalFormatting>
  <conditionalFormatting sqref="E55">
    <cfRule type="expression" dxfId="1156" priority="725">
      <formula>$C55&gt;$E55</formula>
    </cfRule>
  </conditionalFormatting>
  <conditionalFormatting sqref="C56">
    <cfRule type="expression" dxfId="1155" priority="724">
      <formula>$C56&gt;$E56</formula>
    </cfRule>
  </conditionalFormatting>
  <conditionalFormatting sqref="C56">
    <cfRule type="expression" dxfId="1154" priority="723">
      <formula>$C56&lt;$E56</formula>
    </cfRule>
  </conditionalFormatting>
  <conditionalFormatting sqref="E56">
    <cfRule type="expression" dxfId="1153" priority="722">
      <formula>$C56&lt;$E56</formula>
    </cfRule>
  </conditionalFormatting>
  <conditionalFormatting sqref="E56">
    <cfRule type="expression" dxfId="1152" priority="721">
      <formula>$C56&gt;$E56</formula>
    </cfRule>
  </conditionalFormatting>
  <conditionalFormatting sqref="C57">
    <cfRule type="expression" dxfId="1151" priority="720">
      <formula>$C57&gt;$E57</formula>
    </cfRule>
  </conditionalFormatting>
  <conditionalFormatting sqref="C57">
    <cfRule type="expression" dxfId="1150" priority="719">
      <formula>$C57&lt;$E57</formula>
    </cfRule>
  </conditionalFormatting>
  <conditionalFormatting sqref="E57">
    <cfRule type="expression" dxfId="1149" priority="718">
      <formula>$C57&lt;$E57</formula>
    </cfRule>
  </conditionalFormatting>
  <conditionalFormatting sqref="E57">
    <cfRule type="expression" dxfId="1148" priority="717">
      <formula>$C57&gt;$E57</formula>
    </cfRule>
  </conditionalFormatting>
  <conditionalFormatting sqref="C58">
    <cfRule type="expression" dxfId="1147" priority="716">
      <formula>$C58&gt;$E58</formula>
    </cfRule>
  </conditionalFormatting>
  <conditionalFormatting sqref="C58">
    <cfRule type="expression" dxfId="1146" priority="715">
      <formula>$C58&lt;$E58</formula>
    </cfRule>
  </conditionalFormatting>
  <conditionalFormatting sqref="E58">
    <cfRule type="expression" dxfId="1145" priority="714">
      <formula>$C58&lt;$E58</formula>
    </cfRule>
  </conditionalFormatting>
  <conditionalFormatting sqref="E58">
    <cfRule type="expression" dxfId="1144" priority="713">
      <formula>$C58&gt;$E58</formula>
    </cfRule>
  </conditionalFormatting>
  <conditionalFormatting sqref="C59">
    <cfRule type="expression" dxfId="1143" priority="712">
      <formula>$C59&gt;$E59</formula>
    </cfRule>
  </conditionalFormatting>
  <conditionalFormatting sqref="C59">
    <cfRule type="expression" dxfId="1142" priority="711">
      <formula>$C59&lt;$E59</formula>
    </cfRule>
  </conditionalFormatting>
  <conditionalFormatting sqref="E59">
    <cfRule type="expression" dxfId="1141" priority="710">
      <formula>$C59&lt;$E59</formula>
    </cfRule>
  </conditionalFormatting>
  <conditionalFormatting sqref="E59">
    <cfRule type="expression" dxfId="1140" priority="709">
      <formula>$C59&gt;$E59</formula>
    </cfRule>
  </conditionalFormatting>
  <conditionalFormatting sqref="C60">
    <cfRule type="expression" dxfId="1139" priority="708">
      <formula>$C60&gt;$E60</formula>
    </cfRule>
  </conditionalFormatting>
  <conditionalFormatting sqref="C60">
    <cfRule type="expression" dxfId="1138" priority="707">
      <formula>$C60&lt;$E60</formula>
    </cfRule>
  </conditionalFormatting>
  <conditionalFormatting sqref="E60">
    <cfRule type="expression" dxfId="1137" priority="706">
      <formula>$C60&lt;$E60</formula>
    </cfRule>
  </conditionalFormatting>
  <conditionalFormatting sqref="E60">
    <cfRule type="expression" dxfId="1136" priority="705">
      <formula>$C60&gt;$E60</formula>
    </cfRule>
  </conditionalFormatting>
  <conditionalFormatting sqref="C62">
    <cfRule type="expression" dxfId="1135" priority="704">
      <formula>$C62&gt;$E62</formula>
    </cfRule>
  </conditionalFormatting>
  <conditionalFormatting sqref="C62">
    <cfRule type="expression" dxfId="1134" priority="703">
      <formula>$C62&lt;$E62</formula>
    </cfRule>
  </conditionalFormatting>
  <conditionalFormatting sqref="E62">
    <cfRule type="expression" dxfId="1133" priority="702">
      <formula>$C62&lt;$E62</formula>
    </cfRule>
  </conditionalFormatting>
  <conditionalFormatting sqref="E62">
    <cfRule type="expression" dxfId="1132" priority="701">
      <formula>$C62&gt;$E62</formula>
    </cfRule>
  </conditionalFormatting>
  <conditionalFormatting sqref="C63">
    <cfRule type="expression" dxfId="1131" priority="700">
      <formula>$C63&gt;$E63</formula>
    </cfRule>
  </conditionalFormatting>
  <conditionalFormatting sqref="C63">
    <cfRule type="expression" dxfId="1130" priority="699">
      <formula>$C63&lt;$E63</formula>
    </cfRule>
  </conditionalFormatting>
  <conditionalFormatting sqref="E63">
    <cfRule type="expression" dxfId="1129" priority="698">
      <formula>$C63&lt;$E63</formula>
    </cfRule>
  </conditionalFormatting>
  <conditionalFormatting sqref="E63">
    <cfRule type="expression" dxfId="1128" priority="697">
      <formula>$C63&gt;$E63</formula>
    </cfRule>
  </conditionalFormatting>
  <conditionalFormatting sqref="C64">
    <cfRule type="expression" dxfId="1127" priority="696">
      <formula>$C64&gt;$E64</formula>
    </cfRule>
  </conditionalFormatting>
  <conditionalFormatting sqref="C64">
    <cfRule type="expression" dxfId="1126" priority="695">
      <formula>$C64&lt;$E64</formula>
    </cfRule>
  </conditionalFormatting>
  <conditionalFormatting sqref="E64">
    <cfRule type="expression" dxfId="1125" priority="694">
      <formula>$C64&lt;$E64</formula>
    </cfRule>
  </conditionalFormatting>
  <conditionalFormatting sqref="E64">
    <cfRule type="expression" dxfId="1124" priority="693">
      <formula>$C64&gt;$E64</formula>
    </cfRule>
  </conditionalFormatting>
  <conditionalFormatting sqref="C65">
    <cfRule type="expression" dxfId="1123" priority="692">
      <formula>$C65&gt;$E65</formula>
    </cfRule>
  </conditionalFormatting>
  <conditionalFormatting sqref="C65">
    <cfRule type="expression" dxfId="1122" priority="691">
      <formula>$C65&lt;$E65</formula>
    </cfRule>
  </conditionalFormatting>
  <conditionalFormatting sqref="E65">
    <cfRule type="expression" dxfId="1121" priority="690">
      <formula>$C65&lt;$E65</formula>
    </cfRule>
  </conditionalFormatting>
  <conditionalFormatting sqref="E65">
    <cfRule type="expression" dxfId="1120" priority="689">
      <formula>$C65&gt;$E65</formula>
    </cfRule>
  </conditionalFormatting>
  <conditionalFormatting sqref="C66">
    <cfRule type="expression" dxfId="1119" priority="688">
      <formula>$C66&gt;$E66</formula>
    </cfRule>
  </conditionalFormatting>
  <conditionalFormatting sqref="C66">
    <cfRule type="expression" dxfId="1118" priority="687">
      <formula>$C66&lt;$E66</formula>
    </cfRule>
  </conditionalFormatting>
  <conditionalFormatting sqref="E66">
    <cfRule type="expression" dxfId="1117" priority="686">
      <formula>$C66&lt;$E66</formula>
    </cfRule>
  </conditionalFormatting>
  <conditionalFormatting sqref="E66">
    <cfRule type="expression" dxfId="1116" priority="685">
      <formula>$C66&gt;$E66</formula>
    </cfRule>
  </conditionalFormatting>
  <conditionalFormatting sqref="C67">
    <cfRule type="expression" dxfId="1115" priority="684">
      <formula>$C67&gt;$E67</formula>
    </cfRule>
  </conditionalFormatting>
  <conditionalFormatting sqref="C67">
    <cfRule type="expression" dxfId="1114" priority="683">
      <formula>$C67&lt;$E67</formula>
    </cfRule>
  </conditionalFormatting>
  <conditionalFormatting sqref="E67">
    <cfRule type="expression" dxfId="1113" priority="682">
      <formula>$C67&lt;$E67</formula>
    </cfRule>
  </conditionalFormatting>
  <conditionalFormatting sqref="E67">
    <cfRule type="expression" dxfId="1112" priority="681">
      <formula>$C67&gt;$E67</formula>
    </cfRule>
  </conditionalFormatting>
  <conditionalFormatting sqref="C68">
    <cfRule type="expression" dxfId="1111" priority="680">
      <formula>$C68&gt;$E68</formula>
    </cfRule>
  </conditionalFormatting>
  <conditionalFormatting sqref="C68">
    <cfRule type="expression" dxfId="1110" priority="679">
      <formula>$C68&lt;$E68</formula>
    </cfRule>
  </conditionalFormatting>
  <conditionalFormatting sqref="E68">
    <cfRule type="expression" dxfId="1109" priority="678">
      <formula>$C68&lt;$E68</formula>
    </cfRule>
  </conditionalFormatting>
  <conditionalFormatting sqref="E68">
    <cfRule type="expression" dxfId="1108" priority="677">
      <formula>$C68&gt;$E68</formula>
    </cfRule>
  </conditionalFormatting>
  <conditionalFormatting sqref="C69">
    <cfRule type="expression" dxfId="1107" priority="676">
      <formula>$C69&gt;$E69</formula>
    </cfRule>
  </conditionalFormatting>
  <conditionalFormatting sqref="C69">
    <cfRule type="expression" dxfId="1106" priority="675">
      <formula>$C69&lt;$E69</formula>
    </cfRule>
  </conditionalFormatting>
  <conditionalFormatting sqref="E69">
    <cfRule type="expression" dxfId="1105" priority="674">
      <formula>$C69&lt;$E69</formula>
    </cfRule>
  </conditionalFormatting>
  <conditionalFormatting sqref="E69">
    <cfRule type="expression" dxfId="1104" priority="673">
      <formula>$C69&gt;$E69</formula>
    </cfRule>
  </conditionalFormatting>
  <conditionalFormatting sqref="C70">
    <cfRule type="expression" dxfId="1103" priority="672">
      <formula>$C70&gt;$E70</formula>
    </cfRule>
  </conditionalFormatting>
  <conditionalFormatting sqref="C70">
    <cfRule type="expression" dxfId="1102" priority="671">
      <formula>$C70&lt;$E70</formula>
    </cfRule>
  </conditionalFormatting>
  <conditionalFormatting sqref="E70">
    <cfRule type="expression" dxfId="1101" priority="670">
      <formula>$C70&lt;$E70</formula>
    </cfRule>
  </conditionalFormatting>
  <conditionalFormatting sqref="E70">
    <cfRule type="expression" dxfId="1100" priority="669">
      <formula>$C70&gt;$E70</formula>
    </cfRule>
  </conditionalFormatting>
  <conditionalFormatting sqref="C71">
    <cfRule type="expression" dxfId="1099" priority="668">
      <formula>$C71&gt;$E71</formula>
    </cfRule>
  </conditionalFormatting>
  <conditionalFormatting sqref="C71">
    <cfRule type="expression" dxfId="1098" priority="667">
      <formula>$C71&lt;$E71</formula>
    </cfRule>
  </conditionalFormatting>
  <conditionalFormatting sqref="E71">
    <cfRule type="expression" dxfId="1097" priority="666">
      <formula>$C71&lt;$E71</formula>
    </cfRule>
  </conditionalFormatting>
  <conditionalFormatting sqref="E71">
    <cfRule type="expression" dxfId="1096" priority="665">
      <formula>$C71&gt;$E71</formula>
    </cfRule>
  </conditionalFormatting>
  <conditionalFormatting sqref="C72">
    <cfRule type="expression" dxfId="1095" priority="664">
      <formula>$C72&gt;$E72</formula>
    </cfRule>
  </conditionalFormatting>
  <conditionalFormatting sqref="C72">
    <cfRule type="expression" dxfId="1094" priority="663">
      <formula>$C72&lt;$E72</formula>
    </cfRule>
  </conditionalFormatting>
  <conditionalFormatting sqref="E72">
    <cfRule type="expression" dxfId="1093" priority="662">
      <formula>$C72&lt;$E72</formula>
    </cfRule>
  </conditionalFormatting>
  <conditionalFormatting sqref="E72">
    <cfRule type="expression" dxfId="1092" priority="661">
      <formula>$C72&gt;$E72</formula>
    </cfRule>
  </conditionalFormatting>
  <conditionalFormatting sqref="C74">
    <cfRule type="expression" dxfId="1091" priority="660">
      <formula>$C74&gt;$E74</formula>
    </cfRule>
  </conditionalFormatting>
  <conditionalFormatting sqref="C74">
    <cfRule type="expression" dxfId="1090" priority="659">
      <formula>$C74&lt;$E74</formula>
    </cfRule>
  </conditionalFormatting>
  <conditionalFormatting sqref="E74">
    <cfRule type="expression" dxfId="1089" priority="658">
      <formula>$C74&lt;$E74</formula>
    </cfRule>
  </conditionalFormatting>
  <conditionalFormatting sqref="E74">
    <cfRule type="expression" dxfId="1088" priority="657">
      <formula>$C74&gt;$E74</formula>
    </cfRule>
  </conditionalFormatting>
  <conditionalFormatting sqref="C75">
    <cfRule type="expression" dxfId="1087" priority="656">
      <formula>$C75&gt;$E75</formula>
    </cfRule>
  </conditionalFormatting>
  <conditionalFormatting sqref="C75">
    <cfRule type="expression" dxfId="1086" priority="655">
      <formula>$C75&lt;$E75</formula>
    </cfRule>
  </conditionalFormatting>
  <conditionalFormatting sqref="E75">
    <cfRule type="expression" dxfId="1085" priority="654">
      <formula>$C75&lt;$E75</formula>
    </cfRule>
  </conditionalFormatting>
  <conditionalFormatting sqref="E75">
    <cfRule type="expression" dxfId="1084" priority="653">
      <formula>$C75&gt;$E75</formula>
    </cfRule>
  </conditionalFormatting>
  <conditionalFormatting sqref="C76">
    <cfRule type="expression" dxfId="1083" priority="652">
      <formula>$C76&gt;$E76</formula>
    </cfRule>
  </conditionalFormatting>
  <conditionalFormatting sqref="C76">
    <cfRule type="expression" dxfId="1082" priority="651">
      <formula>$C76&lt;$E76</formula>
    </cfRule>
  </conditionalFormatting>
  <conditionalFormatting sqref="E76">
    <cfRule type="expression" dxfId="1081" priority="650">
      <formula>$C76&lt;$E76</formula>
    </cfRule>
  </conditionalFormatting>
  <conditionalFormatting sqref="E76">
    <cfRule type="expression" dxfId="1080" priority="649">
      <formula>$C76&gt;$E76</formula>
    </cfRule>
  </conditionalFormatting>
  <conditionalFormatting sqref="C77">
    <cfRule type="expression" dxfId="1079" priority="648">
      <formula>$C77&gt;$E77</formula>
    </cfRule>
  </conditionalFormatting>
  <conditionalFormatting sqref="C77">
    <cfRule type="expression" dxfId="1078" priority="647">
      <formula>$C77&lt;$E77</formula>
    </cfRule>
  </conditionalFormatting>
  <conditionalFormatting sqref="E77">
    <cfRule type="expression" dxfId="1077" priority="646">
      <formula>$C77&lt;$E77</formula>
    </cfRule>
  </conditionalFormatting>
  <conditionalFormatting sqref="E77">
    <cfRule type="expression" dxfId="1076" priority="645">
      <formula>$C77&gt;$E77</formula>
    </cfRule>
  </conditionalFormatting>
  <conditionalFormatting sqref="C78">
    <cfRule type="expression" dxfId="1075" priority="644">
      <formula>$C78&gt;$E78</formula>
    </cfRule>
  </conditionalFormatting>
  <conditionalFormatting sqref="C78">
    <cfRule type="expression" dxfId="1074" priority="643">
      <formula>$C78&lt;$E78</formula>
    </cfRule>
  </conditionalFormatting>
  <conditionalFormatting sqref="E78">
    <cfRule type="expression" dxfId="1073" priority="642">
      <formula>$C78&lt;$E78</formula>
    </cfRule>
  </conditionalFormatting>
  <conditionalFormatting sqref="E78">
    <cfRule type="expression" dxfId="1072" priority="641">
      <formula>$C78&gt;$E78</formula>
    </cfRule>
  </conditionalFormatting>
  <conditionalFormatting sqref="C79">
    <cfRule type="expression" dxfId="1071" priority="640">
      <formula>$C79&gt;$E79</formula>
    </cfRule>
  </conditionalFormatting>
  <conditionalFormatting sqref="C79">
    <cfRule type="expression" dxfId="1070" priority="639">
      <formula>$C79&lt;$E79</formula>
    </cfRule>
  </conditionalFormatting>
  <conditionalFormatting sqref="E79">
    <cfRule type="expression" dxfId="1069" priority="638">
      <formula>$C79&lt;$E79</formula>
    </cfRule>
  </conditionalFormatting>
  <conditionalFormatting sqref="E79">
    <cfRule type="expression" dxfId="1068" priority="637">
      <formula>$C79&gt;$E79</formula>
    </cfRule>
  </conditionalFormatting>
  <conditionalFormatting sqref="C80">
    <cfRule type="expression" dxfId="1067" priority="636">
      <formula>$C80&gt;$E80</formula>
    </cfRule>
  </conditionalFormatting>
  <conditionalFormatting sqref="C80">
    <cfRule type="expression" dxfId="1066" priority="635">
      <formula>$C80&lt;$E80</formula>
    </cfRule>
  </conditionalFormatting>
  <conditionalFormatting sqref="E80">
    <cfRule type="expression" dxfId="1065" priority="634">
      <formula>$C80&lt;$E80</formula>
    </cfRule>
  </conditionalFormatting>
  <conditionalFormatting sqref="E80">
    <cfRule type="expression" dxfId="1064" priority="633">
      <formula>$C80&gt;$E80</formula>
    </cfRule>
  </conditionalFormatting>
  <conditionalFormatting sqref="C81">
    <cfRule type="expression" dxfId="1063" priority="632">
      <formula>$C81&gt;$E81</formula>
    </cfRule>
  </conditionalFormatting>
  <conditionalFormatting sqref="C81">
    <cfRule type="expression" dxfId="1062" priority="631">
      <formula>$C81&lt;$E81</formula>
    </cfRule>
  </conditionalFormatting>
  <conditionalFormatting sqref="E81">
    <cfRule type="expression" dxfId="1061" priority="630">
      <formula>$C81&lt;$E81</formula>
    </cfRule>
  </conditionalFormatting>
  <conditionalFormatting sqref="E81">
    <cfRule type="expression" dxfId="1060" priority="629">
      <formula>$C81&gt;$E81</formula>
    </cfRule>
  </conditionalFormatting>
  <conditionalFormatting sqref="C82">
    <cfRule type="expression" dxfId="1059" priority="628">
      <formula>$C82&gt;$E82</formula>
    </cfRule>
  </conditionalFormatting>
  <conditionalFormatting sqref="C82">
    <cfRule type="expression" dxfId="1058" priority="627">
      <formula>$C82&lt;$E82</formula>
    </cfRule>
  </conditionalFormatting>
  <conditionalFormatting sqref="E82">
    <cfRule type="expression" dxfId="1057" priority="626">
      <formula>$C82&lt;$E82</formula>
    </cfRule>
  </conditionalFormatting>
  <conditionalFormatting sqref="E82">
    <cfRule type="expression" dxfId="1056" priority="625">
      <formula>$C82&gt;$E82</formula>
    </cfRule>
  </conditionalFormatting>
  <conditionalFormatting sqref="C83">
    <cfRule type="expression" dxfId="1055" priority="624">
      <formula>$C83&gt;$E83</formula>
    </cfRule>
  </conditionalFormatting>
  <conditionalFormatting sqref="C83">
    <cfRule type="expression" dxfId="1054" priority="623">
      <formula>$C83&lt;$E83</formula>
    </cfRule>
  </conditionalFormatting>
  <conditionalFormatting sqref="E83">
    <cfRule type="expression" dxfId="1053" priority="622">
      <formula>$C83&lt;$E83</formula>
    </cfRule>
  </conditionalFormatting>
  <conditionalFormatting sqref="E83">
    <cfRule type="expression" dxfId="1052" priority="621">
      <formula>$C83&gt;$E83</formula>
    </cfRule>
  </conditionalFormatting>
  <conditionalFormatting sqref="C84">
    <cfRule type="expression" dxfId="1051" priority="620">
      <formula>$C84&gt;$E84</formula>
    </cfRule>
  </conditionalFormatting>
  <conditionalFormatting sqref="C84">
    <cfRule type="expression" dxfId="1050" priority="619">
      <formula>$C84&lt;$E84</formula>
    </cfRule>
  </conditionalFormatting>
  <conditionalFormatting sqref="E84">
    <cfRule type="expression" dxfId="1049" priority="618">
      <formula>$C84&lt;$E84</formula>
    </cfRule>
  </conditionalFormatting>
  <conditionalFormatting sqref="E84">
    <cfRule type="expression" dxfId="1048" priority="617">
      <formula>$C84&gt;$E84</formula>
    </cfRule>
  </conditionalFormatting>
  <conditionalFormatting sqref="C86">
    <cfRule type="expression" dxfId="1047" priority="616">
      <formula>$C86&gt;$E86</formula>
    </cfRule>
  </conditionalFormatting>
  <conditionalFormatting sqref="C86">
    <cfRule type="expression" dxfId="1046" priority="615">
      <formula>$C86&lt;$E86</formula>
    </cfRule>
  </conditionalFormatting>
  <conditionalFormatting sqref="E86">
    <cfRule type="expression" dxfId="1045" priority="614">
      <formula>$C86&lt;$E86</formula>
    </cfRule>
  </conditionalFormatting>
  <conditionalFormatting sqref="E86">
    <cfRule type="expression" dxfId="1044" priority="613">
      <formula>$C86&gt;$E86</formula>
    </cfRule>
  </conditionalFormatting>
  <conditionalFormatting sqref="C87">
    <cfRule type="expression" dxfId="1043" priority="612">
      <formula>$C87&gt;$E87</formula>
    </cfRule>
  </conditionalFormatting>
  <conditionalFormatting sqref="C87">
    <cfRule type="expression" dxfId="1042" priority="611">
      <formula>$C87&lt;$E87</formula>
    </cfRule>
  </conditionalFormatting>
  <conditionalFormatting sqref="E87">
    <cfRule type="expression" dxfId="1041" priority="610">
      <formula>$C87&lt;$E87</formula>
    </cfRule>
  </conditionalFormatting>
  <conditionalFormatting sqref="E87">
    <cfRule type="expression" dxfId="1040" priority="609">
      <formula>$C87&gt;$E87</formula>
    </cfRule>
  </conditionalFormatting>
  <conditionalFormatting sqref="C88">
    <cfRule type="expression" dxfId="1039" priority="608">
      <formula>$C88&gt;$E88</formula>
    </cfRule>
  </conditionalFormatting>
  <conditionalFormatting sqref="C88">
    <cfRule type="expression" dxfId="1038" priority="607">
      <formula>$C88&lt;$E88</formula>
    </cfRule>
  </conditionalFormatting>
  <conditionalFormatting sqref="E88">
    <cfRule type="expression" dxfId="1037" priority="606">
      <formula>$C88&lt;$E88</formula>
    </cfRule>
  </conditionalFormatting>
  <conditionalFormatting sqref="E88">
    <cfRule type="expression" dxfId="1036" priority="605">
      <formula>$C88&gt;$E88</formula>
    </cfRule>
  </conditionalFormatting>
  <conditionalFormatting sqref="C89">
    <cfRule type="expression" dxfId="1035" priority="604">
      <formula>$C89&gt;$E89</formula>
    </cfRule>
  </conditionalFormatting>
  <conditionalFormatting sqref="C89">
    <cfRule type="expression" dxfId="1034" priority="603">
      <formula>$C89&lt;$E89</formula>
    </cfRule>
  </conditionalFormatting>
  <conditionalFormatting sqref="E89">
    <cfRule type="expression" dxfId="1033" priority="602">
      <formula>$C89&lt;$E89</formula>
    </cfRule>
  </conditionalFormatting>
  <conditionalFormatting sqref="E89">
    <cfRule type="expression" dxfId="1032" priority="601">
      <formula>$C89&gt;$E89</formula>
    </cfRule>
  </conditionalFormatting>
  <conditionalFormatting sqref="C90">
    <cfRule type="expression" dxfId="1031" priority="600">
      <formula>$C90&gt;$E90</formula>
    </cfRule>
  </conditionalFormatting>
  <conditionalFormatting sqref="C90">
    <cfRule type="expression" dxfId="1030" priority="599">
      <formula>$C90&lt;$E90</formula>
    </cfRule>
  </conditionalFormatting>
  <conditionalFormatting sqref="E90">
    <cfRule type="expression" dxfId="1029" priority="598">
      <formula>$C90&lt;$E90</formula>
    </cfRule>
  </conditionalFormatting>
  <conditionalFormatting sqref="E90">
    <cfRule type="expression" dxfId="1028" priority="597">
      <formula>$C90&gt;$E90</formula>
    </cfRule>
  </conditionalFormatting>
  <conditionalFormatting sqref="C91">
    <cfRule type="expression" dxfId="1027" priority="596">
      <formula>$C91&gt;$E91</formula>
    </cfRule>
  </conditionalFormatting>
  <conditionalFormatting sqref="C91">
    <cfRule type="expression" dxfId="1026" priority="595">
      <formula>$C91&lt;$E91</formula>
    </cfRule>
  </conditionalFormatting>
  <conditionalFormatting sqref="E91">
    <cfRule type="expression" dxfId="1025" priority="594">
      <formula>$C91&lt;$E91</formula>
    </cfRule>
  </conditionalFormatting>
  <conditionalFormatting sqref="E91">
    <cfRule type="expression" dxfId="1024" priority="593">
      <formula>$C91&gt;$E91</formula>
    </cfRule>
  </conditionalFormatting>
  <conditionalFormatting sqref="C92">
    <cfRule type="expression" dxfId="1023" priority="592">
      <formula>$C92&gt;$E92</formula>
    </cfRule>
  </conditionalFormatting>
  <conditionalFormatting sqref="C92">
    <cfRule type="expression" dxfId="1022" priority="591">
      <formula>$C92&lt;$E92</formula>
    </cfRule>
  </conditionalFormatting>
  <conditionalFormatting sqref="E92">
    <cfRule type="expression" dxfId="1021" priority="590">
      <formula>$C92&lt;$E92</formula>
    </cfRule>
  </conditionalFormatting>
  <conditionalFormatting sqref="E92">
    <cfRule type="expression" dxfId="1020" priority="589">
      <formula>$C92&gt;$E92</formula>
    </cfRule>
  </conditionalFormatting>
  <conditionalFormatting sqref="C93">
    <cfRule type="expression" dxfId="1019" priority="588">
      <formula>$C93&gt;$E93</formula>
    </cfRule>
  </conditionalFormatting>
  <conditionalFormatting sqref="C93">
    <cfRule type="expression" dxfId="1018" priority="587">
      <formula>$C93&lt;$E93</formula>
    </cfRule>
  </conditionalFormatting>
  <conditionalFormatting sqref="E93">
    <cfRule type="expression" dxfId="1017" priority="586">
      <formula>$C93&lt;$E93</formula>
    </cfRule>
  </conditionalFormatting>
  <conditionalFormatting sqref="E93">
    <cfRule type="expression" dxfId="1016" priority="585">
      <formula>$C93&gt;$E93</formula>
    </cfRule>
  </conditionalFormatting>
  <conditionalFormatting sqref="C94">
    <cfRule type="expression" dxfId="1015" priority="584">
      <formula>$C94&gt;$E94</formula>
    </cfRule>
  </conditionalFormatting>
  <conditionalFormatting sqref="C94">
    <cfRule type="expression" dxfId="1014" priority="583">
      <formula>$C94&lt;$E94</formula>
    </cfRule>
  </conditionalFormatting>
  <conditionalFormatting sqref="E94">
    <cfRule type="expression" dxfId="1013" priority="582">
      <formula>$C94&lt;$E94</formula>
    </cfRule>
  </conditionalFormatting>
  <conditionalFormatting sqref="E94">
    <cfRule type="expression" dxfId="1012" priority="581">
      <formula>$C94&gt;$E94</formula>
    </cfRule>
  </conditionalFormatting>
  <conditionalFormatting sqref="C95">
    <cfRule type="expression" dxfId="1011" priority="580">
      <formula>$C95&gt;$E95</formula>
    </cfRule>
  </conditionalFormatting>
  <conditionalFormatting sqref="C95">
    <cfRule type="expression" dxfId="1010" priority="579">
      <formula>$C95&lt;$E95</formula>
    </cfRule>
  </conditionalFormatting>
  <conditionalFormatting sqref="E95">
    <cfRule type="expression" dxfId="1009" priority="578">
      <formula>$C95&lt;$E95</formula>
    </cfRule>
  </conditionalFormatting>
  <conditionalFormatting sqref="E95">
    <cfRule type="expression" dxfId="1008" priority="577">
      <formula>$C95&gt;$E95</formula>
    </cfRule>
  </conditionalFormatting>
  <conditionalFormatting sqref="C96">
    <cfRule type="expression" dxfId="1007" priority="576">
      <formula>$C96&gt;$E96</formula>
    </cfRule>
  </conditionalFormatting>
  <conditionalFormatting sqref="C96">
    <cfRule type="expression" dxfId="1006" priority="575">
      <formula>$C96&lt;$E96</formula>
    </cfRule>
  </conditionalFormatting>
  <conditionalFormatting sqref="E96">
    <cfRule type="expression" dxfId="1005" priority="574">
      <formula>$C96&lt;$E96</formula>
    </cfRule>
  </conditionalFormatting>
  <conditionalFormatting sqref="E96">
    <cfRule type="expression" dxfId="1004" priority="573">
      <formula>$C96&gt;$E96</formula>
    </cfRule>
  </conditionalFormatting>
  <conditionalFormatting sqref="C98">
    <cfRule type="expression" dxfId="1003" priority="572">
      <formula>$C98&gt;$E98</formula>
    </cfRule>
  </conditionalFormatting>
  <conditionalFormatting sqref="C98">
    <cfRule type="expression" dxfId="1002" priority="571">
      <formula>$C98&lt;$E98</formula>
    </cfRule>
  </conditionalFormatting>
  <conditionalFormatting sqref="E98">
    <cfRule type="expression" dxfId="1001" priority="570">
      <formula>$C98&lt;$E98</formula>
    </cfRule>
  </conditionalFormatting>
  <conditionalFormatting sqref="E98">
    <cfRule type="expression" dxfId="1000" priority="569">
      <formula>$C98&gt;$E98</formula>
    </cfRule>
  </conditionalFormatting>
  <conditionalFormatting sqref="C99">
    <cfRule type="expression" dxfId="999" priority="568">
      <formula>$C99&gt;$E99</formula>
    </cfRule>
  </conditionalFormatting>
  <conditionalFormatting sqref="C99">
    <cfRule type="expression" dxfId="998" priority="567">
      <formula>$C99&lt;$E99</formula>
    </cfRule>
  </conditionalFormatting>
  <conditionalFormatting sqref="E99">
    <cfRule type="expression" dxfId="997" priority="566">
      <formula>$C99&lt;$E99</formula>
    </cfRule>
  </conditionalFormatting>
  <conditionalFormatting sqref="E99">
    <cfRule type="expression" dxfId="996" priority="565">
      <formula>$C99&gt;$E99</formula>
    </cfRule>
  </conditionalFormatting>
  <conditionalFormatting sqref="C100">
    <cfRule type="expression" dxfId="995" priority="564">
      <formula>$C100&gt;$E100</formula>
    </cfRule>
  </conditionalFormatting>
  <conditionalFormatting sqref="C100">
    <cfRule type="expression" dxfId="994" priority="563">
      <formula>$C100&lt;$E100</formula>
    </cfRule>
  </conditionalFormatting>
  <conditionalFormatting sqref="E100">
    <cfRule type="expression" dxfId="993" priority="562">
      <formula>$C100&lt;$E100</formula>
    </cfRule>
  </conditionalFormatting>
  <conditionalFormatting sqref="E100">
    <cfRule type="expression" dxfId="992" priority="561">
      <formula>$C100&gt;$E100</formula>
    </cfRule>
  </conditionalFormatting>
  <conditionalFormatting sqref="C101">
    <cfRule type="expression" dxfId="991" priority="560">
      <formula>$C101&gt;$E101</formula>
    </cfRule>
  </conditionalFormatting>
  <conditionalFormatting sqref="C101">
    <cfRule type="expression" dxfId="990" priority="559">
      <formula>$C101&lt;$E101</formula>
    </cfRule>
  </conditionalFormatting>
  <conditionalFormatting sqref="E101">
    <cfRule type="expression" dxfId="989" priority="558">
      <formula>$C101&lt;$E101</formula>
    </cfRule>
  </conditionalFormatting>
  <conditionalFormatting sqref="E101">
    <cfRule type="expression" dxfId="988" priority="557">
      <formula>$C101&gt;$E101</formula>
    </cfRule>
  </conditionalFormatting>
  <conditionalFormatting sqref="C102">
    <cfRule type="expression" dxfId="987" priority="556">
      <formula>$C102&gt;$E102</formula>
    </cfRule>
  </conditionalFormatting>
  <conditionalFormatting sqref="C102">
    <cfRule type="expression" dxfId="986" priority="555">
      <formula>$C102&lt;$E102</formula>
    </cfRule>
  </conditionalFormatting>
  <conditionalFormatting sqref="E102">
    <cfRule type="expression" dxfId="985" priority="554">
      <formula>$C102&lt;$E102</formula>
    </cfRule>
  </conditionalFormatting>
  <conditionalFormatting sqref="E102">
    <cfRule type="expression" dxfId="984" priority="553">
      <formula>$C102&gt;$E102</formula>
    </cfRule>
  </conditionalFormatting>
  <conditionalFormatting sqref="C103">
    <cfRule type="expression" dxfId="983" priority="552">
      <formula>$C103&gt;$E103</formula>
    </cfRule>
  </conditionalFormatting>
  <conditionalFormatting sqref="C103">
    <cfRule type="expression" dxfId="982" priority="551">
      <formula>$C103&lt;$E103</formula>
    </cfRule>
  </conditionalFormatting>
  <conditionalFormatting sqref="E103">
    <cfRule type="expression" dxfId="981" priority="550">
      <formula>$C103&lt;$E103</formula>
    </cfRule>
  </conditionalFormatting>
  <conditionalFormatting sqref="E103">
    <cfRule type="expression" dxfId="980" priority="549">
      <formula>$C103&gt;$E103</formula>
    </cfRule>
  </conditionalFormatting>
  <conditionalFormatting sqref="C104">
    <cfRule type="expression" dxfId="979" priority="548">
      <formula>$C104&gt;$E104</formula>
    </cfRule>
  </conditionalFormatting>
  <conditionalFormatting sqref="C104">
    <cfRule type="expression" dxfId="978" priority="547">
      <formula>$C104&lt;$E104</formula>
    </cfRule>
  </conditionalFormatting>
  <conditionalFormatting sqref="E104">
    <cfRule type="expression" dxfId="977" priority="546">
      <formula>$C104&lt;$E104</formula>
    </cfRule>
  </conditionalFormatting>
  <conditionalFormatting sqref="E104">
    <cfRule type="expression" dxfId="976" priority="545">
      <formula>$C104&gt;$E104</formula>
    </cfRule>
  </conditionalFormatting>
  <conditionalFormatting sqref="C105">
    <cfRule type="expression" dxfId="975" priority="544">
      <formula>$C105&gt;$E105</formula>
    </cfRule>
  </conditionalFormatting>
  <conditionalFormatting sqref="C105">
    <cfRule type="expression" dxfId="974" priority="543">
      <formula>$C105&lt;$E105</formula>
    </cfRule>
  </conditionalFormatting>
  <conditionalFormatting sqref="E105">
    <cfRule type="expression" dxfId="973" priority="542">
      <formula>$C105&lt;$E105</formula>
    </cfRule>
  </conditionalFormatting>
  <conditionalFormatting sqref="E105">
    <cfRule type="expression" dxfId="972" priority="541">
      <formula>$C105&gt;$E105</formula>
    </cfRule>
  </conditionalFormatting>
  <conditionalFormatting sqref="C106">
    <cfRule type="expression" dxfId="971" priority="540">
      <formula>$C106&gt;$E106</formula>
    </cfRule>
  </conditionalFormatting>
  <conditionalFormatting sqref="C106">
    <cfRule type="expression" dxfId="970" priority="539">
      <formula>$C106&lt;$E106</formula>
    </cfRule>
  </conditionalFormatting>
  <conditionalFormatting sqref="E106">
    <cfRule type="expression" dxfId="969" priority="538">
      <formula>$C106&lt;$E106</formula>
    </cfRule>
  </conditionalFormatting>
  <conditionalFormatting sqref="E106">
    <cfRule type="expression" dxfId="968" priority="537">
      <formula>$C106&gt;$E106</formula>
    </cfRule>
  </conditionalFormatting>
  <conditionalFormatting sqref="C107">
    <cfRule type="expression" dxfId="967" priority="536">
      <formula>$C107&gt;$E107</formula>
    </cfRule>
  </conditionalFormatting>
  <conditionalFormatting sqref="C107">
    <cfRule type="expression" dxfId="966" priority="535">
      <formula>$C107&lt;$E107</formula>
    </cfRule>
  </conditionalFormatting>
  <conditionalFormatting sqref="E107">
    <cfRule type="expression" dxfId="965" priority="534">
      <formula>$C107&lt;$E107</formula>
    </cfRule>
  </conditionalFormatting>
  <conditionalFormatting sqref="E107">
    <cfRule type="expression" dxfId="964" priority="533">
      <formula>$C107&gt;$E107</formula>
    </cfRule>
  </conditionalFormatting>
  <conditionalFormatting sqref="C108">
    <cfRule type="expression" dxfId="963" priority="532">
      <formula>$C108&gt;$E108</formula>
    </cfRule>
  </conditionalFormatting>
  <conditionalFormatting sqref="C108">
    <cfRule type="expression" dxfId="962" priority="531">
      <formula>$C108&lt;$E108</formula>
    </cfRule>
  </conditionalFormatting>
  <conditionalFormatting sqref="E108">
    <cfRule type="expression" dxfId="961" priority="530">
      <formula>$C108&lt;$E108</formula>
    </cfRule>
  </conditionalFormatting>
  <conditionalFormatting sqref="E108">
    <cfRule type="expression" dxfId="960" priority="529">
      <formula>$C108&gt;$E108</formula>
    </cfRule>
  </conditionalFormatting>
  <conditionalFormatting sqref="C110">
    <cfRule type="expression" dxfId="959" priority="528">
      <formula>$C110&gt;$E110</formula>
    </cfRule>
  </conditionalFormatting>
  <conditionalFormatting sqref="C110">
    <cfRule type="expression" dxfId="958" priority="527">
      <formula>$C110&lt;$E110</formula>
    </cfRule>
  </conditionalFormatting>
  <conditionalFormatting sqref="E110">
    <cfRule type="expression" dxfId="957" priority="526">
      <formula>$C110&lt;$E110</formula>
    </cfRule>
  </conditionalFormatting>
  <conditionalFormatting sqref="E110">
    <cfRule type="expression" dxfId="956" priority="525">
      <formula>$C110&gt;$E110</formula>
    </cfRule>
  </conditionalFormatting>
  <conditionalFormatting sqref="C111">
    <cfRule type="expression" dxfId="955" priority="524">
      <formula>$C111&gt;$E111</formula>
    </cfRule>
  </conditionalFormatting>
  <conditionalFormatting sqref="C111">
    <cfRule type="expression" dxfId="954" priority="523">
      <formula>$C111&lt;$E111</formula>
    </cfRule>
  </conditionalFormatting>
  <conditionalFormatting sqref="E111">
    <cfRule type="expression" dxfId="953" priority="522">
      <formula>$C111&lt;$E111</formula>
    </cfRule>
  </conditionalFormatting>
  <conditionalFormatting sqref="E111">
    <cfRule type="expression" dxfId="952" priority="521">
      <formula>$C111&gt;$E111</formula>
    </cfRule>
  </conditionalFormatting>
  <conditionalFormatting sqref="C112">
    <cfRule type="expression" dxfId="951" priority="520">
      <formula>$C112&gt;$E112</formula>
    </cfRule>
  </conditionalFormatting>
  <conditionalFormatting sqref="C112">
    <cfRule type="expression" dxfId="950" priority="519">
      <formula>$C112&lt;$E112</formula>
    </cfRule>
  </conditionalFormatting>
  <conditionalFormatting sqref="E112">
    <cfRule type="expression" dxfId="949" priority="518">
      <formula>$C112&lt;$E112</formula>
    </cfRule>
  </conditionalFormatting>
  <conditionalFormatting sqref="E112">
    <cfRule type="expression" dxfId="948" priority="517">
      <formula>$C112&gt;$E112</formula>
    </cfRule>
  </conditionalFormatting>
  <conditionalFormatting sqref="C113">
    <cfRule type="expression" dxfId="947" priority="516">
      <formula>$C113&gt;$E113</formula>
    </cfRule>
  </conditionalFormatting>
  <conditionalFormatting sqref="C113">
    <cfRule type="expression" dxfId="946" priority="515">
      <formula>$C113&lt;$E113</formula>
    </cfRule>
  </conditionalFormatting>
  <conditionalFormatting sqref="E113">
    <cfRule type="expression" dxfId="945" priority="514">
      <formula>$C113&lt;$E113</formula>
    </cfRule>
  </conditionalFormatting>
  <conditionalFormatting sqref="E113">
    <cfRule type="expression" dxfId="944" priority="513">
      <formula>$C113&gt;$E113</formula>
    </cfRule>
  </conditionalFormatting>
  <conditionalFormatting sqref="C114">
    <cfRule type="expression" dxfId="943" priority="512">
      <formula>$C114&gt;$E114</formula>
    </cfRule>
  </conditionalFormatting>
  <conditionalFormatting sqref="C114">
    <cfRule type="expression" dxfId="942" priority="511">
      <formula>$C114&lt;$E114</formula>
    </cfRule>
  </conditionalFormatting>
  <conditionalFormatting sqref="E114">
    <cfRule type="expression" dxfId="941" priority="510">
      <formula>$C114&lt;$E114</formula>
    </cfRule>
  </conditionalFormatting>
  <conditionalFormatting sqref="E114">
    <cfRule type="expression" dxfId="940" priority="509">
      <formula>$C114&gt;$E114</formula>
    </cfRule>
  </conditionalFormatting>
  <conditionalFormatting sqref="C115">
    <cfRule type="expression" dxfId="939" priority="508">
      <formula>$C115&gt;$E115</formula>
    </cfRule>
  </conditionalFormatting>
  <conditionalFormatting sqref="C115">
    <cfRule type="expression" dxfId="938" priority="507">
      <formula>$C115&lt;$E115</formula>
    </cfRule>
  </conditionalFormatting>
  <conditionalFormatting sqref="E115">
    <cfRule type="expression" dxfId="937" priority="506">
      <formula>$C115&lt;$E115</formula>
    </cfRule>
  </conditionalFormatting>
  <conditionalFormatting sqref="E115">
    <cfRule type="expression" dxfId="936" priority="505">
      <formula>$C115&gt;$E115</formula>
    </cfRule>
  </conditionalFormatting>
  <conditionalFormatting sqref="C116">
    <cfRule type="expression" dxfId="935" priority="504">
      <formula>$C116&gt;$E116</formula>
    </cfRule>
  </conditionalFormatting>
  <conditionalFormatting sqref="C116">
    <cfRule type="expression" dxfId="934" priority="503">
      <formula>$C116&lt;$E116</formula>
    </cfRule>
  </conditionalFormatting>
  <conditionalFormatting sqref="E116">
    <cfRule type="expression" dxfId="933" priority="502">
      <formula>$C116&lt;$E116</formula>
    </cfRule>
  </conditionalFormatting>
  <conditionalFormatting sqref="E116">
    <cfRule type="expression" dxfId="932" priority="501">
      <formula>$C116&gt;$E116</formula>
    </cfRule>
  </conditionalFormatting>
  <conditionalFormatting sqref="C117">
    <cfRule type="expression" dxfId="931" priority="500">
      <formula>$C117&gt;$E117</formula>
    </cfRule>
  </conditionalFormatting>
  <conditionalFormatting sqref="C117">
    <cfRule type="expression" dxfId="930" priority="499">
      <formula>$C117&lt;$E117</formula>
    </cfRule>
  </conditionalFormatting>
  <conditionalFormatting sqref="E117">
    <cfRule type="expression" dxfId="929" priority="498">
      <formula>$C117&lt;$E117</formula>
    </cfRule>
  </conditionalFormatting>
  <conditionalFormatting sqref="E117">
    <cfRule type="expression" dxfId="928" priority="497">
      <formula>$C117&gt;$E117</formula>
    </cfRule>
  </conditionalFormatting>
  <conditionalFormatting sqref="C118">
    <cfRule type="expression" dxfId="927" priority="496">
      <formula>$C118&gt;$E118</formula>
    </cfRule>
  </conditionalFormatting>
  <conditionalFormatting sqref="C118">
    <cfRule type="expression" dxfId="926" priority="495">
      <formula>$C118&lt;$E118</formula>
    </cfRule>
  </conditionalFormatting>
  <conditionalFormatting sqref="E118">
    <cfRule type="expression" dxfId="925" priority="494">
      <formula>$C118&lt;$E118</formula>
    </cfRule>
  </conditionalFormatting>
  <conditionalFormatting sqref="E118">
    <cfRule type="expression" dxfId="924" priority="493">
      <formula>$C118&gt;$E118</formula>
    </cfRule>
  </conditionalFormatting>
  <conditionalFormatting sqref="C119">
    <cfRule type="expression" dxfId="923" priority="492">
      <formula>$C119&gt;$E119</formula>
    </cfRule>
  </conditionalFormatting>
  <conditionalFormatting sqref="C119">
    <cfRule type="expression" dxfId="922" priority="491">
      <formula>$C119&lt;$E119</formula>
    </cfRule>
  </conditionalFormatting>
  <conditionalFormatting sqref="E119">
    <cfRule type="expression" dxfId="921" priority="490">
      <formula>$C119&lt;$E119</formula>
    </cfRule>
  </conditionalFormatting>
  <conditionalFormatting sqref="E119">
    <cfRule type="expression" dxfId="920" priority="489">
      <formula>$C119&gt;$E119</formula>
    </cfRule>
  </conditionalFormatting>
  <conditionalFormatting sqref="C120">
    <cfRule type="expression" dxfId="919" priority="488">
      <formula>$C120&gt;$E120</formula>
    </cfRule>
  </conditionalFormatting>
  <conditionalFormatting sqref="C120">
    <cfRule type="expression" dxfId="918" priority="487">
      <formula>$C120&lt;$E120</formula>
    </cfRule>
  </conditionalFormatting>
  <conditionalFormatting sqref="E120">
    <cfRule type="expression" dxfId="917" priority="486">
      <formula>$C120&lt;$E120</formula>
    </cfRule>
  </conditionalFormatting>
  <conditionalFormatting sqref="E120">
    <cfRule type="expression" dxfId="916" priority="485">
      <formula>$C120&gt;$E120</formula>
    </cfRule>
  </conditionalFormatting>
  <conditionalFormatting sqref="C122">
    <cfRule type="expression" dxfId="915" priority="484">
      <formula>$C122&gt;$E122</formula>
    </cfRule>
  </conditionalFormatting>
  <conditionalFormatting sqref="C122">
    <cfRule type="expression" dxfId="914" priority="483">
      <formula>$C122&lt;$E122</formula>
    </cfRule>
  </conditionalFormatting>
  <conditionalFormatting sqref="E122">
    <cfRule type="expression" dxfId="913" priority="482">
      <formula>$C122&lt;$E122</formula>
    </cfRule>
  </conditionalFormatting>
  <conditionalFormatting sqref="E122">
    <cfRule type="expression" dxfId="912" priority="481">
      <formula>$C122&gt;$E122</formula>
    </cfRule>
  </conditionalFormatting>
  <conditionalFormatting sqref="C123">
    <cfRule type="expression" dxfId="911" priority="480">
      <formula>$C123&gt;$E123</formula>
    </cfRule>
  </conditionalFormatting>
  <conditionalFormatting sqref="C123">
    <cfRule type="expression" dxfId="910" priority="479">
      <formula>$C123&lt;$E123</formula>
    </cfRule>
  </conditionalFormatting>
  <conditionalFormatting sqref="E123">
    <cfRule type="expression" dxfId="909" priority="478">
      <formula>$C123&lt;$E123</formula>
    </cfRule>
  </conditionalFormatting>
  <conditionalFormatting sqref="E123">
    <cfRule type="expression" dxfId="908" priority="477">
      <formula>$C123&gt;$E123</formula>
    </cfRule>
  </conditionalFormatting>
  <conditionalFormatting sqref="C124">
    <cfRule type="expression" dxfId="907" priority="476">
      <formula>$C124&gt;$E124</formula>
    </cfRule>
  </conditionalFormatting>
  <conditionalFormatting sqref="C124">
    <cfRule type="expression" dxfId="906" priority="475">
      <formula>$C124&lt;$E124</formula>
    </cfRule>
  </conditionalFormatting>
  <conditionalFormatting sqref="E124">
    <cfRule type="expression" dxfId="905" priority="474">
      <formula>$C124&lt;$E124</formula>
    </cfRule>
  </conditionalFormatting>
  <conditionalFormatting sqref="E124">
    <cfRule type="expression" dxfId="904" priority="473">
      <formula>$C124&gt;$E124</formula>
    </cfRule>
  </conditionalFormatting>
  <conditionalFormatting sqref="C125">
    <cfRule type="expression" dxfId="903" priority="472">
      <formula>$C125&gt;$E125</formula>
    </cfRule>
  </conditionalFormatting>
  <conditionalFormatting sqref="C125">
    <cfRule type="expression" dxfId="902" priority="471">
      <formula>$C125&lt;$E125</formula>
    </cfRule>
  </conditionalFormatting>
  <conditionalFormatting sqref="E125">
    <cfRule type="expression" dxfId="901" priority="470">
      <formula>$C125&lt;$E125</formula>
    </cfRule>
  </conditionalFormatting>
  <conditionalFormatting sqref="E125">
    <cfRule type="expression" dxfId="900" priority="469">
      <formula>$C125&gt;$E125</formula>
    </cfRule>
  </conditionalFormatting>
  <conditionalFormatting sqref="C126">
    <cfRule type="expression" dxfId="899" priority="468">
      <formula>$C126&gt;$E126</formula>
    </cfRule>
  </conditionalFormatting>
  <conditionalFormatting sqref="C126">
    <cfRule type="expression" dxfId="898" priority="467">
      <formula>$C126&lt;$E126</formula>
    </cfRule>
  </conditionalFormatting>
  <conditionalFormatting sqref="E126">
    <cfRule type="expression" dxfId="897" priority="466">
      <formula>$C126&lt;$E126</formula>
    </cfRule>
  </conditionalFormatting>
  <conditionalFormatting sqref="E126">
    <cfRule type="expression" dxfId="896" priority="465">
      <formula>$C126&gt;$E126</formula>
    </cfRule>
  </conditionalFormatting>
  <conditionalFormatting sqref="C127">
    <cfRule type="expression" dxfId="895" priority="464">
      <formula>$C127&gt;$E127</formula>
    </cfRule>
  </conditionalFormatting>
  <conditionalFormatting sqref="C127">
    <cfRule type="expression" dxfId="894" priority="463">
      <formula>$C127&lt;$E127</formula>
    </cfRule>
  </conditionalFormatting>
  <conditionalFormatting sqref="E127">
    <cfRule type="expression" dxfId="893" priority="462">
      <formula>$C127&lt;$E127</formula>
    </cfRule>
  </conditionalFormatting>
  <conditionalFormatting sqref="E127">
    <cfRule type="expression" dxfId="892" priority="461">
      <formula>$C127&gt;$E127</formula>
    </cfRule>
  </conditionalFormatting>
  <conditionalFormatting sqref="C128">
    <cfRule type="expression" dxfId="891" priority="460">
      <formula>$C128&gt;$E128</formula>
    </cfRule>
  </conditionalFormatting>
  <conditionalFormatting sqref="C128">
    <cfRule type="expression" dxfId="890" priority="459">
      <formula>$C128&lt;$E128</formula>
    </cfRule>
  </conditionalFormatting>
  <conditionalFormatting sqref="E128">
    <cfRule type="expression" dxfId="889" priority="458">
      <formula>$C128&lt;$E128</formula>
    </cfRule>
  </conditionalFormatting>
  <conditionalFormatting sqref="E128">
    <cfRule type="expression" dxfId="888" priority="457">
      <formula>$C128&gt;$E128</formula>
    </cfRule>
  </conditionalFormatting>
  <conditionalFormatting sqref="C129">
    <cfRule type="expression" dxfId="887" priority="456">
      <formula>$C129&gt;$E129</formula>
    </cfRule>
  </conditionalFormatting>
  <conditionalFormatting sqref="C129">
    <cfRule type="expression" dxfId="886" priority="455">
      <formula>$C129&lt;$E129</formula>
    </cfRule>
  </conditionalFormatting>
  <conditionalFormatting sqref="E129">
    <cfRule type="expression" dxfId="885" priority="454">
      <formula>$C129&lt;$E129</formula>
    </cfRule>
  </conditionalFormatting>
  <conditionalFormatting sqref="E129">
    <cfRule type="expression" dxfId="884" priority="453">
      <formula>$C129&gt;$E129</formula>
    </cfRule>
  </conditionalFormatting>
  <conditionalFormatting sqref="C130">
    <cfRule type="expression" dxfId="883" priority="452">
      <formula>$C130&gt;$E130</formula>
    </cfRule>
  </conditionalFormatting>
  <conditionalFormatting sqref="C130">
    <cfRule type="expression" dxfId="882" priority="451">
      <formula>$C130&lt;$E130</formula>
    </cfRule>
  </conditionalFormatting>
  <conditionalFormatting sqref="E130">
    <cfRule type="expression" dxfId="881" priority="450">
      <formula>$C130&lt;$E130</formula>
    </cfRule>
  </conditionalFormatting>
  <conditionalFormatting sqref="E130">
    <cfRule type="expression" dxfId="880" priority="449">
      <formula>$C130&gt;$E130</formula>
    </cfRule>
  </conditionalFormatting>
  <conditionalFormatting sqref="C131">
    <cfRule type="expression" dxfId="879" priority="448">
      <formula>$C131&gt;$E131</formula>
    </cfRule>
  </conditionalFormatting>
  <conditionalFormatting sqref="C131">
    <cfRule type="expression" dxfId="878" priority="447">
      <formula>$C131&lt;$E131</formula>
    </cfRule>
  </conditionalFormatting>
  <conditionalFormatting sqref="E131">
    <cfRule type="expression" dxfId="877" priority="446">
      <formula>$C131&lt;$E131</formula>
    </cfRule>
  </conditionalFormatting>
  <conditionalFormatting sqref="E131">
    <cfRule type="expression" dxfId="876" priority="445">
      <formula>$C131&gt;$E131</formula>
    </cfRule>
  </conditionalFormatting>
  <conditionalFormatting sqref="C132">
    <cfRule type="expression" dxfId="875" priority="444">
      <formula>$C132&gt;$E132</formula>
    </cfRule>
  </conditionalFormatting>
  <conditionalFormatting sqref="C132">
    <cfRule type="expression" dxfId="874" priority="443">
      <formula>$C132&lt;$E132</formula>
    </cfRule>
  </conditionalFormatting>
  <conditionalFormatting sqref="E132">
    <cfRule type="expression" dxfId="873" priority="442">
      <formula>$C132&lt;$E132</formula>
    </cfRule>
  </conditionalFormatting>
  <conditionalFormatting sqref="E132">
    <cfRule type="expression" dxfId="872" priority="441">
      <formula>$C132&gt;$E132</formula>
    </cfRule>
  </conditionalFormatting>
  <conditionalFormatting sqref="C134">
    <cfRule type="expression" dxfId="871" priority="440">
      <formula>$C134&gt;$E134</formula>
    </cfRule>
  </conditionalFormatting>
  <conditionalFormatting sqref="C134">
    <cfRule type="expression" dxfId="870" priority="439">
      <formula>$C134&lt;$E134</formula>
    </cfRule>
  </conditionalFormatting>
  <conditionalFormatting sqref="E134">
    <cfRule type="expression" dxfId="869" priority="438">
      <formula>$C134&lt;$E134</formula>
    </cfRule>
  </conditionalFormatting>
  <conditionalFormatting sqref="E134">
    <cfRule type="expression" dxfId="868" priority="437">
      <formula>$C134&gt;$E134</formula>
    </cfRule>
  </conditionalFormatting>
  <conditionalFormatting sqref="C135">
    <cfRule type="expression" dxfId="867" priority="436">
      <formula>$C135&gt;$E135</formula>
    </cfRule>
  </conditionalFormatting>
  <conditionalFormatting sqref="C135">
    <cfRule type="expression" dxfId="866" priority="435">
      <formula>$C135&lt;$E135</formula>
    </cfRule>
  </conditionalFormatting>
  <conditionalFormatting sqref="E135">
    <cfRule type="expression" dxfId="865" priority="434">
      <formula>$C135&lt;$E135</formula>
    </cfRule>
  </conditionalFormatting>
  <conditionalFormatting sqref="E135">
    <cfRule type="expression" dxfId="864" priority="433">
      <formula>$C135&gt;$E135</formula>
    </cfRule>
  </conditionalFormatting>
  <conditionalFormatting sqref="C136">
    <cfRule type="expression" dxfId="863" priority="432">
      <formula>$C136&gt;$E136</formula>
    </cfRule>
  </conditionalFormatting>
  <conditionalFormatting sqref="C136">
    <cfRule type="expression" dxfId="862" priority="431">
      <formula>$C136&lt;$E136</formula>
    </cfRule>
  </conditionalFormatting>
  <conditionalFormatting sqref="E136">
    <cfRule type="expression" dxfId="861" priority="430">
      <formula>$C136&lt;$E136</formula>
    </cfRule>
  </conditionalFormatting>
  <conditionalFormatting sqref="E136">
    <cfRule type="expression" dxfId="860" priority="429">
      <formula>$C136&gt;$E136</formula>
    </cfRule>
  </conditionalFormatting>
  <conditionalFormatting sqref="C137">
    <cfRule type="expression" dxfId="859" priority="428">
      <formula>$C137&gt;$E137</formula>
    </cfRule>
  </conditionalFormatting>
  <conditionalFormatting sqref="C137">
    <cfRule type="expression" dxfId="858" priority="427">
      <formula>$C137&lt;$E137</formula>
    </cfRule>
  </conditionalFormatting>
  <conditionalFormatting sqref="E137">
    <cfRule type="expression" dxfId="857" priority="426">
      <formula>$C137&lt;$E137</formula>
    </cfRule>
  </conditionalFormatting>
  <conditionalFormatting sqref="E137">
    <cfRule type="expression" dxfId="856" priority="425">
      <formula>$C137&gt;$E137</formula>
    </cfRule>
  </conditionalFormatting>
  <conditionalFormatting sqref="C138">
    <cfRule type="expression" dxfId="855" priority="424">
      <formula>$C138&gt;$E138</formula>
    </cfRule>
  </conditionalFormatting>
  <conditionalFormatting sqref="C138">
    <cfRule type="expression" dxfId="854" priority="423">
      <formula>$C138&lt;$E138</formula>
    </cfRule>
  </conditionalFormatting>
  <conditionalFormatting sqref="E138">
    <cfRule type="expression" dxfId="853" priority="422">
      <formula>$C138&lt;$E138</formula>
    </cfRule>
  </conditionalFormatting>
  <conditionalFormatting sqref="E138">
    <cfRule type="expression" dxfId="852" priority="421">
      <formula>$C138&gt;$E138</formula>
    </cfRule>
  </conditionalFormatting>
  <conditionalFormatting sqref="C139">
    <cfRule type="expression" dxfId="851" priority="420">
      <formula>$C139&gt;$E139</formula>
    </cfRule>
  </conditionalFormatting>
  <conditionalFormatting sqref="C139">
    <cfRule type="expression" dxfId="850" priority="419">
      <formula>$C139&lt;$E139</formula>
    </cfRule>
  </conditionalFormatting>
  <conditionalFormatting sqref="E139">
    <cfRule type="expression" dxfId="849" priority="418">
      <formula>$C139&lt;$E139</formula>
    </cfRule>
  </conditionalFormatting>
  <conditionalFormatting sqref="E139">
    <cfRule type="expression" dxfId="848" priority="417">
      <formula>$C139&gt;$E139</formula>
    </cfRule>
  </conditionalFormatting>
  <conditionalFormatting sqref="C140">
    <cfRule type="expression" dxfId="847" priority="416">
      <formula>$C140&gt;$E140</formula>
    </cfRule>
  </conditionalFormatting>
  <conditionalFormatting sqref="C140">
    <cfRule type="expression" dxfId="846" priority="415">
      <formula>$C140&lt;$E140</formula>
    </cfRule>
  </conditionalFormatting>
  <conditionalFormatting sqref="E140">
    <cfRule type="expression" dxfId="845" priority="414">
      <formula>$C140&lt;$E140</formula>
    </cfRule>
  </conditionalFormatting>
  <conditionalFormatting sqref="E140">
    <cfRule type="expression" dxfId="844" priority="413">
      <formula>$C140&gt;$E140</formula>
    </cfRule>
  </conditionalFormatting>
  <conditionalFormatting sqref="C141">
    <cfRule type="expression" dxfId="843" priority="412">
      <formula>$C141&gt;$E141</formula>
    </cfRule>
  </conditionalFormatting>
  <conditionalFormatting sqref="C141">
    <cfRule type="expression" dxfId="842" priority="411">
      <formula>$C141&lt;$E141</formula>
    </cfRule>
  </conditionalFormatting>
  <conditionalFormatting sqref="E141">
    <cfRule type="expression" dxfId="841" priority="410">
      <formula>$C141&lt;$E141</formula>
    </cfRule>
  </conditionalFormatting>
  <conditionalFormatting sqref="E141">
    <cfRule type="expression" dxfId="840" priority="409">
      <formula>$C141&gt;$E141</formula>
    </cfRule>
  </conditionalFormatting>
  <conditionalFormatting sqref="C142">
    <cfRule type="expression" dxfId="839" priority="408">
      <formula>$C142&gt;$E142</formula>
    </cfRule>
  </conditionalFormatting>
  <conditionalFormatting sqref="C142">
    <cfRule type="expression" dxfId="838" priority="407">
      <formula>$C142&lt;$E142</formula>
    </cfRule>
  </conditionalFormatting>
  <conditionalFormatting sqref="E142">
    <cfRule type="expression" dxfId="837" priority="406">
      <formula>$C142&lt;$E142</formula>
    </cfRule>
  </conditionalFormatting>
  <conditionalFormatting sqref="E142">
    <cfRule type="expression" dxfId="836" priority="405">
      <formula>$C142&gt;$E142</formula>
    </cfRule>
  </conditionalFormatting>
  <conditionalFormatting sqref="C143">
    <cfRule type="expression" dxfId="835" priority="404">
      <formula>$C143&gt;$E143</formula>
    </cfRule>
  </conditionalFormatting>
  <conditionalFormatting sqref="C143">
    <cfRule type="expression" dxfId="834" priority="403">
      <formula>$C143&lt;$E143</formula>
    </cfRule>
  </conditionalFormatting>
  <conditionalFormatting sqref="E143">
    <cfRule type="expression" dxfId="833" priority="402">
      <formula>$C143&lt;$E143</formula>
    </cfRule>
  </conditionalFormatting>
  <conditionalFormatting sqref="E143">
    <cfRule type="expression" dxfId="832" priority="401">
      <formula>$C143&gt;$E143</formula>
    </cfRule>
  </conditionalFormatting>
  <conditionalFormatting sqref="C144">
    <cfRule type="expression" dxfId="831" priority="400">
      <formula>$C144&gt;$E144</formula>
    </cfRule>
  </conditionalFormatting>
  <conditionalFormatting sqref="C144">
    <cfRule type="expression" dxfId="830" priority="399">
      <formula>$C144&lt;$E144</formula>
    </cfRule>
  </conditionalFormatting>
  <conditionalFormatting sqref="E144">
    <cfRule type="expression" dxfId="829" priority="398">
      <formula>$C144&lt;$E144</formula>
    </cfRule>
  </conditionalFormatting>
  <conditionalFormatting sqref="E144">
    <cfRule type="expression" dxfId="828" priority="397">
      <formula>$C144&gt;$E144</formula>
    </cfRule>
  </conditionalFormatting>
  <conditionalFormatting sqref="C146">
    <cfRule type="expression" dxfId="827" priority="396">
      <formula>$C146&gt;$E146</formula>
    </cfRule>
  </conditionalFormatting>
  <conditionalFormatting sqref="C146">
    <cfRule type="expression" dxfId="826" priority="395">
      <formula>$C146&lt;$E146</formula>
    </cfRule>
  </conditionalFormatting>
  <conditionalFormatting sqref="E146">
    <cfRule type="expression" dxfId="825" priority="394">
      <formula>$C146&lt;$E146</formula>
    </cfRule>
  </conditionalFormatting>
  <conditionalFormatting sqref="E146">
    <cfRule type="expression" dxfId="824" priority="393">
      <formula>$C146&gt;$E146</formula>
    </cfRule>
  </conditionalFormatting>
  <conditionalFormatting sqref="C147">
    <cfRule type="expression" dxfId="823" priority="392">
      <formula>$C147&gt;$E147</formula>
    </cfRule>
  </conditionalFormatting>
  <conditionalFormatting sqref="C147">
    <cfRule type="expression" dxfId="822" priority="391">
      <formula>$C147&lt;$E147</formula>
    </cfRule>
  </conditionalFormatting>
  <conditionalFormatting sqref="E147">
    <cfRule type="expression" dxfId="821" priority="390">
      <formula>$C147&lt;$E147</formula>
    </cfRule>
  </conditionalFormatting>
  <conditionalFormatting sqref="E147">
    <cfRule type="expression" dxfId="820" priority="389">
      <formula>$C147&gt;$E147</formula>
    </cfRule>
  </conditionalFormatting>
  <conditionalFormatting sqref="C148">
    <cfRule type="expression" dxfId="819" priority="388">
      <formula>$C148&gt;$E148</formula>
    </cfRule>
  </conditionalFormatting>
  <conditionalFormatting sqref="C148">
    <cfRule type="expression" dxfId="818" priority="387">
      <formula>$C148&lt;$E148</formula>
    </cfRule>
  </conditionalFormatting>
  <conditionalFormatting sqref="E148">
    <cfRule type="expression" dxfId="817" priority="386">
      <formula>$C148&lt;$E148</formula>
    </cfRule>
  </conditionalFormatting>
  <conditionalFormatting sqref="E148">
    <cfRule type="expression" dxfId="816" priority="385">
      <formula>$C148&gt;$E148</formula>
    </cfRule>
  </conditionalFormatting>
  <conditionalFormatting sqref="C149">
    <cfRule type="expression" dxfId="815" priority="384">
      <formula>$C149&gt;$E149</formula>
    </cfRule>
  </conditionalFormatting>
  <conditionalFormatting sqref="C149">
    <cfRule type="expression" dxfId="814" priority="383">
      <formula>$C149&lt;$E149</formula>
    </cfRule>
  </conditionalFormatting>
  <conditionalFormatting sqref="E149">
    <cfRule type="expression" dxfId="813" priority="382">
      <formula>$C149&lt;$E149</formula>
    </cfRule>
  </conditionalFormatting>
  <conditionalFormatting sqref="E149">
    <cfRule type="expression" dxfId="812" priority="381">
      <formula>$C149&gt;$E149</formula>
    </cfRule>
  </conditionalFormatting>
  <conditionalFormatting sqref="C150">
    <cfRule type="expression" dxfId="811" priority="380">
      <formula>$C150&gt;$E150</formula>
    </cfRule>
  </conditionalFormatting>
  <conditionalFormatting sqref="C150">
    <cfRule type="expression" dxfId="810" priority="379">
      <formula>$C150&lt;$E150</formula>
    </cfRule>
  </conditionalFormatting>
  <conditionalFormatting sqref="E150">
    <cfRule type="expression" dxfId="809" priority="378">
      <formula>$C150&lt;$E150</formula>
    </cfRule>
  </conditionalFormatting>
  <conditionalFormatting sqref="E150">
    <cfRule type="expression" dxfId="808" priority="377">
      <formula>$C150&gt;$E150</formula>
    </cfRule>
  </conditionalFormatting>
  <conditionalFormatting sqref="C151">
    <cfRule type="expression" dxfId="807" priority="376">
      <formula>$C151&gt;$E151</formula>
    </cfRule>
  </conditionalFormatting>
  <conditionalFormatting sqref="C151">
    <cfRule type="expression" dxfId="806" priority="375">
      <formula>$C151&lt;$E151</formula>
    </cfRule>
  </conditionalFormatting>
  <conditionalFormatting sqref="E151">
    <cfRule type="expression" dxfId="805" priority="374">
      <formula>$C151&lt;$E151</formula>
    </cfRule>
  </conditionalFormatting>
  <conditionalFormatting sqref="E151">
    <cfRule type="expression" dxfId="804" priority="373">
      <formula>$C151&gt;$E151</formula>
    </cfRule>
  </conditionalFormatting>
  <conditionalFormatting sqref="C152">
    <cfRule type="expression" dxfId="803" priority="372">
      <formula>$C152&gt;$E152</formula>
    </cfRule>
  </conditionalFormatting>
  <conditionalFormatting sqref="C152">
    <cfRule type="expression" dxfId="802" priority="371">
      <formula>$C152&lt;$E152</formula>
    </cfRule>
  </conditionalFormatting>
  <conditionalFormatting sqref="E152">
    <cfRule type="expression" dxfId="801" priority="370">
      <formula>$C152&lt;$E152</formula>
    </cfRule>
  </conditionalFormatting>
  <conditionalFormatting sqref="E152">
    <cfRule type="expression" dxfId="800" priority="369">
      <formula>$C152&gt;$E152</formula>
    </cfRule>
  </conditionalFormatting>
  <conditionalFormatting sqref="C153">
    <cfRule type="expression" dxfId="799" priority="368">
      <formula>$C153&gt;$E153</formula>
    </cfRule>
  </conditionalFormatting>
  <conditionalFormatting sqref="C153">
    <cfRule type="expression" dxfId="798" priority="367">
      <formula>$C153&lt;$E153</formula>
    </cfRule>
  </conditionalFormatting>
  <conditionalFormatting sqref="E153">
    <cfRule type="expression" dxfId="797" priority="366">
      <formula>$C153&lt;$E153</formula>
    </cfRule>
  </conditionalFormatting>
  <conditionalFormatting sqref="E153">
    <cfRule type="expression" dxfId="796" priority="365">
      <formula>$C153&gt;$E153</formula>
    </cfRule>
  </conditionalFormatting>
  <conditionalFormatting sqref="C154">
    <cfRule type="expression" dxfId="795" priority="364">
      <formula>$C154&gt;$E154</formula>
    </cfRule>
  </conditionalFormatting>
  <conditionalFormatting sqref="C154">
    <cfRule type="expression" dxfId="794" priority="363">
      <formula>$C154&lt;$E154</formula>
    </cfRule>
  </conditionalFormatting>
  <conditionalFormatting sqref="E154">
    <cfRule type="expression" dxfId="793" priority="362">
      <formula>$C154&lt;$E154</formula>
    </cfRule>
  </conditionalFormatting>
  <conditionalFormatting sqref="E154">
    <cfRule type="expression" dxfId="792" priority="361">
      <formula>$C154&gt;$E154</formula>
    </cfRule>
  </conditionalFormatting>
  <conditionalFormatting sqref="C155">
    <cfRule type="expression" dxfId="791" priority="360">
      <formula>$C155&gt;$E155</formula>
    </cfRule>
  </conditionalFormatting>
  <conditionalFormatting sqref="C155">
    <cfRule type="expression" dxfId="790" priority="359">
      <formula>$C155&lt;$E155</formula>
    </cfRule>
  </conditionalFormatting>
  <conditionalFormatting sqref="E155">
    <cfRule type="expression" dxfId="789" priority="358">
      <formula>$C155&lt;$E155</formula>
    </cfRule>
  </conditionalFormatting>
  <conditionalFormatting sqref="E155">
    <cfRule type="expression" dxfId="788" priority="357">
      <formula>$C155&gt;$E155</formula>
    </cfRule>
  </conditionalFormatting>
  <conditionalFormatting sqref="C156">
    <cfRule type="expression" dxfId="787" priority="356">
      <formula>$C156&gt;$E156</formula>
    </cfRule>
  </conditionalFormatting>
  <conditionalFormatting sqref="C156">
    <cfRule type="expression" dxfId="786" priority="355">
      <formula>$C156&lt;$E156</formula>
    </cfRule>
  </conditionalFormatting>
  <conditionalFormatting sqref="E156">
    <cfRule type="expression" dxfId="785" priority="354">
      <formula>$C156&lt;$E156</formula>
    </cfRule>
  </conditionalFormatting>
  <conditionalFormatting sqref="E156">
    <cfRule type="expression" dxfId="784" priority="353">
      <formula>$C156&gt;$E156</formula>
    </cfRule>
  </conditionalFormatting>
  <conditionalFormatting sqref="C158">
    <cfRule type="expression" dxfId="783" priority="352">
      <formula>$C158&gt;$E158</formula>
    </cfRule>
  </conditionalFormatting>
  <conditionalFormatting sqref="C158">
    <cfRule type="expression" dxfId="782" priority="351">
      <formula>$C158&lt;$E158</formula>
    </cfRule>
  </conditionalFormatting>
  <conditionalFormatting sqref="E158">
    <cfRule type="expression" dxfId="781" priority="350">
      <formula>$C158&lt;$E158</formula>
    </cfRule>
  </conditionalFormatting>
  <conditionalFormatting sqref="E158">
    <cfRule type="expression" dxfId="780" priority="349">
      <formula>$C158&gt;$E158</formula>
    </cfRule>
  </conditionalFormatting>
  <conditionalFormatting sqref="C159">
    <cfRule type="expression" dxfId="779" priority="348">
      <formula>$C159&gt;$E159</formula>
    </cfRule>
  </conditionalFormatting>
  <conditionalFormatting sqref="C159">
    <cfRule type="expression" dxfId="778" priority="347">
      <formula>$C159&lt;$E159</formula>
    </cfRule>
  </conditionalFormatting>
  <conditionalFormatting sqref="E159">
    <cfRule type="expression" dxfId="777" priority="346">
      <formula>$C159&lt;$E159</formula>
    </cfRule>
  </conditionalFormatting>
  <conditionalFormatting sqref="E159">
    <cfRule type="expression" dxfId="776" priority="345">
      <formula>$C159&gt;$E159</formula>
    </cfRule>
  </conditionalFormatting>
  <conditionalFormatting sqref="C160">
    <cfRule type="expression" dxfId="775" priority="344">
      <formula>$C160&gt;$E160</formula>
    </cfRule>
  </conditionalFormatting>
  <conditionalFormatting sqref="C160">
    <cfRule type="expression" dxfId="774" priority="343">
      <formula>$C160&lt;$E160</formula>
    </cfRule>
  </conditionalFormatting>
  <conditionalFormatting sqref="E160">
    <cfRule type="expression" dxfId="773" priority="342">
      <formula>$C160&lt;$E160</formula>
    </cfRule>
  </conditionalFormatting>
  <conditionalFormatting sqref="E160">
    <cfRule type="expression" dxfId="772" priority="341">
      <formula>$C160&gt;$E160</formula>
    </cfRule>
  </conditionalFormatting>
  <conditionalFormatting sqref="C161">
    <cfRule type="expression" dxfId="771" priority="340">
      <formula>$C161&gt;$E161</formula>
    </cfRule>
  </conditionalFormatting>
  <conditionalFormatting sqref="C161">
    <cfRule type="expression" dxfId="770" priority="339">
      <formula>$C161&lt;$E161</formula>
    </cfRule>
  </conditionalFormatting>
  <conditionalFormatting sqref="E161">
    <cfRule type="expression" dxfId="769" priority="338">
      <formula>$C161&lt;$E161</formula>
    </cfRule>
  </conditionalFormatting>
  <conditionalFormatting sqref="E161">
    <cfRule type="expression" dxfId="768" priority="337">
      <formula>$C161&gt;$E161</formula>
    </cfRule>
  </conditionalFormatting>
  <conditionalFormatting sqref="C162">
    <cfRule type="expression" dxfId="767" priority="336">
      <formula>$C162&gt;$E162</formula>
    </cfRule>
  </conditionalFormatting>
  <conditionalFormatting sqref="C162">
    <cfRule type="expression" dxfId="766" priority="335">
      <formula>$C162&lt;$E162</formula>
    </cfRule>
  </conditionalFormatting>
  <conditionalFormatting sqref="E162">
    <cfRule type="expression" dxfId="765" priority="334">
      <formula>$C162&lt;$E162</formula>
    </cfRule>
  </conditionalFormatting>
  <conditionalFormatting sqref="E162">
    <cfRule type="expression" dxfId="764" priority="333">
      <formula>$C162&gt;$E162</formula>
    </cfRule>
  </conditionalFormatting>
  <conditionalFormatting sqref="C163">
    <cfRule type="expression" dxfId="763" priority="332">
      <formula>$C163&gt;$E163</formula>
    </cfRule>
  </conditionalFormatting>
  <conditionalFormatting sqref="C163">
    <cfRule type="expression" dxfId="762" priority="331">
      <formula>$C163&lt;$E163</formula>
    </cfRule>
  </conditionalFormatting>
  <conditionalFormatting sqref="E163">
    <cfRule type="expression" dxfId="761" priority="330">
      <formula>$C163&lt;$E163</formula>
    </cfRule>
  </conditionalFormatting>
  <conditionalFormatting sqref="E163">
    <cfRule type="expression" dxfId="760" priority="329">
      <formula>$C163&gt;$E163</formula>
    </cfRule>
  </conditionalFormatting>
  <conditionalFormatting sqref="C164">
    <cfRule type="expression" dxfId="759" priority="328">
      <formula>$C164&gt;$E164</formula>
    </cfRule>
  </conditionalFormatting>
  <conditionalFormatting sqref="C164">
    <cfRule type="expression" dxfId="758" priority="327">
      <formula>$C164&lt;$E164</formula>
    </cfRule>
  </conditionalFormatting>
  <conditionalFormatting sqref="E164">
    <cfRule type="expression" dxfId="757" priority="326">
      <formula>$C164&lt;$E164</formula>
    </cfRule>
  </conditionalFormatting>
  <conditionalFormatting sqref="E164">
    <cfRule type="expression" dxfId="756" priority="325">
      <formula>$C164&gt;$E164</formula>
    </cfRule>
  </conditionalFormatting>
  <conditionalFormatting sqref="C165">
    <cfRule type="expression" dxfId="755" priority="324">
      <formula>$C165&gt;$E165</formula>
    </cfRule>
  </conditionalFormatting>
  <conditionalFormatting sqref="C165">
    <cfRule type="expression" dxfId="754" priority="323">
      <formula>$C165&lt;$E165</formula>
    </cfRule>
  </conditionalFormatting>
  <conditionalFormatting sqref="E165">
    <cfRule type="expression" dxfId="753" priority="322">
      <formula>$C165&lt;$E165</formula>
    </cfRule>
  </conditionalFormatting>
  <conditionalFormatting sqref="E165">
    <cfRule type="expression" dxfId="752" priority="321">
      <formula>$C165&gt;$E165</formula>
    </cfRule>
  </conditionalFormatting>
  <conditionalFormatting sqref="C166">
    <cfRule type="expression" dxfId="751" priority="320">
      <formula>$C166&gt;$E166</formula>
    </cfRule>
  </conditionalFormatting>
  <conditionalFormatting sqref="C166">
    <cfRule type="expression" dxfId="750" priority="319">
      <formula>$C166&lt;$E166</formula>
    </cfRule>
  </conditionalFormatting>
  <conditionalFormatting sqref="E166">
    <cfRule type="expression" dxfId="749" priority="318">
      <formula>$C166&lt;$E166</formula>
    </cfRule>
  </conditionalFormatting>
  <conditionalFormatting sqref="E166">
    <cfRule type="expression" dxfId="748" priority="317">
      <formula>$C166&gt;$E166</formula>
    </cfRule>
  </conditionalFormatting>
  <conditionalFormatting sqref="C167">
    <cfRule type="expression" dxfId="747" priority="316">
      <formula>$C167&gt;$E167</formula>
    </cfRule>
  </conditionalFormatting>
  <conditionalFormatting sqref="C167">
    <cfRule type="expression" dxfId="746" priority="315">
      <formula>$C167&lt;$E167</formula>
    </cfRule>
  </conditionalFormatting>
  <conditionalFormatting sqref="E167">
    <cfRule type="expression" dxfId="745" priority="314">
      <formula>$C167&lt;$E167</formula>
    </cfRule>
  </conditionalFormatting>
  <conditionalFormatting sqref="E167">
    <cfRule type="expression" dxfId="744" priority="313">
      <formula>$C167&gt;$E167</formula>
    </cfRule>
  </conditionalFormatting>
  <conditionalFormatting sqref="C168">
    <cfRule type="expression" dxfId="743" priority="312">
      <formula>$C168&gt;$E168</formula>
    </cfRule>
  </conditionalFormatting>
  <conditionalFormatting sqref="C168">
    <cfRule type="expression" dxfId="742" priority="311">
      <formula>$C168&lt;$E168</formula>
    </cfRule>
  </conditionalFormatting>
  <conditionalFormatting sqref="E168">
    <cfRule type="expression" dxfId="741" priority="310">
      <formula>$C168&lt;$E168</formula>
    </cfRule>
  </conditionalFormatting>
  <conditionalFormatting sqref="E168">
    <cfRule type="expression" dxfId="740" priority="309">
      <formula>$C168&gt;$E168</formula>
    </cfRule>
  </conditionalFormatting>
  <conditionalFormatting sqref="C170">
    <cfRule type="expression" dxfId="739" priority="308">
      <formula>$C170&gt;$E170</formula>
    </cfRule>
  </conditionalFormatting>
  <conditionalFormatting sqref="C170">
    <cfRule type="expression" dxfId="738" priority="307">
      <formula>$C170&lt;$E170</formula>
    </cfRule>
  </conditionalFormatting>
  <conditionalFormatting sqref="E170">
    <cfRule type="expression" dxfId="737" priority="306">
      <formula>$C170&lt;$E170</formula>
    </cfRule>
  </conditionalFormatting>
  <conditionalFormatting sqref="E170">
    <cfRule type="expression" dxfId="736" priority="305">
      <formula>$C170&gt;$E170</formula>
    </cfRule>
  </conditionalFormatting>
  <conditionalFormatting sqref="C171">
    <cfRule type="expression" dxfId="735" priority="304">
      <formula>$C171&gt;$E171</formula>
    </cfRule>
  </conditionalFormatting>
  <conditionalFormatting sqref="C171">
    <cfRule type="expression" dxfId="734" priority="303">
      <formula>$C171&lt;$E171</formula>
    </cfRule>
  </conditionalFormatting>
  <conditionalFormatting sqref="E171">
    <cfRule type="expression" dxfId="733" priority="302">
      <formula>$C171&lt;$E171</formula>
    </cfRule>
  </conditionalFormatting>
  <conditionalFormatting sqref="E171">
    <cfRule type="expression" dxfId="732" priority="301">
      <formula>$C171&gt;$E171</formula>
    </cfRule>
  </conditionalFormatting>
  <conditionalFormatting sqref="C172">
    <cfRule type="expression" dxfId="731" priority="300">
      <formula>$C172&gt;$E172</formula>
    </cfRule>
  </conditionalFormatting>
  <conditionalFormatting sqref="C172">
    <cfRule type="expression" dxfId="730" priority="299">
      <formula>$C172&lt;$E172</formula>
    </cfRule>
  </conditionalFormatting>
  <conditionalFormatting sqref="E172">
    <cfRule type="expression" dxfId="729" priority="298">
      <formula>$C172&lt;$E172</formula>
    </cfRule>
  </conditionalFormatting>
  <conditionalFormatting sqref="E172">
    <cfRule type="expression" dxfId="728" priority="297">
      <formula>$C172&gt;$E172</formula>
    </cfRule>
  </conditionalFormatting>
  <conditionalFormatting sqref="C173">
    <cfRule type="expression" dxfId="727" priority="296">
      <formula>$C173&gt;$E173</formula>
    </cfRule>
  </conditionalFormatting>
  <conditionalFormatting sqref="C173">
    <cfRule type="expression" dxfId="726" priority="295">
      <formula>$C173&lt;$E173</formula>
    </cfRule>
  </conditionalFormatting>
  <conditionalFormatting sqref="E173">
    <cfRule type="expression" dxfId="725" priority="294">
      <formula>$C173&lt;$E173</formula>
    </cfRule>
  </conditionalFormatting>
  <conditionalFormatting sqref="E173">
    <cfRule type="expression" dxfId="724" priority="293">
      <formula>$C173&gt;$E173</formula>
    </cfRule>
  </conditionalFormatting>
  <conditionalFormatting sqref="C174">
    <cfRule type="expression" dxfId="723" priority="292">
      <formula>$C174&gt;$E174</formula>
    </cfRule>
  </conditionalFormatting>
  <conditionalFormatting sqref="C174">
    <cfRule type="expression" dxfId="722" priority="291">
      <formula>$C174&lt;$E174</formula>
    </cfRule>
  </conditionalFormatting>
  <conditionalFormatting sqref="E174">
    <cfRule type="expression" dxfId="721" priority="290">
      <formula>$C174&lt;$E174</formula>
    </cfRule>
  </conditionalFormatting>
  <conditionalFormatting sqref="E174">
    <cfRule type="expression" dxfId="720" priority="289">
      <formula>$C174&gt;$E174</formula>
    </cfRule>
  </conditionalFormatting>
  <conditionalFormatting sqref="C175">
    <cfRule type="expression" dxfId="719" priority="288">
      <formula>$C175&gt;$E175</formula>
    </cfRule>
  </conditionalFormatting>
  <conditionalFormatting sqref="C175">
    <cfRule type="expression" dxfId="718" priority="287">
      <formula>$C175&lt;$E175</formula>
    </cfRule>
  </conditionalFormatting>
  <conditionalFormatting sqref="E175">
    <cfRule type="expression" dxfId="717" priority="286">
      <formula>$C175&lt;$E175</formula>
    </cfRule>
  </conditionalFormatting>
  <conditionalFormatting sqref="E175">
    <cfRule type="expression" dxfId="716" priority="285">
      <formula>$C175&gt;$E175</formula>
    </cfRule>
  </conditionalFormatting>
  <conditionalFormatting sqref="C176">
    <cfRule type="expression" dxfId="715" priority="284">
      <formula>$C176&gt;$E176</formula>
    </cfRule>
  </conditionalFormatting>
  <conditionalFormatting sqref="C176">
    <cfRule type="expression" dxfId="714" priority="283">
      <formula>$C176&lt;$E176</formula>
    </cfRule>
  </conditionalFormatting>
  <conditionalFormatting sqref="E176">
    <cfRule type="expression" dxfId="713" priority="282">
      <formula>$C176&lt;$E176</formula>
    </cfRule>
  </conditionalFormatting>
  <conditionalFormatting sqref="E176">
    <cfRule type="expression" dxfId="712" priority="281">
      <formula>$C176&gt;$E176</formula>
    </cfRule>
  </conditionalFormatting>
  <conditionalFormatting sqref="C177">
    <cfRule type="expression" dxfId="711" priority="280">
      <formula>$C177&gt;$E177</formula>
    </cfRule>
  </conditionalFormatting>
  <conditionalFormatting sqref="C177">
    <cfRule type="expression" dxfId="710" priority="279">
      <formula>$C177&lt;$E177</formula>
    </cfRule>
  </conditionalFormatting>
  <conditionalFormatting sqref="E177">
    <cfRule type="expression" dxfId="709" priority="278">
      <formula>$C177&lt;$E177</formula>
    </cfRule>
  </conditionalFormatting>
  <conditionalFormatting sqref="E177">
    <cfRule type="expression" dxfId="708" priority="277">
      <formula>$C177&gt;$E177</formula>
    </cfRule>
  </conditionalFormatting>
  <conditionalFormatting sqref="C178">
    <cfRule type="expression" dxfId="707" priority="276">
      <formula>$C178&gt;$E178</formula>
    </cfRule>
  </conditionalFormatting>
  <conditionalFormatting sqref="C178">
    <cfRule type="expression" dxfId="706" priority="275">
      <formula>$C178&lt;$E178</formula>
    </cfRule>
  </conditionalFormatting>
  <conditionalFormatting sqref="E178">
    <cfRule type="expression" dxfId="705" priority="274">
      <formula>$C178&lt;$E178</formula>
    </cfRule>
  </conditionalFormatting>
  <conditionalFormatting sqref="E178">
    <cfRule type="expression" dxfId="704" priority="273">
      <formula>$C178&gt;$E178</formula>
    </cfRule>
  </conditionalFormatting>
  <conditionalFormatting sqref="C179">
    <cfRule type="expression" dxfId="703" priority="272">
      <formula>$C179&gt;$E179</formula>
    </cfRule>
  </conditionalFormatting>
  <conditionalFormatting sqref="C179">
    <cfRule type="expression" dxfId="702" priority="271">
      <formula>$C179&lt;$E179</formula>
    </cfRule>
  </conditionalFormatting>
  <conditionalFormatting sqref="E179">
    <cfRule type="expression" dxfId="701" priority="270">
      <formula>$C179&lt;$E179</formula>
    </cfRule>
  </conditionalFormatting>
  <conditionalFormatting sqref="E179">
    <cfRule type="expression" dxfId="700" priority="269">
      <formula>$C179&gt;$E179</formula>
    </cfRule>
  </conditionalFormatting>
  <conditionalFormatting sqref="C180">
    <cfRule type="expression" dxfId="699" priority="268">
      <formula>$C180&gt;$E180</formula>
    </cfRule>
  </conditionalFormatting>
  <conditionalFormatting sqref="C180">
    <cfRule type="expression" dxfId="698" priority="267">
      <formula>$C180&lt;$E180</formula>
    </cfRule>
  </conditionalFormatting>
  <conditionalFormatting sqref="E180">
    <cfRule type="expression" dxfId="697" priority="266">
      <formula>$C180&lt;$E180</formula>
    </cfRule>
  </conditionalFormatting>
  <conditionalFormatting sqref="E180">
    <cfRule type="expression" dxfId="696" priority="265">
      <formula>$C180&gt;$E180</formula>
    </cfRule>
  </conditionalFormatting>
  <conditionalFormatting sqref="C182">
    <cfRule type="expression" dxfId="695" priority="264">
      <formula>$C182&gt;$E182</formula>
    </cfRule>
  </conditionalFormatting>
  <conditionalFormatting sqref="C182">
    <cfRule type="expression" dxfId="694" priority="263">
      <formula>$C182&lt;$E182</formula>
    </cfRule>
  </conditionalFormatting>
  <conditionalFormatting sqref="E182">
    <cfRule type="expression" dxfId="693" priority="262">
      <formula>$C182&lt;$E182</formula>
    </cfRule>
  </conditionalFormatting>
  <conditionalFormatting sqref="E182">
    <cfRule type="expression" dxfId="692" priority="261">
      <formula>$C182&gt;$E182</formula>
    </cfRule>
  </conditionalFormatting>
  <conditionalFormatting sqref="C183">
    <cfRule type="expression" dxfId="691" priority="260">
      <formula>$C183&gt;$E183</formula>
    </cfRule>
  </conditionalFormatting>
  <conditionalFormatting sqref="C183">
    <cfRule type="expression" dxfId="690" priority="259">
      <formula>$C183&lt;$E183</formula>
    </cfRule>
  </conditionalFormatting>
  <conditionalFormatting sqref="E183">
    <cfRule type="expression" dxfId="689" priority="258">
      <formula>$C183&lt;$E183</formula>
    </cfRule>
  </conditionalFormatting>
  <conditionalFormatting sqref="E183">
    <cfRule type="expression" dxfId="688" priority="257">
      <formula>$C183&gt;$E183</formula>
    </cfRule>
  </conditionalFormatting>
  <conditionalFormatting sqref="C184">
    <cfRule type="expression" dxfId="687" priority="256">
      <formula>$C184&gt;$E184</formula>
    </cfRule>
  </conditionalFormatting>
  <conditionalFormatting sqref="C184">
    <cfRule type="expression" dxfId="686" priority="255">
      <formula>$C184&lt;$E184</formula>
    </cfRule>
  </conditionalFormatting>
  <conditionalFormatting sqref="E184">
    <cfRule type="expression" dxfId="685" priority="254">
      <formula>$C184&lt;$E184</formula>
    </cfRule>
  </conditionalFormatting>
  <conditionalFormatting sqref="E184">
    <cfRule type="expression" dxfId="684" priority="253">
      <formula>$C184&gt;$E184</formula>
    </cfRule>
  </conditionalFormatting>
  <conditionalFormatting sqref="C185">
    <cfRule type="expression" dxfId="683" priority="252">
      <formula>$C185&gt;$E185</formula>
    </cfRule>
  </conditionalFormatting>
  <conditionalFormatting sqref="C185">
    <cfRule type="expression" dxfId="682" priority="251">
      <formula>$C185&lt;$E185</formula>
    </cfRule>
  </conditionalFormatting>
  <conditionalFormatting sqref="E185">
    <cfRule type="expression" dxfId="681" priority="250">
      <formula>$C185&lt;$E185</formula>
    </cfRule>
  </conditionalFormatting>
  <conditionalFormatting sqref="E185">
    <cfRule type="expression" dxfId="680" priority="249">
      <formula>$C185&gt;$E185</formula>
    </cfRule>
  </conditionalFormatting>
  <conditionalFormatting sqref="C186">
    <cfRule type="expression" dxfId="679" priority="248">
      <formula>$C186&gt;$E186</formula>
    </cfRule>
  </conditionalFormatting>
  <conditionalFormatting sqref="C186">
    <cfRule type="expression" dxfId="678" priority="247">
      <formula>$C186&lt;$E186</formula>
    </cfRule>
  </conditionalFormatting>
  <conditionalFormatting sqref="E186">
    <cfRule type="expression" dxfId="677" priority="246">
      <formula>$C186&lt;$E186</formula>
    </cfRule>
  </conditionalFormatting>
  <conditionalFormatting sqref="E186">
    <cfRule type="expression" dxfId="676" priority="245">
      <formula>$C186&gt;$E186</formula>
    </cfRule>
  </conditionalFormatting>
  <conditionalFormatting sqref="C187">
    <cfRule type="expression" dxfId="675" priority="244">
      <formula>$C187&gt;$E187</formula>
    </cfRule>
  </conditionalFormatting>
  <conditionalFormatting sqref="C187">
    <cfRule type="expression" dxfId="674" priority="243">
      <formula>$C187&lt;$E187</formula>
    </cfRule>
  </conditionalFormatting>
  <conditionalFormatting sqref="E187">
    <cfRule type="expression" dxfId="673" priority="242">
      <formula>$C187&lt;$E187</formula>
    </cfRule>
  </conditionalFormatting>
  <conditionalFormatting sqref="E187">
    <cfRule type="expression" dxfId="672" priority="241">
      <formula>$C187&gt;$E187</formula>
    </cfRule>
  </conditionalFormatting>
  <conditionalFormatting sqref="C188">
    <cfRule type="expression" dxfId="671" priority="240">
      <formula>$C188&gt;$E188</formula>
    </cfRule>
  </conditionalFormatting>
  <conditionalFormatting sqref="C188">
    <cfRule type="expression" dxfId="670" priority="239">
      <formula>$C188&lt;$E188</formula>
    </cfRule>
  </conditionalFormatting>
  <conditionalFormatting sqref="E188">
    <cfRule type="expression" dxfId="669" priority="238">
      <formula>$C188&lt;$E188</formula>
    </cfRule>
  </conditionalFormatting>
  <conditionalFormatting sqref="E188">
    <cfRule type="expression" dxfId="668" priority="237">
      <formula>$C188&gt;$E188</formula>
    </cfRule>
  </conditionalFormatting>
  <conditionalFormatting sqref="C189">
    <cfRule type="expression" dxfId="667" priority="236">
      <formula>$C189&gt;$E189</formula>
    </cfRule>
  </conditionalFormatting>
  <conditionalFormatting sqref="C189">
    <cfRule type="expression" dxfId="666" priority="235">
      <formula>$C189&lt;$E189</formula>
    </cfRule>
  </conditionalFormatting>
  <conditionalFormatting sqref="E189">
    <cfRule type="expression" dxfId="665" priority="234">
      <formula>$C189&lt;$E189</formula>
    </cfRule>
  </conditionalFormatting>
  <conditionalFormatting sqref="E189">
    <cfRule type="expression" dxfId="664" priority="233">
      <formula>$C189&gt;$E189</formula>
    </cfRule>
  </conditionalFormatting>
  <conditionalFormatting sqref="C190">
    <cfRule type="expression" dxfId="663" priority="232">
      <formula>$C190&gt;$E190</formula>
    </cfRule>
  </conditionalFormatting>
  <conditionalFormatting sqref="C190">
    <cfRule type="expression" dxfId="662" priority="231">
      <formula>$C190&lt;$E190</formula>
    </cfRule>
  </conditionalFormatting>
  <conditionalFormatting sqref="E190">
    <cfRule type="expression" dxfId="661" priority="230">
      <formula>$C190&lt;$E190</formula>
    </cfRule>
  </conditionalFormatting>
  <conditionalFormatting sqref="E190">
    <cfRule type="expression" dxfId="660" priority="229">
      <formula>$C190&gt;$E190</formula>
    </cfRule>
  </conditionalFormatting>
  <conditionalFormatting sqref="C191">
    <cfRule type="expression" dxfId="659" priority="228">
      <formula>$C191&gt;$E191</formula>
    </cfRule>
  </conditionalFormatting>
  <conditionalFormatting sqref="C191">
    <cfRule type="expression" dxfId="658" priority="227">
      <formula>$C191&lt;$E191</formula>
    </cfRule>
  </conditionalFormatting>
  <conditionalFormatting sqref="E191">
    <cfRule type="expression" dxfId="657" priority="226">
      <formula>$C191&lt;$E191</formula>
    </cfRule>
  </conditionalFormatting>
  <conditionalFormatting sqref="E191">
    <cfRule type="expression" dxfId="656" priority="225">
      <formula>$C191&gt;$E191</formula>
    </cfRule>
  </conditionalFormatting>
  <conditionalFormatting sqref="C192">
    <cfRule type="expression" dxfId="655" priority="224">
      <formula>$C192&gt;$E192</formula>
    </cfRule>
  </conditionalFormatting>
  <conditionalFormatting sqref="C192">
    <cfRule type="expression" dxfId="654" priority="223">
      <formula>$C192&lt;$E192</formula>
    </cfRule>
  </conditionalFormatting>
  <conditionalFormatting sqref="E192">
    <cfRule type="expression" dxfId="653" priority="222">
      <formula>$C192&lt;$E192</formula>
    </cfRule>
  </conditionalFormatting>
  <conditionalFormatting sqref="E192">
    <cfRule type="expression" dxfId="652" priority="221">
      <formula>$C192&gt;$E192</formula>
    </cfRule>
  </conditionalFormatting>
  <conditionalFormatting sqref="C194">
    <cfRule type="expression" dxfId="651" priority="220">
      <formula>$C194&gt;$E194</formula>
    </cfRule>
  </conditionalFormatting>
  <conditionalFormatting sqref="C194">
    <cfRule type="expression" dxfId="650" priority="219">
      <formula>$C194&lt;$E194</formula>
    </cfRule>
  </conditionalFormatting>
  <conditionalFormatting sqref="E194">
    <cfRule type="expression" dxfId="649" priority="218">
      <formula>$C194&lt;$E194</formula>
    </cfRule>
  </conditionalFormatting>
  <conditionalFormatting sqref="E194">
    <cfRule type="expression" dxfId="648" priority="217">
      <formula>$C194&gt;$E194</formula>
    </cfRule>
  </conditionalFormatting>
  <conditionalFormatting sqref="C195">
    <cfRule type="expression" dxfId="647" priority="216">
      <formula>$C195&gt;$E195</formula>
    </cfRule>
  </conditionalFormatting>
  <conditionalFormatting sqref="C195">
    <cfRule type="expression" dxfId="646" priority="215">
      <formula>$C195&lt;$E195</formula>
    </cfRule>
  </conditionalFormatting>
  <conditionalFormatting sqref="E195">
    <cfRule type="expression" dxfId="645" priority="214">
      <formula>$C195&lt;$E195</formula>
    </cfRule>
  </conditionalFormatting>
  <conditionalFormatting sqref="E195">
    <cfRule type="expression" dxfId="644" priority="213">
      <formula>$C195&gt;$E195</formula>
    </cfRule>
  </conditionalFormatting>
  <conditionalFormatting sqref="C196">
    <cfRule type="expression" dxfId="643" priority="212">
      <formula>$C196&gt;$E196</formula>
    </cfRule>
  </conditionalFormatting>
  <conditionalFormatting sqref="C196">
    <cfRule type="expression" dxfId="642" priority="211">
      <formula>$C196&lt;$E196</formula>
    </cfRule>
  </conditionalFormatting>
  <conditionalFormatting sqref="E196">
    <cfRule type="expression" dxfId="641" priority="210">
      <formula>$C196&lt;$E196</formula>
    </cfRule>
  </conditionalFormatting>
  <conditionalFormatting sqref="E196">
    <cfRule type="expression" dxfId="640" priority="209">
      <formula>$C196&gt;$E196</formula>
    </cfRule>
  </conditionalFormatting>
  <conditionalFormatting sqref="C197">
    <cfRule type="expression" dxfId="639" priority="208">
      <formula>$C197&gt;$E197</formula>
    </cfRule>
  </conditionalFormatting>
  <conditionalFormatting sqref="C197">
    <cfRule type="expression" dxfId="638" priority="207">
      <formula>$C197&lt;$E197</formula>
    </cfRule>
  </conditionalFormatting>
  <conditionalFormatting sqref="E197">
    <cfRule type="expression" dxfId="637" priority="206">
      <formula>$C197&lt;$E197</formula>
    </cfRule>
  </conditionalFormatting>
  <conditionalFormatting sqref="E197">
    <cfRule type="expression" dxfId="636" priority="205">
      <formula>$C197&gt;$E197</formula>
    </cfRule>
  </conditionalFormatting>
  <conditionalFormatting sqref="C198">
    <cfRule type="expression" dxfId="635" priority="204">
      <formula>$C198&gt;$E198</formula>
    </cfRule>
  </conditionalFormatting>
  <conditionalFormatting sqref="C198">
    <cfRule type="expression" dxfId="634" priority="203">
      <formula>$C198&lt;$E198</formula>
    </cfRule>
  </conditionalFormatting>
  <conditionalFormatting sqref="E198">
    <cfRule type="expression" dxfId="633" priority="202">
      <formula>$C198&lt;$E198</formula>
    </cfRule>
  </conditionalFormatting>
  <conditionalFormatting sqref="E198">
    <cfRule type="expression" dxfId="632" priority="201">
      <formula>$C198&gt;$E198</formula>
    </cfRule>
  </conditionalFormatting>
  <conditionalFormatting sqref="C199">
    <cfRule type="expression" dxfId="631" priority="200">
      <formula>$C199&gt;$E199</formula>
    </cfRule>
  </conditionalFormatting>
  <conditionalFormatting sqref="C199">
    <cfRule type="expression" dxfId="630" priority="199">
      <formula>$C199&lt;$E199</formula>
    </cfRule>
  </conditionalFormatting>
  <conditionalFormatting sqref="E199">
    <cfRule type="expression" dxfId="629" priority="198">
      <formula>$C199&lt;$E199</formula>
    </cfRule>
  </conditionalFormatting>
  <conditionalFormatting sqref="E199">
    <cfRule type="expression" dxfId="628" priority="197">
      <formula>$C199&gt;$E199</formula>
    </cfRule>
  </conditionalFormatting>
  <conditionalFormatting sqref="C200">
    <cfRule type="expression" dxfId="627" priority="196">
      <formula>$C200&gt;$E200</formula>
    </cfRule>
  </conditionalFormatting>
  <conditionalFormatting sqref="C200">
    <cfRule type="expression" dxfId="626" priority="195">
      <formula>$C200&lt;$E200</formula>
    </cfRule>
  </conditionalFormatting>
  <conditionalFormatting sqref="E200">
    <cfRule type="expression" dxfId="625" priority="194">
      <formula>$C200&lt;$E200</formula>
    </cfRule>
  </conditionalFormatting>
  <conditionalFormatting sqref="E200">
    <cfRule type="expression" dxfId="624" priority="193">
      <formula>$C200&gt;$E200</formula>
    </cfRule>
  </conditionalFormatting>
  <conditionalFormatting sqref="C201">
    <cfRule type="expression" dxfId="623" priority="192">
      <formula>$C201&gt;$E201</formula>
    </cfRule>
  </conditionalFormatting>
  <conditionalFormatting sqref="C201">
    <cfRule type="expression" dxfId="622" priority="191">
      <formula>$C201&lt;$E201</formula>
    </cfRule>
  </conditionalFormatting>
  <conditionalFormatting sqref="E201">
    <cfRule type="expression" dxfId="621" priority="190">
      <formula>$C201&lt;$E201</formula>
    </cfRule>
  </conditionalFormatting>
  <conditionalFormatting sqref="E201">
    <cfRule type="expression" dxfId="620" priority="189">
      <formula>$C201&gt;$E201</formula>
    </cfRule>
  </conditionalFormatting>
  <conditionalFormatting sqref="C202">
    <cfRule type="expression" dxfId="619" priority="188">
      <formula>$C202&gt;$E202</formula>
    </cfRule>
  </conditionalFormatting>
  <conditionalFormatting sqref="C202">
    <cfRule type="expression" dxfId="618" priority="187">
      <formula>$C202&lt;$E202</formula>
    </cfRule>
  </conditionalFormatting>
  <conditionalFormatting sqref="E202">
    <cfRule type="expression" dxfId="617" priority="186">
      <formula>$C202&lt;$E202</formula>
    </cfRule>
  </conditionalFormatting>
  <conditionalFormatting sqref="E202">
    <cfRule type="expression" dxfId="616" priority="185">
      <formula>$C202&gt;$E202</formula>
    </cfRule>
  </conditionalFormatting>
  <conditionalFormatting sqref="C203">
    <cfRule type="expression" dxfId="615" priority="184">
      <formula>$C203&gt;$E203</formula>
    </cfRule>
  </conditionalFormatting>
  <conditionalFormatting sqref="C203">
    <cfRule type="expression" dxfId="614" priority="183">
      <formula>$C203&lt;$E203</formula>
    </cfRule>
  </conditionalFormatting>
  <conditionalFormatting sqref="E203">
    <cfRule type="expression" dxfId="613" priority="182">
      <formula>$C203&lt;$E203</formula>
    </cfRule>
  </conditionalFormatting>
  <conditionalFormatting sqref="E203">
    <cfRule type="expression" dxfId="612" priority="181">
      <formula>$C203&gt;$E203</formula>
    </cfRule>
  </conditionalFormatting>
  <conditionalFormatting sqref="C204">
    <cfRule type="expression" dxfId="611" priority="180">
      <formula>$C204&gt;$E204</formula>
    </cfRule>
  </conditionalFormatting>
  <conditionalFormatting sqref="C204">
    <cfRule type="expression" dxfId="610" priority="179">
      <formula>$C204&lt;$E204</formula>
    </cfRule>
  </conditionalFormatting>
  <conditionalFormatting sqref="E204">
    <cfRule type="expression" dxfId="609" priority="178">
      <formula>$C204&lt;$E204</formula>
    </cfRule>
  </conditionalFormatting>
  <conditionalFormatting sqref="E204">
    <cfRule type="expression" dxfId="608" priority="177">
      <formula>$C204&gt;$E204</formula>
    </cfRule>
  </conditionalFormatting>
  <conditionalFormatting sqref="C206">
    <cfRule type="expression" dxfId="607" priority="176">
      <formula>$C206&gt;$E206</formula>
    </cfRule>
  </conditionalFormatting>
  <conditionalFormatting sqref="C206">
    <cfRule type="expression" dxfId="606" priority="175">
      <formula>$C206&lt;$E206</formula>
    </cfRule>
  </conditionalFormatting>
  <conditionalFormatting sqref="E206">
    <cfRule type="expression" dxfId="605" priority="174">
      <formula>$C206&lt;$E206</formula>
    </cfRule>
  </conditionalFormatting>
  <conditionalFormatting sqref="E206">
    <cfRule type="expression" dxfId="604" priority="173">
      <formula>$C206&gt;$E206</formula>
    </cfRule>
  </conditionalFormatting>
  <conditionalFormatting sqref="C207">
    <cfRule type="expression" dxfId="603" priority="172">
      <formula>$C207&gt;$E207</formula>
    </cfRule>
  </conditionalFormatting>
  <conditionalFormatting sqref="C207">
    <cfRule type="expression" dxfId="602" priority="171">
      <formula>$C207&lt;$E207</formula>
    </cfRule>
  </conditionalFormatting>
  <conditionalFormatting sqref="E207">
    <cfRule type="expression" dxfId="601" priority="170">
      <formula>$C207&lt;$E207</formula>
    </cfRule>
  </conditionalFormatting>
  <conditionalFormatting sqref="E207">
    <cfRule type="expression" dxfId="600" priority="169">
      <formula>$C207&gt;$E207</formula>
    </cfRule>
  </conditionalFormatting>
  <conditionalFormatting sqref="C208">
    <cfRule type="expression" dxfId="599" priority="168">
      <formula>$C208&gt;$E208</formula>
    </cfRule>
  </conditionalFormatting>
  <conditionalFormatting sqref="C208">
    <cfRule type="expression" dxfId="598" priority="167">
      <formula>$C208&lt;$E208</formula>
    </cfRule>
  </conditionalFormatting>
  <conditionalFormatting sqref="E208">
    <cfRule type="expression" dxfId="597" priority="166">
      <formula>$C208&lt;$E208</formula>
    </cfRule>
  </conditionalFormatting>
  <conditionalFormatting sqref="E208">
    <cfRule type="expression" dxfId="596" priority="165">
      <formula>$C208&gt;$E208</formula>
    </cfRule>
  </conditionalFormatting>
  <conditionalFormatting sqref="C209">
    <cfRule type="expression" dxfId="595" priority="164">
      <formula>$C209&gt;$E209</formula>
    </cfRule>
  </conditionalFormatting>
  <conditionalFormatting sqref="C209">
    <cfRule type="expression" dxfId="594" priority="163">
      <formula>$C209&lt;$E209</formula>
    </cfRule>
  </conditionalFormatting>
  <conditionalFormatting sqref="E209">
    <cfRule type="expression" dxfId="593" priority="162">
      <formula>$C209&lt;$E209</formula>
    </cfRule>
  </conditionalFormatting>
  <conditionalFormatting sqref="E209">
    <cfRule type="expression" dxfId="592" priority="161">
      <formula>$C209&gt;$E209</formula>
    </cfRule>
  </conditionalFormatting>
  <conditionalFormatting sqref="C210">
    <cfRule type="expression" dxfId="591" priority="160">
      <formula>$C210&gt;$E210</formula>
    </cfRule>
  </conditionalFormatting>
  <conditionalFormatting sqref="C210">
    <cfRule type="expression" dxfId="590" priority="159">
      <formula>$C210&lt;$E210</formula>
    </cfRule>
  </conditionalFormatting>
  <conditionalFormatting sqref="E210">
    <cfRule type="expression" dxfId="589" priority="158">
      <formula>$C210&lt;$E210</formula>
    </cfRule>
  </conditionalFormatting>
  <conditionalFormatting sqref="E210">
    <cfRule type="expression" dxfId="588" priority="157">
      <formula>$C210&gt;$E210</formula>
    </cfRule>
  </conditionalFormatting>
  <conditionalFormatting sqref="C211">
    <cfRule type="expression" dxfId="587" priority="156">
      <formula>$C211&gt;$E211</formula>
    </cfRule>
  </conditionalFormatting>
  <conditionalFormatting sqref="C211">
    <cfRule type="expression" dxfId="586" priority="155">
      <formula>$C211&lt;$E211</formula>
    </cfRule>
  </conditionalFormatting>
  <conditionalFormatting sqref="E211">
    <cfRule type="expression" dxfId="585" priority="154">
      <formula>$C211&lt;$E211</formula>
    </cfRule>
  </conditionalFormatting>
  <conditionalFormatting sqref="E211">
    <cfRule type="expression" dxfId="584" priority="153">
      <formula>$C211&gt;$E211</formula>
    </cfRule>
  </conditionalFormatting>
  <conditionalFormatting sqref="C212">
    <cfRule type="expression" dxfId="583" priority="152">
      <formula>$C212&gt;$E212</formula>
    </cfRule>
  </conditionalFormatting>
  <conditionalFormatting sqref="C212">
    <cfRule type="expression" dxfId="582" priority="151">
      <formula>$C212&lt;$E212</formula>
    </cfRule>
  </conditionalFormatting>
  <conditionalFormatting sqref="E212">
    <cfRule type="expression" dxfId="581" priority="150">
      <formula>$C212&lt;$E212</formula>
    </cfRule>
  </conditionalFormatting>
  <conditionalFormatting sqref="E212">
    <cfRule type="expression" dxfId="580" priority="149">
      <formula>$C212&gt;$E212</formula>
    </cfRule>
  </conditionalFormatting>
  <conditionalFormatting sqref="C213">
    <cfRule type="expression" dxfId="579" priority="148">
      <formula>$C213&gt;$E213</formula>
    </cfRule>
  </conditionalFormatting>
  <conditionalFormatting sqref="C213">
    <cfRule type="expression" dxfId="578" priority="147">
      <formula>$C213&lt;$E213</formula>
    </cfRule>
  </conditionalFormatting>
  <conditionalFormatting sqref="E213">
    <cfRule type="expression" dxfId="577" priority="146">
      <formula>$C213&lt;$E213</formula>
    </cfRule>
  </conditionalFormatting>
  <conditionalFormatting sqref="E213">
    <cfRule type="expression" dxfId="576" priority="145">
      <formula>$C213&gt;$E213</formula>
    </cfRule>
  </conditionalFormatting>
  <conditionalFormatting sqref="C214">
    <cfRule type="expression" dxfId="575" priority="144">
      <formula>$C214&gt;$E214</formula>
    </cfRule>
  </conditionalFormatting>
  <conditionalFormatting sqref="C214">
    <cfRule type="expression" dxfId="574" priority="143">
      <formula>$C214&lt;$E214</formula>
    </cfRule>
  </conditionalFormatting>
  <conditionalFormatting sqref="E214">
    <cfRule type="expression" dxfId="573" priority="142">
      <formula>$C214&lt;$E214</formula>
    </cfRule>
  </conditionalFormatting>
  <conditionalFormatting sqref="E214">
    <cfRule type="expression" dxfId="572" priority="141">
      <formula>$C214&gt;$E214</formula>
    </cfRule>
  </conditionalFormatting>
  <conditionalFormatting sqref="C215">
    <cfRule type="expression" dxfId="571" priority="140">
      <formula>$C215&gt;$E215</formula>
    </cfRule>
  </conditionalFormatting>
  <conditionalFormatting sqref="C215">
    <cfRule type="expression" dxfId="570" priority="139">
      <formula>$C215&lt;$E215</formula>
    </cfRule>
  </conditionalFormatting>
  <conditionalFormatting sqref="E215">
    <cfRule type="expression" dxfId="569" priority="138">
      <formula>$C215&lt;$E215</formula>
    </cfRule>
  </conditionalFormatting>
  <conditionalFormatting sqref="E215">
    <cfRule type="expression" dxfId="568" priority="137">
      <formula>$C215&gt;$E215</formula>
    </cfRule>
  </conditionalFormatting>
  <conditionalFormatting sqref="C216">
    <cfRule type="expression" dxfId="567" priority="136">
      <formula>$C216&gt;$E216</formula>
    </cfRule>
  </conditionalFormatting>
  <conditionalFormatting sqref="C216">
    <cfRule type="expression" dxfId="566" priority="135">
      <formula>$C216&lt;$E216</formula>
    </cfRule>
  </conditionalFormatting>
  <conditionalFormatting sqref="E216">
    <cfRule type="expression" dxfId="565" priority="134">
      <formula>$C216&lt;$E216</formula>
    </cfRule>
  </conditionalFormatting>
  <conditionalFormatting sqref="E216">
    <cfRule type="expression" dxfId="564" priority="133">
      <formula>$C216&gt;$E216</formula>
    </cfRule>
  </conditionalFormatting>
  <conditionalFormatting sqref="C218">
    <cfRule type="expression" dxfId="563" priority="132">
      <formula>$C218&gt;$E218</formula>
    </cfRule>
  </conditionalFormatting>
  <conditionalFormatting sqref="C218">
    <cfRule type="expression" dxfId="562" priority="131">
      <formula>$C218&lt;$E218</formula>
    </cfRule>
  </conditionalFormatting>
  <conditionalFormatting sqref="E218">
    <cfRule type="expression" dxfId="561" priority="130">
      <formula>$C218&lt;$E218</formula>
    </cfRule>
  </conditionalFormatting>
  <conditionalFormatting sqref="E218">
    <cfRule type="expression" dxfId="560" priority="129">
      <formula>$C218&gt;$E218</formula>
    </cfRule>
  </conditionalFormatting>
  <conditionalFormatting sqref="C219">
    <cfRule type="expression" dxfId="559" priority="128">
      <formula>$C219&gt;$E219</formula>
    </cfRule>
  </conditionalFormatting>
  <conditionalFormatting sqref="C219">
    <cfRule type="expression" dxfId="558" priority="127">
      <formula>$C219&lt;$E219</formula>
    </cfRule>
  </conditionalFormatting>
  <conditionalFormatting sqref="E219">
    <cfRule type="expression" dxfId="557" priority="126">
      <formula>$C219&lt;$E219</formula>
    </cfRule>
  </conditionalFormatting>
  <conditionalFormatting sqref="E219">
    <cfRule type="expression" dxfId="556" priority="125">
      <formula>$C219&gt;$E219</formula>
    </cfRule>
  </conditionalFormatting>
  <conditionalFormatting sqref="C220">
    <cfRule type="expression" dxfId="555" priority="124">
      <formula>$C220&gt;$E220</formula>
    </cfRule>
  </conditionalFormatting>
  <conditionalFormatting sqref="C220">
    <cfRule type="expression" dxfId="554" priority="123">
      <formula>$C220&lt;$E220</formula>
    </cfRule>
  </conditionalFormatting>
  <conditionalFormatting sqref="E220">
    <cfRule type="expression" dxfId="553" priority="122">
      <formula>$C220&lt;$E220</formula>
    </cfRule>
  </conditionalFormatting>
  <conditionalFormatting sqref="E220">
    <cfRule type="expression" dxfId="552" priority="121">
      <formula>$C220&gt;$E220</formula>
    </cfRule>
  </conditionalFormatting>
  <conditionalFormatting sqref="C221">
    <cfRule type="expression" dxfId="551" priority="120">
      <formula>$C221&gt;$E221</formula>
    </cfRule>
  </conditionalFormatting>
  <conditionalFormatting sqref="C221">
    <cfRule type="expression" dxfId="550" priority="119">
      <formula>$C221&lt;$E221</formula>
    </cfRule>
  </conditionalFormatting>
  <conditionalFormatting sqref="E221">
    <cfRule type="expression" dxfId="549" priority="118">
      <formula>$C221&lt;$E221</formula>
    </cfRule>
  </conditionalFormatting>
  <conditionalFormatting sqref="E221">
    <cfRule type="expression" dxfId="548" priority="117">
      <formula>$C221&gt;$E221</formula>
    </cfRule>
  </conditionalFormatting>
  <conditionalFormatting sqref="C222">
    <cfRule type="expression" dxfId="547" priority="116">
      <formula>$C222&gt;$E222</formula>
    </cfRule>
  </conditionalFormatting>
  <conditionalFormatting sqref="C222">
    <cfRule type="expression" dxfId="546" priority="115">
      <formula>$C222&lt;$E222</formula>
    </cfRule>
  </conditionalFormatting>
  <conditionalFormatting sqref="E222">
    <cfRule type="expression" dxfId="545" priority="114">
      <formula>$C222&lt;$E222</formula>
    </cfRule>
  </conditionalFormatting>
  <conditionalFormatting sqref="E222">
    <cfRule type="expression" dxfId="544" priority="113">
      <formula>$C222&gt;$E222</formula>
    </cfRule>
  </conditionalFormatting>
  <conditionalFormatting sqref="C223">
    <cfRule type="expression" dxfId="543" priority="112">
      <formula>$C223&gt;$E223</formula>
    </cfRule>
  </conditionalFormatting>
  <conditionalFormatting sqref="C223">
    <cfRule type="expression" dxfId="542" priority="111">
      <formula>$C223&lt;$E223</formula>
    </cfRule>
  </conditionalFormatting>
  <conditionalFormatting sqref="E223">
    <cfRule type="expression" dxfId="541" priority="110">
      <formula>$C223&lt;$E223</formula>
    </cfRule>
  </conditionalFormatting>
  <conditionalFormatting sqref="E223">
    <cfRule type="expression" dxfId="540" priority="109">
      <formula>$C223&gt;$E223</formula>
    </cfRule>
  </conditionalFormatting>
  <conditionalFormatting sqref="C224">
    <cfRule type="expression" dxfId="539" priority="108">
      <formula>$C224&gt;$E224</formula>
    </cfRule>
  </conditionalFormatting>
  <conditionalFormatting sqref="C224">
    <cfRule type="expression" dxfId="538" priority="107">
      <formula>$C224&lt;$E224</formula>
    </cfRule>
  </conditionalFormatting>
  <conditionalFormatting sqref="E224">
    <cfRule type="expression" dxfId="537" priority="106">
      <formula>$C224&lt;$E224</formula>
    </cfRule>
  </conditionalFormatting>
  <conditionalFormatting sqref="E224">
    <cfRule type="expression" dxfId="536" priority="105">
      <formula>$C224&gt;$E224</formula>
    </cfRule>
  </conditionalFormatting>
  <conditionalFormatting sqref="C225">
    <cfRule type="expression" dxfId="535" priority="104">
      <formula>$C225&gt;$E225</formula>
    </cfRule>
  </conditionalFormatting>
  <conditionalFormatting sqref="C225">
    <cfRule type="expression" dxfId="534" priority="103">
      <formula>$C225&lt;$E225</formula>
    </cfRule>
  </conditionalFormatting>
  <conditionalFormatting sqref="E225">
    <cfRule type="expression" dxfId="533" priority="102">
      <formula>$C225&lt;$E225</formula>
    </cfRule>
  </conditionalFormatting>
  <conditionalFormatting sqref="E225">
    <cfRule type="expression" dxfId="532" priority="101">
      <formula>$C225&gt;$E225</formula>
    </cfRule>
  </conditionalFormatting>
  <conditionalFormatting sqref="C226">
    <cfRule type="expression" dxfId="531" priority="100">
      <formula>$C226&gt;$E226</formula>
    </cfRule>
  </conditionalFormatting>
  <conditionalFormatting sqref="C226">
    <cfRule type="expression" dxfId="530" priority="99">
      <formula>$C226&lt;$E226</formula>
    </cfRule>
  </conditionalFormatting>
  <conditionalFormatting sqref="E226">
    <cfRule type="expression" dxfId="529" priority="98">
      <formula>$C226&lt;$E226</formula>
    </cfRule>
  </conditionalFormatting>
  <conditionalFormatting sqref="E226">
    <cfRule type="expression" dxfId="528" priority="97">
      <formula>$C226&gt;$E226</formula>
    </cfRule>
  </conditionalFormatting>
  <conditionalFormatting sqref="C227">
    <cfRule type="expression" dxfId="527" priority="96">
      <formula>$C227&gt;$E227</formula>
    </cfRule>
  </conditionalFormatting>
  <conditionalFormatting sqref="C227">
    <cfRule type="expression" dxfId="526" priority="95">
      <formula>$C227&lt;$E227</formula>
    </cfRule>
  </conditionalFormatting>
  <conditionalFormatting sqref="E227">
    <cfRule type="expression" dxfId="525" priority="94">
      <formula>$C227&lt;$E227</formula>
    </cfRule>
  </conditionalFormatting>
  <conditionalFormatting sqref="E227">
    <cfRule type="expression" dxfId="524" priority="93">
      <formula>$C227&gt;$E227</formula>
    </cfRule>
  </conditionalFormatting>
  <conditionalFormatting sqref="C228">
    <cfRule type="expression" dxfId="523" priority="92">
      <formula>$C228&gt;$E228</formula>
    </cfRule>
  </conditionalFormatting>
  <conditionalFormatting sqref="C228">
    <cfRule type="expression" dxfId="522" priority="91">
      <formula>$C228&lt;$E228</formula>
    </cfRule>
  </conditionalFormatting>
  <conditionalFormatting sqref="E228">
    <cfRule type="expression" dxfId="521" priority="90">
      <formula>$C228&lt;$E228</formula>
    </cfRule>
  </conditionalFormatting>
  <conditionalFormatting sqref="E228">
    <cfRule type="expression" dxfId="520" priority="89">
      <formula>$C228&gt;$E228</formula>
    </cfRule>
  </conditionalFormatting>
  <conditionalFormatting sqref="C230">
    <cfRule type="expression" dxfId="519" priority="88">
      <formula>$C230&gt;$E230</formula>
    </cfRule>
  </conditionalFormatting>
  <conditionalFormatting sqref="C230">
    <cfRule type="expression" dxfId="518" priority="87">
      <formula>$C230&lt;$E230</formula>
    </cfRule>
  </conditionalFormatting>
  <conditionalFormatting sqref="E230">
    <cfRule type="expression" dxfId="517" priority="86">
      <formula>$C230&lt;$E230</formula>
    </cfRule>
  </conditionalFormatting>
  <conditionalFormatting sqref="E230">
    <cfRule type="expression" dxfId="516" priority="85">
      <formula>$C230&gt;$E230</formula>
    </cfRule>
  </conditionalFormatting>
  <conditionalFormatting sqref="C231">
    <cfRule type="expression" dxfId="515" priority="84">
      <formula>$C231&gt;$E231</formula>
    </cfRule>
  </conditionalFormatting>
  <conditionalFormatting sqref="C231">
    <cfRule type="expression" dxfId="514" priority="83">
      <formula>$C231&lt;$E231</formula>
    </cfRule>
  </conditionalFormatting>
  <conditionalFormatting sqref="E231">
    <cfRule type="expression" dxfId="513" priority="82">
      <formula>$C231&lt;$E231</formula>
    </cfRule>
  </conditionalFormatting>
  <conditionalFormatting sqref="E231">
    <cfRule type="expression" dxfId="512" priority="81">
      <formula>$C231&gt;$E231</formula>
    </cfRule>
  </conditionalFormatting>
  <conditionalFormatting sqref="C232">
    <cfRule type="expression" dxfId="511" priority="80">
      <formula>$C232&gt;$E232</formula>
    </cfRule>
  </conditionalFormatting>
  <conditionalFormatting sqref="C232">
    <cfRule type="expression" dxfId="510" priority="79">
      <formula>$C232&lt;$E232</formula>
    </cfRule>
  </conditionalFormatting>
  <conditionalFormatting sqref="E232">
    <cfRule type="expression" dxfId="509" priority="78">
      <formula>$C232&lt;$E232</formula>
    </cfRule>
  </conditionalFormatting>
  <conditionalFormatting sqref="E232">
    <cfRule type="expression" dxfId="508" priority="77">
      <formula>$C232&gt;$E232</formula>
    </cfRule>
  </conditionalFormatting>
  <conditionalFormatting sqref="C233">
    <cfRule type="expression" dxfId="507" priority="76">
      <formula>$C233&gt;$E233</formula>
    </cfRule>
  </conditionalFormatting>
  <conditionalFormatting sqref="C233">
    <cfRule type="expression" dxfId="506" priority="75">
      <formula>$C233&lt;$E233</formula>
    </cfRule>
  </conditionalFormatting>
  <conditionalFormatting sqref="E233">
    <cfRule type="expression" dxfId="505" priority="74">
      <formula>$C233&lt;$E233</formula>
    </cfRule>
  </conditionalFormatting>
  <conditionalFormatting sqref="E233">
    <cfRule type="expression" dxfId="504" priority="73">
      <formula>$C233&gt;$E233</formula>
    </cfRule>
  </conditionalFormatting>
  <conditionalFormatting sqref="C234">
    <cfRule type="expression" dxfId="503" priority="72">
      <formula>$C234&gt;$E234</formula>
    </cfRule>
  </conditionalFormatting>
  <conditionalFormatting sqref="C234">
    <cfRule type="expression" dxfId="502" priority="71">
      <formula>$C234&lt;$E234</formula>
    </cfRule>
  </conditionalFormatting>
  <conditionalFormatting sqref="E234">
    <cfRule type="expression" dxfId="501" priority="70">
      <formula>$C234&lt;$E234</formula>
    </cfRule>
  </conditionalFormatting>
  <conditionalFormatting sqref="E234">
    <cfRule type="expression" dxfId="500" priority="69">
      <formula>$C234&gt;$E234</formula>
    </cfRule>
  </conditionalFormatting>
  <conditionalFormatting sqref="C235">
    <cfRule type="expression" dxfId="499" priority="68">
      <formula>$C235&gt;$E235</formula>
    </cfRule>
  </conditionalFormatting>
  <conditionalFormatting sqref="C235">
    <cfRule type="expression" dxfId="498" priority="67">
      <formula>$C235&lt;$E235</formula>
    </cfRule>
  </conditionalFormatting>
  <conditionalFormatting sqref="E235">
    <cfRule type="expression" dxfId="497" priority="66">
      <formula>$C235&lt;$E235</formula>
    </cfRule>
  </conditionalFormatting>
  <conditionalFormatting sqref="E235">
    <cfRule type="expression" dxfId="496" priority="65">
      <formula>$C235&gt;$E235</formula>
    </cfRule>
  </conditionalFormatting>
  <conditionalFormatting sqref="C236">
    <cfRule type="expression" dxfId="495" priority="64">
      <formula>$C236&gt;$E236</formula>
    </cfRule>
  </conditionalFormatting>
  <conditionalFormatting sqref="C236">
    <cfRule type="expression" dxfId="494" priority="63">
      <formula>$C236&lt;$E236</formula>
    </cfRule>
  </conditionalFormatting>
  <conditionalFormatting sqref="E236">
    <cfRule type="expression" dxfId="493" priority="62">
      <formula>$C236&lt;$E236</formula>
    </cfRule>
  </conditionalFormatting>
  <conditionalFormatting sqref="E236">
    <cfRule type="expression" dxfId="492" priority="61">
      <formula>$C236&gt;$E236</formula>
    </cfRule>
  </conditionalFormatting>
  <conditionalFormatting sqref="C237">
    <cfRule type="expression" dxfId="491" priority="60">
      <formula>$C237&gt;$E237</formula>
    </cfRule>
  </conditionalFormatting>
  <conditionalFormatting sqref="C237">
    <cfRule type="expression" dxfId="490" priority="59">
      <formula>$C237&lt;$E237</formula>
    </cfRule>
  </conditionalFormatting>
  <conditionalFormatting sqref="E237">
    <cfRule type="expression" dxfId="489" priority="58">
      <formula>$C237&lt;$E237</formula>
    </cfRule>
  </conditionalFormatting>
  <conditionalFormatting sqref="E237">
    <cfRule type="expression" dxfId="488" priority="57">
      <formula>$C237&gt;$E237</formula>
    </cfRule>
  </conditionalFormatting>
  <conditionalFormatting sqref="C238">
    <cfRule type="expression" dxfId="487" priority="56">
      <formula>$C238&gt;$E238</formula>
    </cfRule>
  </conditionalFormatting>
  <conditionalFormatting sqref="C238">
    <cfRule type="expression" dxfId="486" priority="55">
      <formula>$C238&lt;$E238</formula>
    </cfRule>
  </conditionalFormatting>
  <conditionalFormatting sqref="E238">
    <cfRule type="expression" dxfId="485" priority="54">
      <formula>$C238&lt;$E238</formula>
    </cfRule>
  </conditionalFormatting>
  <conditionalFormatting sqref="E238">
    <cfRule type="expression" dxfId="484" priority="53">
      <formula>$C238&gt;$E238</formula>
    </cfRule>
  </conditionalFormatting>
  <conditionalFormatting sqref="C239">
    <cfRule type="expression" dxfId="483" priority="52">
      <formula>$C239&gt;$E239</formula>
    </cfRule>
  </conditionalFormatting>
  <conditionalFormatting sqref="C239">
    <cfRule type="expression" dxfId="482" priority="51">
      <formula>$C239&lt;$E239</formula>
    </cfRule>
  </conditionalFormatting>
  <conditionalFormatting sqref="E239">
    <cfRule type="expression" dxfId="481" priority="50">
      <formula>$C239&lt;$E239</formula>
    </cfRule>
  </conditionalFormatting>
  <conditionalFormatting sqref="E239">
    <cfRule type="expression" dxfId="480" priority="49">
      <formula>$C239&gt;$E239</formula>
    </cfRule>
  </conditionalFormatting>
  <conditionalFormatting sqref="C240">
    <cfRule type="expression" dxfId="479" priority="48">
      <formula>$C240&gt;$E240</formula>
    </cfRule>
  </conditionalFormatting>
  <conditionalFormatting sqref="C240">
    <cfRule type="expression" dxfId="478" priority="47">
      <formula>$C240&lt;$E240</formula>
    </cfRule>
  </conditionalFormatting>
  <conditionalFormatting sqref="E240">
    <cfRule type="expression" dxfId="477" priority="46">
      <formula>$C240&lt;$E240</formula>
    </cfRule>
  </conditionalFormatting>
  <conditionalFormatting sqref="E240">
    <cfRule type="expression" dxfId="476" priority="45">
      <formula>$C240&gt;$E240</formula>
    </cfRule>
  </conditionalFormatting>
  <conditionalFormatting sqref="C242">
    <cfRule type="expression" dxfId="475" priority="44">
      <formula>$C242&gt;$E242</formula>
    </cfRule>
  </conditionalFormatting>
  <conditionalFormatting sqref="C242">
    <cfRule type="expression" dxfId="474" priority="43">
      <formula>$C242&lt;$E242</formula>
    </cfRule>
  </conditionalFormatting>
  <conditionalFormatting sqref="E242">
    <cfRule type="expression" dxfId="473" priority="42">
      <formula>$C242&lt;$E242</formula>
    </cfRule>
  </conditionalFormatting>
  <conditionalFormatting sqref="E242">
    <cfRule type="expression" dxfId="472" priority="41">
      <formula>$C242&gt;$E242</formula>
    </cfRule>
  </conditionalFormatting>
  <conditionalFormatting sqref="C243">
    <cfRule type="expression" dxfId="471" priority="40">
      <formula>$C243&gt;$E243</formula>
    </cfRule>
  </conditionalFormatting>
  <conditionalFormatting sqref="C243">
    <cfRule type="expression" dxfId="470" priority="39">
      <formula>$C243&lt;$E243</formula>
    </cfRule>
  </conditionalFormatting>
  <conditionalFormatting sqref="E243">
    <cfRule type="expression" dxfId="469" priority="38">
      <formula>$C243&lt;$E243</formula>
    </cfRule>
  </conditionalFormatting>
  <conditionalFormatting sqref="E243">
    <cfRule type="expression" dxfId="468" priority="37">
      <formula>$C243&gt;$E243</formula>
    </cfRule>
  </conditionalFormatting>
  <conditionalFormatting sqref="C244">
    <cfRule type="expression" dxfId="467" priority="36">
      <formula>$C244&gt;$E244</formula>
    </cfRule>
  </conditionalFormatting>
  <conditionalFormatting sqref="C244">
    <cfRule type="expression" dxfId="466" priority="35">
      <formula>$C244&lt;$E244</formula>
    </cfRule>
  </conditionalFormatting>
  <conditionalFormatting sqref="E244">
    <cfRule type="expression" dxfId="465" priority="34">
      <formula>$C244&lt;$E244</formula>
    </cfRule>
  </conditionalFormatting>
  <conditionalFormatting sqref="E244">
    <cfRule type="expression" dxfId="464" priority="33">
      <formula>$C244&gt;$E244</formula>
    </cfRule>
  </conditionalFormatting>
  <conditionalFormatting sqref="C245">
    <cfRule type="expression" dxfId="463" priority="32">
      <formula>$C245&gt;$E245</formula>
    </cfRule>
  </conditionalFormatting>
  <conditionalFormatting sqref="C245">
    <cfRule type="expression" dxfId="462" priority="31">
      <formula>$C245&lt;$E245</formula>
    </cfRule>
  </conditionalFormatting>
  <conditionalFormatting sqref="E245">
    <cfRule type="expression" dxfId="461" priority="30">
      <formula>$C245&lt;$E245</formula>
    </cfRule>
  </conditionalFormatting>
  <conditionalFormatting sqref="E245">
    <cfRule type="expression" dxfId="460" priority="29">
      <formula>$C245&gt;$E245</formula>
    </cfRule>
  </conditionalFormatting>
  <conditionalFormatting sqref="C246">
    <cfRule type="expression" dxfId="459" priority="28">
      <formula>$C246&gt;$E246</formula>
    </cfRule>
  </conditionalFormatting>
  <conditionalFormatting sqref="C246">
    <cfRule type="expression" dxfId="458" priority="27">
      <formula>$C246&lt;$E246</formula>
    </cfRule>
  </conditionalFormatting>
  <conditionalFormatting sqref="E246">
    <cfRule type="expression" dxfId="457" priority="26">
      <formula>$C246&lt;$E246</formula>
    </cfRule>
  </conditionalFormatting>
  <conditionalFormatting sqref="E246">
    <cfRule type="expression" dxfId="456" priority="25">
      <formula>$C246&gt;$E246</formula>
    </cfRule>
  </conditionalFormatting>
  <conditionalFormatting sqref="C247">
    <cfRule type="expression" dxfId="455" priority="24">
      <formula>$C247&gt;$E247</formula>
    </cfRule>
  </conditionalFormatting>
  <conditionalFormatting sqref="C247">
    <cfRule type="expression" dxfId="454" priority="23">
      <formula>$C247&lt;$E247</formula>
    </cfRule>
  </conditionalFormatting>
  <conditionalFormatting sqref="E247">
    <cfRule type="expression" dxfId="453" priority="22">
      <formula>$C247&lt;$E247</formula>
    </cfRule>
  </conditionalFormatting>
  <conditionalFormatting sqref="E247">
    <cfRule type="expression" dxfId="452" priority="21">
      <formula>$C247&gt;$E247</formula>
    </cfRule>
  </conditionalFormatting>
  <conditionalFormatting sqref="C248">
    <cfRule type="expression" dxfId="451" priority="20">
      <formula>$C248&gt;$E248</formula>
    </cfRule>
  </conditionalFormatting>
  <conditionalFormatting sqref="C248">
    <cfRule type="expression" dxfId="450" priority="19">
      <formula>$C248&lt;$E248</formula>
    </cfRule>
  </conditionalFormatting>
  <conditionalFormatting sqref="E248">
    <cfRule type="expression" dxfId="449" priority="18">
      <formula>$C248&lt;$E248</formula>
    </cfRule>
  </conditionalFormatting>
  <conditionalFormatting sqref="E248">
    <cfRule type="expression" dxfId="448" priority="17">
      <formula>$C248&gt;$E248</formula>
    </cfRule>
  </conditionalFormatting>
  <conditionalFormatting sqref="C249">
    <cfRule type="expression" dxfId="447" priority="16">
      <formula>$C249&gt;$E249</formula>
    </cfRule>
  </conditionalFormatting>
  <conditionalFormatting sqref="C249">
    <cfRule type="expression" dxfId="446" priority="15">
      <formula>$C249&lt;$E249</formula>
    </cfRule>
  </conditionalFormatting>
  <conditionalFormatting sqref="E249">
    <cfRule type="expression" dxfId="445" priority="14">
      <formula>$C249&lt;$E249</formula>
    </cfRule>
  </conditionalFormatting>
  <conditionalFormatting sqref="E249">
    <cfRule type="expression" dxfId="444" priority="13">
      <formula>$C249&gt;$E249</formula>
    </cfRule>
  </conditionalFormatting>
  <conditionalFormatting sqref="C250">
    <cfRule type="expression" dxfId="443" priority="12">
      <formula>$C250&gt;$E250</formula>
    </cfRule>
  </conditionalFormatting>
  <conditionalFormatting sqref="C250">
    <cfRule type="expression" dxfId="442" priority="11">
      <formula>$C250&lt;$E250</formula>
    </cfRule>
  </conditionalFormatting>
  <conditionalFormatting sqref="E250">
    <cfRule type="expression" dxfId="441" priority="10">
      <formula>$C250&lt;$E250</formula>
    </cfRule>
  </conditionalFormatting>
  <conditionalFormatting sqref="E250">
    <cfRule type="expression" dxfId="440" priority="9">
      <formula>$C250&gt;$E250</formula>
    </cfRule>
  </conditionalFormatting>
  <conditionalFormatting sqref="C251">
    <cfRule type="expression" dxfId="439" priority="8">
      <formula>$C251&gt;$E251</formula>
    </cfRule>
  </conditionalFormatting>
  <conditionalFormatting sqref="C251">
    <cfRule type="expression" dxfId="438" priority="7">
      <formula>$C251&lt;$E251</formula>
    </cfRule>
  </conditionalFormatting>
  <conditionalFormatting sqref="E251">
    <cfRule type="expression" dxfId="437" priority="6">
      <formula>$C251&lt;$E251</formula>
    </cfRule>
  </conditionalFormatting>
  <conditionalFormatting sqref="E251">
    <cfRule type="expression" dxfId="436" priority="5">
      <formula>$C251&gt;$E251</formula>
    </cfRule>
  </conditionalFormatting>
  <conditionalFormatting sqref="C252">
    <cfRule type="expression" dxfId="435" priority="4">
      <formula>$C252&gt;$E252</formula>
    </cfRule>
  </conditionalFormatting>
  <conditionalFormatting sqref="C252">
    <cfRule type="expression" dxfId="434" priority="3">
      <formula>$C252&lt;$E252</formula>
    </cfRule>
  </conditionalFormatting>
  <conditionalFormatting sqref="E252">
    <cfRule type="expression" dxfId="433" priority="2">
      <formula>$C252&lt;$E252</formula>
    </cfRule>
  </conditionalFormatting>
  <conditionalFormatting sqref="E252">
    <cfRule type="expression" dxfId="432" priority="1">
      <formula>$C252&gt;$E252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720B345D-B5D5-40D2-9FCE-44870F45F591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C4PPMatch">
              <controlPr defaultSize="0" print="0" autoFill="0" autoPict="0" macro="[0]!'copyimage &quot;B1:F252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44C7A-F0A5-43B9-AB43-4DA0B3A7506E}">
  <dimension ref="A1:N102"/>
  <sheetViews>
    <sheetView workbookViewId="0"/>
  </sheetViews>
  <sheetFormatPr baseColWidth="10" defaultRowHeight="15" x14ac:dyDescent="0.25"/>
  <cols>
    <col min="1" max="2" width="11.42578125" style="72"/>
    <col min="3" max="3" width="0" style="72" hidden="1" customWidth="1"/>
    <col min="4" max="4" width="43.5703125" style="72" customWidth="1"/>
    <col min="5" max="5" width="11.42578125" style="128"/>
    <col min="6" max="6" width="11.42578125" style="72"/>
    <col min="7" max="7" width="0" style="72" hidden="1" customWidth="1"/>
    <col min="8" max="11" width="11.42578125" style="72"/>
    <col min="12" max="12" width="0" style="72" hidden="1" customWidth="1"/>
    <col min="13" max="13" width="6" style="72" customWidth="1"/>
    <col min="14" max="16384" width="11.42578125" style="72"/>
  </cols>
  <sheetData>
    <row r="1" spans="1:14" ht="15.75" thickBot="1" x14ac:dyDescent="0.3"/>
    <row r="2" spans="1:14" ht="30.95" customHeight="1" thickBot="1" x14ac:dyDescent="0.3">
      <c r="C2" s="116" t="s">
        <v>179</v>
      </c>
      <c r="D2" s="116" t="s">
        <v>59</v>
      </c>
      <c r="E2" s="129" t="s">
        <v>180</v>
      </c>
      <c r="F2" s="116" t="s">
        <v>181</v>
      </c>
      <c r="G2" s="116" t="s">
        <v>182</v>
      </c>
      <c r="H2" s="116" t="s">
        <v>183</v>
      </c>
      <c r="I2" s="116" t="s">
        <v>184</v>
      </c>
      <c r="J2" s="116" t="s">
        <v>185</v>
      </c>
      <c r="K2" s="117" t="s">
        <v>186</v>
      </c>
      <c r="L2" s="116" t="s">
        <v>187</v>
      </c>
      <c r="M2" s="117" t="s">
        <v>188</v>
      </c>
    </row>
    <row r="4" spans="1:14" ht="15.75" x14ac:dyDescent="0.25">
      <c r="A4" s="118" t="s">
        <v>62</v>
      </c>
      <c r="B4" s="119">
        <v>1</v>
      </c>
      <c r="C4" s="119" t="s">
        <v>55</v>
      </c>
      <c r="D4" s="119" t="str">
        <f>INSCRIPTS!C2</f>
        <v>1A</v>
      </c>
      <c r="E4" s="130">
        <f ca="1">SUM(IF(INDIRECT(ADDRESS(2,3,,,"MATCHS"))&gt;INDIRECT(ADDRESS(2,5,,,"MATCHS")),1,0),,,IF(INDIRECT(ADDRESS(39,3,,,"MATCHS"))&gt;INDIRECT(ADDRESS(39,5,,,"MATCHS")),1,0),,,IF(INDIRECT(ADDRESS(76,3,,,"MATCHS"))&gt;INDIRECT(ADDRESS(76,5,,,"MATCHS")),1,0),,,IF(INDIRECT(ADDRESS(113,3,,,"MATCHS"))&gt;INDIRECT(ADDRESS(113,5,,,"MATCHS")),1,0),,,IF(INDIRECT(ADDRESS(150,3,,,"MATCHS"))&gt;INDIRECT(ADDRESS(150,5,,,"MATCHS")),1,0),,,IF(INDIRECT(ADDRESS(187,3,,,"MATCHS"))&gt;INDIRECT(ADDRESS(187,5,,,"MATCHS")),1,0),,IF(INDIRECT(ADDRESS(211,3,,,"MATCHS"))&gt;INDIRECT(ADDRESS(211,5,,,"MATCHS")),1,0),,,) + 0.01 * K4</f>
        <v>0</v>
      </c>
      <c r="F4" s="119">
        <f ca="1">SUM(IF(INDIRECT(ADDRESS(2,3,,,"MATCHS"))&lt;INDIRECT(ADDRESS(2,5,,,"MATCHS")),1,0),,,IF(INDIRECT(ADDRESS(39,3,,,"MATCHS"))&lt;INDIRECT(ADDRESS(39,5,,,"MATCHS")),1,0),,,IF(INDIRECT(ADDRESS(76,3,,,"MATCHS"))&lt;INDIRECT(ADDRESS(76,5,,,"MATCHS")),1,0),,,IF(INDIRECT(ADDRESS(113,3,,,"MATCHS"))&lt;INDIRECT(ADDRESS(113,5,,,"MATCHS")),1,0),,,IF(INDIRECT(ADDRESS(150,3,,,"MATCHS"))&lt;INDIRECT(ADDRESS(150,5,,,"MATCHS")),1,0),,,IF(INDIRECT(ADDRESS(187,3,,,"MATCHS"))&lt;INDIRECT(ADDRESS(187,5,,,"MATCHS")),1,0),,IF(INDIRECT(ADDRESS(211,3,,,"MATCHS"))&lt;INDIRECT(ADDRESS(211,5,,,"MATCHS")),1,0),,,)</f>
        <v>0</v>
      </c>
      <c r="G4" s="119"/>
      <c r="H4" s="119">
        <f ca="1">SUM(IF(IFERROR(FIND("--",INDIRECT(ADDRESS(2,3,,,"MATCHS"))),FALSE),RIGHT(INDIRECT(ADDRESS(2,3,,,"MATCHS")), FIND("--",INDIRECT(ADDRESS(2,3,,,"MATCHS")),1)),INDIRECT(ADDRESS(2,3,,,"MATCHS"))),,,IF(IFERROR(FIND("--",INDIRECT(ADDRESS(39,3,,,"MATCHS"))),FALSE),RIGHT(INDIRECT(ADDRESS(39,3,,,"MATCHS")), FIND("--",INDIRECT(ADDRESS(39,3,,,"MATCHS")),1)),INDIRECT(ADDRESS(39,3,,,"MATCHS"))),,,IF(IFERROR(FIND("--",INDIRECT(ADDRESS(76,3,,,"MATCHS"))),FALSE),RIGHT(INDIRECT(ADDRESS(76,3,,,"MATCHS")), FIND("--",INDIRECT(ADDRESS(76,3,,,"MATCHS")),1)),INDIRECT(ADDRESS(76,3,,,"MATCHS"))),,,IF(IFERROR(FIND("--",INDIRECT(ADDRESS(113,3,,,"MATCHS"))),FALSE),RIGHT(INDIRECT(ADDRESS(113,3,,,"MATCHS")), FIND("--",INDIRECT(ADDRESS(113,3,,,"MATCHS")),1)),INDIRECT(ADDRESS(113,3,,,"MATCHS"))),,,IF(IFERROR(FIND("--",INDIRECT(ADDRESS(150,3,,,"MATCHS"))),FALSE),RIGHT(INDIRECT(ADDRESS(150,3,,,"MATCHS")), FIND("--",INDIRECT(ADDRESS(150,3,,,"MATCHS")),1)),INDIRECT(ADDRESS(150,3,,,"MATCHS"))),,,IF(IFERROR(FIND("--",INDIRECT(ADDRESS(187,3,,,"MATCHS"))),FALSE),RIGHT(INDIRECT(ADDRESS(187,3,,,"MATCHS")), FIND("--",INDIRECT(ADDRESS(187,3,,,"MATCHS")),1)),INDIRECT(ADDRESS(187,3,,,"MATCHS"))),,IF(IFERROR(FIND("--",INDIRECT(ADDRESS(211,3,,,"MATCHS"))),FALSE),RIGHT(INDIRECT(ADDRESS(211,3,,,"MATCHS")), FIND("--",INDIRECT(ADDRESS(211,3,,,"MATCHS")),1)),INDIRECT(ADDRESS(211,3,,,"MATCHS"))),,,)</f>
        <v>0</v>
      </c>
      <c r="I4" s="119">
        <f ca="1">SUM(IF(IFERROR(FIND("--",INDIRECT(ADDRESS(2,5,,,"MATCHS"))),FALSE),RIGHT(INDIRECT(ADDRESS(2,5,,,"MATCHS")), FIND("--",INDIRECT(ADDRESS(2,5,,,"MATCHS")),1)),INDIRECT(ADDRESS(2,5,,,"MATCHS"))),,,IF(IFERROR(FIND("--",INDIRECT(ADDRESS(39,5,,,"MATCHS"))),FALSE),RIGHT(INDIRECT(ADDRESS(39,5,,,"MATCHS")), FIND("--",INDIRECT(ADDRESS(39,5,,,"MATCHS")),1)),INDIRECT(ADDRESS(39,5,,,"MATCHS"))),,,IF(IFERROR(FIND("--",INDIRECT(ADDRESS(76,5,,,"MATCHS"))),FALSE),RIGHT(INDIRECT(ADDRESS(76,5,,,"MATCHS")), FIND("--",INDIRECT(ADDRESS(76,5,,,"MATCHS")),1)),INDIRECT(ADDRESS(76,5,,,"MATCHS"))),,,IF(IFERROR(FIND("--",INDIRECT(ADDRESS(113,5,,,"MATCHS"))),FALSE),RIGHT(INDIRECT(ADDRESS(113,5,,,"MATCHS")), FIND("--",INDIRECT(ADDRESS(113,5,,,"MATCHS")),1)),INDIRECT(ADDRESS(113,5,,,"MATCHS"))),,,IF(IFERROR(FIND("--",INDIRECT(ADDRESS(150,5,,,"MATCHS"))),FALSE),RIGHT(INDIRECT(ADDRESS(150,5,,,"MATCHS")), FIND("--",INDIRECT(ADDRESS(150,5,,,"MATCHS")),1)),INDIRECT(ADDRESS(150,5,,,"MATCHS"))),,,IF(IFERROR(FIND("--",INDIRECT(ADDRESS(187,5,,,"MATCHS"))),FALSE),RIGHT(INDIRECT(ADDRESS(187,5,,,"MATCHS")), FIND("--",INDIRECT(ADDRESS(187,5,,,"MATCHS")),1)),INDIRECT(ADDRESS(187,5,,,"MATCHS"))),,IF(IFERROR(FIND("--",INDIRECT(ADDRESS(211,5,,,"MATCHS"))),FALSE),RIGHT(INDIRECT(ADDRESS(211,5,,,"MATCHS")), FIND("--",INDIRECT(ADDRESS(211,5,,,"MATCHS")),1)),INDIRECT(ADDRESS(211,5,,,"MATCHS"))),,,)</f>
        <v>0</v>
      </c>
      <c r="J4" s="119">
        <f ca="1">H4 - I4</f>
        <v>0</v>
      </c>
      <c r="K4" s="119">
        <v>0</v>
      </c>
      <c r="L4" s="119">
        <v>1</v>
      </c>
      <c r="M4" s="119"/>
      <c r="N4" s="115" t="str">
        <f>M4 &amp; "DM"</f>
        <v>DM</v>
      </c>
    </row>
    <row r="5" spans="1:14" ht="15.75" x14ac:dyDescent="0.25">
      <c r="A5" s="118"/>
      <c r="B5" s="119">
        <v>2</v>
      </c>
      <c r="C5" s="119" t="s">
        <v>56</v>
      </c>
      <c r="D5" s="119" t="str">
        <f>INSCRIPTS!C3</f>
        <v>2A</v>
      </c>
      <c r="E5" s="130">
        <f ca="1">SUM(IF(INDIRECT(ADDRESS(2,5,,,"MATCHS"))&gt;INDIRECT(ADDRESS(2,3,,,"MATCHS")),1,0),,,IF(INDIRECT(ADDRESS(40,3,,,"MATCHS"))&gt;INDIRECT(ADDRESS(40,5,,,"MATCHS")),1,0),,,IF(INDIRECT(ADDRESS(77,3,,,"MATCHS"))&gt;INDIRECT(ADDRESS(77,5,,,"MATCHS")),1,0),,,IF(INDIRECT(ADDRESS(114,3,,,"MATCHS"))&gt;INDIRECT(ADDRESS(114,5,,,"MATCHS")),1,0),,,IF(INDIRECT(ADDRESS(151,3,,,"MATCHS"))&gt;INDIRECT(ADDRESS(151,5,,,"MATCHS")),1,0),,,IF(INDIRECT(ADDRESS(188,3,,,"MATCHS"))&gt;INDIRECT(ADDRESS(188,5,,,"MATCHS")),1,0),,IF(INDIRECT(ADDRESS(212,3,,,"MATCHS"))&gt;INDIRECT(ADDRESS(212,5,,,"MATCHS")),1,0),,,) + 0.01 * K5</f>
        <v>0</v>
      </c>
      <c r="F5" s="119">
        <f ca="1">SUM(IF(INDIRECT(ADDRESS(2,5,,,"MATCHS"))&lt;INDIRECT(ADDRESS(2,3,,,"MATCHS")),1,0),,,IF(INDIRECT(ADDRESS(40,3,,,"MATCHS"))&lt;INDIRECT(ADDRESS(40,5,,,"MATCHS")),1,0),,,IF(INDIRECT(ADDRESS(77,3,,,"MATCHS"))&lt;INDIRECT(ADDRESS(77,5,,,"MATCHS")),1,0),,,IF(INDIRECT(ADDRESS(114,3,,,"MATCHS"))&lt;INDIRECT(ADDRESS(114,5,,,"MATCHS")),1,0),,,IF(INDIRECT(ADDRESS(151,3,,,"MATCHS"))&lt;INDIRECT(ADDRESS(151,5,,,"MATCHS")),1,0),,,IF(INDIRECT(ADDRESS(188,3,,,"MATCHS"))&lt;INDIRECT(ADDRESS(188,5,,,"MATCHS")),1,0),,IF(INDIRECT(ADDRESS(212,3,,,"MATCHS"))&lt;INDIRECT(ADDRESS(212,5,,,"MATCHS")),1,0),,,)</f>
        <v>0</v>
      </c>
      <c r="G5" s="119"/>
      <c r="H5" s="119">
        <f ca="1">SUM(IF(IFERROR(FIND("--",INDIRECT(ADDRESS(2,5,,,"MATCHS"))),FALSE),RIGHT(INDIRECT(ADDRESS(2,5,,,"MATCHS")), FIND("--",INDIRECT(ADDRESS(2,5,,,"MATCHS")),1)),INDIRECT(ADDRESS(2,5,,,"MATCHS"))),,,IF(IFERROR(FIND("--",INDIRECT(ADDRESS(40,3,,,"MATCHS"))),FALSE),RIGHT(INDIRECT(ADDRESS(40,3,,,"MATCHS")), FIND("--",INDIRECT(ADDRESS(40,3,,,"MATCHS")),1)),INDIRECT(ADDRESS(40,3,,,"MATCHS"))),,,IF(IFERROR(FIND("--",INDIRECT(ADDRESS(77,3,,,"MATCHS"))),FALSE),RIGHT(INDIRECT(ADDRESS(77,3,,,"MATCHS")), FIND("--",INDIRECT(ADDRESS(77,3,,,"MATCHS")),1)),INDIRECT(ADDRESS(77,3,,,"MATCHS"))),,,IF(IFERROR(FIND("--",INDIRECT(ADDRESS(114,3,,,"MATCHS"))),FALSE),RIGHT(INDIRECT(ADDRESS(114,3,,,"MATCHS")), FIND("--",INDIRECT(ADDRESS(114,3,,,"MATCHS")),1)),INDIRECT(ADDRESS(114,3,,,"MATCHS"))),,,IF(IFERROR(FIND("--",INDIRECT(ADDRESS(151,3,,,"MATCHS"))),FALSE),RIGHT(INDIRECT(ADDRESS(151,3,,,"MATCHS")), FIND("--",INDIRECT(ADDRESS(151,3,,,"MATCHS")),1)),INDIRECT(ADDRESS(151,3,,,"MATCHS"))),,,IF(IFERROR(FIND("--",INDIRECT(ADDRESS(188,3,,,"MATCHS"))),FALSE),RIGHT(INDIRECT(ADDRESS(188,3,,,"MATCHS")), FIND("--",INDIRECT(ADDRESS(188,3,,,"MATCHS")),1)),INDIRECT(ADDRESS(188,3,,,"MATCHS"))),,IF(IFERROR(FIND("--",INDIRECT(ADDRESS(212,3,,,"MATCHS"))),FALSE),RIGHT(INDIRECT(ADDRESS(212,3,,,"MATCHS")), FIND("--",INDIRECT(ADDRESS(212,3,,,"MATCHS")),1)),INDIRECT(ADDRESS(212,3,,,"MATCHS"))),,,)</f>
        <v>0</v>
      </c>
      <c r="I5" s="119">
        <f ca="1">SUM(IF(IFERROR(FIND("--",INDIRECT(ADDRESS(2,3,,,"MATCHS"))),FALSE),RIGHT(INDIRECT(ADDRESS(2,3,,,"MATCHS")), FIND("--",INDIRECT(ADDRESS(2,3,,,"MATCHS")),1)),INDIRECT(ADDRESS(2,3,,,"MATCHS"))),,,IF(IFERROR(FIND("--",INDIRECT(ADDRESS(40,5,,,"MATCHS"))),FALSE),RIGHT(INDIRECT(ADDRESS(40,5,,,"MATCHS")), FIND("--",INDIRECT(ADDRESS(40,5,,,"MATCHS")),1)),INDIRECT(ADDRESS(40,5,,,"MATCHS"))),,,IF(IFERROR(FIND("--",INDIRECT(ADDRESS(77,5,,,"MATCHS"))),FALSE),RIGHT(INDIRECT(ADDRESS(77,5,,,"MATCHS")), FIND("--",INDIRECT(ADDRESS(77,5,,,"MATCHS")),1)),INDIRECT(ADDRESS(77,5,,,"MATCHS"))),,,IF(IFERROR(FIND("--",INDIRECT(ADDRESS(114,5,,,"MATCHS"))),FALSE),RIGHT(INDIRECT(ADDRESS(114,5,,,"MATCHS")), FIND("--",INDIRECT(ADDRESS(114,5,,,"MATCHS")),1)),INDIRECT(ADDRESS(114,5,,,"MATCHS"))),,,IF(IFERROR(FIND("--",INDIRECT(ADDRESS(151,5,,,"MATCHS"))),FALSE),RIGHT(INDIRECT(ADDRESS(151,5,,,"MATCHS")), FIND("--",INDIRECT(ADDRESS(151,5,,,"MATCHS")),1)),INDIRECT(ADDRESS(151,5,,,"MATCHS"))),,,IF(IFERROR(FIND("--",INDIRECT(ADDRESS(188,5,,,"MATCHS"))),FALSE),RIGHT(INDIRECT(ADDRESS(188,5,,,"MATCHS")), FIND("--",INDIRECT(ADDRESS(188,5,,,"MATCHS")),1)),INDIRECT(ADDRESS(188,5,,,"MATCHS"))),,IF(IFERROR(FIND("--",INDIRECT(ADDRESS(212,5,,,"MATCHS"))),FALSE),RIGHT(INDIRECT(ADDRESS(212,5,,,"MATCHS")), FIND("--",INDIRECT(ADDRESS(212,5,,,"MATCHS")),1)),INDIRECT(ADDRESS(212,5,,,"MATCHS"))),,,)</f>
        <v>0</v>
      </c>
      <c r="J5" s="119">
        <f ca="1">H5 - I5</f>
        <v>0</v>
      </c>
      <c r="K5" s="119">
        <v>0</v>
      </c>
      <c r="L5" s="119">
        <v>2</v>
      </c>
      <c r="M5" s="119"/>
      <c r="N5" s="115" t="str">
        <f>M5 &amp; "DM"</f>
        <v>DM</v>
      </c>
    </row>
    <row r="6" spans="1:14" ht="15.75" x14ac:dyDescent="0.25">
      <c r="A6" s="118"/>
      <c r="B6" s="119">
        <v>3</v>
      </c>
      <c r="C6" s="119" t="s">
        <v>57</v>
      </c>
      <c r="D6" s="119" t="str">
        <f>INSCRIPTS!C4</f>
        <v>3A</v>
      </c>
      <c r="E6" s="130">
        <f ca="1">SUM(IF(INDIRECT(ADDRESS(3,3,,,"MATCHS"))&gt;INDIRECT(ADDRESS(3,5,,,"MATCHS")),1,0),,,IF(INDIRECT(ADDRESS(39,5,,,"MATCHS"))&gt;INDIRECT(ADDRESS(39,3,,,"MATCHS")),1,0),,,IF(INDIRECT(ADDRESS(77,5,,,"MATCHS"))&gt;INDIRECT(ADDRESS(77,3,,,"MATCHS")),1,0),,,IF(INDIRECT(ADDRESS(115,3,,,"MATCHS"))&gt;INDIRECT(ADDRESS(115,5,,,"MATCHS")),1,0),,,IF(INDIRECT(ADDRESS(152,3,,,"MATCHS"))&gt;INDIRECT(ADDRESS(152,5,,,"MATCHS")),1,0),,,IF(INDIRECT(ADDRESS(189,3,,,"MATCHS"))&gt;INDIRECT(ADDRESS(189,5,,,"MATCHS")),1,0),,IF(INDIRECT(ADDRESS(213,3,,,"MATCHS"))&gt;INDIRECT(ADDRESS(213,5,,,"MATCHS")),1,0),,,) + 0.01 * K6</f>
        <v>0</v>
      </c>
      <c r="F6" s="119">
        <f ca="1">SUM(IF(INDIRECT(ADDRESS(3,3,,,"MATCHS"))&lt;INDIRECT(ADDRESS(3,5,,,"MATCHS")),1,0),,,IF(INDIRECT(ADDRESS(39,5,,,"MATCHS"))&lt;INDIRECT(ADDRESS(39,3,,,"MATCHS")),1,0),,,IF(INDIRECT(ADDRESS(77,5,,,"MATCHS"))&lt;INDIRECT(ADDRESS(77,3,,,"MATCHS")),1,0),,,IF(INDIRECT(ADDRESS(115,3,,,"MATCHS"))&lt;INDIRECT(ADDRESS(115,5,,,"MATCHS")),1,0),,,IF(INDIRECT(ADDRESS(152,3,,,"MATCHS"))&lt;INDIRECT(ADDRESS(152,5,,,"MATCHS")),1,0),,,IF(INDIRECT(ADDRESS(189,3,,,"MATCHS"))&lt;INDIRECT(ADDRESS(189,5,,,"MATCHS")),1,0),,IF(INDIRECT(ADDRESS(213,3,,,"MATCHS"))&lt;INDIRECT(ADDRESS(213,5,,,"MATCHS")),1,0),,,)</f>
        <v>0</v>
      </c>
      <c r="G6" s="119"/>
      <c r="H6" s="119">
        <f ca="1">SUM(IF(IFERROR(FIND("--",INDIRECT(ADDRESS(3,3,,,"MATCHS"))),FALSE),RIGHT(INDIRECT(ADDRESS(3,3,,,"MATCHS")), FIND("--",INDIRECT(ADDRESS(3,3,,,"MATCHS")),1)),INDIRECT(ADDRESS(3,3,,,"MATCHS"))),,,IF(IFERROR(FIND("--",INDIRECT(ADDRESS(39,5,,,"MATCHS"))),FALSE),RIGHT(INDIRECT(ADDRESS(39,5,,,"MATCHS")), FIND("--",INDIRECT(ADDRESS(39,5,,,"MATCHS")),1)),INDIRECT(ADDRESS(39,5,,,"MATCHS"))),,,IF(IFERROR(FIND("--",INDIRECT(ADDRESS(77,5,,,"MATCHS"))),FALSE),RIGHT(INDIRECT(ADDRESS(77,5,,,"MATCHS")), FIND("--",INDIRECT(ADDRESS(77,5,,,"MATCHS")),1)),INDIRECT(ADDRESS(77,5,,,"MATCHS"))),,,IF(IFERROR(FIND("--",INDIRECT(ADDRESS(115,3,,,"MATCHS"))),FALSE),RIGHT(INDIRECT(ADDRESS(115,3,,,"MATCHS")), FIND("--",INDIRECT(ADDRESS(115,3,,,"MATCHS")),1)),INDIRECT(ADDRESS(115,3,,,"MATCHS"))),,,IF(IFERROR(FIND("--",INDIRECT(ADDRESS(152,3,,,"MATCHS"))),FALSE),RIGHT(INDIRECT(ADDRESS(152,3,,,"MATCHS")), FIND("--",INDIRECT(ADDRESS(152,3,,,"MATCHS")),1)),INDIRECT(ADDRESS(152,3,,,"MATCHS"))),,,IF(IFERROR(FIND("--",INDIRECT(ADDRESS(189,3,,,"MATCHS"))),FALSE),RIGHT(INDIRECT(ADDRESS(189,3,,,"MATCHS")), FIND("--",INDIRECT(ADDRESS(189,3,,,"MATCHS")),1)),INDIRECT(ADDRESS(189,3,,,"MATCHS"))),,IF(IFERROR(FIND("--",INDIRECT(ADDRESS(213,3,,,"MATCHS"))),FALSE),RIGHT(INDIRECT(ADDRESS(213,3,,,"MATCHS")), FIND("--",INDIRECT(ADDRESS(213,3,,,"MATCHS")),1)),INDIRECT(ADDRESS(213,3,,,"MATCHS"))),,,)</f>
        <v>0</v>
      </c>
      <c r="I6" s="119">
        <f ca="1">SUM(IF(IFERROR(FIND("--",INDIRECT(ADDRESS(3,5,,,"MATCHS"))),FALSE),RIGHT(INDIRECT(ADDRESS(3,5,,,"MATCHS")), FIND("--",INDIRECT(ADDRESS(3,5,,,"MATCHS")),1)),INDIRECT(ADDRESS(3,5,,,"MATCHS"))),,,IF(IFERROR(FIND("--",INDIRECT(ADDRESS(39,3,,,"MATCHS"))),FALSE),RIGHT(INDIRECT(ADDRESS(39,3,,,"MATCHS")), FIND("--",INDIRECT(ADDRESS(39,3,,,"MATCHS")),1)),INDIRECT(ADDRESS(39,3,,,"MATCHS"))),,,IF(IFERROR(FIND("--",INDIRECT(ADDRESS(77,3,,,"MATCHS"))),FALSE),RIGHT(INDIRECT(ADDRESS(77,3,,,"MATCHS")), FIND("--",INDIRECT(ADDRESS(77,3,,,"MATCHS")),1)),INDIRECT(ADDRESS(77,3,,,"MATCHS"))),,,IF(IFERROR(FIND("--",INDIRECT(ADDRESS(115,5,,,"MATCHS"))),FALSE),RIGHT(INDIRECT(ADDRESS(115,5,,,"MATCHS")), FIND("--",INDIRECT(ADDRESS(115,5,,,"MATCHS")),1)),INDIRECT(ADDRESS(115,5,,,"MATCHS"))),,,IF(IFERROR(FIND("--",INDIRECT(ADDRESS(152,5,,,"MATCHS"))),FALSE),RIGHT(INDIRECT(ADDRESS(152,5,,,"MATCHS")), FIND("--",INDIRECT(ADDRESS(152,5,,,"MATCHS")),1)),INDIRECT(ADDRESS(152,5,,,"MATCHS"))),,,IF(IFERROR(FIND("--",INDIRECT(ADDRESS(189,5,,,"MATCHS"))),FALSE),RIGHT(INDIRECT(ADDRESS(189,5,,,"MATCHS")), FIND("--",INDIRECT(ADDRESS(189,5,,,"MATCHS")),1)),INDIRECT(ADDRESS(189,5,,,"MATCHS"))),,IF(IFERROR(FIND("--",INDIRECT(ADDRESS(213,5,,,"MATCHS"))),FALSE),RIGHT(INDIRECT(ADDRESS(213,5,,,"MATCHS")), FIND("--",INDIRECT(ADDRESS(213,5,,,"MATCHS")),1)),INDIRECT(ADDRESS(213,5,,,"MATCHS"))),,,)</f>
        <v>0</v>
      </c>
      <c r="J6" s="119">
        <f ca="1">H6 - I6</f>
        <v>0</v>
      </c>
      <c r="K6" s="119">
        <v>0</v>
      </c>
      <c r="L6" s="119">
        <v>3</v>
      </c>
      <c r="M6" s="119"/>
      <c r="N6" s="115" t="str">
        <f>M6 &amp; "DM"</f>
        <v>DM</v>
      </c>
    </row>
    <row r="7" spans="1:14" ht="15.75" x14ac:dyDescent="0.25">
      <c r="A7" s="118"/>
      <c r="B7" s="119">
        <v>4</v>
      </c>
      <c r="C7" s="119" t="s">
        <v>58</v>
      </c>
      <c r="D7" s="119" t="str">
        <f>INSCRIPTS!C5</f>
        <v>4A</v>
      </c>
      <c r="E7" s="130">
        <f ca="1">SUM(IF(INDIRECT(ADDRESS(3,5,,,"MATCHS"))&gt;INDIRECT(ADDRESS(3,3,,,"MATCHS")),1,0),,,IF(INDIRECT(ADDRESS(40,5,,,"MATCHS"))&gt;INDIRECT(ADDRESS(40,3,,,"MATCHS")),1,0),,,IF(INDIRECT(ADDRESS(76,5,,,"MATCHS"))&gt;INDIRECT(ADDRESS(76,3,,,"MATCHS")),1,0),,,IF(INDIRECT(ADDRESS(116,3,,,"MATCHS"))&gt;INDIRECT(ADDRESS(116,5,,,"MATCHS")),1,0),,,IF(INDIRECT(ADDRESS(153,3,,,"MATCHS"))&gt;INDIRECT(ADDRESS(153,5,,,"MATCHS")),1,0),,,IF(INDIRECT(ADDRESS(190,3,,,"MATCHS"))&gt;INDIRECT(ADDRESS(190,5,,,"MATCHS")),1,0),,IF(INDIRECT(ADDRESS(214,3,,,"MATCHS"))&gt;INDIRECT(ADDRESS(214,5,,,"MATCHS")),1,0),,,) + 0.01 * K7</f>
        <v>0</v>
      </c>
      <c r="F7" s="119">
        <f ca="1">SUM(IF(INDIRECT(ADDRESS(3,5,,,"MATCHS"))&lt;INDIRECT(ADDRESS(3,3,,,"MATCHS")),1,0),,,IF(INDIRECT(ADDRESS(40,5,,,"MATCHS"))&lt;INDIRECT(ADDRESS(40,3,,,"MATCHS")),1,0),,,IF(INDIRECT(ADDRESS(76,5,,,"MATCHS"))&lt;INDIRECT(ADDRESS(76,3,,,"MATCHS")),1,0),,,IF(INDIRECT(ADDRESS(116,3,,,"MATCHS"))&lt;INDIRECT(ADDRESS(116,5,,,"MATCHS")),1,0),,,IF(INDIRECT(ADDRESS(153,3,,,"MATCHS"))&lt;INDIRECT(ADDRESS(153,5,,,"MATCHS")),1,0),,,IF(INDIRECT(ADDRESS(190,3,,,"MATCHS"))&lt;INDIRECT(ADDRESS(190,5,,,"MATCHS")),1,0),,IF(INDIRECT(ADDRESS(214,3,,,"MATCHS"))&lt;INDIRECT(ADDRESS(214,5,,,"MATCHS")),1,0),,,)</f>
        <v>0</v>
      </c>
      <c r="G7" s="119"/>
      <c r="H7" s="119">
        <f ca="1">SUM(IF(IFERROR(FIND("--",INDIRECT(ADDRESS(3,5,,,"MATCHS"))),FALSE),RIGHT(INDIRECT(ADDRESS(3,5,,,"MATCHS")), FIND("--",INDIRECT(ADDRESS(3,5,,,"MATCHS")),1)),INDIRECT(ADDRESS(3,5,,,"MATCHS"))),,,IF(IFERROR(FIND("--",INDIRECT(ADDRESS(40,5,,,"MATCHS"))),FALSE),RIGHT(INDIRECT(ADDRESS(40,5,,,"MATCHS")), FIND("--",INDIRECT(ADDRESS(40,5,,,"MATCHS")),1)),INDIRECT(ADDRESS(40,5,,,"MATCHS"))),,,IF(IFERROR(FIND("--",INDIRECT(ADDRESS(76,5,,,"MATCHS"))),FALSE),RIGHT(INDIRECT(ADDRESS(76,5,,,"MATCHS")), FIND("--",INDIRECT(ADDRESS(76,5,,,"MATCHS")),1)),INDIRECT(ADDRESS(76,5,,,"MATCHS"))),,,IF(IFERROR(FIND("--",INDIRECT(ADDRESS(116,3,,,"MATCHS"))),FALSE),RIGHT(INDIRECT(ADDRESS(116,3,,,"MATCHS")), FIND("--",INDIRECT(ADDRESS(116,3,,,"MATCHS")),1)),INDIRECT(ADDRESS(116,3,,,"MATCHS"))),,,IF(IFERROR(FIND("--",INDIRECT(ADDRESS(153,3,,,"MATCHS"))),FALSE),RIGHT(INDIRECT(ADDRESS(153,3,,,"MATCHS")), FIND("--",INDIRECT(ADDRESS(153,3,,,"MATCHS")),1)),INDIRECT(ADDRESS(153,3,,,"MATCHS"))),,,IF(IFERROR(FIND("--",INDIRECT(ADDRESS(190,3,,,"MATCHS"))),FALSE),RIGHT(INDIRECT(ADDRESS(190,3,,,"MATCHS")), FIND("--",INDIRECT(ADDRESS(190,3,,,"MATCHS")),1)),INDIRECT(ADDRESS(190,3,,,"MATCHS"))),,IF(IFERROR(FIND("--",INDIRECT(ADDRESS(214,3,,,"MATCHS"))),FALSE),RIGHT(INDIRECT(ADDRESS(214,3,,,"MATCHS")), FIND("--",INDIRECT(ADDRESS(214,3,,,"MATCHS")),1)),INDIRECT(ADDRESS(214,3,,,"MATCHS"))),,,)</f>
        <v>0</v>
      </c>
      <c r="I7" s="119">
        <f ca="1">SUM(IF(IFERROR(FIND("--",INDIRECT(ADDRESS(3,3,,,"MATCHS"))),FALSE),RIGHT(INDIRECT(ADDRESS(3,3,,,"MATCHS")), FIND("--",INDIRECT(ADDRESS(3,3,,,"MATCHS")),1)),INDIRECT(ADDRESS(3,3,,,"MATCHS"))),,,IF(IFERROR(FIND("--",INDIRECT(ADDRESS(40,3,,,"MATCHS"))),FALSE),RIGHT(INDIRECT(ADDRESS(40,3,,,"MATCHS")), FIND("--",INDIRECT(ADDRESS(40,3,,,"MATCHS")),1)),INDIRECT(ADDRESS(40,3,,,"MATCHS"))),,,IF(IFERROR(FIND("--",INDIRECT(ADDRESS(76,3,,,"MATCHS"))),FALSE),RIGHT(INDIRECT(ADDRESS(76,3,,,"MATCHS")), FIND("--",INDIRECT(ADDRESS(76,3,,,"MATCHS")),1)),INDIRECT(ADDRESS(76,3,,,"MATCHS"))),,,IF(IFERROR(FIND("--",INDIRECT(ADDRESS(116,5,,,"MATCHS"))),FALSE),RIGHT(INDIRECT(ADDRESS(116,5,,,"MATCHS")), FIND("--",INDIRECT(ADDRESS(116,5,,,"MATCHS")),1)),INDIRECT(ADDRESS(116,5,,,"MATCHS"))),,,IF(IFERROR(FIND("--",INDIRECT(ADDRESS(153,5,,,"MATCHS"))),FALSE),RIGHT(INDIRECT(ADDRESS(153,5,,,"MATCHS")), FIND("--",INDIRECT(ADDRESS(153,5,,,"MATCHS")),1)),INDIRECT(ADDRESS(153,5,,,"MATCHS"))),,,IF(IFERROR(FIND("--",INDIRECT(ADDRESS(190,5,,,"MATCHS"))),FALSE),RIGHT(INDIRECT(ADDRESS(190,5,,,"MATCHS")), FIND("--",INDIRECT(ADDRESS(190,5,,,"MATCHS")),1)),INDIRECT(ADDRESS(190,5,,,"MATCHS"))),,IF(IFERROR(FIND("--",INDIRECT(ADDRESS(214,5,,,"MATCHS"))),FALSE),RIGHT(INDIRECT(ADDRESS(214,5,,,"MATCHS")), FIND("--",INDIRECT(ADDRESS(214,5,,,"MATCHS")),1)),INDIRECT(ADDRESS(214,5,,,"MATCHS"))),,,)</f>
        <v>0</v>
      </c>
      <c r="J7" s="119">
        <f ca="1">H7 - I7</f>
        <v>0</v>
      </c>
      <c r="K7" s="119">
        <v>0</v>
      </c>
      <c r="L7" s="119">
        <v>4</v>
      </c>
      <c r="M7" s="119"/>
      <c r="N7" s="115" t="str">
        <f>M7 &amp; "DM"</f>
        <v>DM</v>
      </c>
    </row>
    <row r="8" spans="1:14" ht="15.75" x14ac:dyDescent="0.25">
      <c r="A8" s="118"/>
      <c r="B8" s="119">
        <v>5</v>
      </c>
      <c r="C8" s="119" t="s">
        <v>72</v>
      </c>
      <c r="D8" s="119" t="str">
        <f>INSCRIPTS!C6</f>
        <v>5A</v>
      </c>
      <c r="E8" s="130">
        <f ca="1">SUM(IF(INDIRECT(ADDRESS(4,3,,,"MATCHS"))&gt;INDIRECT(ADDRESS(4,5,,,"MATCHS")),1,0),,,IF(INDIRECT(ADDRESS(41,3,,,"MATCHS"))&gt;INDIRECT(ADDRESS(41,5,,,"MATCHS")),1,0),,,IF(INDIRECT(ADDRESS(78,3,,,"MATCHS"))&gt;INDIRECT(ADDRESS(78,5,,,"MATCHS")),1,0),,,IF(INDIRECT(ADDRESS(113,5,,,"MATCHS"))&gt;INDIRECT(ADDRESS(113,3,,,"MATCHS")),1,0),,,IF(INDIRECT(ADDRESS(151,5,,,"MATCHS"))&gt;INDIRECT(ADDRESS(151,3,,,"MATCHS")),1,0),,,IF(INDIRECT(ADDRESS(189,5,,,"MATCHS"))&gt;INDIRECT(ADDRESS(189,3,,,"MATCHS")),1,0),,IF(INDIRECT(ADDRESS(214,5,,,"MATCHS"))&gt;INDIRECT(ADDRESS(214,3,,,"MATCHS")),1,0),,,) + 0.01 * K8</f>
        <v>0</v>
      </c>
      <c r="F8" s="119">
        <f ca="1">SUM(IF(INDIRECT(ADDRESS(4,3,,,"MATCHS"))&lt;INDIRECT(ADDRESS(4,5,,,"MATCHS")),1,0),,,IF(INDIRECT(ADDRESS(41,3,,,"MATCHS"))&lt;INDIRECT(ADDRESS(41,5,,,"MATCHS")),1,0),,,IF(INDIRECT(ADDRESS(78,3,,,"MATCHS"))&lt;INDIRECT(ADDRESS(78,5,,,"MATCHS")),1,0),,,IF(INDIRECT(ADDRESS(113,5,,,"MATCHS"))&lt;INDIRECT(ADDRESS(113,3,,,"MATCHS")),1,0),,,IF(INDIRECT(ADDRESS(151,5,,,"MATCHS"))&lt;INDIRECT(ADDRESS(151,3,,,"MATCHS")),1,0),,,IF(INDIRECT(ADDRESS(189,5,,,"MATCHS"))&lt;INDIRECT(ADDRESS(189,3,,,"MATCHS")),1,0),,IF(INDIRECT(ADDRESS(214,5,,,"MATCHS"))&lt;INDIRECT(ADDRESS(214,3,,,"MATCHS")),1,0),,,)</f>
        <v>0</v>
      </c>
      <c r="G8" s="119"/>
      <c r="H8" s="119">
        <f ca="1">SUM(IF(IFERROR(FIND("--",INDIRECT(ADDRESS(4,3,,,"MATCHS"))),FALSE),RIGHT(INDIRECT(ADDRESS(4,3,,,"MATCHS")), FIND("--",INDIRECT(ADDRESS(4,3,,,"MATCHS")),1)),INDIRECT(ADDRESS(4,3,,,"MATCHS"))),,,IF(IFERROR(FIND("--",INDIRECT(ADDRESS(41,3,,,"MATCHS"))),FALSE),RIGHT(INDIRECT(ADDRESS(41,3,,,"MATCHS")), FIND("--",INDIRECT(ADDRESS(41,3,,,"MATCHS")),1)),INDIRECT(ADDRESS(41,3,,,"MATCHS"))),,,IF(IFERROR(FIND("--",INDIRECT(ADDRESS(78,3,,,"MATCHS"))),FALSE),RIGHT(INDIRECT(ADDRESS(78,3,,,"MATCHS")), FIND("--",INDIRECT(ADDRESS(78,3,,,"MATCHS")),1)),INDIRECT(ADDRESS(78,3,,,"MATCHS"))),,,IF(IFERROR(FIND("--",INDIRECT(ADDRESS(113,5,,,"MATCHS"))),FALSE),RIGHT(INDIRECT(ADDRESS(113,5,,,"MATCHS")), FIND("--",INDIRECT(ADDRESS(113,5,,,"MATCHS")),1)),INDIRECT(ADDRESS(113,5,,,"MATCHS"))),,,IF(IFERROR(FIND("--",INDIRECT(ADDRESS(151,5,,,"MATCHS"))),FALSE),RIGHT(INDIRECT(ADDRESS(151,5,,,"MATCHS")), FIND("--",INDIRECT(ADDRESS(151,5,,,"MATCHS")),1)),INDIRECT(ADDRESS(151,5,,,"MATCHS"))),,,IF(IFERROR(FIND("--",INDIRECT(ADDRESS(189,5,,,"MATCHS"))),FALSE),RIGHT(INDIRECT(ADDRESS(189,5,,,"MATCHS")), FIND("--",INDIRECT(ADDRESS(189,5,,,"MATCHS")),1)),INDIRECT(ADDRESS(189,5,,,"MATCHS"))),,IF(IFERROR(FIND("--",INDIRECT(ADDRESS(214,5,,,"MATCHS"))),FALSE),RIGHT(INDIRECT(ADDRESS(214,5,,,"MATCHS")), FIND("--",INDIRECT(ADDRESS(214,5,,,"MATCHS")),1)),INDIRECT(ADDRESS(214,5,,,"MATCHS"))),,,)</f>
        <v>0</v>
      </c>
      <c r="I8" s="119">
        <f ca="1">SUM(IF(IFERROR(FIND("--",INDIRECT(ADDRESS(4,5,,,"MATCHS"))),FALSE),RIGHT(INDIRECT(ADDRESS(4,5,,,"MATCHS")), FIND("--",INDIRECT(ADDRESS(4,5,,,"MATCHS")),1)),INDIRECT(ADDRESS(4,5,,,"MATCHS"))),,,IF(IFERROR(FIND("--",INDIRECT(ADDRESS(41,5,,,"MATCHS"))),FALSE),RIGHT(INDIRECT(ADDRESS(41,5,,,"MATCHS")), FIND("--",INDIRECT(ADDRESS(41,5,,,"MATCHS")),1)),INDIRECT(ADDRESS(41,5,,,"MATCHS"))),,,IF(IFERROR(FIND("--",INDIRECT(ADDRESS(78,5,,,"MATCHS"))),FALSE),RIGHT(INDIRECT(ADDRESS(78,5,,,"MATCHS")), FIND("--",INDIRECT(ADDRESS(78,5,,,"MATCHS")),1)),INDIRECT(ADDRESS(78,5,,,"MATCHS"))),,,IF(IFERROR(FIND("--",INDIRECT(ADDRESS(113,3,,,"MATCHS"))),FALSE),RIGHT(INDIRECT(ADDRESS(113,3,,,"MATCHS")), FIND("--",INDIRECT(ADDRESS(113,3,,,"MATCHS")),1)),INDIRECT(ADDRESS(113,3,,,"MATCHS"))),,,IF(IFERROR(FIND("--",INDIRECT(ADDRESS(151,3,,,"MATCHS"))),FALSE),RIGHT(INDIRECT(ADDRESS(151,3,,,"MATCHS")), FIND("--",INDIRECT(ADDRESS(151,3,,,"MATCHS")),1)),INDIRECT(ADDRESS(151,3,,,"MATCHS"))),,,IF(IFERROR(FIND("--",INDIRECT(ADDRESS(189,3,,,"MATCHS"))),FALSE),RIGHT(INDIRECT(ADDRESS(189,3,,,"MATCHS")), FIND("--",INDIRECT(ADDRESS(189,3,,,"MATCHS")),1)),INDIRECT(ADDRESS(189,3,,,"MATCHS"))),,IF(IFERROR(FIND("--",INDIRECT(ADDRESS(214,3,,,"MATCHS"))),FALSE),RIGHT(INDIRECT(ADDRESS(214,3,,,"MATCHS")), FIND("--",INDIRECT(ADDRESS(214,3,,,"MATCHS")),1)),INDIRECT(ADDRESS(214,3,,,"MATCHS"))),,,)</f>
        <v>0</v>
      </c>
      <c r="J8" s="119">
        <f ca="1">H8 - I8</f>
        <v>0</v>
      </c>
      <c r="K8" s="119">
        <v>0</v>
      </c>
      <c r="L8" s="119">
        <v>5</v>
      </c>
      <c r="M8" s="119"/>
      <c r="N8" s="115" t="str">
        <f>M8 &amp; "DM"</f>
        <v>DM</v>
      </c>
    </row>
    <row r="9" spans="1:14" ht="15.75" x14ac:dyDescent="0.25">
      <c r="A9" s="118"/>
      <c r="B9" s="119">
        <v>6</v>
      </c>
      <c r="C9" s="119" t="s">
        <v>73</v>
      </c>
      <c r="D9" s="119" t="str">
        <f>INSCRIPTS!C7</f>
        <v>6A</v>
      </c>
      <c r="E9" s="130">
        <f ca="1">SUM(IF(INDIRECT(ADDRESS(4,5,,,"MATCHS"))&gt;INDIRECT(ADDRESS(4,3,,,"MATCHS")),1,0),,,IF(INDIRECT(ADDRESS(42,3,,,"MATCHS"))&gt;INDIRECT(ADDRESS(42,5,,,"MATCHS")),1,0),,,IF(INDIRECT(ADDRESS(79,3,,,"MATCHS"))&gt;INDIRECT(ADDRESS(79,5,,,"MATCHS")),1,0),,,IF(INDIRECT(ADDRESS(114,5,,,"MATCHS"))&gt;INDIRECT(ADDRESS(114,3,,,"MATCHS")),1,0),,,IF(INDIRECT(ADDRESS(150,5,,,"MATCHS"))&gt;INDIRECT(ADDRESS(150,3,,,"MATCHS")),1,0),,,IF(INDIRECT(ADDRESS(190,5,,,"MATCHS"))&gt;INDIRECT(ADDRESS(190,3,,,"MATCHS")),1,0),,IF(INDIRECT(ADDRESS(213,5,,,"MATCHS"))&gt;INDIRECT(ADDRESS(213,3,,,"MATCHS")),1,0),,,) + 0.01 * K9</f>
        <v>0</v>
      </c>
      <c r="F9" s="119">
        <f ca="1">SUM(IF(INDIRECT(ADDRESS(4,5,,,"MATCHS"))&lt;INDIRECT(ADDRESS(4,3,,,"MATCHS")),1,0),,,IF(INDIRECT(ADDRESS(42,3,,,"MATCHS"))&lt;INDIRECT(ADDRESS(42,5,,,"MATCHS")),1,0),,,IF(INDIRECT(ADDRESS(79,3,,,"MATCHS"))&lt;INDIRECT(ADDRESS(79,5,,,"MATCHS")),1,0),,,IF(INDIRECT(ADDRESS(114,5,,,"MATCHS"))&lt;INDIRECT(ADDRESS(114,3,,,"MATCHS")),1,0),,,IF(INDIRECT(ADDRESS(150,5,,,"MATCHS"))&lt;INDIRECT(ADDRESS(150,3,,,"MATCHS")),1,0),,,IF(INDIRECT(ADDRESS(190,5,,,"MATCHS"))&lt;INDIRECT(ADDRESS(190,3,,,"MATCHS")),1,0),,IF(INDIRECT(ADDRESS(213,5,,,"MATCHS"))&lt;INDIRECT(ADDRESS(213,3,,,"MATCHS")),1,0),,,)</f>
        <v>0</v>
      </c>
      <c r="G9" s="119"/>
      <c r="H9" s="119">
        <f ca="1">SUM(IF(IFERROR(FIND("--",INDIRECT(ADDRESS(4,5,,,"MATCHS"))),FALSE),RIGHT(INDIRECT(ADDRESS(4,5,,,"MATCHS")), FIND("--",INDIRECT(ADDRESS(4,5,,,"MATCHS")),1)),INDIRECT(ADDRESS(4,5,,,"MATCHS"))),,,IF(IFERROR(FIND("--",INDIRECT(ADDRESS(42,3,,,"MATCHS"))),FALSE),RIGHT(INDIRECT(ADDRESS(42,3,,,"MATCHS")), FIND("--",INDIRECT(ADDRESS(42,3,,,"MATCHS")),1)),INDIRECT(ADDRESS(42,3,,,"MATCHS"))),,,IF(IFERROR(FIND("--",INDIRECT(ADDRESS(79,3,,,"MATCHS"))),FALSE),RIGHT(INDIRECT(ADDRESS(79,3,,,"MATCHS")), FIND("--",INDIRECT(ADDRESS(79,3,,,"MATCHS")),1)),INDIRECT(ADDRESS(79,3,,,"MATCHS"))),,,IF(IFERROR(FIND("--",INDIRECT(ADDRESS(114,5,,,"MATCHS"))),FALSE),RIGHT(INDIRECT(ADDRESS(114,5,,,"MATCHS")), FIND("--",INDIRECT(ADDRESS(114,5,,,"MATCHS")),1)),INDIRECT(ADDRESS(114,5,,,"MATCHS"))),,,IF(IFERROR(FIND("--",INDIRECT(ADDRESS(150,5,,,"MATCHS"))),FALSE),RIGHT(INDIRECT(ADDRESS(150,5,,,"MATCHS")), FIND("--",INDIRECT(ADDRESS(150,5,,,"MATCHS")),1)),INDIRECT(ADDRESS(150,5,,,"MATCHS"))),,,IF(IFERROR(FIND("--",INDIRECT(ADDRESS(190,5,,,"MATCHS"))),FALSE),RIGHT(INDIRECT(ADDRESS(190,5,,,"MATCHS")), FIND("--",INDIRECT(ADDRESS(190,5,,,"MATCHS")),1)),INDIRECT(ADDRESS(190,5,,,"MATCHS"))),,IF(IFERROR(FIND("--",INDIRECT(ADDRESS(213,5,,,"MATCHS"))),FALSE),RIGHT(INDIRECT(ADDRESS(213,5,,,"MATCHS")), FIND("--",INDIRECT(ADDRESS(213,5,,,"MATCHS")),1)),INDIRECT(ADDRESS(213,5,,,"MATCHS"))),,,)</f>
        <v>0</v>
      </c>
      <c r="I9" s="119">
        <f ca="1">SUM(IF(IFERROR(FIND("--",INDIRECT(ADDRESS(4,3,,,"MATCHS"))),FALSE),RIGHT(INDIRECT(ADDRESS(4,3,,,"MATCHS")), FIND("--",INDIRECT(ADDRESS(4,3,,,"MATCHS")),1)),INDIRECT(ADDRESS(4,3,,,"MATCHS"))),,,IF(IFERROR(FIND("--",INDIRECT(ADDRESS(42,5,,,"MATCHS"))),FALSE),RIGHT(INDIRECT(ADDRESS(42,5,,,"MATCHS")), FIND("--",INDIRECT(ADDRESS(42,5,,,"MATCHS")),1)),INDIRECT(ADDRESS(42,5,,,"MATCHS"))),,,IF(IFERROR(FIND("--",INDIRECT(ADDRESS(79,5,,,"MATCHS"))),FALSE),RIGHT(INDIRECT(ADDRESS(79,5,,,"MATCHS")), FIND("--",INDIRECT(ADDRESS(79,5,,,"MATCHS")),1)),INDIRECT(ADDRESS(79,5,,,"MATCHS"))),,,IF(IFERROR(FIND("--",INDIRECT(ADDRESS(114,3,,,"MATCHS"))),FALSE),RIGHT(INDIRECT(ADDRESS(114,3,,,"MATCHS")), FIND("--",INDIRECT(ADDRESS(114,3,,,"MATCHS")),1)),INDIRECT(ADDRESS(114,3,,,"MATCHS"))),,,IF(IFERROR(FIND("--",INDIRECT(ADDRESS(150,3,,,"MATCHS"))),FALSE),RIGHT(INDIRECT(ADDRESS(150,3,,,"MATCHS")), FIND("--",INDIRECT(ADDRESS(150,3,,,"MATCHS")),1)),INDIRECT(ADDRESS(150,3,,,"MATCHS"))),,,IF(IFERROR(FIND("--",INDIRECT(ADDRESS(190,3,,,"MATCHS"))),FALSE),RIGHT(INDIRECT(ADDRESS(190,3,,,"MATCHS")), FIND("--",INDIRECT(ADDRESS(190,3,,,"MATCHS")),1)),INDIRECT(ADDRESS(190,3,,,"MATCHS"))),,IF(IFERROR(FIND("--",INDIRECT(ADDRESS(213,3,,,"MATCHS"))),FALSE),RIGHT(INDIRECT(ADDRESS(213,3,,,"MATCHS")), FIND("--",INDIRECT(ADDRESS(213,3,,,"MATCHS")),1)),INDIRECT(ADDRESS(213,3,,,"MATCHS"))),,,)</f>
        <v>0</v>
      </c>
      <c r="J9" s="119">
        <f ca="1">H9 - I9</f>
        <v>0</v>
      </c>
      <c r="K9" s="119">
        <v>0</v>
      </c>
      <c r="L9" s="119">
        <v>6</v>
      </c>
      <c r="M9" s="119"/>
      <c r="N9" s="115" t="str">
        <f>M9 &amp; "DM"</f>
        <v>DM</v>
      </c>
    </row>
    <row r="10" spans="1:14" ht="15.75" x14ac:dyDescent="0.25">
      <c r="A10" s="118"/>
      <c r="B10" s="119">
        <v>7</v>
      </c>
      <c r="C10" s="119" t="s">
        <v>74</v>
      </c>
      <c r="D10" s="119" t="str">
        <f>INSCRIPTS!C8</f>
        <v>7A</v>
      </c>
      <c r="E10" s="130">
        <f ca="1">SUM(IF(INDIRECT(ADDRESS(5,3,,,"MATCHS"))&gt;INDIRECT(ADDRESS(5,5,,,"MATCHS")),1,0),,,IF(INDIRECT(ADDRESS(41,5,,,"MATCHS"))&gt;INDIRECT(ADDRESS(41,3,,,"MATCHS")),1,0),,,IF(INDIRECT(ADDRESS(79,5,,,"MATCHS"))&gt;INDIRECT(ADDRESS(79,3,,,"MATCHS")),1,0),,,IF(INDIRECT(ADDRESS(115,5,,,"MATCHS"))&gt;INDIRECT(ADDRESS(115,3,,,"MATCHS")),1,0),,,IF(INDIRECT(ADDRESS(153,5,,,"MATCHS"))&gt;INDIRECT(ADDRESS(153,3,,,"MATCHS")),1,0),,,IF(INDIRECT(ADDRESS(187,5,,,"MATCHS"))&gt;INDIRECT(ADDRESS(187,3,,,"MATCHS")),1,0),,IF(INDIRECT(ADDRESS(212,5,,,"MATCHS"))&gt;INDIRECT(ADDRESS(212,3,,,"MATCHS")),1,0),,,) + 0.01 * K10</f>
        <v>0</v>
      </c>
      <c r="F10" s="119">
        <f ca="1">SUM(IF(INDIRECT(ADDRESS(5,3,,,"MATCHS"))&lt;INDIRECT(ADDRESS(5,5,,,"MATCHS")),1,0),,,IF(INDIRECT(ADDRESS(41,5,,,"MATCHS"))&lt;INDIRECT(ADDRESS(41,3,,,"MATCHS")),1,0),,,IF(INDIRECT(ADDRESS(79,5,,,"MATCHS"))&lt;INDIRECT(ADDRESS(79,3,,,"MATCHS")),1,0),,,IF(INDIRECT(ADDRESS(115,5,,,"MATCHS"))&lt;INDIRECT(ADDRESS(115,3,,,"MATCHS")),1,0),,,IF(INDIRECT(ADDRESS(153,5,,,"MATCHS"))&lt;INDIRECT(ADDRESS(153,3,,,"MATCHS")),1,0),,,IF(INDIRECT(ADDRESS(187,5,,,"MATCHS"))&lt;INDIRECT(ADDRESS(187,3,,,"MATCHS")),1,0),,IF(INDIRECT(ADDRESS(212,5,,,"MATCHS"))&lt;INDIRECT(ADDRESS(212,3,,,"MATCHS")),1,0),,,)</f>
        <v>0</v>
      </c>
      <c r="G10" s="119"/>
      <c r="H10" s="119">
        <f ca="1">SUM(IF(IFERROR(FIND("--",INDIRECT(ADDRESS(5,3,,,"MATCHS"))),FALSE),RIGHT(INDIRECT(ADDRESS(5,3,,,"MATCHS")), FIND("--",INDIRECT(ADDRESS(5,3,,,"MATCHS")),1)),INDIRECT(ADDRESS(5,3,,,"MATCHS"))),,,IF(IFERROR(FIND("--",INDIRECT(ADDRESS(41,5,,,"MATCHS"))),FALSE),RIGHT(INDIRECT(ADDRESS(41,5,,,"MATCHS")), FIND("--",INDIRECT(ADDRESS(41,5,,,"MATCHS")),1)),INDIRECT(ADDRESS(41,5,,,"MATCHS"))),,,IF(IFERROR(FIND("--",INDIRECT(ADDRESS(79,5,,,"MATCHS"))),FALSE),RIGHT(INDIRECT(ADDRESS(79,5,,,"MATCHS")), FIND("--",INDIRECT(ADDRESS(79,5,,,"MATCHS")),1)),INDIRECT(ADDRESS(79,5,,,"MATCHS"))),,,IF(IFERROR(FIND("--",INDIRECT(ADDRESS(115,5,,,"MATCHS"))),FALSE),RIGHT(INDIRECT(ADDRESS(115,5,,,"MATCHS")), FIND("--",INDIRECT(ADDRESS(115,5,,,"MATCHS")),1)),INDIRECT(ADDRESS(115,5,,,"MATCHS"))),,,IF(IFERROR(FIND("--",INDIRECT(ADDRESS(153,5,,,"MATCHS"))),FALSE),RIGHT(INDIRECT(ADDRESS(153,5,,,"MATCHS")), FIND("--",INDIRECT(ADDRESS(153,5,,,"MATCHS")),1)),INDIRECT(ADDRESS(153,5,,,"MATCHS"))),,,IF(IFERROR(FIND("--",INDIRECT(ADDRESS(187,5,,,"MATCHS"))),FALSE),RIGHT(INDIRECT(ADDRESS(187,5,,,"MATCHS")), FIND("--",INDIRECT(ADDRESS(187,5,,,"MATCHS")),1)),INDIRECT(ADDRESS(187,5,,,"MATCHS"))),,IF(IFERROR(FIND("--",INDIRECT(ADDRESS(212,5,,,"MATCHS"))),FALSE),RIGHT(INDIRECT(ADDRESS(212,5,,,"MATCHS")), FIND("--",INDIRECT(ADDRESS(212,5,,,"MATCHS")),1)),INDIRECT(ADDRESS(212,5,,,"MATCHS"))),,,)</f>
        <v>0</v>
      </c>
      <c r="I10" s="119">
        <f ca="1">SUM(IF(IFERROR(FIND("--",INDIRECT(ADDRESS(5,5,,,"MATCHS"))),FALSE),RIGHT(INDIRECT(ADDRESS(5,5,,,"MATCHS")), FIND("--",INDIRECT(ADDRESS(5,5,,,"MATCHS")),1)),INDIRECT(ADDRESS(5,5,,,"MATCHS"))),,,IF(IFERROR(FIND("--",INDIRECT(ADDRESS(41,3,,,"MATCHS"))),FALSE),RIGHT(INDIRECT(ADDRESS(41,3,,,"MATCHS")), FIND("--",INDIRECT(ADDRESS(41,3,,,"MATCHS")),1)),INDIRECT(ADDRESS(41,3,,,"MATCHS"))),,,IF(IFERROR(FIND("--",INDIRECT(ADDRESS(79,3,,,"MATCHS"))),FALSE),RIGHT(INDIRECT(ADDRESS(79,3,,,"MATCHS")), FIND("--",INDIRECT(ADDRESS(79,3,,,"MATCHS")),1)),INDIRECT(ADDRESS(79,3,,,"MATCHS"))),,,IF(IFERROR(FIND("--",INDIRECT(ADDRESS(115,3,,,"MATCHS"))),FALSE),RIGHT(INDIRECT(ADDRESS(115,3,,,"MATCHS")), FIND("--",INDIRECT(ADDRESS(115,3,,,"MATCHS")),1)),INDIRECT(ADDRESS(115,3,,,"MATCHS"))),,,IF(IFERROR(FIND("--",INDIRECT(ADDRESS(153,3,,,"MATCHS"))),FALSE),RIGHT(INDIRECT(ADDRESS(153,3,,,"MATCHS")), FIND("--",INDIRECT(ADDRESS(153,3,,,"MATCHS")),1)),INDIRECT(ADDRESS(153,3,,,"MATCHS"))),,,IF(IFERROR(FIND("--",INDIRECT(ADDRESS(187,3,,,"MATCHS"))),FALSE),RIGHT(INDIRECT(ADDRESS(187,3,,,"MATCHS")), FIND("--",INDIRECT(ADDRESS(187,3,,,"MATCHS")),1)),INDIRECT(ADDRESS(187,3,,,"MATCHS"))),,IF(IFERROR(FIND("--",INDIRECT(ADDRESS(212,3,,,"MATCHS"))),FALSE),RIGHT(INDIRECT(ADDRESS(212,3,,,"MATCHS")), FIND("--",INDIRECT(ADDRESS(212,3,,,"MATCHS")),1)),INDIRECT(ADDRESS(212,3,,,"MATCHS"))),,,)</f>
        <v>0</v>
      </c>
      <c r="J10" s="119">
        <f ca="1">H10 - I10</f>
        <v>0</v>
      </c>
      <c r="K10" s="119">
        <v>0</v>
      </c>
      <c r="L10" s="119">
        <v>7</v>
      </c>
      <c r="M10" s="119"/>
      <c r="N10" s="115" t="str">
        <f>M10 &amp; "DM"</f>
        <v>DM</v>
      </c>
    </row>
    <row r="11" spans="1:14" ht="15.75" x14ac:dyDescent="0.25">
      <c r="A11" s="118"/>
      <c r="B11" s="119">
        <v>8</v>
      </c>
      <c r="C11" s="119" t="s">
        <v>75</v>
      </c>
      <c r="D11" s="119" t="str">
        <f>INSCRIPTS!C9</f>
        <v>8A</v>
      </c>
      <c r="E11" s="130">
        <f ca="1">SUM(IF(INDIRECT(ADDRESS(5,5,,,"MATCHS"))&gt;INDIRECT(ADDRESS(5,3,,,"MATCHS")),1,0),,,IF(INDIRECT(ADDRESS(42,5,,,"MATCHS"))&gt;INDIRECT(ADDRESS(42,3,,,"MATCHS")),1,0),,,IF(INDIRECT(ADDRESS(78,5,,,"MATCHS"))&gt;INDIRECT(ADDRESS(78,3,,,"MATCHS")),1,0),,,IF(INDIRECT(ADDRESS(116,5,,,"MATCHS"))&gt;INDIRECT(ADDRESS(116,3,,,"MATCHS")),1,0),,,IF(INDIRECT(ADDRESS(152,5,,,"MATCHS"))&gt;INDIRECT(ADDRESS(152,3,,,"MATCHS")),1,0),,,IF(INDIRECT(ADDRESS(188,5,,,"MATCHS"))&gt;INDIRECT(ADDRESS(188,3,,,"MATCHS")),1,0),,IF(INDIRECT(ADDRESS(211,5,,,"MATCHS"))&gt;INDIRECT(ADDRESS(211,3,,,"MATCHS")),1,0),,,) + 0.01 * K11</f>
        <v>0</v>
      </c>
      <c r="F11" s="119">
        <f ca="1">SUM(IF(INDIRECT(ADDRESS(5,5,,,"MATCHS"))&lt;INDIRECT(ADDRESS(5,3,,,"MATCHS")),1,0),,,IF(INDIRECT(ADDRESS(42,5,,,"MATCHS"))&lt;INDIRECT(ADDRESS(42,3,,,"MATCHS")),1,0),,,IF(INDIRECT(ADDRESS(78,5,,,"MATCHS"))&lt;INDIRECT(ADDRESS(78,3,,,"MATCHS")),1,0),,,IF(INDIRECT(ADDRESS(116,5,,,"MATCHS"))&lt;INDIRECT(ADDRESS(116,3,,,"MATCHS")),1,0),,,IF(INDIRECT(ADDRESS(152,5,,,"MATCHS"))&lt;INDIRECT(ADDRESS(152,3,,,"MATCHS")),1,0),,,IF(INDIRECT(ADDRESS(188,5,,,"MATCHS"))&lt;INDIRECT(ADDRESS(188,3,,,"MATCHS")),1,0),,IF(INDIRECT(ADDRESS(211,5,,,"MATCHS"))&lt;INDIRECT(ADDRESS(211,3,,,"MATCHS")),1,0),,,)</f>
        <v>0</v>
      </c>
      <c r="G11" s="119"/>
      <c r="H11" s="119">
        <f ca="1">SUM(IF(IFERROR(FIND("--",INDIRECT(ADDRESS(5,5,,,"MATCHS"))),FALSE),RIGHT(INDIRECT(ADDRESS(5,5,,,"MATCHS")), FIND("--",INDIRECT(ADDRESS(5,5,,,"MATCHS")),1)),INDIRECT(ADDRESS(5,5,,,"MATCHS"))),,,IF(IFERROR(FIND("--",INDIRECT(ADDRESS(42,5,,,"MATCHS"))),FALSE),RIGHT(INDIRECT(ADDRESS(42,5,,,"MATCHS")), FIND("--",INDIRECT(ADDRESS(42,5,,,"MATCHS")),1)),INDIRECT(ADDRESS(42,5,,,"MATCHS"))),,,IF(IFERROR(FIND("--",INDIRECT(ADDRESS(78,5,,,"MATCHS"))),FALSE),RIGHT(INDIRECT(ADDRESS(78,5,,,"MATCHS")), FIND("--",INDIRECT(ADDRESS(78,5,,,"MATCHS")),1)),INDIRECT(ADDRESS(78,5,,,"MATCHS"))),,,IF(IFERROR(FIND("--",INDIRECT(ADDRESS(116,5,,,"MATCHS"))),FALSE),RIGHT(INDIRECT(ADDRESS(116,5,,,"MATCHS")), FIND("--",INDIRECT(ADDRESS(116,5,,,"MATCHS")),1)),INDIRECT(ADDRESS(116,5,,,"MATCHS"))),,,IF(IFERROR(FIND("--",INDIRECT(ADDRESS(152,5,,,"MATCHS"))),FALSE),RIGHT(INDIRECT(ADDRESS(152,5,,,"MATCHS")), FIND("--",INDIRECT(ADDRESS(152,5,,,"MATCHS")),1)),INDIRECT(ADDRESS(152,5,,,"MATCHS"))),,,IF(IFERROR(FIND("--",INDIRECT(ADDRESS(188,5,,,"MATCHS"))),FALSE),RIGHT(INDIRECT(ADDRESS(188,5,,,"MATCHS")), FIND("--",INDIRECT(ADDRESS(188,5,,,"MATCHS")),1)),INDIRECT(ADDRESS(188,5,,,"MATCHS"))),,IF(IFERROR(FIND("--",INDIRECT(ADDRESS(211,5,,,"MATCHS"))),FALSE),RIGHT(INDIRECT(ADDRESS(211,5,,,"MATCHS")), FIND("--",INDIRECT(ADDRESS(211,5,,,"MATCHS")),1)),INDIRECT(ADDRESS(211,5,,,"MATCHS"))),,,)</f>
        <v>0</v>
      </c>
      <c r="I11" s="119">
        <f ca="1">SUM(IF(IFERROR(FIND("--",INDIRECT(ADDRESS(5,3,,,"MATCHS"))),FALSE),RIGHT(INDIRECT(ADDRESS(5,3,,,"MATCHS")), FIND("--",INDIRECT(ADDRESS(5,3,,,"MATCHS")),1)),INDIRECT(ADDRESS(5,3,,,"MATCHS"))),,,IF(IFERROR(FIND("--",INDIRECT(ADDRESS(42,3,,,"MATCHS"))),FALSE),RIGHT(INDIRECT(ADDRESS(42,3,,,"MATCHS")), FIND("--",INDIRECT(ADDRESS(42,3,,,"MATCHS")),1)),INDIRECT(ADDRESS(42,3,,,"MATCHS"))),,,IF(IFERROR(FIND("--",INDIRECT(ADDRESS(78,3,,,"MATCHS"))),FALSE),RIGHT(INDIRECT(ADDRESS(78,3,,,"MATCHS")), FIND("--",INDIRECT(ADDRESS(78,3,,,"MATCHS")),1)),INDIRECT(ADDRESS(78,3,,,"MATCHS"))),,,IF(IFERROR(FIND("--",INDIRECT(ADDRESS(116,3,,,"MATCHS"))),FALSE),RIGHT(INDIRECT(ADDRESS(116,3,,,"MATCHS")), FIND("--",INDIRECT(ADDRESS(116,3,,,"MATCHS")),1)),INDIRECT(ADDRESS(116,3,,,"MATCHS"))),,,IF(IFERROR(FIND("--",INDIRECT(ADDRESS(152,3,,,"MATCHS"))),FALSE),RIGHT(INDIRECT(ADDRESS(152,3,,,"MATCHS")), FIND("--",INDIRECT(ADDRESS(152,3,,,"MATCHS")),1)),INDIRECT(ADDRESS(152,3,,,"MATCHS"))),,,IF(IFERROR(FIND("--",INDIRECT(ADDRESS(188,3,,,"MATCHS"))),FALSE),RIGHT(INDIRECT(ADDRESS(188,3,,,"MATCHS")), FIND("--",INDIRECT(ADDRESS(188,3,,,"MATCHS")),1)),INDIRECT(ADDRESS(188,3,,,"MATCHS"))),,IF(IFERROR(FIND("--",INDIRECT(ADDRESS(211,3,,,"MATCHS"))),FALSE),RIGHT(INDIRECT(ADDRESS(211,3,,,"MATCHS")), FIND("--",INDIRECT(ADDRESS(211,3,,,"MATCHS")),1)),INDIRECT(ADDRESS(211,3,,,"MATCHS"))),,,)</f>
        <v>0</v>
      </c>
      <c r="J11" s="119">
        <f ca="1">H11 - I11</f>
        <v>0</v>
      </c>
      <c r="K11" s="119">
        <v>0</v>
      </c>
      <c r="L11" s="119">
        <v>8</v>
      </c>
      <c r="M11" s="119"/>
      <c r="N11" s="115" t="str">
        <f>M11 &amp; "DM"</f>
        <v>DM</v>
      </c>
    </row>
    <row r="12" spans="1:14" ht="15.75" thickBot="1" x14ac:dyDescent="0.3"/>
    <row r="13" spans="1:14" ht="30.95" customHeight="1" thickBot="1" x14ac:dyDescent="0.3">
      <c r="C13" s="116" t="s">
        <v>179</v>
      </c>
      <c r="D13" s="116" t="s">
        <v>59</v>
      </c>
      <c r="E13" s="129" t="s">
        <v>180</v>
      </c>
      <c r="F13" s="116" t="s">
        <v>181</v>
      </c>
      <c r="G13" s="116" t="s">
        <v>182</v>
      </c>
      <c r="H13" s="116" t="s">
        <v>183</v>
      </c>
      <c r="I13" s="116" t="s">
        <v>184</v>
      </c>
      <c r="J13" s="116" t="s">
        <v>185</v>
      </c>
      <c r="K13" s="117" t="s">
        <v>186</v>
      </c>
      <c r="L13" s="116" t="s">
        <v>187</v>
      </c>
      <c r="M13" s="117" t="s">
        <v>188</v>
      </c>
    </row>
    <row r="15" spans="1:14" ht="15.75" x14ac:dyDescent="0.25">
      <c r="A15" s="120" t="s">
        <v>63</v>
      </c>
      <c r="B15" s="121">
        <v>1</v>
      </c>
      <c r="C15" s="121" t="s">
        <v>76</v>
      </c>
      <c r="D15" s="121" t="str">
        <f>INSCRIPTS!C11</f>
        <v>1B</v>
      </c>
      <c r="E15" s="131">
        <f ca="1">SUM(IF(INDIRECT(ADDRESS(6,3,,,"MATCHS"))&gt;INDIRECT(ADDRESS(6,5,,,"MATCHS")),1,0),,,IF(INDIRECT(ADDRESS(43,3,,,"MATCHS"))&gt;INDIRECT(ADDRESS(43,5,,,"MATCHS")),1,0),,,IF(INDIRECT(ADDRESS(80,3,,,"MATCHS"))&gt;INDIRECT(ADDRESS(80,5,,,"MATCHS")),1,0),,,IF(INDIRECT(ADDRESS(117,3,,,"MATCHS"))&gt;INDIRECT(ADDRESS(117,5,,,"MATCHS")),1,0),,,IF(INDIRECT(ADDRESS(154,3,,,"MATCHS"))&gt;INDIRECT(ADDRESS(154,5,,,"MATCHS")),1,0),,,IF(INDIRECT(ADDRESS(191,3,,,"MATCHS"))&gt;INDIRECT(ADDRESS(191,5,,,"MATCHS")),1,0),,IF(INDIRECT(ADDRESS(215,3,,,"MATCHS"))&gt;INDIRECT(ADDRESS(215,5,,,"MATCHS")),1,0),,,) + 0.01 * K15</f>
        <v>0</v>
      </c>
      <c r="F15" s="121">
        <f ca="1">SUM(IF(INDIRECT(ADDRESS(6,3,,,"MATCHS"))&lt;INDIRECT(ADDRESS(6,5,,,"MATCHS")),1,0),,,IF(INDIRECT(ADDRESS(43,3,,,"MATCHS"))&lt;INDIRECT(ADDRESS(43,5,,,"MATCHS")),1,0),,,IF(INDIRECT(ADDRESS(80,3,,,"MATCHS"))&lt;INDIRECT(ADDRESS(80,5,,,"MATCHS")),1,0),,,IF(INDIRECT(ADDRESS(117,3,,,"MATCHS"))&lt;INDIRECT(ADDRESS(117,5,,,"MATCHS")),1,0),,,IF(INDIRECT(ADDRESS(154,3,,,"MATCHS"))&lt;INDIRECT(ADDRESS(154,5,,,"MATCHS")),1,0),,,IF(INDIRECT(ADDRESS(191,3,,,"MATCHS"))&lt;INDIRECT(ADDRESS(191,5,,,"MATCHS")),1,0),,IF(INDIRECT(ADDRESS(215,3,,,"MATCHS"))&lt;INDIRECT(ADDRESS(215,5,,,"MATCHS")),1,0),,,)</f>
        <v>0</v>
      </c>
      <c r="G15" s="121"/>
      <c r="H15" s="121">
        <f ca="1">SUM(IF(IFERROR(FIND("--",INDIRECT(ADDRESS(6,3,,,"MATCHS"))),FALSE),RIGHT(INDIRECT(ADDRESS(6,3,,,"MATCHS")), FIND("--",INDIRECT(ADDRESS(6,3,,,"MATCHS")),1)),INDIRECT(ADDRESS(6,3,,,"MATCHS"))),,,IF(IFERROR(FIND("--",INDIRECT(ADDRESS(43,3,,,"MATCHS"))),FALSE),RIGHT(INDIRECT(ADDRESS(43,3,,,"MATCHS")), FIND("--",INDIRECT(ADDRESS(43,3,,,"MATCHS")),1)),INDIRECT(ADDRESS(43,3,,,"MATCHS"))),,,IF(IFERROR(FIND("--",INDIRECT(ADDRESS(80,3,,,"MATCHS"))),FALSE),RIGHT(INDIRECT(ADDRESS(80,3,,,"MATCHS")), FIND("--",INDIRECT(ADDRESS(80,3,,,"MATCHS")),1)),INDIRECT(ADDRESS(80,3,,,"MATCHS"))),,,IF(IFERROR(FIND("--",INDIRECT(ADDRESS(117,3,,,"MATCHS"))),FALSE),RIGHT(INDIRECT(ADDRESS(117,3,,,"MATCHS")), FIND("--",INDIRECT(ADDRESS(117,3,,,"MATCHS")),1)),INDIRECT(ADDRESS(117,3,,,"MATCHS"))),,,IF(IFERROR(FIND("--",INDIRECT(ADDRESS(154,3,,,"MATCHS"))),FALSE),RIGHT(INDIRECT(ADDRESS(154,3,,,"MATCHS")), FIND("--",INDIRECT(ADDRESS(154,3,,,"MATCHS")),1)),INDIRECT(ADDRESS(154,3,,,"MATCHS"))),,,IF(IFERROR(FIND("--",INDIRECT(ADDRESS(191,3,,,"MATCHS"))),FALSE),RIGHT(INDIRECT(ADDRESS(191,3,,,"MATCHS")), FIND("--",INDIRECT(ADDRESS(191,3,,,"MATCHS")),1)),INDIRECT(ADDRESS(191,3,,,"MATCHS"))),,IF(IFERROR(FIND("--",INDIRECT(ADDRESS(215,3,,,"MATCHS"))),FALSE),RIGHT(INDIRECT(ADDRESS(215,3,,,"MATCHS")), FIND("--",INDIRECT(ADDRESS(215,3,,,"MATCHS")),1)),INDIRECT(ADDRESS(215,3,,,"MATCHS"))),,,)</f>
        <v>0</v>
      </c>
      <c r="I15" s="121">
        <f ca="1">SUM(IF(IFERROR(FIND("--",INDIRECT(ADDRESS(6,5,,,"MATCHS"))),FALSE),RIGHT(INDIRECT(ADDRESS(6,5,,,"MATCHS")), FIND("--",INDIRECT(ADDRESS(6,5,,,"MATCHS")),1)),INDIRECT(ADDRESS(6,5,,,"MATCHS"))),,,IF(IFERROR(FIND("--",INDIRECT(ADDRESS(43,5,,,"MATCHS"))),FALSE),RIGHT(INDIRECT(ADDRESS(43,5,,,"MATCHS")), FIND("--",INDIRECT(ADDRESS(43,5,,,"MATCHS")),1)),INDIRECT(ADDRESS(43,5,,,"MATCHS"))),,,IF(IFERROR(FIND("--",INDIRECT(ADDRESS(80,5,,,"MATCHS"))),FALSE),RIGHT(INDIRECT(ADDRESS(80,5,,,"MATCHS")), FIND("--",INDIRECT(ADDRESS(80,5,,,"MATCHS")),1)),INDIRECT(ADDRESS(80,5,,,"MATCHS"))),,,IF(IFERROR(FIND("--",INDIRECT(ADDRESS(117,5,,,"MATCHS"))),FALSE),RIGHT(INDIRECT(ADDRESS(117,5,,,"MATCHS")), FIND("--",INDIRECT(ADDRESS(117,5,,,"MATCHS")),1)),INDIRECT(ADDRESS(117,5,,,"MATCHS"))),,,IF(IFERROR(FIND("--",INDIRECT(ADDRESS(154,5,,,"MATCHS"))),FALSE),RIGHT(INDIRECT(ADDRESS(154,5,,,"MATCHS")), FIND("--",INDIRECT(ADDRESS(154,5,,,"MATCHS")),1)),INDIRECT(ADDRESS(154,5,,,"MATCHS"))),,,IF(IFERROR(FIND("--",INDIRECT(ADDRESS(191,5,,,"MATCHS"))),FALSE),RIGHT(INDIRECT(ADDRESS(191,5,,,"MATCHS")), FIND("--",INDIRECT(ADDRESS(191,5,,,"MATCHS")),1)),INDIRECT(ADDRESS(191,5,,,"MATCHS"))),,IF(IFERROR(FIND("--",INDIRECT(ADDRESS(215,5,,,"MATCHS"))),FALSE),RIGHT(INDIRECT(ADDRESS(215,5,,,"MATCHS")), FIND("--",INDIRECT(ADDRESS(215,5,,,"MATCHS")),1)),INDIRECT(ADDRESS(215,5,,,"MATCHS"))),,,)</f>
        <v>0</v>
      </c>
      <c r="J15" s="121">
        <f ca="1">H15 - I15</f>
        <v>0</v>
      </c>
      <c r="K15" s="121">
        <v>0</v>
      </c>
      <c r="L15" s="121">
        <v>1</v>
      </c>
      <c r="M15" s="121"/>
      <c r="N15" s="115" t="str">
        <f>M15 &amp; "DM"</f>
        <v>DM</v>
      </c>
    </row>
    <row r="16" spans="1:14" ht="15.75" x14ac:dyDescent="0.25">
      <c r="A16" s="120"/>
      <c r="B16" s="121">
        <v>2</v>
      </c>
      <c r="C16" s="121" t="s">
        <v>77</v>
      </c>
      <c r="D16" s="121" t="str">
        <f>INSCRIPTS!C12</f>
        <v>2B</v>
      </c>
      <c r="E16" s="131">
        <f ca="1">SUM(IF(INDIRECT(ADDRESS(6,5,,,"MATCHS"))&gt;INDIRECT(ADDRESS(6,3,,,"MATCHS")),1,0),,,IF(INDIRECT(ADDRESS(44,3,,,"MATCHS"))&gt;INDIRECT(ADDRESS(44,5,,,"MATCHS")),1,0),,,IF(INDIRECT(ADDRESS(81,3,,,"MATCHS"))&gt;INDIRECT(ADDRESS(81,5,,,"MATCHS")),1,0),,,IF(INDIRECT(ADDRESS(118,3,,,"MATCHS"))&gt;INDIRECT(ADDRESS(118,5,,,"MATCHS")),1,0),,,IF(INDIRECT(ADDRESS(155,3,,,"MATCHS"))&gt;INDIRECT(ADDRESS(155,5,,,"MATCHS")),1,0),,,IF(INDIRECT(ADDRESS(192,3,,,"MATCHS"))&gt;INDIRECT(ADDRESS(192,5,,,"MATCHS")),1,0),,IF(INDIRECT(ADDRESS(216,3,,,"MATCHS"))&gt;INDIRECT(ADDRESS(216,5,,,"MATCHS")),1,0),,,) + 0.01 * K16</f>
        <v>0</v>
      </c>
      <c r="F16" s="121">
        <f ca="1">SUM(IF(INDIRECT(ADDRESS(6,5,,,"MATCHS"))&lt;INDIRECT(ADDRESS(6,3,,,"MATCHS")),1,0),,,IF(INDIRECT(ADDRESS(44,3,,,"MATCHS"))&lt;INDIRECT(ADDRESS(44,5,,,"MATCHS")),1,0),,,IF(INDIRECT(ADDRESS(81,3,,,"MATCHS"))&lt;INDIRECT(ADDRESS(81,5,,,"MATCHS")),1,0),,,IF(INDIRECT(ADDRESS(118,3,,,"MATCHS"))&lt;INDIRECT(ADDRESS(118,5,,,"MATCHS")),1,0),,,IF(INDIRECT(ADDRESS(155,3,,,"MATCHS"))&lt;INDIRECT(ADDRESS(155,5,,,"MATCHS")),1,0),,,IF(INDIRECT(ADDRESS(192,3,,,"MATCHS"))&lt;INDIRECT(ADDRESS(192,5,,,"MATCHS")),1,0),,IF(INDIRECT(ADDRESS(216,3,,,"MATCHS"))&lt;INDIRECT(ADDRESS(216,5,,,"MATCHS")),1,0),,,)</f>
        <v>0</v>
      </c>
      <c r="G16" s="121"/>
      <c r="H16" s="121">
        <f ca="1">SUM(IF(IFERROR(FIND("--",INDIRECT(ADDRESS(6,5,,,"MATCHS"))),FALSE),RIGHT(INDIRECT(ADDRESS(6,5,,,"MATCHS")), FIND("--",INDIRECT(ADDRESS(6,5,,,"MATCHS")),1)),INDIRECT(ADDRESS(6,5,,,"MATCHS"))),,,IF(IFERROR(FIND("--",INDIRECT(ADDRESS(44,3,,,"MATCHS"))),FALSE),RIGHT(INDIRECT(ADDRESS(44,3,,,"MATCHS")), FIND("--",INDIRECT(ADDRESS(44,3,,,"MATCHS")),1)),INDIRECT(ADDRESS(44,3,,,"MATCHS"))),,,IF(IFERROR(FIND("--",INDIRECT(ADDRESS(81,3,,,"MATCHS"))),FALSE),RIGHT(INDIRECT(ADDRESS(81,3,,,"MATCHS")), FIND("--",INDIRECT(ADDRESS(81,3,,,"MATCHS")),1)),INDIRECT(ADDRESS(81,3,,,"MATCHS"))),,,IF(IFERROR(FIND("--",INDIRECT(ADDRESS(118,3,,,"MATCHS"))),FALSE),RIGHT(INDIRECT(ADDRESS(118,3,,,"MATCHS")), FIND("--",INDIRECT(ADDRESS(118,3,,,"MATCHS")),1)),INDIRECT(ADDRESS(118,3,,,"MATCHS"))),,,IF(IFERROR(FIND("--",INDIRECT(ADDRESS(155,3,,,"MATCHS"))),FALSE),RIGHT(INDIRECT(ADDRESS(155,3,,,"MATCHS")), FIND("--",INDIRECT(ADDRESS(155,3,,,"MATCHS")),1)),INDIRECT(ADDRESS(155,3,,,"MATCHS"))),,,IF(IFERROR(FIND("--",INDIRECT(ADDRESS(192,3,,,"MATCHS"))),FALSE),RIGHT(INDIRECT(ADDRESS(192,3,,,"MATCHS")), FIND("--",INDIRECT(ADDRESS(192,3,,,"MATCHS")),1)),INDIRECT(ADDRESS(192,3,,,"MATCHS"))),,IF(IFERROR(FIND("--",INDIRECT(ADDRESS(216,3,,,"MATCHS"))),FALSE),RIGHT(INDIRECT(ADDRESS(216,3,,,"MATCHS")), FIND("--",INDIRECT(ADDRESS(216,3,,,"MATCHS")),1)),INDIRECT(ADDRESS(216,3,,,"MATCHS"))),,,)</f>
        <v>0</v>
      </c>
      <c r="I16" s="121">
        <f ca="1">SUM(IF(IFERROR(FIND("--",INDIRECT(ADDRESS(6,3,,,"MATCHS"))),FALSE),RIGHT(INDIRECT(ADDRESS(6,3,,,"MATCHS")), FIND("--",INDIRECT(ADDRESS(6,3,,,"MATCHS")),1)),INDIRECT(ADDRESS(6,3,,,"MATCHS"))),,,IF(IFERROR(FIND("--",INDIRECT(ADDRESS(44,5,,,"MATCHS"))),FALSE),RIGHT(INDIRECT(ADDRESS(44,5,,,"MATCHS")), FIND("--",INDIRECT(ADDRESS(44,5,,,"MATCHS")),1)),INDIRECT(ADDRESS(44,5,,,"MATCHS"))),,,IF(IFERROR(FIND("--",INDIRECT(ADDRESS(81,5,,,"MATCHS"))),FALSE),RIGHT(INDIRECT(ADDRESS(81,5,,,"MATCHS")), FIND("--",INDIRECT(ADDRESS(81,5,,,"MATCHS")),1)),INDIRECT(ADDRESS(81,5,,,"MATCHS"))),,,IF(IFERROR(FIND("--",INDIRECT(ADDRESS(118,5,,,"MATCHS"))),FALSE),RIGHT(INDIRECT(ADDRESS(118,5,,,"MATCHS")), FIND("--",INDIRECT(ADDRESS(118,5,,,"MATCHS")),1)),INDIRECT(ADDRESS(118,5,,,"MATCHS"))),,,IF(IFERROR(FIND("--",INDIRECT(ADDRESS(155,5,,,"MATCHS"))),FALSE),RIGHT(INDIRECT(ADDRESS(155,5,,,"MATCHS")), FIND("--",INDIRECT(ADDRESS(155,5,,,"MATCHS")),1)),INDIRECT(ADDRESS(155,5,,,"MATCHS"))),,,IF(IFERROR(FIND("--",INDIRECT(ADDRESS(192,5,,,"MATCHS"))),FALSE),RIGHT(INDIRECT(ADDRESS(192,5,,,"MATCHS")), FIND("--",INDIRECT(ADDRESS(192,5,,,"MATCHS")),1)),INDIRECT(ADDRESS(192,5,,,"MATCHS"))),,IF(IFERROR(FIND("--",INDIRECT(ADDRESS(216,5,,,"MATCHS"))),FALSE),RIGHT(INDIRECT(ADDRESS(216,5,,,"MATCHS")), FIND("--",INDIRECT(ADDRESS(216,5,,,"MATCHS")),1)),INDIRECT(ADDRESS(216,5,,,"MATCHS"))),,,)</f>
        <v>0</v>
      </c>
      <c r="J16" s="121">
        <f ca="1">H16 - I16</f>
        <v>0</v>
      </c>
      <c r="K16" s="121">
        <v>0</v>
      </c>
      <c r="L16" s="121">
        <v>2</v>
      </c>
      <c r="M16" s="121"/>
      <c r="N16" s="115" t="str">
        <f>M16 &amp; "DM"</f>
        <v>DM</v>
      </c>
    </row>
    <row r="17" spans="1:14" ht="15.75" x14ac:dyDescent="0.25">
      <c r="A17" s="120"/>
      <c r="B17" s="121">
        <v>3</v>
      </c>
      <c r="C17" s="121" t="s">
        <v>78</v>
      </c>
      <c r="D17" s="121" t="str">
        <f>INSCRIPTS!C13</f>
        <v>3B</v>
      </c>
      <c r="E17" s="131">
        <f ca="1">SUM(IF(INDIRECT(ADDRESS(7,3,,,"MATCHS"))&gt;INDIRECT(ADDRESS(7,5,,,"MATCHS")),1,0),,,IF(INDIRECT(ADDRESS(43,5,,,"MATCHS"))&gt;INDIRECT(ADDRESS(43,3,,,"MATCHS")),1,0),,,IF(INDIRECT(ADDRESS(81,5,,,"MATCHS"))&gt;INDIRECT(ADDRESS(81,3,,,"MATCHS")),1,0),,,IF(INDIRECT(ADDRESS(119,3,,,"MATCHS"))&gt;INDIRECT(ADDRESS(119,5,,,"MATCHS")),1,0),,,IF(INDIRECT(ADDRESS(156,3,,,"MATCHS"))&gt;INDIRECT(ADDRESS(156,5,,,"MATCHS")),1,0),,,,IF(INDIRECT(ADDRESS(194,3,,,"MATCHS"))&gt;INDIRECT(ADDRESS(194,5,,,"MATCHS")),1,0),,IF(INDIRECT(ADDRESS(218,3,,,"MATCHS"))&gt;INDIRECT(ADDRESS(218,5,,,"MATCHS")),1,0),,) + 0.01 * K17</f>
        <v>0</v>
      </c>
      <c r="F17" s="121">
        <f ca="1">SUM(IF(INDIRECT(ADDRESS(7,3,,,"MATCHS"))&lt;INDIRECT(ADDRESS(7,5,,,"MATCHS")),1,0),,,IF(INDIRECT(ADDRESS(43,5,,,"MATCHS"))&lt;INDIRECT(ADDRESS(43,3,,,"MATCHS")),1,0),,,IF(INDIRECT(ADDRESS(81,5,,,"MATCHS"))&lt;INDIRECT(ADDRESS(81,3,,,"MATCHS")),1,0),,,IF(INDIRECT(ADDRESS(119,3,,,"MATCHS"))&lt;INDIRECT(ADDRESS(119,5,,,"MATCHS")),1,0),,,IF(INDIRECT(ADDRESS(156,3,,,"MATCHS"))&lt;INDIRECT(ADDRESS(156,5,,,"MATCHS")),1,0),,,,IF(INDIRECT(ADDRESS(194,3,,,"MATCHS"))&lt;INDIRECT(ADDRESS(194,5,,,"MATCHS")),1,0),,IF(INDIRECT(ADDRESS(218,3,,,"MATCHS"))&lt;INDIRECT(ADDRESS(218,5,,,"MATCHS")),1,0),,)</f>
        <v>0</v>
      </c>
      <c r="G17" s="121"/>
      <c r="H17" s="121">
        <f ca="1">SUM(IF(IFERROR(FIND("--",INDIRECT(ADDRESS(7,3,,,"MATCHS"))),FALSE),RIGHT(INDIRECT(ADDRESS(7,3,,,"MATCHS")), FIND("--",INDIRECT(ADDRESS(7,3,,,"MATCHS")),1)),INDIRECT(ADDRESS(7,3,,,"MATCHS"))),,,IF(IFERROR(FIND("--",INDIRECT(ADDRESS(43,5,,,"MATCHS"))),FALSE),RIGHT(INDIRECT(ADDRESS(43,5,,,"MATCHS")), FIND("--",INDIRECT(ADDRESS(43,5,,,"MATCHS")),1)),INDIRECT(ADDRESS(43,5,,,"MATCHS"))),,,IF(IFERROR(FIND("--",INDIRECT(ADDRESS(81,5,,,"MATCHS"))),FALSE),RIGHT(INDIRECT(ADDRESS(81,5,,,"MATCHS")), FIND("--",INDIRECT(ADDRESS(81,5,,,"MATCHS")),1)),INDIRECT(ADDRESS(81,5,,,"MATCHS"))),,,IF(IFERROR(FIND("--",INDIRECT(ADDRESS(119,3,,,"MATCHS"))),FALSE),RIGHT(INDIRECT(ADDRESS(119,3,,,"MATCHS")), FIND("--",INDIRECT(ADDRESS(119,3,,,"MATCHS")),1)),INDIRECT(ADDRESS(119,3,,,"MATCHS"))),,,IF(IFERROR(FIND("--",INDIRECT(ADDRESS(156,3,,,"MATCHS"))),FALSE),RIGHT(INDIRECT(ADDRESS(156,3,,,"MATCHS")), FIND("--",INDIRECT(ADDRESS(156,3,,,"MATCHS")),1)),INDIRECT(ADDRESS(156,3,,,"MATCHS"))),,,,IF(IFERROR(FIND("--",INDIRECT(ADDRESS(194,3,,,"MATCHS"))),FALSE),RIGHT(INDIRECT(ADDRESS(194,3,,,"MATCHS")), FIND("--",INDIRECT(ADDRESS(194,3,,,"MATCHS")),1)),INDIRECT(ADDRESS(194,3,,,"MATCHS"))),,IF(IFERROR(FIND("--",INDIRECT(ADDRESS(218,3,,,"MATCHS"))),FALSE),RIGHT(INDIRECT(ADDRESS(218,3,,,"MATCHS")), FIND("--",INDIRECT(ADDRESS(218,3,,,"MATCHS")),1)),INDIRECT(ADDRESS(218,3,,,"MATCHS"))),,)</f>
        <v>0</v>
      </c>
      <c r="I17" s="121">
        <f ca="1">SUM(IF(IFERROR(FIND("--",INDIRECT(ADDRESS(7,5,,,"MATCHS"))),FALSE),RIGHT(INDIRECT(ADDRESS(7,5,,,"MATCHS")), FIND("--",INDIRECT(ADDRESS(7,5,,,"MATCHS")),1)),INDIRECT(ADDRESS(7,5,,,"MATCHS"))),,,IF(IFERROR(FIND("--",INDIRECT(ADDRESS(43,3,,,"MATCHS"))),FALSE),RIGHT(INDIRECT(ADDRESS(43,3,,,"MATCHS")), FIND("--",INDIRECT(ADDRESS(43,3,,,"MATCHS")),1)),INDIRECT(ADDRESS(43,3,,,"MATCHS"))),,,IF(IFERROR(FIND("--",INDIRECT(ADDRESS(81,3,,,"MATCHS"))),FALSE),RIGHT(INDIRECT(ADDRESS(81,3,,,"MATCHS")), FIND("--",INDIRECT(ADDRESS(81,3,,,"MATCHS")),1)),INDIRECT(ADDRESS(81,3,,,"MATCHS"))),,,IF(IFERROR(FIND("--",INDIRECT(ADDRESS(119,5,,,"MATCHS"))),FALSE),RIGHT(INDIRECT(ADDRESS(119,5,,,"MATCHS")), FIND("--",INDIRECT(ADDRESS(119,5,,,"MATCHS")),1)),INDIRECT(ADDRESS(119,5,,,"MATCHS"))),,,IF(IFERROR(FIND("--",INDIRECT(ADDRESS(156,5,,,"MATCHS"))),FALSE),RIGHT(INDIRECT(ADDRESS(156,5,,,"MATCHS")), FIND("--",INDIRECT(ADDRESS(156,5,,,"MATCHS")),1)),INDIRECT(ADDRESS(156,5,,,"MATCHS"))),,,,IF(IFERROR(FIND("--",INDIRECT(ADDRESS(194,5,,,"MATCHS"))),FALSE),RIGHT(INDIRECT(ADDRESS(194,5,,,"MATCHS")), FIND("--",INDIRECT(ADDRESS(194,5,,,"MATCHS")),1)),INDIRECT(ADDRESS(194,5,,,"MATCHS"))),,IF(IFERROR(FIND("--",INDIRECT(ADDRESS(218,5,,,"MATCHS"))),FALSE),RIGHT(INDIRECT(ADDRESS(218,5,,,"MATCHS")), FIND("--",INDIRECT(ADDRESS(218,5,,,"MATCHS")),1)),INDIRECT(ADDRESS(218,5,,,"MATCHS"))),,)</f>
        <v>0</v>
      </c>
      <c r="J17" s="121">
        <f ca="1">H17 - I17</f>
        <v>0</v>
      </c>
      <c r="K17" s="121">
        <v>0</v>
      </c>
      <c r="L17" s="121">
        <v>3</v>
      </c>
      <c r="M17" s="121"/>
      <c r="N17" s="115" t="str">
        <f>M17 &amp; "DM"</f>
        <v>DM</v>
      </c>
    </row>
    <row r="18" spans="1:14" ht="15.75" x14ac:dyDescent="0.25">
      <c r="A18" s="120"/>
      <c r="B18" s="121">
        <v>4</v>
      </c>
      <c r="C18" s="121" t="s">
        <v>79</v>
      </c>
      <c r="D18" s="121" t="str">
        <f>INSCRIPTS!C14</f>
        <v>4B</v>
      </c>
      <c r="E18" s="131">
        <f ca="1">SUM(IF(INDIRECT(ADDRESS(7,5,,,"MATCHS"))&gt;INDIRECT(ADDRESS(7,3,,,"MATCHS")),1,0),,,IF(INDIRECT(ADDRESS(44,5,,,"MATCHS"))&gt;INDIRECT(ADDRESS(44,3,,,"MATCHS")),1,0),,,IF(INDIRECT(ADDRESS(80,5,,,"MATCHS"))&gt;INDIRECT(ADDRESS(80,3,,,"MATCHS")),1,0),,,IF(INDIRECT(ADDRESS(120,3,,,"MATCHS"))&gt;INDIRECT(ADDRESS(120,5,,,"MATCHS")),1,0),,,,IF(INDIRECT(ADDRESS(158,3,,,"MATCHS"))&gt;INDIRECT(ADDRESS(158,5,,,"MATCHS")),1,0),,,IF(INDIRECT(ADDRESS(195,3,,,"MATCHS"))&gt;INDIRECT(ADDRESS(195,5,,,"MATCHS")),1,0),,IF(INDIRECT(ADDRESS(219,3,,,"MATCHS"))&gt;INDIRECT(ADDRESS(219,5,,,"MATCHS")),1,0),,) + 0.01 * K18</f>
        <v>0</v>
      </c>
      <c r="F18" s="121">
        <f ca="1">SUM(IF(INDIRECT(ADDRESS(7,5,,,"MATCHS"))&lt;INDIRECT(ADDRESS(7,3,,,"MATCHS")),1,0),,,IF(INDIRECT(ADDRESS(44,5,,,"MATCHS"))&lt;INDIRECT(ADDRESS(44,3,,,"MATCHS")),1,0),,,IF(INDIRECT(ADDRESS(80,5,,,"MATCHS"))&lt;INDIRECT(ADDRESS(80,3,,,"MATCHS")),1,0),,,IF(INDIRECT(ADDRESS(120,3,,,"MATCHS"))&lt;INDIRECT(ADDRESS(120,5,,,"MATCHS")),1,0),,,,IF(INDIRECT(ADDRESS(158,3,,,"MATCHS"))&lt;INDIRECT(ADDRESS(158,5,,,"MATCHS")),1,0),,,IF(INDIRECT(ADDRESS(195,3,,,"MATCHS"))&lt;INDIRECT(ADDRESS(195,5,,,"MATCHS")),1,0),,IF(INDIRECT(ADDRESS(219,3,,,"MATCHS"))&lt;INDIRECT(ADDRESS(219,5,,,"MATCHS")),1,0),,)</f>
        <v>0</v>
      </c>
      <c r="G18" s="121"/>
      <c r="H18" s="121">
        <f ca="1">SUM(IF(IFERROR(FIND("--",INDIRECT(ADDRESS(7,5,,,"MATCHS"))),FALSE),RIGHT(INDIRECT(ADDRESS(7,5,,,"MATCHS")), FIND("--",INDIRECT(ADDRESS(7,5,,,"MATCHS")),1)),INDIRECT(ADDRESS(7,5,,,"MATCHS"))),,,IF(IFERROR(FIND("--",INDIRECT(ADDRESS(44,5,,,"MATCHS"))),FALSE),RIGHT(INDIRECT(ADDRESS(44,5,,,"MATCHS")), FIND("--",INDIRECT(ADDRESS(44,5,,,"MATCHS")),1)),INDIRECT(ADDRESS(44,5,,,"MATCHS"))),,,IF(IFERROR(FIND("--",INDIRECT(ADDRESS(80,5,,,"MATCHS"))),FALSE),RIGHT(INDIRECT(ADDRESS(80,5,,,"MATCHS")), FIND("--",INDIRECT(ADDRESS(80,5,,,"MATCHS")),1)),INDIRECT(ADDRESS(80,5,,,"MATCHS"))),,,IF(IFERROR(FIND("--",INDIRECT(ADDRESS(120,3,,,"MATCHS"))),FALSE),RIGHT(INDIRECT(ADDRESS(120,3,,,"MATCHS")), FIND("--",INDIRECT(ADDRESS(120,3,,,"MATCHS")),1)),INDIRECT(ADDRESS(120,3,,,"MATCHS"))),,,,IF(IFERROR(FIND("--",INDIRECT(ADDRESS(158,3,,,"MATCHS"))),FALSE),RIGHT(INDIRECT(ADDRESS(158,3,,,"MATCHS")), FIND("--",INDIRECT(ADDRESS(158,3,,,"MATCHS")),1)),INDIRECT(ADDRESS(158,3,,,"MATCHS"))),,,IF(IFERROR(FIND("--",INDIRECT(ADDRESS(195,3,,,"MATCHS"))),FALSE),RIGHT(INDIRECT(ADDRESS(195,3,,,"MATCHS")), FIND("--",INDIRECT(ADDRESS(195,3,,,"MATCHS")),1)),INDIRECT(ADDRESS(195,3,,,"MATCHS"))),,IF(IFERROR(FIND("--",INDIRECT(ADDRESS(219,3,,,"MATCHS"))),FALSE),RIGHT(INDIRECT(ADDRESS(219,3,,,"MATCHS")), FIND("--",INDIRECT(ADDRESS(219,3,,,"MATCHS")),1)),INDIRECT(ADDRESS(219,3,,,"MATCHS"))),,)</f>
        <v>0</v>
      </c>
      <c r="I18" s="121">
        <f ca="1">SUM(IF(IFERROR(FIND("--",INDIRECT(ADDRESS(7,3,,,"MATCHS"))),FALSE),RIGHT(INDIRECT(ADDRESS(7,3,,,"MATCHS")), FIND("--",INDIRECT(ADDRESS(7,3,,,"MATCHS")),1)),INDIRECT(ADDRESS(7,3,,,"MATCHS"))),,,IF(IFERROR(FIND("--",INDIRECT(ADDRESS(44,3,,,"MATCHS"))),FALSE),RIGHT(INDIRECT(ADDRESS(44,3,,,"MATCHS")), FIND("--",INDIRECT(ADDRESS(44,3,,,"MATCHS")),1)),INDIRECT(ADDRESS(44,3,,,"MATCHS"))),,,IF(IFERROR(FIND("--",INDIRECT(ADDRESS(80,3,,,"MATCHS"))),FALSE),RIGHT(INDIRECT(ADDRESS(80,3,,,"MATCHS")), FIND("--",INDIRECT(ADDRESS(80,3,,,"MATCHS")),1)),INDIRECT(ADDRESS(80,3,,,"MATCHS"))),,,IF(IFERROR(FIND("--",INDIRECT(ADDRESS(120,5,,,"MATCHS"))),FALSE),RIGHT(INDIRECT(ADDRESS(120,5,,,"MATCHS")), FIND("--",INDIRECT(ADDRESS(120,5,,,"MATCHS")),1)),INDIRECT(ADDRESS(120,5,,,"MATCHS"))),,,,IF(IFERROR(FIND("--",INDIRECT(ADDRESS(158,5,,,"MATCHS"))),FALSE),RIGHT(INDIRECT(ADDRESS(158,5,,,"MATCHS")), FIND("--",INDIRECT(ADDRESS(158,5,,,"MATCHS")),1)),INDIRECT(ADDRESS(158,5,,,"MATCHS"))),,,IF(IFERROR(FIND("--",INDIRECT(ADDRESS(195,5,,,"MATCHS"))),FALSE),RIGHT(INDIRECT(ADDRESS(195,5,,,"MATCHS")), FIND("--",INDIRECT(ADDRESS(195,5,,,"MATCHS")),1)),INDIRECT(ADDRESS(195,5,,,"MATCHS"))),,IF(IFERROR(FIND("--",INDIRECT(ADDRESS(219,5,,,"MATCHS"))),FALSE),RIGHT(INDIRECT(ADDRESS(219,5,,,"MATCHS")), FIND("--",INDIRECT(ADDRESS(219,5,,,"MATCHS")),1)),INDIRECT(ADDRESS(219,5,,,"MATCHS"))),,)</f>
        <v>0</v>
      </c>
      <c r="J18" s="121">
        <f ca="1">H18 - I18</f>
        <v>0</v>
      </c>
      <c r="K18" s="121">
        <v>0</v>
      </c>
      <c r="L18" s="121">
        <v>4</v>
      </c>
      <c r="M18" s="121"/>
      <c r="N18" s="115" t="str">
        <f>M18 &amp; "DM"</f>
        <v>DM</v>
      </c>
    </row>
    <row r="19" spans="1:14" ht="15.75" x14ac:dyDescent="0.25">
      <c r="A19" s="120"/>
      <c r="B19" s="121">
        <v>5</v>
      </c>
      <c r="C19" s="121" t="s">
        <v>80</v>
      </c>
      <c r="D19" s="121" t="str">
        <f>INSCRIPTS!C15</f>
        <v>5B</v>
      </c>
      <c r="E19" s="131">
        <f ca="1">SUM(IF(INDIRECT(ADDRESS(8,3,,,"MATCHS"))&gt;INDIRECT(ADDRESS(8,5,,,"MATCHS")),1,0),,,IF(INDIRECT(ADDRESS(45,3,,,"MATCHS"))&gt;INDIRECT(ADDRESS(45,5,,,"MATCHS")),1,0),,,IF(INDIRECT(ADDRESS(82,3,,,"MATCHS"))&gt;INDIRECT(ADDRESS(82,5,,,"MATCHS")),1,0),,,IF(INDIRECT(ADDRESS(117,5,,,"MATCHS"))&gt;INDIRECT(ADDRESS(117,3,,,"MATCHS")),1,0),,,IF(INDIRECT(ADDRESS(155,5,,,"MATCHS"))&gt;INDIRECT(ADDRESS(155,3,,,"MATCHS")),1,0),,,,IF(INDIRECT(ADDRESS(194,5,,,"MATCHS"))&gt;INDIRECT(ADDRESS(194,3,,,"MATCHS")),1,0),,IF(INDIRECT(ADDRESS(219,5,,,"MATCHS"))&gt;INDIRECT(ADDRESS(219,3,,,"MATCHS")),1,0),,) + 0.01 * K19</f>
        <v>0</v>
      </c>
      <c r="F19" s="121">
        <f ca="1">SUM(IF(INDIRECT(ADDRESS(8,3,,,"MATCHS"))&lt;INDIRECT(ADDRESS(8,5,,,"MATCHS")),1,0),,,IF(INDIRECT(ADDRESS(45,3,,,"MATCHS"))&lt;INDIRECT(ADDRESS(45,5,,,"MATCHS")),1,0),,,IF(INDIRECT(ADDRESS(82,3,,,"MATCHS"))&lt;INDIRECT(ADDRESS(82,5,,,"MATCHS")),1,0),,,IF(INDIRECT(ADDRESS(117,5,,,"MATCHS"))&lt;INDIRECT(ADDRESS(117,3,,,"MATCHS")),1,0),,,IF(INDIRECT(ADDRESS(155,5,,,"MATCHS"))&lt;INDIRECT(ADDRESS(155,3,,,"MATCHS")),1,0),,,,IF(INDIRECT(ADDRESS(194,5,,,"MATCHS"))&lt;INDIRECT(ADDRESS(194,3,,,"MATCHS")),1,0),,IF(INDIRECT(ADDRESS(219,5,,,"MATCHS"))&lt;INDIRECT(ADDRESS(219,3,,,"MATCHS")),1,0),,)</f>
        <v>0</v>
      </c>
      <c r="G19" s="121"/>
      <c r="H19" s="121">
        <f ca="1">SUM(IF(IFERROR(FIND("--",INDIRECT(ADDRESS(8,3,,,"MATCHS"))),FALSE),RIGHT(INDIRECT(ADDRESS(8,3,,,"MATCHS")), FIND("--",INDIRECT(ADDRESS(8,3,,,"MATCHS")),1)),INDIRECT(ADDRESS(8,3,,,"MATCHS"))),,,IF(IFERROR(FIND("--",INDIRECT(ADDRESS(45,3,,,"MATCHS"))),FALSE),RIGHT(INDIRECT(ADDRESS(45,3,,,"MATCHS")), FIND("--",INDIRECT(ADDRESS(45,3,,,"MATCHS")),1)),INDIRECT(ADDRESS(45,3,,,"MATCHS"))),,,IF(IFERROR(FIND("--",INDIRECT(ADDRESS(82,3,,,"MATCHS"))),FALSE),RIGHT(INDIRECT(ADDRESS(82,3,,,"MATCHS")), FIND("--",INDIRECT(ADDRESS(82,3,,,"MATCHS")),1)),INDIRECT(ADDRESS(82,3,,,"MATCHS"))),,,IF(IFERROR(FIND("--",INDIRECT(ADDRESS(117,5,,,"MATCHS"))),FALSE),RIGHT(INDIRECT(ADDRESS(117,5,,,"MATCHS")), FIND("--",INDIRECT(ADDRESS(117,5,,,"MATCHS")),1)),INDIRECT(ADDRESS(117,5,,,"MATCHS"))),,,IF(IFERROR(FIND("--",INDIRECT(ADDRESS(155,5,,,"MATCHS"))),FALSE),RIGHT(INDIRECT(ADDRESS(155,5,,,"MATCHS")), FIND("--",INDIRECT(ADDRESS(155,5,,,"MATCHS")),1)),INDIRECT(ADDRESS(155,5,,,"MATCHS"))),,,,IF(IFERROR(FIND("--",INDIRECT(ADDRESS(194,5,,,"MATCHS"))),FALSE),RIGHT(INDIRECT(ADDRESS(194,5,,,"MATCHS")), FIND("--",INDIRECT(ADDRESS(194,5,,,"MATCHS")),1)),INDIRECT(ADDRESS(194,5,,,"MATCHS"))),,IF(IFERROR(FIND("--",INDIRECT(ADDRESS(219,5,,,"MATCHS"))),FALSE),RIGHT(INDIRECT(ADDRESS(219,5,,,"MATCHS")), FIND("--",INDIRECT(ADDRESS(219,5,,,"MATCHS")),1)),INDIRECT(ADDRESS(219,5,,,"MATCHS"))),,)</f>
        <v>0</v>
      </c>
      <c r="I19" s="121">
        <f ca="1">SUM(IF(IFERROR(FIND("--",INDIRECT(ADDRESS(8,5,,,"MATCHS"))),FALSE),RIGHT(INDIRECT(ADDRESS(8,5,,,"MATCHS")), FIND("--",INDIRECT(ADDRESS(8,5,,,"MATCHS")),1)),INDIRECT(ADDRESS(8,5,,,"MATCHS"))),,,IF(IFERROR(FIND("--",INDIRECT(ADDRESS(45,5,,,"MATCHS"))),FALSE),RIGHT(INDIRECT(ADDRESS(45,5,,,"MATCHS")), FIND("--",INDIRECT(ADDRESS(45,5,,,"MATCHS")),1)),INDIRECT(ADDRESS(45,5,,,"MATCHS"))),,,IF(IFERROR(FIND("--",INDIRECT(ADDRESS(82,5,,,"MATCHS"))),FALSE),RIGHT(INDIRECT(ADDRESS(82,5,,,"MATCHS")), FIND("--",INDIRECT(ADDRESS(82,5,,,"MATCHS")),1)),INDIRECT(ADDRESS(82,5,,,"MATCHS"))),,,IF(IFERROR(FIND("--",INDIRECT(ADDRESS(117,3,,,"MATCHS"))),FALSE),RIGHT(INDIRECT(ADDRESS(117,3,,,"MATCHS")), FIND("--",INDIRECT(ADDRESS(117,3,,,"MATCHS")),1)),INDIRECT(ADDRESS(117,3,,,"MATCHS"))),,,IF(IFERROR(FIND("--",INDIRECT(ADDRESS(155,3,,,"MATCHS"))),FALSE),RIGHT(INDIRECT(ADDRESS(155,3,,,"MATCHS")), FIND("--",INDIRECT(ADDRESS(155,3,,,"MATCHS")),1)),INDIRECT(ADDRESS(155,3,,,"MATCHS"))),,,,IF(IFERROR(FIND("--",INDIRECT(ADDRESS(194,3,,,"MATCHS"))),FALSE),RIGHT(INDIRECT(ADDRESS(194,3,,,"MATCHS")), FIND("--",INDIRECT(ADDRESS(194,3,,,"MATCHS")),1)),INDIRECT(ADDRESS(194,3,,,"MATCHS"))),,IF(IFERROR(FIND("--",INDIRECT(ADDRESS(219,3,,,"MATCHS"))),FALSE),RIGHT(INDIRECT(ADDRESS(219,3,,,"MATCHS")), FIND("--",INDIRECT(ADDRESS(219,3,,,"MATCHS")),1)),INDIRECT(ADDRESS(219,3,,,"MATCHS"))),,)</f>
        <v>0</v>
      </c>
      <c r="J19" s="121">
        <f ca="1">H19 - I19</f>
        <v>0</v>
      </c>
      <c r="K19" s="121">
        <v>0</v>
      </c>
      <c r="L19" s="121">
        <v>5</v>
      </c>
      <c r="M19" s="121"/>
      <c r="N19" s="115" t="str">
        <f>M19 &amp; "DM"</f>
        <v>DM</v>
      </c>
    </row>
    <row r="20" spans="1:14" ht="15.75" x14ac:dyDescent="0.25">
      <c r="A20" s="120"/>
      <c r="B20" s="121">
        <v>6</v>
      </c>
      <c r="C20" s="121" t="s">
        <v>81</v>
      </c>
      <c r="D20" s="121" t="str">
        <f>INSCRIPTS!C16</f>
        <v>6B</v>
      </c>
      <c r="E20" s="131">
        <f ca="1">SUM(IF(INDIRECT(ADDRESS(8,5,,,"MATCHS"))&gt;INDIRECT(ADDRESS(8,3,,,"MATCHS")),1,0),,,IF(INDIRECT(ADDRESS(46,3,,,"MATCHS"))&gt;INDIRECT(ADDRESS(46,5,,,"MATCHS")),1,0),,,IF(INDIRECT(ADDRESS(83,3,,,"MATCHS"))&gt;INDIRECT(ADDRESS(83,5,,,"MATCHS")),1,0),,,IF(INDIRECT(ADDRESS(118,5,,,"MATCHS"))&gt;INDIRECT(ADDRESS(118,3,,,"MATCHS")),1,0),,,IF(INDIRECT(ADDRESS(154,5,,,"MATCHS"))&gt;INDIRECT(ADDRESS(154,3,,,"MATCHS")),1,0),,,,IF(INDIRECT(ADDRESS(195,5,,,"MATCHS"))&gt;INDIRECT(ADDRESS(195,3,,,"MATCHS")),1,0),,IF(INDIRECT(ADDRESS(218,5,,,"MATCHS"))&gt;INDIRECT(ADDRESS(218,3,,,"MATCHS")),1,0),,) + 0.01 * K20</f>
        <v>0</v>
      </c>
      <c r="F20" s="121">
        <f ca="1">SUM(IF(INDIRECT(ADDRESS(8,5,,,"MATCHS"))&lt;INDIRECT(ADDRESS(8,3,,,"MATCHS")),1,0),,,IF(INDIRECT(ADDRESS(46,3,,,"MATCHS"))&lt;INDIRECT(ADDRESS(46,5,,,"MATCHS")),1,0),,,IF(INDIRECT(ADDRESS(83,3,,,"MATCHS"))&lt;INDIRECT(ADDRESS(83,5,,,"MATCHS")),1,0),,,IF(INDIRECT(ADDRESS(118,5,,,"MATCHS"))&lt;INDIRECT(ADDRESS(118,3,,,"MATCHS")),1,0),,,IF(INDIRECT(ADDRESS(154,5,,,"MATCHS"))&lt;INDIRECT(ADDRESS(154,3,,,"MATCHS")),1,0),,,,IF(INDIRECT(ADDRESS(195,5,,,"MATCHS"))&lt;INDIRECT(ADDRESS(195,3,,,"MATCHS")),1,0),,IF(INDIRECT(ADDRESS(218,5,,,"MATCHS"))&lt;INDIRECT(ADDRESS(218,3,,,"MATCHS")),1,0),,)</f>
        <v>0</v>
      </c>
      <c r="G20" s="121"/>
      <c r="H20" s="121">
        <f ca="1">SUM(IF(IFERROR(FIND("--",INDIRECT(ADDRESS(8,5,,,"MATCHS"))),FALSE),RIGHT(INDIRECT(ADDRESS(8,5,,,"MATCHS")), FIND("--",INDIRECT(ADDRESS(8,5,,,"MATCHS")),1)),INDIRECT(ADDRESS(8,5,,,"MATCHS"))),,,IF(IFERROR(FIND("--",INDIRECT(ADDRESS(46,3,,,"MATCHS"))),FALSE),RIGHT(INDIRECT(ADDRESS(46,3,,,"MATCHS")), FIND("--",INDIRECT(ADDRESS(46,3,,,"MATCHS")),1)),INDIRECT(ADDRESS(46,3,,,"MATCHS"))),,,IF(IFERROR(FIND("--",INDIRECT(ADDRESS(83,3,,,"MATCHS"))),FALSE),RIGHT(INDIRECT(ADDRESS(83,3,,,"MATCHS")), FIND("--",INDIRECT(ADDRESS(83,3,,,"MATCHS")),1)),INDIRECT(ADDRESS(83,3,,,"MATCHS"))),,,IF(IFERROR(FIND("--",INDIRECT(ADDRESS(118,5,,,"MATCHS"))),FALSE),RIGHT(INDIRECT(ADDRESS(118,5,,,"MATCHS")), FIND("--",INDIRECT(ADDRESS(118,5,,,"MATCHS")),1)),INDIRECT(ADDRESS(118,5,,,"MATCHS"))),,,IF(IFERROR(FIND("--",INDIRECT(ADDRESS(154,5,,,"MATCHS"))),FALSE),RIGHT(INDIRECT(ADDRESS(154,5,,,"MATCHS")), FIND("--",INDIRECT(ADDRESS(154,5,,,"MATCHS")),1)),INDIRECT(ADDRESS(154,5,,,"MATCHS"))),,,,IF(IFERROR(FIND("--",INDIRECT(ADDRESS(195,5,,,"MATCHS"))),FALSE),RIGHT(INDIRECT(ADDRESS(195,5,,,"MATCHS")), FIND("--",INDIRECT(ADDRESS(195,5,,,"MATCHS")),1)),INDIRECT(ADDRESS(195,5,,,"MATCHS"))),,IF(IFERROR(FIND("--",INDIRECT(ADDRESS(218,5,,,"MATCHS"))),FALSE),RIGHT(INDIRECT(ADDRESS(218,5,,,"MATCHS")), FIND("--",INDIRECT(ADDRESS(218,5,,,"MATCHS")),1)),INDIRECT(ADDRESS(218,5,,,"MATCHS"))),,)</f>
        <v>0</v>
      </c>
      <c r="I20" s="121">
        <f ca="1">SUM(IF(IFERROR(FIND("--",INDIRECT(ADDRESS(8,3,,,"MATCHS"))),FALSE),RIGHT(INDIRECT(ADDRESS(8,3,,,"MATCHS")), FIND("--",INDIRECT(ADDRESS(8,3,,,"MATCHS")),1)),INDIRECT(ADDRESS(8,3,,,"MATCHS"))),,,IF(IFERROR(FIND("--",INDIRECT(ADDRESS(46,5,,,"MATCHS"))),FALSE),RIGHT(INDIRECT(ADDRESS(46,5,,,"MATCHS")), FIND("--",INDIRECT(ADDRESS(46,5,,,"MATCHS")),1)),INDIRECT(ADDRESS(46,5,,,"MATCHS"))),,,IF(IFERROR(FIND("--",INDIRECT(ADDRESS(83,5,,,"MATCHS"))),FALSE),RIGHT(INDIRECT(ADDRESS(83,5,,,"MATCHS")), FIND("--",INDIRECT(ADDRESS(83,5,,,"MATCHS")),1)),INDIRECT(ADDRESS(83,5,,,"MATCHS"))),,,IF(IFERROR(FIND("--",INDIRECT(ADDRESS(118,3,,,"MATCHS"))),FALSE),RIGHT(INDIRECT(ADDRESS(118,3,,,"MATCHS")), FIND("--",INDIRECT(ADDRESS(118,3,,,"MATCHS")),1)),INDIRECT(ADDRESS(118,3,,,"MATCHS"))),,,IF(IFERROR(FIND("--",INDIRECT(ADDRESS(154,3,,,"MATCHS"))),FALSE),RIGHT(INDIRECT(ADDRESS(154,3,,,"MATCHS")), FIND("--",INDIRECT(ADDRESS(154,3,,,"MATCHS")),1)),INDIRECT(ADDRESS(154,3,,,"MATCHS"))),,,,IF(IFERROR(FIND("--",INDIRECT(ADDRESS(195,3,,,"MATCHS"))),FALSE),RIGHT(INDIRECT(ADDRESS(195,3,,,"MATCHS")), FIND("--",INDIRECT(ADDRESS(195,3,,,"MATCHS")),1)),INDIRECT(ADDRESS(195,3,,,"MATCHS"))),,IF(IFERROR(FIND("--",INDIRECT(ADDRESS(218,3,,,"MATCHS"))),FALSE),RIGHT(INDIRECT(ADDRESS(218,3,,,"MATCHS")), FIND("--",INDIRECT(ADDRESS(218,3,,,"MATCHS")),1)),INDIRECT(ADDRESS(218,3,,,"MATCHS"))),,)</f>
        <v>0</v>
      </c>
      <c r="J20" s="121">
        <f ca="1">H20 - I20</f>
        <v>0</v>
      </c>
      <c r="K20" s="121">
        <v>0</v>
      </c>
      <c r="L20" s="121">
        <v>6</v>
      </c>
      <c r="M20" s="121"/>
      <c r="N20" s="115" t="str">
        <f>M20 &amp; "DM"</f>
        <v>DM</v>
      </c>
    </row>
    <row r="21" spans="1:14" ht="15.75" x14ac:dyDescent="0.25">
      <c r="A21" s="120"/>
      <c r="B21" s="121">
        <v>7</v>
      </c>
      <c r="C21" s="121" t="s">
        <v>82</v>
      </c>
      <c r="D21" s="121" t="str">
        <f>INSCRIPTS!C17</f>
        <v>7B</v>
      </c>
      <c r="E21" s="131">
        <f ca="1">SUM(IF(INDIRECT(ADDRESS(9,3,,,"MATCHS"))&gt;INDIRECT(ADDRESS(9,5,,,"MATCHS")),1,0),,,IF(INDIRECT(ADDRESS(45,5,,,"MATCHS"))&gt;INDIRECT(ADDRESS(45,3,,,"MATCHS")),1,0),,,IF(INDIRECT(ADDRESS(83,5,,,"MATCHS"))&gt;INDIRECT(ADDRESS(83,3,,,"MATCHS")),1,0),,,IF(INDIRECT(ADDRESS(119,5,,,"MATCHS"))&gt;INDIRECT(ADDRESS(119,3,,,"MATCHS")),1,0),,,,IF(INDIRECT(ADDRESS(158,5,,,"MATCHS"))&gt;INDIRECT(ADDRESS(158,3,,,"MATCHS")),1,0),,IF(INDIRECT(ADDRESS(191,5,,,"MATCHS"))&gt;INDIRECT(ADDRESS(191,3,,,"MATCHS")),1,0),,IF(INDIRECT(ADDRESS(216,5,,,"MATCHS"))&gt;INDIRECT(ADDRESS(216,3,,,"MATCHS")),1,0),,,) + 0.01 * K21</f>
        <v>0</v>
      </c>
      <c r="F21" s="121">
        <f ca="1">SUM(IF(INDIRECT(ADDRESS(9,3,,,"MATCHS"))&lt;INDIRECT(ADDRESS(9,5,,,"MATCHS")),1,0),,,IF(INDIRECT(ADDRESS(45,5,,,"MATCHS"))&lt;INDIRECT(ADDRESS(45,3,,,"MATCHS")),1,0),,,IF(INDIRECT(ADDRESS(83,5,,,"MATCHS"))&lt;INDIRECT(ADDRESS(83,3,,,"MATCHS")),1,0),,,IF(INDIRECT(ADDRESS(119,5,,,"MATCHS"))&lt;INDIRECT(ADDRESS(119,3,,,"MATCHS")),1,0),,,,IF(INDIRECT(ADDRESS(158,5,,,"MATCHS"))&lt;INDIRECT(ADDRESS(158,3,,,"MATCHS")),1,0),,IF(INDIRECT(ADDRESS(191,5,,,"MATCHS"))&lt;INDIRECT(ADDRESS(191,3,,,"MATCHS")),1,0),,IF(INDIRECT(ADDRESS(216,5,,,"MATCHS"))&lt;INDIRECT(ADDRESS(216,3,,,"MATCHS")),1,0),,,)</f>
        <v>0</v>
      </c>
      <c r="G21" s="121"/>
      <c r="H21" s="121">
        <f ca="1">SUM(IF(IFERROR(FIND("--",INDIRECT(ADDRESS(9,3,,,"MATCHS"))),FALSE),RIGHT(INDIRECT(ADDRESS(9,3,,,"MATCHS")), FIND("--",INDIRECT(ADDRESS(9,3,,,"MATCHS")),1)),INDIRECT(ADDRESS(9,3,,,"MATCHS"))),,,IF(IFERROR(FIND("--",INDIRECT(ADDRESS(45,5,,,"MATCHS"))),FALSE),RIGHT(INDIRECT(ADDRESS(45,5,,,"MATCHS")), FIND("--",INDIRECT(ADDRESS(45,5,,,"MATCHS")),1)),INDIRECT(ADDRESS(45,5,,,"MATCHS"))),,,IF(IFERROR(FIND("--",INDIRECT(ADDRESS(83,5,,,"MATCHS"))),FALSE),RIGHT(INDIRECT(ADDRESS(83,5,,,"MATCHS")), FIND("--",INDIRECT(ADDRESS(83,5,,,"MATCHS")),1)),INDIRECT(ADDRESS(83,5,,,"MATCHS"))),,,IF(IFERROR(FIND("--",INDIRECT(ADDRESS(119,5,,,"MATCHS"))),FALSE),RIGHT(INDIRECT(ADDRESS(119,5,,,"MATCHS")), FIND("--",INDIRECT(ADDRESS(119,5,,,"MATCHS")),1)),INDIRECT(ADDRESS(119,5,,,"MATCHS"))),,,,IF(IFERROR(FIND("--",INDIRECT(ADDRESS(158,5,,,"MATCHS"))),FALSE),RIGHT(INDIRECT(ADDRESS(158,5,,,"MATCHS")), FIND("--",INDIRECT(ADDRESS(158,5,,,"MATCHS")),1)),INDIRECT(ADDRESS(158,5,,,"MATCHS"))),,IF(IFERROR(FIND("--",INDIRECT(ADDRESS(191,5,,,"MATCHS"))),FALSE),RIGHT(INDIRECT(ADDRESS(191,5,,,"MATCHS")), FIND("--",INDIRECT(ADDRESS(191,5,,,"MATCHS")),1)),INDIRECT(ADDRESS(191,5,,,"MATCHS"))),,IF(IFERROR(FIND("--",INDIRECT(ADDRESS(216,5,,,"MATCHS"))),FALSE),RIGHT(INDIRECT(ADDRESS(216,5,,,"MATCHS")), FIND("--",INDIRECT(ADDRESS(216,5,,,"MATCHS")),1)),INDIRECT(ADDRESS(216,5,,,"MATCHS"))),,,)</f>
        <v>0</v>
      </c>
      <c r="I21" s="121">
        <f ca="1">SUM(IF(IFERROR(FIND("--",INDIRECT(ADDRESS(9,5,,,"MATCHS"))),FALSE),RIGHT(INDIRECT(ADDRESS(9,5,,,"MATCHS")), FIND("--",INDIRECT(ADDRESS(9,5,,,"MATCHS")),1)),INDIRECT(ADDRESS(9,5,,,"MATCHS"))),,,IF(IFERROR(FIND("--",INDIRECT(ADDRESS(45,3,,,"MATCHS"))),FALSE),RIGHT(INDIRECT(ADDRESS(45,3,,,"MATCHS")), FIND("--",INDIRECT(ADDRESS(45,3,,,"MATCHS")),1)),INDIRECT(ADDRESS(45,3,,,"MATCHS"))),,,IF(IFERROR(FIND("--",INDIRECT(ADDRESS(83,3,,,"MATCHS"))),FALSE),RIGHT(INDIRECT(ADDRESS(83,3,,,"MATCHS")), FIND("--",INDIRECT(ADDRESS(83,3,,,"MATCHS")),1)),INDIRECT(ADDRESS(83,3,,,"MATCHS"))),,,IF(IFERROR(FIND("--",INDIRECT(ADDRESS(119,3,,,"MATCHS"))),FALSE),RIGHT(INDIRECT(ADDRESS(119,3,,,"MATCHS")), FIND("--",INDIRECT(ADDRESS(119,3,,,"MATCHS")),1)),INDIRECT(ADDRESS(119,3,,,"MATCHS"))),,,,IF(IFERROR(FIND("--",INDIRECT(ADDRESS(158,3,,,"MATCHS"))),FALSE),RIGHT(INDIRECT(ADDRESS(158,3,,,"MATCHS")), FIND("--",INDIRECT(ADDRESS(158,3,,,"MATCHS")),1)),INDIRECT(ADDRESS(158,3,,,"MATCHS"))),,IF(IFERROR(FIND("--",INDIRECT(ADDRESS(191,3,,,"MATCHS"))),FALSE),RIGHT(INDIRECT(ADDRESS(191,3,,,"MATCHS")), FIND("--",INDIRECT(ADDRESS(191,3,,,"MATCHS")),1)),INDIRECT(ADDRESS(191,3,,,"MATCHS"))),,IF(IFERROR(FIND("--",INDIRECT(ADDRESS(216,3,,,"MATCHS"))),FALSE),RIGHT(INDIRECT(ADDRESS(216,3,,,"MATCHS")), FIND("--",INDIRECT(ADDRESS(216,3,,,"MATCHS")),1)),INDIRECT(ADDRESS(216,3,,,"MATCHS"))),,,)</f>
        <v>0</v>
      </c>
      <c r="J21" s="121">
        <f ca="1">H21 - I21</f>
        <v>0</v>
      </c>
      <c r="K21" s="121">
        <v>0</v>
      </c>
      <c r="L21" s="121">
        <v>7</v>
      </c>
      <c r="M21" s="121"/>
      <c r="N21" s="115" t="str">
        <f>M21 &amp; "DM"</f>
        <v>DM</v>
      </c>
    </row>
    <row r="22" spans="1:14" ht="15.75" x14ac:dyDescent="0.25">
      <c r="A22" s="120"/>
      <c r="B22" s="121">
        <v>8</v>
      </c>
      <c r="C22" s="121" t="s">
        <v>83</v>
      </c>
      <c r="D22" s="121" t="str">
        <f>INSCRIPTS!C18</f>
        <v>8B</v>
      </c>
      <c r="E22" s="131">
        <f ca="1">SUM(IF(INDIRECT(ADDRESS(9,5,,,"MATCHS"))&gt;INDIRECT(ADDRESS(9,3,,,"MATCHS")),1,0),,,IF(INDIRECT(ADDRESS(46,5,,,"MATCHS"))&gt;INDIRECT(ADDRESS(46,3,,,"MATCHS")),1,0),,,IF(INDIRECT(ADDRESS(82,5,,,"MATCHS"))&gt;INDIRECT(ADDRESS(82,3,,,"MATCHS")),1,0),,,IF(INDIRECT(ADDRESS(120,5,,,"MATCHS"))&gt;INDIRECT(ADDRESS(120,3,,,"MATCHS")),1,0),,,IF(INDIRECT(ADDRESS(156,5,,,"MATCHS"))&gt;INDIRECT(ADDRESS(156,3,,,"MATCHS")),1,0),,,IF(INDIRECT(ADDRESS(192,5,,,"MATCHS"))&gt;INDIRECT(ADDRESS(192,3,,,"MATCHS")),1,0),,IF(INDIRECT(ADDRESS(215,5,,,"MATCHS"))&gt;INDIRECT(ADDRESS(215,3,,,"MATCHS")),1,0),,,) + 0.01 * K22</f>
        <v>0</v>
      </c>
      <c r="F22" s="121">
        <f ca="1">SUM(IF(INDIRECT(ADDRESS(9,5,,,"MATCHS"))&lt;INDIRECT(ADDRESS(9,3,,,"MATCHS")),1,0),,,IF(INDIRECT(ADDRESS(46,5,,,"MATCHS"))&lt;INDIRECT(ADDRESS(46,3,,,"MATCHS")),1,0),,,IF(INDIRECT(ADDRESS(82,5,,,"MATCHS"))&lt;INDIRECT(ADDRESS(82,3,,,"MATCHS")),1,0),,,IF(INDIRECT(ADDRESS(120,5,,,"MATCHS"))&lt;INDIRECT(ADDRESS(120,3,,,"MATCHS")),1,0),,,IF(INDIRECT(ADDRESS(156,5,,,"MATCHS"))&lt;INDIRECT(ADDRESS(156,3,,,"MATCHS")),1,0),,,IF(INDIRECT(ADDRESS(192,5,,,"MATCHS"))&lt;INDIRECT(ADDRESS(192,3,,,"MATCHS")),1,0),,IF(INDIRECT(ADDRESS(215,5,,,"MATCHS"))&lt;INDIRECT(ADDRESS(215,3,,,"MATCHS")),1,0),,,)</f>
        <v>0</v>
      </c>
      <c r="G22" s="121"/>
      <c r="H22" s="121">
        <f ca="1">SUM(IF(IFERROR(FIND("--",INDIRECT(ADDRESS(9,5,,,"MATCHS"))),FALSE),RIGHT(INDIRECT(ADDRESS(9,5,,,"MATCHS")), FIND("--",INDIRECT(ADDRESS(9,5,,,"MATCHS")),1)),INDIRECT(ADDRESS(9,5,,,"MATCHS"))),,,IF(IFERROR(FIND("--",INDIRECT(ADDRESS(46,5,,,"MATCHS"))),FALSE),RIGHT(INDIRECT(ADDRESS(46,5,,,"MATCHS")), FIND("--",INDIRECT(ADDRESS(46,5,,,"MATCHS")),1)),INDIRECT(ADDRESS(46,5,,,"MATCHS"))),,,IF(IFERROR(FIND("--",INDIRECT(ADDRESS(82,5,,,"MATCHS"))),FALSE),RIGHT(INDIRECT(ADDRESS(82,5,,,"MATCHS")), FIND("--",INDIRECT(ADDRESS(82,5,,,"MATCHS")),1)),INDIRECT(ADDRESS(82,5,,,"MATCHS"))),,,IF(IFERROR(FIND("--",INDIRECT(ADDRESS(120,5,,,"MATCHS"))),FALSE),RIGHT(INDIRECT(ADDRESS(120,5,,,"MATCHS")), FIND("--",INDIRECT(ADDRESS(120,5,,,"MATCHS")),1)),INDIRECT(ADDRESS(120,5,,,"MATCHS"))),,,IF(IFERROR(FIND("--",INDIRECT(ADDRESS(156,5,,,"MATCHS"))),FALSE),RIGHT(INDIRECT(ADDRESS(156,5,,,"MATCHS")), FIND("--",INDIRECT(ADDRESS(156,5,,,"MATCHS")),1)),INDIRECT(ADDRESS(156,5,,,"MATCHS"))),,,IF(IFERROR(FIND("--",INDIRECT(ADDRESS(192,5,,,"MATCHS"))),FALSE),RIGHT(INDIRECT(ADDRESS(192,5,,,"MATCHS")), FIND("--",INDIRECT(ADDRESS(192,5,,,"MATCHS")),1)),INDIRECT(ADDRESS(192,5,,,"MATCHS"))),,IF(IFERROR(FIND("--",INDIRECT(ADDRESS(215,5,,,"MATCHS"))),FALSE),RIGHT(INDIRECT(ADDRESS(215,5,,,"MATCHS")), FIND("--",INDIRECT(ADDRESS(215,5,,,"MATCHS")),1)),INDIRECT(ADDRESS(215,5,,,"MATCHS"))),,,)</f>
        <v>0</v>
      </c>
      <c r="I22" s="121">
        <f ca="1">SUM(IF(IFERROR(FIND("--",INDIRECT(ADDRESS(9,3,,,"MATCHS"))),FALSE),RIGHT(INDIRECT(ADDRESS(9,3,,,"MATCHS")), FIND("--",INDIRECT(ADDRESS(9,3,,,"MATCHS")),1)),INDIRECT(ADDRESS(9,3,,,"MATCHS"))),,,IF(IFERROR(FIND("--",INDIRECT(ADDRESS(46,3,,,"MATCHS"))),FALSE),RIGHT(INDIRECT(ADDRESS(46,3,,,"MATCHS")), FIND("--",INDIRECT(ADDRESS(46,3,,,"MATCHS")),1)),INDIRECT(ADDRESS(46,3,,,"MATCHS"))),,,IF(IFERROR(FIND("--",INDIRECT(ADDRESS(82,3,,,"MATCHS"))),FALSE),RIGHT(INDIRECT(ADDRESS(82,3,,,"MATCHS")), FIND("--",INDIRECT(ADDRESS(82,3,,,"MATCHS")),1)),INDIRECT(ADDRESS(82,3,,,"MATCHS"))),,,IF(IFERROR(FIND("--",INDIRECT(ADDRESS(120,3,,,"MATCHS"))),FALSE),RIGHT(INDIRECT(ADDRESS(120,3,,,"MATCHS")), FIND("--",INDIRECT(ADDRESS(120,3,,,"MATCHS")),1)),INDIRECT(ADDRESS(120,3,,,"MATCHS"))),,,IF(IFERROR(FIND("--",INDIRECT(ADDRESS(156,3,,,"MATCHS"))),FALSE),RIGHT(INDIRECT(ADDRESS(156,3,,,"MATCHS")), FIND("--",INDIRECT(ADDRESS(156,3,,,"MATCHS")),1)),INDIRECT(ADDRESS(156,3,,,"MATCHS"))),,,IF(IFERROR(FIND("--",INDIRECT(ADDRESS(192,3,,,"MATCHS"))),FALSE),RIGHT(INDIRECT(ADDRESS(192,3,,,"MATCHS")), FIND("--",INDIRECT(ADDRESS(192,3,,,"MATCHS")),1)),INDIRECT(ADDRESS(192,3,,,"MATCHS"))),,IF(IFERROR(FIND("--",INDIRECT(ADDRESS(215,3,,,"MATCHS"))),FALSE),RIGHT(INDIRECT(ADDRESS(215,3,,,"MATCHS")), FIND("--",INDIRECT(ADDRESS(215,3,,,"MATCHS")),1)),INDIRECT(ADDRESS(215,3,,,"MATCHS"))),,,)</f>
        <v>0</v>
      </c>
      <c r="J22" s="121">
        <f ca="1">H22 - I22</f>
        <v>0</v>
      </c>
      <c r="K22" s="121">
        <v>0</v>
      </c>
      <c r="L22" s="121">
        <v>8</v>
      </c>
      <c r="M22" s="121"/>
      <c r="N22" s="115" t="str">
        <f>M22 &amp; "DM"</f>
        <v>DM</v>
      </c>
    </row>
    <row r="23" spans="1:14" ht="15.75" thickBot="1" x14ac:dyDescent="0.3"/>
    <row r="24" spans="1:14" ht="30.95" customHeight="1" thickBot="1" x14ac:dyDescent="0.3">
      <c r="C24" s="116" t="s">
        <v>179</v>
      </c>
      <c r="D24" s="116" t="s">
        <v>59</v>
      </c>
      <c r="E24" s="129" t="s">
        <v>180</v>
      </c>
      <c r="F24" s="116" t="s">
        <v>181</v>
      </c>
      <c r="G24" s="116" t="s">
        <v>182</v>
      </c>
      <c r="H24" s="116" t="s">
        <v>183</v>
      </c>
      <c r="I24" s="116" t="s">
        <v>184</v>
      </c>
      <c r="J24" s="116" t="s">
        <v>185</v>
      </c>
      <c r="K24" s="117" t="s">
        <v>186</v>
      </c>
      <c r="L24" s="116" t="s">
        <v>187</v>
      </c>
      <c r="M24" s="117" t="s">
        <v>188</v>
      </c>
    </row>
    <row r="26" spans="1:14" ht="15.75" x14ac:dyDescent="0.25">
      <c r="A26" s="122" t="s">
        <v>64</v>
      </c>
      <c r="B26" s="123">
        <v>1</v>
      </c>
      <c r="C26" s="123" t="s">
        <v>84</v>
      </c>
      <c r="D26" s="123" t="str">
        <f>INSCRIPTS!C20</f>
        <v>1C</v>
      </c>
      <c r="E26" s="132">
        <f ca="1">SUM(IF(INDIRECT(ADDRESS(10,3,,,"MATCHS"))&gt;INDIRECT(ADDRESS(10,5,,,"MATCHS")),1,0),,,IF(INDIRECT(ADDRESS(47,3,,,"MATCHS"))&gt;INDIRECT(ADDRESS(47,5,,,"MATCHS")),1,0),,,IF(INDIRECT(ADDRESS(84,3,,,"MATCHS"))&gt;INDIRECT(ADDRESS(84,5,,,"MATCHS")),1,0),,,,IF(INDIRECT(ADDRESS(122,3,,,"MATCHS"))&gt;INDIRECT(ADDRESS(122,5,,,"MATCHS")),1,0),,,IF(INDIRECT(ADDRESS(159,3,,,"MATCHS"))&gt;INDIRECT(ADDRESS(159,5,,,"MATCHS")),1,0),,,IF(INDIRECT(ADDRESS(196,3,,,"MATCHS"))&gt;INDIRECT(ADDRESS(196,5,,,"MATCHS")),1,0),,IF(INDIRECT(ADDRESS(220,3,,,"MATCHS"))&gt;INDIRECT(ADDRESS(220,5,,,"MATCHS")),1,0),,) + 0.01 * K26</f>
        <v>0</v>
      </c>
      <c r="F26" s="123">
        <f ca="1">SUM(IF(INDIRECT(ADDRESS(10,3,,,"MATCHS"))&lt;INDIRECT(ADDRESS(10,5,,,"MATCHS")),1,0),,,IF(INDIRECT(ADDRESS(47,3,,,"MATCHS"))&lt;INDIRECT(ADDRESS(47,5,,,"MATCHS")),1,0),,,IF(INDIRECT(ADDRESS(84,3,,,"MATCHS"))&lt;INDIRECT(ADDRESS(84,5,,,"MATCHS")),1,0),,,,IF(INDIRECT(ADDRESS(122,3,,,"MATCHS"))&lt;INDIRECT(ADDRESS(122,5,,,"MATCHS")),1,0),,,IF(INDIRECT(ADDRESS(159,3,,,"MATCHS"))&lt;INDIRECT(ADDRESS(159,5,,,"MATCHS")),1,0),,,IF(INDIRECT(ADDRESS(196,3,,,"MATCHS"))&lt;INDIRECT(ADDRESS(196,5,,,"MATCHS")),1,0),,IF(INDIRECT(ADDRESS(220,3,,,"MATCHS"))&lt;INDIRECT(ADDRESS(220,5,,,"MATCHS")),1,0),,)</f>
        <v>0</v>
      </c>
      <c r="G26" s="123"/>
      <c r="H26" s="123">
        <f ca="1">SUM(IF(IFERROR(FIND("--",INDIRECT(ADDRESS(10,3,,,"MATCHS"))),FALSE),RIGHT(INDIRECT(ADDRESS(10,3,,,"MATCHS")), FIND("--",INDIRECT(ADDRESS(10,3,,,"MATCHS")),1)),INDIRECT(ADDRESS(10,3,,,"MATCHS"))),,,IF(IFERROR(FIND("--",INDIRECT(ADDRESS(47,3,,,"MATCHS"))),FALSE),RIGHT(INDIRECT(ADDRESS(47,3,,,"MATCHS")), FIND("--",INDIRECT(ADDRESS(47,3,,,"MATCHS")),1)),INDIRECT(ADDRESS(47,3,,,"MATCHS"))),,,IF(IFERROR(FIND("--",INDIRECT(ADDRESS(84,3,,,"MATCHS"))),FALSE),RIGHT(INDIRECT(ADDRESS(84,3,,,"MATCHS")), FIND("--",INDIRECT(ADDRESS(84,3,,,"MATCHS")),1)),INDIRECT(ADDRESS(84,3,,,"MATCHS"))),,,,IF(IFERROR(FIND("--",INDIRECT(ADDRESS(122,3,,,"MATCHS"))),FALSE),RIGHT(INDIRECT(ADDRESS(122,3,,,"MATCHS")), FIND("--",INDIRECT(ADDRESS(122,3,,,"MATCHS")),1)),INDIRECT(ADDRESS(122,3,,,"MATCHS"))),,,IF(IFERROR(FIND("--",INDIRECT(ADDRESS(159,3,,,"MATCHS"))),FALSE),RIGHT(INDIRECT(ADDRESS(159,3,,,"MATCHS")), FIND("--",INDIRECT(ADDRESS(159,3,,,"MATCHS")),1)),INDIRECT(ADDRESS(159,3,,,"MATCHS"))),,,IF(IFERROR(FIND("--",INDIRECT(ADDRESS(196,3,,,"MATCHS"))),FALSE),RIGHT(INDIRECT(ADDRESS(196,3,,,"MATCHS")), FIND("--",INDIRECT(ADDRESS(196,3,,,"MATCHS")),1)),INDIRECT(ADDRESS(196,3,,,"MATCHS"))),,IF(IFERROR(FIND("--",INDIRECT(ADDRESS(220,3,,,"MATCHS"))),FALSE),RIGHT(INDIRECT(ADDRESS(220,3,,,"MATCHS")), FIND("--",INDIRECT(ADDRESS(220,3,,,"MATCHS")),1)),INDIRECT(ADDRESS(220,3,,,"MATCHS"))),,)</f>
        <v>0</v>
      </c>
      <c r="I26" s="123">
        <f ca="1">SUM(IF(IFERROR(FIND("--",INDIRECT(ADDRESS(10,5,,,"MATCHS"))),FALSE),RIGHT(INDIRECT(ADDRESS(10,5,,,"MATCHS")), FIND("--",INDIRECT(ADDRESS(10,5,,,"MATCHS")),1)),INDIRECT(ADDRESS(10,5,,,"MATCHS"))),,,IF(IFERROR(FIND("--",INDIRECT(ADDRESS(47,5,,,"MATCHS"))),FALSE),RIGHT(INDIRECT(ADDRESS(47,5,,,"MATCHS")), FIND("--",INDIRECT(ADDRESS(47,5,,,"MATCHS")),1)),INDIRECT(ADDRESS(47,5,,,"MATCHS"))),,,IF(IFERROR(FIND("--",INDIRECT(ADDRESS(84,5,,,"MATCHS"))),FALSE),RIGHT(INDIRECT(ADDRESS(84,5,,,"MATCHS")), FIND("--",INDIRECT(ADDRESS(84,5,,,"MATCHS")),1)),INDIRECT(ADDRESS(84,5,,,"MATCHS"))),,,,IF(IFERROR(FIND("--",INDIRECT(ADDRESS(122,5,,,"MATCHS"))),FALSE),RIGHT(INDIRECT(ADDRESS(122,5,,,"MATCHS")), FIND("--",INDIRECT(ADDRESS(122,5,,,"MATCHS")),1)),INDIRECT(ADDRESS(122,5,,,"MATCHS"))),,,IF(IFERROR(FIND("--",INDIRECT(ADDRESS(159,5,,,"MATCHS"))),FALSE),RIGHT(INDIRECT(ADDRESS(159,5,,,"MATCHS")), FIND("--",INDIRECT(ADDRESS(159,5,,,"MATCHS")),1)),INDIRECT(ADDRESS(159,5,,,"MATCHS"))),,,IF(IFERROR(FIND("--",INDIRECT(ADDRESS(196,5,,,"MATCHS"))),FALSE),RIGHT(INDIRECT(ADDRESS(196,5,,,"MATCHS")), FIND("--",INDIRECT(ADDRESS(196,5,,,"MATCHS")),1)),INDIRECT(ADDRESS(196,5,,,"MATCHS"))),,IF(IFERROR(FIND("--",INDIRECT(ADDRESS(220,5,,,"MATCHS"))),FALSE),RIGHT(INDIRECT(ADDRESS(220,5,,,"MATCHS")), FIND("--",INDIRECT(ADDRESS(220,5,,,"MATCHS")),1)),INDIRECT(ADDRESS(220,5,,,"MATCHS"))),,)</f>
        <v>0</v>
      </c>
      <c r="J26" s="123">
        <f ca="1">H26 - I26</f>
        <v>0</v>
      </c>
      <c r="K26" s="123">
        <v>0</v>
      </c>
      <c r="L26" s="123">
        <v>1</v>
      </c>
      <c r="M26" s="123"/>
      <c r="N26" s="115" t="str">
        <f>M26 &amp; "DM"</f>
        <v>DM</v>
      </c>
    </row>
    <row r="27" spans="1:14" ht="15.75" x14ac:dyDescent="0.25">
      <c r="A27" s="122"/>
      <c r="B27" s="123">
        <v>2</v>
      </c>
      <c r="C27" s="123" t="s">
        <v>85</v>
      </c>
      <c r="D27" s="123" t="str">
        <f>INSCRIPTS!C21</f>
        <v>2C</v>
      </c>
      <c r="E27" s="132">
        <f ca="1">SUM(IF(INDIRECT(ADDRESS(10,5,,,"MATCHS"))&gt;INDIRECT(ADDRESS(10,3,,,"MATCHS")),1,0),,,IF(INDIRECT(ADDRESS(48,3,,,"MATCHS"))&gt;INDIRECT(ADDRESS(48,5,,,"MATCHS")),1,0),,,,IF(INDIRECT(ADDRESS(86,3,,,"MATCHS"))&gt;INDIRECT(ADDRESS(86,5,,,"MATCHS")),1,0),,,IF(INDIRECT(ADDRESS(123,3,,,"MATCHS"))&gt;INDIRECT(ADDRESS(123,5,,,"MATCHS")),1,0),,,IF(INDIRECT(ADDRESS(160,3,,,"MATCHS"))&gt;INDIRECT(ADDRESS(160,5,,,"MATCHS")),1,0),,,IF(INDIRECT(ADDRESS(197,3,,,"MATCHS"))&gt;INDIRECT(ADDRESS(197,5,,,"MATCHS")),1,0),,IF(INDIRECT(ADDRESS(221,3,,,"MATCHS"))&gt;INDIRECT(ADDRESS(221,5,,,"MATCHS")),1,0),,) + 0.01 * K27</f>
        <v>0</v>
      </c>
      <c r="F27" s="123">
        <f ca="1">SUM(IF(INDIRECT(ADDRESS(10,5,,,"MATCHS"))&lt;INDIRECT(ADDRESS(10,3,,,"MATCHS")),1,0),,,IF(INDIRECT(ADDRESS(48,3,,,"MATCHS"))&lt;INDIRECT(ADDRESS(48,5,,,"MATCHS")),1,0),,,,IF(INDIRECT(ADDRESS(86,3,,,"MATCHS"))&lt;INDIRECT(ADDRESS(86,5,,,"MATCHS")),1,0),,,IF(INDIRECT(ADDRESS(123,3,,,"MATCHS"))&lt;INDIRECT(ADDRESS(123,5,,,"MATCHS")),1,0),,,IF(INDIRECT(ADDRESS(160,3,,,"MATCHS"))&lt;INDIRECT(ADDRESS(160,5,,,"MATCHS")),1,0),,,IF(INDIRECT(ADDRESS(197,3,,,"MATCHS"))&lt;INDIRECT(ADDRESS(197,5,,,"MATCHS")),1,0),,IF(INDIRECT(ADDRESS(221,3,,,"MATCHS"))&lt;INDIRECT(ADDRESS(221,5,,,"MATCHS")),1,0),,)</f>
        <v>0</v>
      </c>
      <c r="G27" s="123"/>
      <c r="H27" s="123">
        <f ca="1">SUM(IF(IFERROR(FIND("--",INDIRECT(ADDRESS(10,5,,,"MATCHS"))),FALSE),RIGHT(INDIRECT(ADDRESS(10,5,,,"MATCHS")), FIND("--",INDIRECT(ADDRESS(10,5,,,"MATCHS")),1)),INDIRECT(ADDRESS(10,5,,,"MATCHS"))),,,IF(IFERROR(FIND("--",INDIRECT(ADDRESS(48,3,,,"MATCHS"))),FALSE),RIGHT(INDIRECT(ADDRESS(48,3,,,"MATCHS")), FIND("--",INDIRECT(ADDRESS(48,3,,,"MATCHS")),1)),INDIRECT(ADDRESS(48,3,,,"MATCHS"))),,,,IF(IFERROR(FIND("--",INDIRECT(ADDRESS(86,3,,,"MATCHS"))),FALSE),RIGHT(INDIRECT(ADDRESS(86,3,,,"MATCHS")), FIND("--",INDIRECT(ADDRESS(86,3,,,"MATCHS")),1)),INDIRECT(ADDRESS(86,3,,,"MATCHS"))),,,IF(IFERROR(FIND("--",INDIRECT(ADDRESS(123,3,,,"MATCHS"))),FALSE),RIGHT(INDIRECT(ADDRESS(123,3,,,"MATCHS")), FIND("--",INDIRECT(ADDRESS(123,3,,,"MATCHS")),1)),INDIRECT(ADDRESS(123,3,,,"MATCHS"))),,,IF(IFERROR(FIND("--",INDIRECT(ADDRESS(160,3,,,"MATCHS"))),FALSE),RIGHT(INDIRECT(ADDRESS(160,3,,,"MATCHS")), FIND("--",INDIRECT(ADDRESS(160,3,,,"MATCHS")),1)),INDIRECT(ADDRESS(160,3,,,"MATCHS"))),,,IF(IFERROR(FIND("--",INDIRECT(ADDRESS(197,3,,,"MATCHS"))),FALSE),RIGHT(INDIRECT(ADDRESS(197,3,,,"MATCHS")), FIND("--",INDIRECT(ADDRESS(197,3,,,"MATCHS")),1)),INDIRECT(ADDRESS(197,3,,,"MATCHS"))),,IF(IFERROR(FIND("--",INDIRECT(ADDRESS(221,3,,,"MATCHS"))),FALSE),RIGHT(INDIRECT(ADDRESS(221,3,,,"MATCHS")), FIND("--",INDIRECT(ADDRESS(221,3,,,"MATCHS")),1)),INDIRECT(ADDRESS(221,3,,,"MATCHS"))),,)</f>
        <v>0</v>
      </c>
      <c r="I27" s="123">
        <f ca="1">SUM(IF(IFERROR(FIND("--",INDIRECT(ADDRESS(10,3,,,"MATCHS"))),FALSE),RIGHT(INDIRECT(ADDRESS(10,3,,,"MATCHS")), FIND("--",INDIRECT(ADDRESS(10,3,,,"MATCHS")),1)),INDIRECT(ADDRESS(10,3,,,"MATCHS"))),,,IF(IFERROR(FIND("--",INDIRECT(ADDRESS(48,5,,,"MATCHS"))),FALSE),RIGHT(INDIRECT(ADDRESS(48,5,,,"MATCHS")), FIND("--",INDIRECT(ADDRESS(48,5,,,"MATCHS")),1)),INDIRECT(ADDRESS(48,5,,,"MATCHS"))),,,,IF(IFERROR(FIND("--",INDIRECT(ADDRESS(86,5,,,"MATCHS"))),FALSE),RIGHT(INDIRECT(ADDRESS(86,5,,,"MATCHS")), FIND("--",INDIRECT(ADDRESS(86,5,,,"MATCHS")),1)),INDIRECT(ADDRESS(86,5,,,"MATCHS"))),,,IF(IFERROR(FIND("--",INDIRECT(ADDRESS(123,5,,,"MATCHS"))),FALSE),RIGHT(INDIRECT(ADDRESS(123,5,,,"MATCHS")), FIND("--",INDIRECT(ADDRESS(123,5,,,"MATCHS")),1)),INDIRECT(ADDRESS(123,5,,,"MATCHS"))),,,IF(IFERROR(FIND("--",INDIRECT(ADDRESS(160,5,,,"MATCHS"))),FALSE),RIGHT(INDIRECT(ADDRESS(160,5,,,"MATCHS")), FIND("--",INDIRECT(ADDRESS(160,5,,,"MATCHS")),1)),INDIRECT(ADDRESS(160,5,,,"MATCHS"))),,,IF(IFERROR(FIND("--",INDIRECT(ADDRESS(197,5,,,"MATCHS"))),FALSE),RIGHT(INDIRECT(ADDRESS(197,5,,,"MATCHS")), FIND("--",INDIRECT(ADDRESS(197,5,,,"MATCHS")),1)),INDIRECT(ADDRESS(197,5,,,"MATCHS"))),,IF(IFERROR(FIND("--",INDIRECT(ADDRESS(221,5,,,"MATCHS"))),FALSE),RIGHT(INDIRECT(ADDRESS(221,5,,,"MATCHS")), FIND("--",INDIRECT(ADDRESS(221,5,,,"MATCHS")),1)),INDIRECT(ADDRESS(221,5,,,"MATCHS"))),,)</f>
        <v>0</v>
      </c>
      <c r="J27" s="123">
        <f ca="1">H27 - I27</f>
        <v>0</v>
      </c>
      <c r="K27" s="123">
        <v>0</v>
      </c>
      <c r="L27" s="123">
        <v>2</v>
      </c>
      <c r="M27" s="123"/>
      <c r="N27" s="115" t="str">
        <f>M27 &amp; "DM"</f>
        <v>DM</v>
      </c>
    </row>
    <row r="28" spans="1:14" ht="15.75" x14ac:dyDescent="0.25">
      <c r="A28" s="122"/>
      <c r="B28" s="123">
        <v>3</v>
      </c>
      <c r="C28" s="123" t="s">
        <v>86</v>
      </c>
      <c r="D28" s="123" t="str">
        <f>INSCRIPTS!C22</f>
        <v>3C</v>
      </c>
      <c r="E28" s="132">
        <f ca="1">SUM(IF(INDIRECT(ADDRESS(11,3,,,"MATCHS"))&gt;INDIRECT(ADDRESS(11,5,,,"MATCHS")),1,0),,,IF(INDIRECT(ADDRESS(47,5,,,"MATCHS"))&gt;INDIRECT(ADDRESS(47,3,,,"MATCHS")),1,0),,,,IF(INDIRECT(ADDRESS(86,5,,,"MATCHS"))&gt;INDIRECT(ADDRESS(86,3,,,"MATCHS")),1,0),,,IF(INDIRECT(ADDRESS(124,3,,,"MATCHS"))&gt;INDIRECT(ADDRESS(124,5,,,"MATCHS")),1,0),,,IF(INDIRECT(ADDRESS(161,3,,,"MATCHS"))&gt;INDIRECT(ADDRESS(161,5,,,"MATCHS")),1,0),,,IF(INDIRECT(ADDRESS(198,3,,,"MATCHS"))&gt;INDIRECT(ADDRESS(198,5,,,"MATCHS")),1,0),,IF(INDIRECT(ADDRESS(222,3,,,"MATCHS"))&gt;INDIRECT(ADDRESS(222,5,,,"MATCHS")),1,0),,) + 0.01 * K28</f>
        <v>0</v>
      </c>
      <c r="F28" s="123">
        <f ca="1">SUM(IF(INDIRECT(ADDRESS(11,3,,,"MATCHS"))&lt;INDIRECT(ADDRESS(11,5,,,"MATCHS")),1,0),,,IF(INDIRECT(ADDRESS(47,5,,,"MATCHS"))&lt;INDIRECT(ADDRESS(47,3,,,"MATCHS")),1,0),,,,IF(INDIRECT(ADDRESS(86,5,,,"MATCHS"))&lt;INDIRECT(ADDRESS(86,3,,,"MATCHS")),1,0),,,IF(INDIRECT(ADDRESS(124,3,,,"MATCHS"))&lt;INDIRECT(ADDRESS(124,5,,,"MATCHS")),1,0),,,IF(INDIRECT(ADDRESS(161,3,,,"MATCHS"))&lt;INDIRECT(ADDRESS(161,5,,,"MATCHS")),1,0),,,IF(INDIRECT(ADDRESS(198,3,,,"MATCHS"))&lt;INDIRECT(ADDRESS(198,5,,,"MATCHS")),1,0),,IF(INDIRECT(ADDRESS(222,3,,,"MATCHS"))&lt;INDIRECT(ADDRESS(222,5,,,"MATCHS")),1,0),,)</f>
        <v>0</v>
      </c>
      <c r="G28" s="123"/>
      <c r="H28" s="123">
        <f ca="1">SUM(IF(IFERROR(FIND("--",INDIRECT(ADDRESS(11,3,,,"MATCHS"))),FALSE),RIGHT(INDIRECT(ADDRESS(11,3,,,"MATCHS")), FIND("--",INDIRECT(ADDRESS(11,3,,,"MATCHS")),1)),INDIRECT(ADDRESS(11,3,,,"MATCHS"))),,,IF(IFERROR(FIND("--",INDIRECT(ADDRESS(47,5,,,"MATCHS"))),FALSE),RIGHT(INDIRECT(ADDRESS(47,5,,,"MATCHS")), FIND("--",INDIRECT(ADDRESS(47,5,,,"MATCHS")),1)),INDIRECT(ADDRESS(47,5,,,"MATCHS"))),,,,IF(IFERROR(FIND("--",INDIRECT(ADDRESS(86,5,,,"MATCHS"))),FALSE),RIGHT(INDIRECT(ADDRESS(86,5,,,"MATCHS")), FIND("--",INDIRECT(ADDRESS(86,5,,,"MATCHS")),1)),INDIRECT(ADDRESS(86,5,,,"MATCHS"))),,,IF(IFERROR(FIND("--",INDIRECT(ADDRESS(124,3,,,"MATCHS"))),FALSE),RIGHT(INDIRECT(ADDRESS(124,3,,,"MATCHS")), FIND("--",INDIRECT(ADDRESS(124,3,,,"MATCHS")),1)),INDIRECT(ADDRESS(124,3,,,"MATCHS"))),,,IF(IFERROR(FIND("--",INDIRECT(ADDRESS(161,3,,,"MATCHS"))),FALSE),RIGHT(INDIRECT(ADDRESS(161,3,,,"MATCHS")), FIND("--",INDIRECT(ADDRESS(161,3,,,"MATCHS")),1)),INDIRECT(ADDRESS(161,3,,,"MATCHS"))),,,IF(IFERROR(FIND("--",INDIRECT(ADDRESS(198,3,,,"MATCHS"))),FALSE),RIGHT(INDIRECT(ADDRESS(198,3,,,"MATCHS")), FIND("--",INDIRECT(ADDRESS(198,3,,,"MATCHS")),1)),INDIRECT(ADDRESS(198,3,,,"MATCHS"))),,IF(IFERROR(FIND("--",INDIRECT(ADDRESS(222,3,,,"MATCHS"))),FALSE),RIGHT(INDIRECT(ADDRESS(222,3,,,"MATCHS")), FIND("--",INDIRECT(ADDRESS(222,3,,,"MATCHS")),1)),INDIRECT(ADDRESS(222,3,,,"MATCHS"))),,)</f>
        <v>0</v>
      </c>
      <c r="I28" s="123">
        <f ca="1">SUM(IF(IFERROR(FIND("--",INDIRECT(ADDRESS(11,5,,,"MATCHS"))),FALSE),RIGHT(INDIRECT(ADDRESS(11,5,,,"MATCHS")), FIND("--",INDIRECT(ADDRESS(11,5,,,"MATCHS")),1)),INDIRECT(ADDRESS(11,5,,,"MATCHS"))),,,IF(IFERROR(FIND("--",INDIRECT(ADDRESS(47,3,,,"MATCHS"))),FALSE),RIGHT(INDIRECT(ADDRESS(47,3,,,"MATCHS")), FIND("--",INDIRECT(ADDRESS(47,3,,,"MATCHS")),1)),INDIRECT(ADDRESS(47,3,,,"MATCHS"))),,,,IF(IFERROR(FIND("--",INDIRECT(ADDRESS(86,3,,,"MATCHS"))),FALSE),RIGHT(INDIRECT(ADDRESS(86,3,,,"MATCHS")), FIND("--",INDIRECT(ADDRESS(86,3,,,"MATCHS")),1)),INDIRECT(ADDRESS(86,3,,,"MATCHS"))),,,IF(IFERROR(FIND("--",INDIRECT(ADDRESS(124,5,,,"MATCHS"))),FALSE),RIGHT(INDIRECT(ADDRESS(124,5,,,"MATCHS")), FIND("--",INDIRECT(ADDRESS(124,5,,,"MATCHS")),1)),INDIRECT(ADDRESS(124,5,,,"MATCHS"))),,,IF(IFERROR(FIND("--",INDIRECT(ADDRESS(161,5,,,"MATCHS"))),FALSE),RIGHT(INDIRECT(ADDRESS(161,5,,,"MATCHS")), FIND("--",INDIRECT(ADDRESS(161,5,,,"MATCHS")),1)),INDIRECT(ADDRESS(161,5,,,"MATCHS"))),,,IF(IFERROR(FIND("--",INDIRECT(ADDRESS(198,5,,,"MATCHS"))),FALSE),RIGHT(INDIRECT(ADDRESS(198,5,,,"MATCHS")), FIND("--",INDIRECT(ADDRESS(198,5,,,"MATCHS")),1)),INDIRECT(ADDRESS(198,5,,,"MATCHS"))),,IF(IFERROR(FIND("--",INDIRECT(ADDRESS(222,5,,,"MATCHS"))),FALSE),RIGHT(INDIRECT(ADDRESS(222,5,,,"MATCHS")), FIND("--",INDIRECT(ADDRESS(222,5,,,"MATCHS")),1)),INDIRECT(ADDRESS(222,5,,,"MATCHS"))),,)</f>
        <v>0</v>
      </c>
      <c r="J28" s="123">
        <f ca="1">H28 - I28</f>
        <v>0</v>
      </c>
      <c r="K28" s="123">
        <v>0</v>
      </c>
      <c r="L28" s="123">
        <v>3</v>
      </c>
      <c r="M28" s="123"/>
      <c r="N28" s="115" t="str">
        <f>M28 &amp; "DM"</f>
        <v>DM</v>
      </c>
    </row>
    <row r="29" spans="1:14" ht="15.75" x14ac:dyDescent="0.25">
      <c r="A29" s="122"/>
      <c r="B29" s="123">
        <v>4</v>
      </c>
      <c r="C29" s="123" t="s">
        <v>87</v>
      </c>
      <c r="D29" s="123" t="str">
        <f>INSCRIPTS!C23</f>
        <v>4C</v>
      </c>
      <c r="E29" s="132">
        <f ca="1">SUM(IF(INDIRECT(ADDRESS(11,5,,,"MATCHS"))&gt;INDIRECT(ADDRESS(11,3,,,"MATCHS")),1,0),,,IF(INDIRECT(ADDRESS(48,5,,,"MATCHS"))&gt;INDIRECT(ADDRESS(48,3,,,"MATCHS")),1,0),,,IF(INDIRECT(ADDRESS(84,5,,,"MATCHS"))&gt;INDIRECT(ADDRESS(84,3,,,"MATCHS")),1,0),,,,IF(INDIRECT(ADDRESS(125,3,,,"MATCHS"))&gt;INDIRECT(ADDRESS(125,5,,,"MATCHS")),1,0),,,IF(INDIRECT(ADDRESS(162,3,,,"MATCHS"))&gt;INDIRECT(ADDRESS(162,5,,,"MATCHS")),1,0),,,IF(INDIRECT(ADDRESS(199,3,,,"MATCHS"))&gt;INDIRECT(ADDRESS(199,5,,,"MATCHS")),1,0),,IF(INDIRECT(ADDRESS(223,3,,,"MATCHS"))&gt;INDIRECT(ADDRESS(223,5,,,"MATCHS")),1,0),,) + 0.01 * K29</f>
        <v>0</v>
      </c>
      <c r="F29" s="123">
        <f ca="1">SUM(IF(INDIRECT(ADDRESS(11,5,,,"MATCHS"))&lt;INDIRECT(ADDRESS(11,3,,,"MATCHS")),1,0),,,IF(INDIRECT(ADDRESS(48,5,,,"MATCHS"))&lt;INDIRECT(ADDRESS(48,3,,,"MATCHS")),1,0),,,IF(INDIRECT(ADDRESS(84,5,,,"MATCHS"))&lt;INDIRECT(ADDRESS(84,3,,,"MATCHS")),1,0),,,,IF(INDIRECT(ADDRESS(125,3,,,"MATCHS"))&lt;INDIRECT(ADDRESS(125,5,,,"MATCHS")),1,0),,,IF(INDIRECT(ADDRESS(162,3,,,"MATCHS"))&lt;INDIRECT(ADDRESS(162,5,,,"MATCHS")),1,0),,,IF(INDIRECT(ADDRESS(199,3,,,"MATCHS"))&lt;INDIRECT(ADDRESS(199,5,,,"MATCHS")),1,0),,IF(INDIRECT(ADDRESS(223,3,,,"MATCHS"))&lt;INDIRECT(ADDRESS(223,5,,,"MATCHS")),1,0),,)</f>
        <v>0</v>
      </c>
      <c r="G29" s="123"/>
      <c r="H29" s="123">
        <f ca="1">SUM(IF(IFERROR(FIND("--",INDIRECT(ADDRESS(11,5,,,"MATCHS"))),FALSE),RIGHT(INDIRECT(ADDRESS(11,5,,,"MATCHS")), FIND("--",INDIRECT(ADDRESS(11,5,,,"MATCHS")),1)),INDIRECT(ADDRESS(11,5,,,"MATCHS"))),,,IF(IFERROR(FIND("--",INDIRECT(ADDRESS(48,5,,,"MATCHS"))),FALSE),RIGHT(INDIRECT(ADDRESS(48,5,,,"MATCHS")), FIND("--",INDIRECT(ADDRESS(48,5,,,"MATCHS")),1)),INDIRECT(ADDRESS(48,5,,,"MATCHS"))),,,IF(IFERROR(FIND("--",INDIRECT(ADDRESS(84,5,,,"MATCHS"))),FALSE),RIGHT(INDIRECT(ADDRESS(84,5,,,"MATCHS")), FIND("--",INDIRECT(ADDRESS(84,5,,,"MATCHS")),1)),INDIRECT(ADDRESS(84,5,,,"MATCHS"))),,,,IF(IFERROR(FIND("--",INDIRECT(ADDRESS(125,3,,,"MATCHS"))),FALSE),RIGHT(INDIRECT(ADDRESS(125,3,,,"MATCHS")), FIND("--",INDIRECT(ADDRESS(125,3,,,"MATCHS")),1)),INDIRECT(ADDRESS(125,3,,,"MATCHS"))),,,IF(IFERROR(FIND("--",INDIRECT(ADDRESS(162,3,,,"MATCHS"))),FALSE),RIGHT(INDIRECT(ADDRESS(162,3,,,"MATCHS")), FIND("--",INDIRECT(ADDRESS(162,3,,,"MATCHS")),1)),INDIRECT(ADDRESS(162,3,,,"MATCHS"))),,,IF(IFERROR(FIND("--",INDIRECT(ADDRESS(199,3,,,"MATCHS"))),FALSE),RIGHT(INDIRECT(ADDRESS(199,3,,,"MATCHS")), FIND("--",INDIRECT(ADDRESS(199,3,,,"MATCHS")),1)),INDIRECT(ADDRESS(199,3,,,"MATCHS"))),,IF(IFERROR(FIND("--",INDIRECT(ADDRESS(223,3,,,"MATCHS"))),FALSE),RIGHT(INDIRECT(ADDRESS(223,3,,,"MATCHS")), FIND("--",INDIRECT(ADDRESS(223,3,,,"MATCHS")),1)),INDIRECT(ADDRESS(223,3,,,"MATCHS"))),,)</f>
        <v>0</v>
      </c>
      <c r="I29" s="123">
        <f ca="1">SUM(IF(IFERROR(FIND("--",INDIRECT(ADDRESS(11,3,,,"MATCHS"))),FALSE),RIGHT(INDIRECT(ADDRESS(11,3,,,"MATCHS")), FIND("--",INDIRECT(ADDRESS(11,3,,,"MATCHS")),1)),INDIRECT(ADDRESS(11,3,,,"MATCHS"))),,,IF(IFERROR(FIND("--",INDIRECT(ADDRESS(48,3,,,"MATCHS"))),FALSE),RIGHT(INDIRECT(ADDRESS(48,3,,,"MATCHS")), FIND("--",INDIRECT(ADDRESS(48,3,,,"MATCHS")),1)),INDIRECT(ADDRESS(48,3,,,"MATCHS"))),,,IF(IFERROR(FIND("--",INDIRECT(ADDRESS(84,3,,,"MATCHS"))),FALSE),RIGHT(INDIRECT(ADDRESS(84,3,,,"MATCHS")), FIND("--",INDIRECT(ADDRESS(84,3,,,"MATCHS")),1)),INDIRECT(ADDRESS(84,3,,,"MATCHS"))),,,,IF(IFERROR(FIND("--",INDIRECT(ADDRESS(125,5,,,"MATCHS"))),FALSE),RIGHT(INDIRECT(ADDRESS(125,5,,,"MATCHS")), FIND("--",INDIRECT(ADDRESS(125,5,,,"MATCHS")),1)),INDIRECT(ADDRESS(125,5,,,"MATCHS"))),,,IF(IFERROR(FIND("--",INDIRECT(ADDRESS(162,5,,,"MATCHS"))),FALSE),RIGHT(INDIRECT(ADDRESS(162,5,,,"MATCHS")), FIND("--",INDIRECT(ADDRESS(162,5,,,"MATCHS")),1)),INDIRECT(ADDRESS(162,5,,,"MATCHS"))),,,IF(IFERROR(FIND("--",INDIRECT(ADDRESS(199,5,,,"MATCHS"))),FALSE),RIGHT(INDIRECT(ADDRESS(199,5,,,"MATCHS")), FIND("--",INDIRECT(ADDRESS(199,5,,,"MATCHS")),1)),INDIRECT(ADDRESS(199,5,,,"MATCHS"))),,IF(IFERROR(FIND("--",INDIRECT(ADDRESS(223,5,,,"MATCHS"))),FALSE),RIGHT(INDIRECT(ADDRESS(223,5,,,"MATCHS")), FIND("--",INDIRECT(ADDRESS(223,5,,,"MATCHS")),1)),INDIRECT(ADDRESS(223,5,,,"MATCHS"))),,)</f>
        <v>0</v>
      </c>
      <c r="J29" s="123">
        <f ca="1">H29 - I29</f>
        <v>0</v>
      </c>
      <c r="K29" s="123">
        <v>0</v>
      </c>
      <c r="L29" s="123">
        <v>4</v>
      </c>
      <c r="M29" s="123"/>
      <c r="N29" s="115" t="str">
        <f>M29 &amp; "DM"</f>
        <v>DM</v>
      </c>
    </row>
    <row r="30" spans="1:14" ht="15.75" x14ac:dyDescent="0.25">
      <c r="A30" s="122"/>
      <c r="B30" s="123">
        <v>5</v>
      </c>
      <c r="C30" s="123" t="s">
        <v>88</v>
      </c>
      <c r="D30" s="123" t="str">
        <f>INSCRIPTS!C24</f>
        <v>5C</v>
      </c>
      <c r="E30" s="132">
        <f ca="1">SUM(IF(INDIRECT(ADDRESS(12,3,,,"MATCHS"))&gt;INDIRECT(ADDRESS(12,5,,,"MATCHS")),1,0),,,,IF(INDIRECT(ADDRESS(50,3,,,"MATCHS"))&gt;INDIRECT(ADDRESS(50,5,,,"MATCHS")),1,0),,,IF(INDIRECT(ADDRESS(87,3,,,"MATCHS"))&gt;INDIRECT(ADDRESS(87,5,,,"MATCHS")),1,0),,,IF(INDIRECT(ADDRESS(122,5,,,"MATCHS"))&gt;INDIRECT(ADDRESS(122,3,,,"MATCHS")),1,0),,,IF(INDIRECT(ADDRESS(160,5,,,"MATCHS"))&gt;INDIRECT(ADDRESS(160,3,,,"MATCHS")),1,0),,,IF(INDIRECT(ADDRESS(198,5,,,"MATCHS"))&gt;INDIRECT(ADDRESS(198,3,,,"MATCHS")),1,0),,IF(INDIRECT(ADDRESS(223,5,,,"MATCHS"))&gt;INDIRECT(ADDRESS(223,3,,,"MATCHS")),1,0),,) + 0.01 * K30</f>
        <v>0</v>
      </c>
      <c r="F30" s="123">
        <f ca="1">SUM(IF(INDIRECT(ADDRESS(12,3,,,"MATCHS"))&lt;INDIRECT(ADDRESS(12,5,,,"MATCHS")),1,0),,,,IF(INDIRECT(ADDRESS(50,3,,,"MATCHS"))&lt;INDIRECT(ADDRESS(50,5,,,"MATCHS")),1,0),,,IF(INDIRECT(ADDRESS(87,3,,,"MATCHS"))&lt;INDIRECT(ADDRESS(87,5,,,"MATCHS")),1,0),,,IF(INDIRECT(ADDRESS(122,5,,,"MATCHS"))&lt;INDIRECT(ADDRESS(122,3,,,"MATCHS")),1,0),,,IF(INDIRECT(ADDRESS(160,5,,,"MATCHS"))&lt;INDIRECT(ADDRESS(160,3,,,"MATCHS")),1,0),,,IF(INDIRECT(ADDRESS(198,5,,,"MATCHS"))&lt;INDIRECT(ADDRESS(198,3,,,"MATCHS")),1,0),,IF(INDIRECT(ADDRESS(223,5,,,"MATCHS"))&lt;INDIRECT(ADDRESS(223,3,,,"MATCHS")),1,0),,)</f>
        <v>0</v>
      </c>
      <c r="G30" s="123"/>
      <c r="H30" s="123">
        <f ca="1">SUM(IF(IFERROR(FIND("--",INDIRECT(ADDRESS(12,3,,,"MATCHS"))),FALSE),RIGHT(INDIRECT(ADDRESS(12,3,,,"MATCHS")), FIND("--",INDIRECT(ADDRESS(12,3,,,"MATCHS")),1)),INDIRECT(ADDRESS(12,3,,,"MATCHS"))),,,,IF(IFERROR(FIND("--",INDIRECT(ADDRESS(50,3,,,"MATCHS"))),FALSE),RIGHT(INDIRECT(ADDRESS(50,3,,,"MATCHS")), FIND("--",INDIRECT(ADDRESS(50,3,,,"MATCHS")),1)),INDIRECT(ADDRESS(50,3,,,"MATCHS"))),,,IF(IFERROR(FIND("--",INDIRECT(ADDRESS(87,3,,,"MATCHS"))),FALSE),RIGHT(INDIRECT(ADDRESS(87,3,,,"MATCHS")), FIND("--",INDIRECT(ADDRESS(87,3,,,"MATCHS")),1)),INDIRECT(ADDRESS(87,3,,,"MATCHS"))),,,IF(IFERROR(FIND("--",INDIRECT(ADDRESS(122,5,,,"MATCHS"))),FALSE),RIGHT(INDIRECT(ADDRESS(122,5,,,"MATCHS")), FIND("--",INDIRECT(ADDRESS(122,5,,,"MATCHS")),1)),INDIRECT(ADDRESS(122,5,,,"MATCHS"))),,,IF(IFERROR(FIND("--",INDIRECT(ADDRESS(160,5,,,"MATCHS"))),FALSE),RIGHT(INDIRECT(ADDRESS(160,5,,,"MATCHS")), FIND("--",INDIRECT(ADDRESS(160,5,,,"MATCHS")),1)),INDIRECT(ADDRESS(160,5,,,"MATCHS"))),,,IF(IFERROR(FIND("--",INDIRECT(ADDRESS(198,5,,,"MATCHS"))),FALSE),RIGHT(INDIRECT(ADDRESS(198,5,,,"MATCHS")), FIND("--",INDIRECT(ADDRESS(198,5,,,"MATCHS")),1)),INDIRECT(ADDRESS(198,5,,,"MATCHS"))),,IF(IFERROR(FIND("--",INDIRECT(ADDRESS(223,5,,,"MATCHS"))),FALSE),RIGHT(INDIRECT(ADDRESS(223,5,,,"MATCHS")), FIND("--",INDIRECT(ADDRESS(223,5,,,"MATCHS")),1)),INDIRECT(ADDRESS(223,5,,,"MATCHS"))),,)</f>
        <v>0</v>
      </c>
      <c r="I30" s="123">
        <f ca="1">SUM(IF(IFERROR(FIND("--",INDIRECT(ADDRESS(12,5,,,"MATCHS"))),FALSE),RIGHT(INDIRECT(ADDRESS(12,5,,,"MATCHS")), FIND("--",INDIRECT(ADDRESS(12,5,,,"MATCHS")),1)),INDIRECT(ADDRESS(12,5,,,"MATCHS"))),,,,IF(IFERROR(FIND("--",INDIRECT(ADDRESS(50,5,,,"MATCHS"))),FALSE),RIGHT(INDIRECT(ADDRESS(50,5,,,"MATCHS")), FIND("--",INDIRECT(ADDRESS(50,5,,,"MATCHS")),1)),INDIRECT(ADDRESS(50,5,,,"MATCHS"))),,,IF(IFERROR(FIND("--",INDIRECT(ADDRESS(87,5,,,"MATCHS"))),FALSE),RIGHT(INDIRECT(ADDRESS(87,5,,,"MATCHS")), FIND("--",INDIRECT(ADDRESS(87,5,,,"MATCHS")),1)),INDIRECT(ADDRESS(87,5,,,"MATCHS"))),,,IF(IFERROR(FIND("--",INDIRECT(ADDRESS(122,3,,,"MATCHS"))),FALSE),RIGHT(INDIRECT(ADDRESS(122,3,,,"MATCHS")), FIND("--",INDIRECT(ADDRESS(122,3,,,"MATCHS")),1)),INDIRECT(ADDRESS(122,3,,,"MATCHS"))),,,IF(IFERROR(FIND("--",INDIRECT(ADDRESS(160,3,,,"MATCHS"))),FALSE),RIGHT(INDIRECT(ADDRESS(160,3,,,"MATCHS")), FIND("--",INDIRECT(ADDRESS(160,3,,,"MATCHS")),1)),INDIRECT(ADDRESS(160,3,,,"MATCHS"))),,,IF(IFERROR(FIND("--",INDIRECT(ADDRESS(198,3,,,"MATCHS"))),FALSE),RIGHT(INDIRECT(ADDRESS(198,3,,,"MATCHS")), FIND("--",INDIRECT(ADDRESS(198,3,,,"MATCHS")),1)),INDIRECT(ADDRESS(198,3,,,"MATCHS"))),,IF(IFERROR(FIND("--",INDIRECT(ADDRESS(223,3,,,"MATCHS"))),FALSE),RIGHT(INDIRECT(ADDRESS(223,3,,,"MATCHS")), FIND("--",INDIRECT(ADDRESS(223,3,,,"MATCHS")),1)),INDIRECT(ADDRESS(223,3,,,"MATCHS"))),,)</f>
        <v>0</v>
      </c>
      <c r="J30" s="123">
        <f ca="1">H30 - I30</f>
        <v>0</v>
      </c>
      <c r="K30" s="123">
        <v>0</v>
      </c>
      <c r="L30" s="123">
        <v>5</v>
      </c>
      <c r="M30" s="123"/>
      <c r="N30" s="115" t="str">
        <f>M30 &amp; "DM"</f>
        <v>DM</v>
      </c>
    </row>
    <row r="31" spans="1:14" ht="15.75" x14ac:dyDescent="0.25">
      <c r="A31" s="122"/>
      <c r="B31" s="123">
        <v>6</v>
      </c>
      <c r="C31" s="123" t="s">
        <v>89</v>
      </c>
      <c r="D31" s="123" t="str">
        <f>INSCRIPTS!C25</f>
        <v>6C</v>
      </c>
      <c r="E31" s="132">
        <f ca="1">SUM(IF(INDIRECT(ADDRESS(12,5,,,"MATCHS"))&gt;INDIRECT(ADDRESS(12,3,,,"MATCHS")),1,0),,,,IF(INDIRECT(ADDRESS(51,3,,,"MATCHS"))&gt;INDIRECT(ADDRESS(51,5,,,"MATCHS")),1,0),,,IF(INDIRECT(ADDRESS(88,3,,,"MATCHS"))&gt;INDIRECT(ADDRESS(88,5,,,"MATCHS")),1,0),,,IF(INDIRECT(ADDRESS(123,5,,,"MATCHS"))&gt;INDIRECT(ADDRESS(123,3,,,"MATCHS")),1,0),,,IF(INDIRECT(ADDRESS(159,5,,,"MATCHS"))&gt;INDIRECT(ADDRESS(159,3,,,"MATCHS")),1,0),,,IF(INDIRECT(ADDRESS(199,5,,,"MATCHS"))&gt;INDIRECT(ADDRESS(199,3,,,"MATCHS")),1,0),,IF(INDIRECT(ADDRESS(222,5,,,"MATCHS"))&gt;INDIRECT(ADDRESS(222,3,,,"MATCHS")),1,0),,) + 0.01 * K31</f>
        <v>0</v>
      </c>
      <c r="F31" s="123">
        <f ca="1">SUM(IF(INDIRECT(ADDRESS(12,5,,,"MATCHS"))&lt;INDIRECT(ADDRESS(12,3,,,"MATCHS")),1,0),,,,IF(INDIRECT(ADDRESS(51,3,,,"MATCHS"))&lt;INDIRECT(ADDRESS(51,5,,,"MATCHS")),1,0),,,IF(INDIRECT(ADDRESS(88,3,,,"MATCHS"))&lt;INDIRECT(ADDRESS(88,5,,,"MATCHS")),1,0),,,IF(INDIRECT(ADDRESS(123,5,,,"MATCHS"))&lt;INDIRECT(ADDRESS(123,3,,,"MATCHS")),1,0),,,IF(INDIRECT(ADDRESS(159,5,,,"MATCHS"))&lt;INDIRECT(ADDRESS(159,3,,,"MATCHS")),1,0),,,IF(INDIRECT(ADDRESS(199,5,,,"MATCHS"))&lt;INDIRECT(ADDRESS(199,3,,,"MATCHS")),1,0),,IF(INDIRECT(ADDRESS(222,5,,,"MATCHS"))&lt;INDIRECT(ADDRESS(222,3,,,"MATCHS")),1,0),,)</f>
        <v>0</v>
      </c>
      <c r="G31" s="123"/>
      <c r="H31" s="123">
        <f ca="1">SUM(IF(IFERROR(FIND("--",INDIRECT(ADDRESS(12,5,,,"MATCHS"))),FALSE),RIGHT(INDIRECT(ADDRESS(12,5,,,"MATCHS")), FIND("--",INDIRECT(ADDRESS(12,5,,,"MATCHS")),1)),INDIRECT(ADDRESS(12,5,,,"MATCHS"))),,,,IF(IFERROR(FIND("--",INDIRECT(ADDRESS(51,3,,,"MATCHS"))),FALSE),RIGHT(INDIRECT(ADDRESS(51,3,,,"MATCHS")), FIND("--",INDIRECT(ADDRESS(51,3,,,"MATCHS")),1)),INDIRECT(ADDRESS(51,3,,,"MATCHS"))),,,IF(IFERROR(FIND("--",INDIRECT(ADDRESS(88,3,,,"MATCHS"))),FALSE),RIGHT(INDIRECT(ADDRESS(88,3,,,"MATCHS")), FIND("--",INDIRECT(ADDRESS(88,3,,,"MATCHS")),1)),INDIRECT(ADDRESS(88,3,,,"MATCHS"))),,,IF(IFERROR(FIND("--",INDIRECT(ADDRESS(123,5,,,"MATCHS"))),FALSE),RIGHT(INDIRECT(ADDRESS(123,5,,,"MATCHS")), FIND("--",INDIRECT(ADDRESS(123,5,,,"MATCHS")),1)),INDIRECT(ADDRESS(123,5,,,"MATCHS"))),,,IF(IFERROR(FIND("--",INDIRECT(ADDRESS(159,5,,,"MATCHS"))),FALSE),RIGHT(INDIRECT(ADDRESS(159,5,,,"MATCHS")), FIND("--",INDIRECT(ADDRESS(159,5,,,"MATCHS")),1)),INDIRECT(ADDRESS(159,5,,,"MATCHS"))),,,IF(IFERROR(FIND("--",INDIRECT(ADDRESS(199,5,,,"MATCHS"))),FALSE),RIGHT(INDIRECT(ADDRESS(199,5,,,"MATCHS")), FIND("--",INDIRECT(ADDRESS(199,5,,,"MATCHS")),1)),INDIRECT(ADDRESS(199,5,,,"MATCHS"))),,IF(IFERROR(FIND("--",INDIRECT(ADDRESS(222,5,,,"MATCHS"))),FALSE),RIGHT(INDIRECT(ADDRESS(222,5,,,"MATCHS")), FIND("--",INDIRECT(ADDRESS(222,5,,,"MATCHS")),1)),INDIRECT(ADDRESS(222,5,,,"MATCHS"))),,)</f>
        <v>0</v>
      </c>
      <c r="I31" s="123">
        <f ca="1">SUM(IF(IFERROR(FIND("--",INDIRECT(ADDRESS(12,3,,,"MATCHS"))),FALSE),RIGHT(INDIRECT(ADDRESS(12,3,,,"MATCHS")), FIND("--",INDIRECT(ADDRESS(12,3,,,"MATCHS")),1)),INDIRECT(ADDRESS(12,3,,,"MATCHS"))),,,,IF(IFERROR(FIND("--",INDIRECT(ADDRESS(51,5,,,"MATCHS"))),FALSE),RIGHT(INDIRECT(ADDRESS(51,5,,,"MATCHS")), FIND("--",INDIRECT(ADDRESS(51,5,,,"MATCHS")),1)),INDIRECT(ADDRESS(51,5,,,"MATCHS"))),,,IF(IFERROR(FIND("--",INDIRECT(ADDRESS(88,5,,,"MATCHS"))),FALSE),RIGHT(INDIRECT(ADDRESS(88,5,,,"MATCHS")), FIND("--",INDIRECT(ADDRESS(88,5,,,"MATCHS")),1)),INDIRECT(ADDRESS(88,5,,,"MATCHS"))),,,IF(IFERROR(FIND("--",INDIRECT(ADDRESS(123,3,,,"MATCHS"))),FALSE),RIGHT(INDIRECT(ADDRESS(123,3,,,"MATCHS")), FIND("--",INDIRECT(ADDRESS(123,3,,,"MATCHS")),1)),INDIRECT(ADDRESS(123,3,,,"MATCHS"))),,,IF(IFERROR(FIND("--",INDIRECT(ADDRESS(159,3,,,"MATCHS"))),FALSE),RIGHT(INDIRECT(ADDRESS(159,3,,,"MATCHS")), FIND("--",INDIRECT(ADDRESS(159,3,,,"MATCHS")),1)),INDIRECT(ADDRESS(159,3,,,"MATCHS"))),,,IF(IFERROR(FIND("--",INDIRECT(ADDRESS(199,3,,,"MATCHS"))),FALSE),RIGHT(INDIRECT(ADDRESS(199,3,,,"MATCHS")), FIND("--",INDIRECT(ADDRESS(199,3,,,"MATCHS")),1)),INDIRECT(ADDRESS(199,3,,,"MATCHS"))),,IF(IFERROR(FIND("--",INDIRECT(ADDRESS(222,3,,,"MATCHS"))),FALSE),RIGHT(INDIRECT(ADDRESS(222,3,,,"MATCHS")), FIND("--",INDIRECT(ADDRESS(222,3,,,"MATCHS")),1)),INDIRECT(ADDRESS(222,3,,,"MATCHS"))),,)</f>
        <v>0</v>
      </c>
      <c r="J31" s="123">
        <f ca="1">H31 - I31</f>
        <v>0</v>
      </c>
      <c r="K31" s="123">
        <v>0</v>
      </c>
      <c r="L31" s="123">
        <v>6</v>
      </c>
      <c r="M31" s="123"/>
      <c r="N31" s="115" t="str">
        <f>M31 &amp; "DM"</f>
        <v>DM</v>
      </c>
    </row>
    <row r="32" spans="1:14" ht="15.75" x14ac:dyDescent="0.25">
      <c r="A32" s="122"/>
      <c r="B32" s="123">
        <v>7</v>
      </c>
      <c r="C32" s="123" t="s">
        <v>90</v>
      </c>
      <c r="D32" s="123" t="str">
        <f>INSCRIPTS!C26</f>
        <v>7C</v>
      </c>
      <c r="E32" s="132">
        <f ca="1">SUM(,IF(INDIRECT(ADDRESS(14,3,,,"MATCHS"))&gt;INDIRECT(ADDRESS(14,5,,,"MATCHS")),1,0),,,IF(INDIRECT(ADDRESS(50,5,,,"MATCHS"))&gt;INDIRECT(ADDRESS(50,3,,,"MATCHS")),1,0),,,IF(INDIRECT(ADDRESS(88,5,,,"MATCHS"))&gt;INDIRECT(ADDRESS(88,3,,,"MATCHS")),1,0),,,IF(INDIRECT(ADDRESS(124,5,,,"MATCHS"))&gt;INDIRECT(ADDRESS(124,3,,,"MATCHS")),1,0),,,IF(INDIRECT(ADDRESS(162,5,,,"MATCHS"))&gt;INDIRECT(ADDRESS(162,3,,,"MATCHS")),1,0),,,IF(INDIRECT(ADDRESS(196,5,,,"MATCHS"))&gt;INDIRECT(ADDRESS(196,3,,,"MATCHS")),1,0),,IF(INDIRECT(ADDRESS(221,5,,,"MATCHS"))&gt;INDIRECT(ADDRESS(221,3,,,"MATCHS")),1,0),,) + 0.01 * K32</f>
        <v>0</v>
      </c>
      <c r="F32" s="123">
        <f ca="1">SUM(,IF(INDIRECT(ADDRESS(14,3,,,"MATCHS"))&lt;INDIRECT(ADDRESS(14,5,,,"MATCHS")),1,0),,,IF(INDIRECT(ADDRESS(50,5,,,"MATCHS"))&lt;INDIRECT(ADDRESS(50,3,,,"MATCHS")),1,0),,,IF(INDIRECT(ADDRESS(88,5,,,"MATCHS"))&lt;INDIRECT(ADDRESS(88,3,,,"MATCHS")),1,0),,,IF(INDIRECT(ADDRESS(124,5,,,"MATCHS"))&lt;INDIRECT(ADDRESS(124,3,,,"MATCHS")),1,0),,,IF(INDIRECT(ADDRESS(162,5,,,"MATCHS"))&lt;INDIRECT(ADDRESS(162,3,,,"MATCHS")),1,0),,,IF(INDIRECT(ADDRESS(196,5,,,"MATCHS"))&lt;INDIRECT(ADDRESS(196,3,,,"MATCHS")),1,0),,IF(INDIRECT(ADDRESS(221,5,,,"MATCHS"))&lt;INDIRECT(ADDRESS(221,3,,,"MATCHS")),1,0),,)</f>
        <v>0</v>
      </c>
      <c r="G32" s="123"/>
      <c r="H32" s="123">
        <f ca="1">SUM(,IF(IFERROR(FIND("--",INDIRECT(ADDRESS(14,3,,,"MATCHS"))),FALSE),RIGHT(INDIRECT(ADDRESS(14,3,,,"MATCHS")), FIND("--",INDIRECT(ADDRESS(14,3,,,"MATCHS")),1)),INDIRECT(ADDRESS(14,3,,,"MATCHS"))),,,IF(IFERROR(FIND("--",INDIRECT(ADDRESS(50,5,,,"MATCHS"))),FALSE),RIGHT(INDIRECT(ADDRESS(50,5,,,"MATCHS")), FIND("--",INDIRECT(ADDRESS(50,5,,,"MATCHS")),1)),INDIRECT(ADDRESS(50,5,,,"MATCHS"))),,,IF(IFERROR(FIND("--",INDIRECT(ADDRESS(88,5,,,"MATCHS"))),FALSE),RIGHT(INDIRECT(ADDRESS(88,5,,,"MATCHS")), FIND("--",INDIRECT(ADDRESS(88,5,,,"MATCHS")),1)),INDIRECT(ADDRESS(88,5,,,"MATCHS"))),,,IF(IFERROR(FIND("--",INDIRECT(ADDRESS(124,5,,,"MATCHS"))),FALSE),RIGHT(INDIRECT(ADDRESS(124,5,,,"MATCHS")), FIND("--",INDIRECT(ADDRESS(124,5,,,"MATCHS")),1)),INDIRECT(ADDRESS(124,5,,,"MATCHS"))),,,IF(IFERROR(FIND("--",INDIRECT(ADDRESS(162,5,,,"MATCHS"))),FALSE),RIGHT(INDIRECT(ADDRESS(162,5,,,"MATCHS")), FIND("--",INDIRECT(ADDRESS(162,5,,,"MATCHS")),1)),INDIRECT(ADDRESS(162,5,,,"MATCHS"))),,,IF(IFERROR(FIND("--",INDIRECT(ADDRESS(196,5,,,"MATCHS"))),FALSE),RIGHT(INDIRECT(ADDRESS(196,5,,,"MATCHS")), FIND("--",INDIRECT(ADDRESS(196,5,,,"MATCHS")),1)),INDIRECT(ADDRESS(196,5,,,"MATCHS"))),,IF(IFERROR(FIND("--",INDIRECT(ADDRESS(221,5,,,"MATCHS"))),FALSE),RIGHT(INDIRECT(ADDRESS(221,5,,,"MATCHS")), FIND("--",INDIRECT(ADDRESS(221,5,,,"MATCHS")),1)),INDIRECT(ADDRESS(221,5,,,"MATCHS"))),,)</f>
        <v>0</v>
      </c>
      <c r="I32" s="123">
        <f ca="1">SUM(,IF(IFERROR(FIND("--",INDIRECT(ADDRESS(14,5,,,"MATCHS"))),FALSE),RIGHT(INDIRECT(ADDRESS(14,5,,,"MATCHS")), FIND("--",INDIRECT(ADDRESS(14,5,,,"MATCHS")),1)),INDIRECT(ADDRESS(14,5,,,"MATCHS"))),,,IF(IFERROR(FIND("--",INDIRECT(ADDRESS(50,3,,,"MATCHS"))),FALSE),RIGHT(INDIRECT(ADDRESS(50,3,,,"MATCHS")), FIND("--",INDIRECT(ADDRESS(50,3,,,"MATCHS")),1)),INDIRECT(ADDRESS(50,3,,,"MATCHS"))),,,IF(IFERROR(FIND("--",INDIRECT(ADDRESS(88,3,,,"MATCHS"))),FALSE),RIGHT(INDIRECT(ADDRESS(88,3,,,"MATCHS")), FIND("--",INDIRECT(ADDRESS(88,3,,,"MATCHS")),1)),INDIRECT(ADDRESS(88,3,,,"MATCHS"))),,,IF(IFERROR(FIND("--",INDIRECT(ADDRESS(124,3,,,"MATCHS"))),FALSE),RIGHT(INDIRECT(ADDRESS(124,3,,,"MATCHS")), FIND("--",INDIRECT(ADDRESS(124,3,,,"MATCHS")),1)),INDIRECT(ADDRESS(124,3,,,"MATCHS"))),,,IF(IFERROR(FIND("--",INDIRECT(ADDRESS(162,3,,,"MATCHS"))),FALSE),RIGHT(INDIRECT(ADDRESS(162,3,,,"MATCHS")), FIND("--",INDIRECT(ADDRESS(162,3,,,"MATCHS")),1)),INDIRECT(ADDRESS(162,3,,,"MATCHS"))),,,IF(IFERROR(FIND("--",INDIRECT(ADDRESS(196,3,,,"MATCHS"))),FALSE),RIGHT(INDIRECT(ADDRESS(196,3,,,"MATCHS")), FIND("--",INDIRECT(ADDRESS(196,3,,,"MATCHS")),1)),INDIRECT(ADDRESS(196,3,,,"MATCHS"))),,IF(IFERROR(FIND("--",INDIRECT(ADDRESS(221,3,,,"MATCHS"))),FALSE),RIGHT(INDIRECT(ADDRESS(221,3,,,"MATCHS")), FIND("--",INDIRECT(ADDRESS(221,3,,,"MATCHS")),1)),INDIRECT(ADDRESS(221,3,,,"MATCHS"))),,)</f>
        <v>0</v>
      </c>
      <c r="J32" s="123">
        <f ca="1">H32 - I32</f>
        <v>0</v>
      </c>
      <c r="K32" s="123">
        <v>0</v>
      </c>
      <c r="L32" s="123">
        <v>7</v>
      </c>
      <c r="M32" s="123"/>
      <c r="N32" s="115" t="str">
        <f>M32 &amp; "DM"</f>
        <v>DM</v>
      </c>
    </row>
    <row r="33" spans="1:14" ht="15.75" x14ac:dyDescent="0.25">
      <c r="A33" s="122"/>
      <c r="B33" s="123">
        <v>8</v>
      </c>
      <c r="C33" s="123" t="s">
        <v>91</v>
      </c>
      <c r="D33" s="123" t="str">
        <f>INSCRIPTS!C27</f>
        <v>8C</v>
      </c>
      <c r="E33" s="132">
        <f ca="1">SUM(,IF(INDIRECT(ADDRESS(14,5,,,"MATCHS"))&gt;INDIRECT(ADDRESS(14,3,,,"MATCHS")),1,0),,,IF(INDIRECT(ADDRESS(51,5,,,"MATCHS"))&gt;INDIRECT(ADDRESS(51,3,,,"MATCHS")),1,0),,,IF(INDIRECT(ADDRESS(87,5,,,"MATCHS"))&gt;INDIRECT(ADDRESS(87,3,,,"MATCHS")),1,0),,,IF(INDIRECT(ADDRESS(125,5,,,"MATCHS"))&gt;INDIRECT(ADDRESS(125,3,,,"MATCHS")),1,0),,,IF(INDIRECT(ADDRESS(161,5,,,"MATCHS"))&gt;INDIRECT(ADDRESS(161,3,,,"MATCHS")),1,0),,,IF(INDIRECT(ADDRESS(197,5,,,"MATCHS"))&gt;INDIRECT(ADDRESS(197,3,,,"MATCHS")),1,0),,IF(INDIRECT(ADDRESS(220,5,,,"MATCHS"))&gt;INDIRECT(ADDRESS(220,3,,,"MATCHS")),1,0),,) + 0.01 * K33</f>
        <v>0</v>
      </c>
      <c r="F33" s="123">
        <f ca="1">SUM(,IF(INDIRECT(ADDRESS(14,5,,,"MATCHS"))&lt;INDIRECT(ADDRESS(14,3,,,"MATCHS")),1,0),,,IF(INDIRECT(ADDRESS(51,5,,,"MATCHS"))&lt;INDIRECT(ADDRESS(51,3,,,"MATCHS")),1,0),,,IF(INDIRECT(ADDRESS(87,5,,,"MATCHS"))&lt;INDIRECT(ADDRESS(87,3,,,"MATCHS")),1,0),,,IF(INDIRECT(ADDRESS(125,5,,,"MATCHS"))&lt;INDIRECT(ADDRESS(125,3,,,"MATCHS")),1,0),,,IF(INDIRECT(ADDRESS(161,5,,,"MATCHS"))&lt;INDIRECT(ADDRESS(161,3,,,"MATCHS")),1,0),,,IF(INDIRECT(ADDRESS(197,5,,,"MATCHS"))&lt;INDIRECT(ADDRESS(197,3,,,"MATCHS")),1,0),,IF(INDIRECT(ADDRESS(220,5,,,"MATCHS"))&lt;INDIRECT(ADDRESS(220,3,,,"MATCHS")),1,0),,)</f>
        <v>0</v>
      </c>
      <c r="G33" s="123"/>
      <c r="H33" s="123">
        <f ca="1">SUM(,IF(IFERROR(FIND("--",INDIRECT(ADDRESS(14,5,,,"MATCHS"))),FALSE),RIGHT(INDIRECT(ADDRESS(14,5,,,"MATCHS")), FIND("--",INDIRECT(ADDRESS(14,5,,,"MATCHS")),1)),INDIRECT(ADDRESS(14,5,,,"MATCHS"))),,,IF(IFERROR(FIND("--",INDIRECT(ADDRESS(51,5,,,"MATCHS"))),FALSE),RIGHT(INDIRECT(ADDRESS(51,5,,,"MATCHS")), FIND("--",INDIRECT(ADDRESS(51,5,,,"MATCHS")),1)),INDIRECT(ADDRESS(51,5,,,"MATCHS"))),,,IF(IFERROR(FIND("--",INDIRECT(ADDRESS(87,5,,,"MATCHS"))),FALSE),RIGHT(INDIRECT(ADDRESS(87,5,,,"MATCHS")), FIND("--",INDIRECT(ADDRESS(87,5,,,"MATCHS")),1)),INDIRECT(ADDRESS(87,5,,,"MATCHS"))),,,IF(IFERROR(FIND("--",INDIRECT(ADDRESS(125,5,,,"MATCHS"))),FALSE),RIGHT(INDIRECT(ADDRESS(125,5,,,"MATCHS")), FIND("--",INDIRECT(ADDRESS(125,5,,,"MATCHS")),1)),INDIRECT(ADDRESS(125,5,,,"MATCHS"))),,,IF(IFERROR(FIND("--",INDIRECT(ADDRESS(161,5,,,"MATCHS"))),FALSE),RIGHT(INDIRECT(ADDRESS(161,5,,,"MATCHS")), FIND("--",INDIRECT(ADDRESS(161,5,,,"MATCHS")),1)),INDIRECT(ADDRESS(161,5,,,"MATCHS"))),,,IF(IFERROR(FIND("--",INDIRECT(ADDRESS(197,5,,,"MATCHS"))),FALSE),RIGHT(INDIRECT(ADDRESS(197,5,,,"MATCHS")), FIND("--",INDIRECT(ADDRESS(197,5,,,"MATCHS")),1)),INDIRECT(ADDRESS(197,5,,,"MATCHS"))),,IF(IFERROR(FIND("--",INDIRECT(ADDRESS(220,5,,,"MATCHS"))),FALSE),RIGHT(INDIRECT(ADDRESS(220,5,,,"MATCHS")), FIND("--",INDIRECT(ADDRESS(220,5,,,"MATCHS")),1)),INDIRECT(ADDRESS(220,5,,,"MATCHS"))),,)</f>
        <v>0</v>
      </c>
      <c r="I33" s="123">
        <f ca="1">SUM(,IF(IFERROR(FIND("--",INDIRECT(ADDRESS(14,3,,,"MATCHS"))),FALSE),RIGHT(INDIRECT(ADDRESS(14,3,,,"MATCHS")), FIND("--",INDIRECT(ADDRESS(14,3,,,"MATCHS")),1)),INDIRECT(ADDRESS(14,3,,,"MATCHS"))),,,IF(IFERROR(FIND("--",INDIRECT(ADDRESS(51,3,,,"MATCHS"))),FALSE),RIGHT(INDIRECT(ADDRESS(51,3,,,"MATCHS")), FIND("--",INDIRECT(ADDRESS(51,3,,,"MATCHS")),1)),INDIRECT(ADDRESS(51,3,,,"MATCHS"))),,,IF(IFERROR(FIND("--",INDIRECT(ADDRESS(87,3,,,"MATCHS"))),FALSE),RIGHT(INDIRECT(ADDRESS(87,3,,,"MATCHS")), FIND("--",INDIRECT(ADDRESS(87,3,,,"MATCHS")),1)),INDIRECT(ADDRESS(87,3,,,"MATCHS"))),,,IF(IFERROR(FIND("--",INDIRECT(ADDRESS(125,3,,,"MATCHS"))),FALSE),RIGHT(INDIRECT(ADDRESS(125,3,,,"MATCHS")), FIND("--",INDIRECT(ADDRESS(125,3,,,"MATCHS")),1)),INDIRECT(ADDRESS(125,3,,,"MATCHS"))),,,IF(IFERROR(FIND("--",INDIRECT(ADDRESS(161,3,,,"MATCHS"))),FALSE),RIGHT(INDIRECT(ADDRESS(161,3,,,"MATCHS")), FIND("--",INDIRECT(ADDRESS(161,3,,,"MATCHS")),1)),INDIRECT(ADDRESS(161,3,,,"MATCHS"))),,,IF(IFERROR(FIND("--",INDIRECT(ADDRESS(197,3,,,"MATCHS"))),FALSE),RIGHT(INDIRECT(ADDRESS(197,3,,,"MATCHS")), FIND("--",INDIRECT(ADDRESS(197,3,,,"MATCHS")),1)),INDIRECT(ADDRESS(197,3,,,"MATCHS"))),,IF(IFERROR(FIND("--",INDIRECT(ADDRESS(220,3,,,"MATCHS"))),FALSE),RIGHT(INDIRECT(ADDRESS(220,3,,,"MATCHS")), FIND("--",INDIRECT(ADDRESS(220,3,,,"MATCHS")),1)),INDIRECT(ADDRESS(220,3,,,"MATCHS"))),,)</f>
        <v>0</v>
      </c>
      <c r="J33" s="123">
        <f ca="1">H33 - I33</f>
        <v>0</v>
      </c>
      <c r="K33" s="123">
        <v>0</v>
      </c>
      <c r="L33" s="123">
        <v>8</v>
      </c>
      <c r="M33" s="123"/>
      <c r="N33" s="115" t="str">
        <f>M33 &amp; "DM"</f>
        <v>DM</v>
      </c>
    </row>
    <row r="34" spans="1:14" ht="15.75" thickBot="1" x14ac:dyDescent="0.3"/>
    <row r="35" spans="1:14" ht="30.95" customHeight="1" thickBot="1" x14ac:dyDescent="0.3">
      <c r="C35" s="116" t="s">
        <v>179</v>
      </c>
      <c r="D35" s="116" t="s">
        <v>59</v>
      </c>
      <c r="E35" s="129" t="s">
        <v>180</v>
      </c>
      <c r="F35" s="116" t="s">
        <v>181</v>
      </c>
      <c r="G35" s="116" t="s">
        <v>182</v>
      </c>
      <c r="H35" s="116" t="s">
        <v>183</v>
      </c>
      <c r="I35" s="116" t="s">
        <v>184</v>
      </c>
      <c r="J35" s="116" t="s">
        <v>185</v>
      </c>
      <c r="K35" s="117" t="s">
        <v>186</v>
      </c>
      <c r="L35" s="116" t="s">
        <v>187</v>
      </c>
      <c r="M35" s="117" t="s">
        <v>188</v>
      </c>
    </row>
    <row r="37" spans="1:14" ht="15.75" x14ac:dyDescent="0.25">
      <c r="A37" s="124" t="s">
        <v>65</v>
      </c>
      <c r="B37" s="125">
        <v>1</v>
      </c>
      <c r="C37" s="125" t="s">
        <v>92</v>
      </c>
      <c r="D37" s="125" t="str">
        <f>INSCRIPTS!C29</f>
        <v>1D</v>
      </c>
      <c r="E37" s="133">
        <f ca="1">SUM(,IF(INDIRECT(ADDRESS(15,3,,,"MATCHS"))&gt;INDIRECT(ADDRESS(15,5,,,"MATCHS")),1,0),,,IF(INDIRECT(ADDRESS(52,3,,,"MATCHS"))&gt;INDIRECT(ADDRESS(52,5,,,"MATCHS")),1,0),,,IF(INDIRECT(ADDRESS(89,3,,,"MATCHS"))&gt;INDIRECT(ADDRESS(89,5,,,"MATCHS")),1,0),,,IF(INDIRECT(ADDRESS(126,3,,,"MATCHS"))&gt;INDIRECT(ADDRESS(126,5,,,"MATCHS")),1,0),,,IF(INDIRECT(ADDRESS(163,3,,,"MATCHS"))&gt;INDIRECT(ADDRESS(163,5,,,"MATCHS")),1,0),,,IF(INDIRECT(ADDRESS(200,3,,,"MATCHS"))&gt;INDIRECT(ADDRESS(200,5,,,"MATCHS")),1,0),,IF(INDIRECT(ADDRESS(224,3,,,"MATCHS"))&gt;INDIRECT(ADDRESS(224,5,,,"MATCHS")),1,0),,) + 0.01 * K37</f>
        <v>0</v>
      </c>
      <c r="F37" s="125">
        <f ca="1">SUM(,IF(INDIRECT(ADDRESS(15,3,,,"MATCHS"))&lt;INDIRECT(ADDRESS(15,5,,,"MATCHS")),1,0),,,IF(INDIRECT(ADDRESS(52,3,,,"MATCHS"))&lt;INDIRECT(ADDRESS(52,5,,,"MATCHS")),1,0),,,IF(INDIRECT(ADDRESS(89,3,,,"MATCHS"))&lt;INDIRECT(ADDRESS(89,5,,,"MATCHS")),1,0),,,IF(INDIRECT(ADDRESS(126,3,,,"MATCHS"))&lt;INDIRECT(ADDRESS(126,5,,,"MATCHS")),1,0),,,IF(INDIRECT(ADDRESS(163,3,,,"MATCHS"))&lt;INDIRECT(ADDRESS(163,5,,,"MATCHS")),1,0),,,IF(INDIRECT(ADDRESS(200,3,,,"MATCHS"))&lt;INDIRECT(ADDRESS(200,5,,,"MATCHS")),1,0),,IF(INDIRECT(ADDRESS(224,3,,,"MATCHS"))&lt;INDIRECT(ADDRESS(224,5,,,"MATCHS")),1,0),,)</f>
        <v>0</v>
      </c>
      <c r="G37" s="125"/>
      <c r="H37" s="125">
        <f ca="1">SUM(,IF(IFERROR(FIND("--",INDIRECT(ADDRESS(15,3,,,"MATCHS"))),FALSE),RIGHT(INDIRECT(ADDRESS(15,3,,,"MATCHS")), FIND("--",INDIRECT(ADDRESS(15,3,,,"MATCHS")),1)),INDIRECT(ADDRESS(15,3,,,"MATCHS"))),,,IF(IFERROR(FIND("--",INDIRECT(ADDRESS(52,3,,,"MATCHS"))),FALSE),RIGHT(INDIRECT(ADDRESS(52,3,,,"MATCHS")), FIND("--",INDIRECT(ADDRESS(52,3,,,"MATCHS")),1)),INDIRECT(ADDRESS(52,3,,,"MATCHS"))),,,IF(IFERROR(FIND("--",INDIRECT(ADDRESS(89,3,,,"MATCHS"))),FALSE),RIGHT(INDIRECT(ADDRESS(89,3,,,"MATCHS")), FIND("--",INDIRECT(ADDRESS(89,3,,,"MATCHS")),1)),INDIRECT(ADDRESS(89,3,,,"MATCHS"))),,,IF(IFERROR(FIND("--",INDIRECT(ADDRESS(126,3,,,"MATCHS"))),FALSE),RIGHT(INDIRECT(ADDRESS(126,3,,,"MATCHS")), FIND("--",INDIRECT(ADDRESS(126,3,,,"MATCHS")),1)),INDIRECT(ADDRESS(126,3,,,"MATCHS"))),,,IF(IFERROR(FIND("--",INDIRECT(ADDRESS(163,3,,,"MATCHS"))),FALSE),RIGHT(INDIRECT(ADDRESS(163,3,,,"MATCHS")), FIND("--",INDIRECT(ADDRESS(163,3,,,"MATCHS")),1)),INDIRECT(ADDRESS(163,3,,,"MATCHS"))),,,IF(IFERROR(FIND("--",INDIRECT(ADDRESS(200,3,,,"MATCHS"))),FALSE),RIGHT(INDIRECT(ADDRESS(200,3,,,"MATCHS")), FIND("--",INDIRECT(ADDRESS(200,3,,,"MATCHS")),1)),INDIRECT(ADDRESS(200,3,,,"MATCHS"))),,IF(IFERROR(FIND("--",INDIRECT(ADDRESS(224,3,,,"MATCHS"))),FALSE),RIGHT(INDIRECT(ADDRESS(224,3,,,"MATCHS")), FIND("--",INDIRECT(ADDRESS(224,3,,,"MATCHS")),1)),INDIRECT(ADDRESS(224,3,,,"MATCHS"))),,)</f>
        <v>0</v>
      </c>
      <c r="I37" s="125">
        <f ca="1">SUM(,IF(IFERROR(FIND("--",INDIRECT(ADDRESS(15,5,,,"MATCHS"))),FALSE),RIGHT(INDIRECT(ADDRESS(15,5,,,"MATCHS")), FIND("--",INDIRECT(ADDRESS(15,5,,,"MATCHS")),1)),INDIRECT(ADDRESS(15,5,,,"MATCHS"))),,,IF(IFERROR(FIND("--",INDIRECT(ADDRESS(52,5,,,"MATCHS"))),FALSE),RIGHT(INDIRECT(ADDRESS(52,5,,,"MATCHS")), FIND("--",INDIRECT(ADDRESS(52,5,,,"MATCHS")),1)),INDIRECT(ADDRESS(52,5,,,"MATCHS"))),,,IF(IFERROR(FIND("--",INDIRECT(ADDRESS(89,5,,,"MATCHS"))),FALSE),RIGHT(INDIRECT(ADDRESS(89,5,,,"MATCHS")), FIND("--",INDIRECT(ADDRESS(89,5,,,"MATCHS")),1)),INDIRECT(ADDRESS(89,5,,,"MATCHS"))),,,IF(IFERROR(FIND("--",INDIRECT(ADDRESS(126,5,,,"MATCHS"))),FALSE),RIGHT(INDIRECT(ADDRESS(126,5,,,"MATCHS")), FIND("--",INDIRECT(ADDRESS(126,5,,,"MATCHS")),1)),INDIRECT(ADDRESS(126,5,,,"MATCHS"))),,,IF(IFERROR(FIND("--",INDIRECT(ADDRESS(163,5,,,"MATCHS"))),FALSE),RIGHT(INDIRECT(ADDRESS(163,5,,,"MATCHS")), FIND("--",INDIRECT(ADDRESS(163,5,,,"MATCHS")),1)),INDIRECT(ADDRESS(163,5,,,"MATCHS"))),,,IF(IFERROR(FIND("--",INDIRECT(ADDRESS(200,5,,,"MATCHS"))),FALSE),RIGHT(INDIRECT(ADDRESS(200,5,,,"MATCHS")), FIND("--",INDIRECT(ADDRESS(200,5,,,"MATCHS")),1)),INDIRECT(ADDRESS(200,5,,,"MATCHS"))),,IF(IFERROR(FIND("--",INDIRECT(ADDRESS(224,5,,,"MATCHS"))),FALSE),RIGHT(INDIRECT(ADDRESS(224,5,,,"MATCHS")), FIND("--",INDIRECT(ADDRESS(224,5,,,"MATCHS")),1)),INDIRECT(ADDRESS(224,5,,,"MATCHS"))),,)</f>
        <v>0</v>
      </c>
      <c r="J37" s="125">
        <f ca="1">H37 - I37</f>
        <v>0</v>
      </c>
      <c r="K37" s="125">
        <v>0</v>
      </c>
      <c r="L37" s="125">
        <v>1</v>
      </c>
      <c r="M37" s="125"/>
      <c r="N37" s="115" t="str">
        <f>M37 &amp; "DM"</f>
        <v>DM</v>
      </c>
    </row>
    <row r="38" spans="1:14" ht="15.75" x14ac:dyDescent="0.25">
      <c r="A38" s="124"/>
      <c r="B38" s="125">
        <v>2</v>
      </c>
      <c r="C38" s="125" t="s">
        <v>93</v>
      </c>
      <c r="D38" s="125" t="str">
        <f>INSCRIPTS!C30</f>
        <v>2D</v>
      </c>
      <c r="E38" s="133">
        <f ca="1">SUM(,IF(INDIRECT(ADDRESS(15,5,,,"MATCHS"))&gt;INDIRECT(ADDRESS(15,3,,,"MATCHS")),1,0),,,IF(INDIRECT(ADDRESS(53,3,,,"MATCHS"))&gt;INDIRECT(ADDRESS(53,5,,,"MATCHS")),1,0),,,IF(INDIRECT(ADDRESS(90,3,,,"MATCHS"))&gt;INDIRECT(ADDRESS(90,5,,,"MATCHS")),1,0),,,IF(INDIRECT(ADDRESS(127,3,,,"MATCHS"))&gt;INDIRECT(ADDRESS(127,5,,,"MATCHS")),1,0),,,IF(INDIRECT(ADDRESS(164,3,,,"MATCHS"))&gt;INDIRECT(ADDRESS(164,5,,,"MATCHS")),1,0),,,IF(INDIRECT(ADDRESS(201,3,,,"MATCHS"))&gt;INDIRECT(ADDRESS(201,5,,,"MATCHS")),1,0),,IF(INDIRECT(ADDRESS(225,3,,,"MATCHS"))&gt;INDIRECT(ADDRESS(225,5,,,"MATCHS")),1,0),,) + 0.01 * K38</f>
        <v>0</v>
      </c>
      <c r="F38" s="125">
        <f ca="1">SUM(,IF(INDIRECT(ADDRESS(15,5,,,"MATCHS"))&lt;INDIRECT(ADDRESS(15,3,,,"MATCHS")),1,0),,,IF(INDIRECT(ADDRESS(53,3,,,"MATCHS"))&lt;INDIRECT(ADDRESS(53,5,,,"MATCHS")),1,0),,,IF(INDIRECT(ADDRESS(90,3,,,"MATCHS"))&lt;INDIRECT(ADDRESS(90,5,,,"MATCHS")),1,0),,,IF(INDIRECT(ADDRESS(127,3,,,"MATCHS"))&lt;INDIRECT(ADDRESS(127,5,,,"MATCHS")),1,0),,,IF(INDIRECT(ADDRESS(164,3,,,"MATCHS"))&lt;INDIRECT(ADDRESS(164,5,,,"MATCHS")),1,0),,,IF(INDIRECT(ADDRESS(201,3,,,"MATCHS"))&lt;INDIRECT(ADDRESS(201,5,,,"MATCHS")),1,0),,IF(INDIRECT(ADDRESS(225,3,,,"MATCHS"))&lt;INDIRECT(ADDRESS(225,5,,,"MATCHS")),1,0),,)</f>
        <v>0</v>
      </c>
      <c r="G38" s="125"/>
      <c r="H38" s="125">
        <f ca="1">SUM(,IF(IFERROR(FIND("--",INDIRECT(ADDRESS(15,5,,,"MATCHS"))),FALSE),RIGHT(INDIRECT(ADDRESS(15,5,,,"MATCHS")), FIND("--",INDIRECT(ADDRESS(15,5,,,"MATCHS")),1)),INDIRECT(ADDRESS(15,5,,,"MATCHS"))),,,IF(IFERROR(FIND("--",INDIRECT(ADDRESS(53,3,,,"MATCHS"))),FALSE),RIGHT(INDIRECT(ADDRESS(53,3,,,"MATCHS")), FIND("--",INDIRECT(ADDRESS(53,3,,,"MATCHS")),1)),INDIRECT(ADDRESS(53,3,,,"MATCHS"))),,,IF(IFERROR(FIND("--",INDIRECT(ADDRESS(90,3,,,"MATCHS"))),FALSE),RIGHT(INDIRECT(ADDRESS(90,3,,,"MATCHS")), FIND("--",INDIRECT(ADDRESS(90,3,,,"MATCHS")),1)),INDIRECT(ADDRESS(90,3,,,"MATCHS"))),,,IF(IFERROR(FIND("--",INDIRECT(ADDRESS(127,3,,,"MATCHS"))),FALSE),RIGHT(INDIRECT(ADDRESS(127,3,,,"MATCHS")), FIND("--",INDIRECT(ADDRESS(127,3,,,"MATCHS")),1)),INDIRECT(ADDRESS(127,3,,,"MATCHS"))),,,IF(IFERROR(FIND("--",INDIRECT(ADDRESS(164,3,,,"MATCHS"))),FALSE),RIGHT(INDIRECT(ADDRESS(164,3,,,"MATCHS")), FIND("--",INDIRECT(ADDRESS(164,3,,,"MATCHS")),1)),INDIRECT(ADDRESS(164,3,,,"MATCHS"))),,,IF(IFERROR(FIND("--",INDIRECT(ADDRESS(201,3,,,"MATCHS"))),FALSE),RIGHT(INDIRECT(ADDRESS(201,3,,,"MATCHS")), FIND("--",INDIRECT(ADDRESS(201,3,,,"MATCHS")),1)),INDIRECT(ADDRESS(201,3,,,"MATCHS"))),,IF(IFERROR(FIND("--",INDIRECT(ADDRESS(225,3,,,"MATCHS"))),FALSE),RIGHT(INDIRECT(ADDRESS(225,3,,,"MATCHS")), FIND("--",INDIRECT(ADDRESS(225,3,,,"MATCHS")),1)),INDIRECT(ADDRESS(225,3,,,"MATCHS"))),,)</f>
        <v>0</v>
      </c>
      <c r="I38" s="125">
        <f ca="1">SUM(,IF(IFERROR(FIND("--",INDIRECT(ADDRESS(15,3,,,"MATCHS"))),FALSE),RIGHT(INDIRECT(ADDRESS(15,3,,,"MATCHS")), FIND("--",INDIRECT(ADDRESS(15,3,,,"MATCHS")),1)),INDIRECT(ADDRESS(15,3,,,"MATCHS"))),,,IF(IFERROR(FIND("--",INDIRECT(ADDRESS(53,5,,,"MATCHS"))),FALSE),RIGHT(INDIRECT(ADDRESS(53,5,,,"MATCHS")), FIND("--",INDIRECT(ADDRESS(53,5,,,"MATCHS")),1)),INDIRECT(ADDRESS(53,5,,,"MATCHS"))),,,IF(IFERROR(FIND("--",INDIRECT(ADDRESS(90,5,,,"MATCHS"))),FALSE),RIGHT(INDIRECT(ADDRESS(90,5,,,"MATCHS")), FIND("--",INDIRECT(ADDRESS(90,5,,,"MATCHS")),1)),INDIRECT(ADDRESS(90,5,,,"MATCHS"))),,,IF(IFERROR(FIND("--",INDIRECT(ADDRESS(127,5,,,"MATCHS"))),FALSE),RIGHT(INDIRECT(ADDRESS(127,5,,,"MATCHS")), FIND("--",INDIRECT(ADDRESS(127,5,,,"MATCHS")),1)),INDIRECT(ADDRESS(127,5,,,"MATCHS"))),,,IF(IFERROR(FIND("--",INDIRECT(ADDRESS(164,5,,,"MATCHS"))),FALSE),RIGHT(INDIRECT(ADDRESS(164,5,,,"MATCHS")), FIND("--",INDIRECT(ADDRESS(164,5,,,"MATCHS")),1)),INDIRECT(ADDRESS(164,5,,,"MATCHS"))),,,IF(IFERROR(FIND("--",INDIRECT(ADDRESS(201,5,,,"MATCHS"))),FALSE),RIGHT(INDIRECT(ADDRESS(201,5,,,"MATCHS")), FIND("--",INDIRECT(ADDRESS(201,5,,,"MATCHS")),1)),INDIRECT(ADDRESS(201,5,,,"MATCHS"))),,IF(IFERROR(FIND("--",INDIRECT(ADDRESS(225,5,,,"MATCHS"))),FALSE),RIGHT(INDIRECT(ADDRESS(225,5,,,"MATCHS")), FIND("--",INDIRECT(ADDRESS(225,5,,,"MATCHS")),1)),INDIRECT(ADDRESS(225,5,,,"MATCHS"))),,)</f>
        <v>0</v>
      </c>
      <c r="J38" s="125">
        <f ca="1">H38 - I38</f>
        <v>0</v>
      </c>
      <c r="K38" s="125">
        <v>0</v>
      </c>
      <c r="L38" s="125">
        <v>2</v>
      </c>
      <c r="M38" s="125"/>
      <c r="N38" s="115" t="str">
        <f>M38 &amp; "DM"</f>
        <v>DM</v>
      </c>
    </row>
    <row r="39" spans="1:14" ht="15.75" x14ac:dyDescent="0.25">
      <c r="A39" s="124"/>
      <c r="B39" s="125">
        <v>3</v>
      </c>
      <c r="C39" s="125" t="s">
        <v>94</v>
      </c>
      <c r="D39" s="125" t="str">
        <f>INSCRIPTS!C31</f>
        <v>3D</v>
      </c>
      <c r="E39" s="133">
        <f ca="1">SUM(,IF(INDIRECT(ADDRESS(16,3,,,"MATCHS"))&gt;INDIRECT(ADDRESS(16,5,,,"MATCHS")),1,0),,,IF(INDIRECT(ADDRESS(52,5,,,"MATCHS"))&gt;INDIRECT(ADDRESS(52,3,,,"MATCHS")),1,0),,,IF(INDIRECT(ADDRESS(90,5,,,"MATCHS"))&gt;INDIRECT(ADDRESS(90,3,,,"MATCHS")),1,0),,,IF(INDIRECT(ADDRESS(128,3,,,"MATCHS"))&gt;INDIRECT(ADDRESS(128,5,,,"MATCHS")),1,0),,,IF(INDIRECT(ADDRESS(165,3,,,"MATCHS"))&gt;INDIRECT(ADDRESS(165,5,,,"MATCHS")),1,0),,,IF(INDIRECT(ADDRESS(202,3,,,"MATCHS"))&gt;INDIRECT(ADDRESS(202,5,,,"MATCHS")),1,0),,IF(INDIRECT(ADDRESS(226,3,,,"MATCHS"))&gt;INDIRECT(ADDRESS(226,5,,,"MATCHS")),1,0),,) + 0.01 * K39</f>
        <v>0</v>
      </c>
      <c r="F39" s="125">
        <f ca="1">SUM(,IF(INDIRECT(ADDRESS(16,3,,,"MATCHS"))&lt;INDIRECT(ADDRESS(16,5,,,"MATCHS")),1,0),,,IF(INDIRECT(ADDRESS(52,5,,,"MATCHS"))&lt;INDIRECT(ADDRESS(52,3,,,"MATCHS")),1,0),,,IF(INDIRECT(ADDRESS(90,5,,,"MATCHS"))&lt;INDIRECT(ADDRESS(90,3,,,"MATCHS")),1,0),,,IF(INDIRECT(ADDRESS(128,3,,,"MATCHS"))&lt;INDIRECT(ADDRESS(128,5,,,"MATCHS")),1,0),,,IF(INDIRECT(ADDRESS(165,3,,,"MATCHS"))&lt;INDIRECT(ADDRESS(165,5,,,"MATCHS")),1,0),,,IF(INDIRECT(ADDRESS(202,3,,,"MATCHS"))&lt;INDIRECT(ADDRESS(202,5,,,"MATCHS")),1,0),,IF(INDIRECT(ADDRESS(226,3,,,"MATCHS"))&lt;INDIRECT(ADDRESS(226,5,,,"MATCHS")),1,0),,)</f>
        <v>0</v>
      </c>
      <c r="G39" s="125"/>
      <c r="H39" s="125">
        <f ca="1">SUM(,IF(IFERROR(FIND("--",INDIRECT(ADDRESS(16,3,,,"MATCHS"))),FALSE),RIGHT(INDIRECT(ADDRESS(16,3,,,"MATCHS")), FIND("--",INDIRECT(ADDRESS(16,3,,,"MATCHS")),1)),INDIRECT(ADDRESS(16,3,,,"MATCHS"))),,,IF(IFERROR(FIND("--",INDIRECT(ADDRESS(52,5,,,"MATCHS"))),FALSE),RIGHT(INDIRECT(ADDRESS(52,5,,,"MATCHS")), FIND("--",INDIRECT(ADDRESS(52,5,,,"MATCHS")),1)),INDIRECT(ADDRESS(52,5,,,"MATCHS"))),,,IF(IFERROR(FIND("--",INDIRECT(ADDRESS(90,5,,,"MATCHS"))),FALSE),RIGHT(INDIRECT(ADDRESS(90,5,,,"MATCHS")), FIND("--",INDIRECT(ADDRESS(90,5,,,"MATCHS")),1)),INDIRECT(ADDRESS(90,5,,,"MATCHS"))),,,IF(IFERROR(FIND("--",INDIRECT(ADDRESS(128,3,,,"MATCHS"))),FALSE),RIGHT(INDIRECT(ADDRESS(128,3,,,"MATCHS")), FIND("--",INDIRECT(ADDRESS(128,3,,,"MATCHS")),1)),INDIRECT(ADDRESS(128,3,,,"MATCHS"))),,,IF(IFERROR(FIND("--",INDIRECT(ADDRESS(165,3,,,"MATCHS"))),FALSE),RIGHT(INDIRECT(ADDRESS(165,3,,,"MATCHS")), FIND("--",INDIRECT(ADDRESS(165,3,,,"MATCHS")),1)),INDIRECT(ADDRESS(165,3,,,"MATCHS"))),,,IF(IFERROR(FIND("--",INDIRECT(ADDRESS(202,3,,,"MATCHS"))),FALSE),RIGHT(INDIRECT(ADDRESS(202,3,,,"MATCHS")), FIND("--",INDIRECT(ADDRESS(202,3,,,"MATCHS")),1)),INDIRECT(ADDRESS(202,3,,,"MATCHS"))),,IF(IFERROR(FIND("--",INDIRECT(ADDRESS(226,3,,,"MATCHS"))),FALSE),RIGHT(INDIRECT(ADDRESS(226,3,,,"MATCHS")), FIND("--",INDIRECT(ADDRESS(226,3,,,"MATCHS")),1)),INDIRECT(ADDRESS(226,3,,,"MATCHS"))),,)</f>
        <v>0</v>
      </c>
      <c r="I39" s="125">
        <f ca="1">SUM(,IF(IFERROR(FIND("--",INDIRECT(ADDRESS(16,5,,,"MATCHS"))),FALSE),RIGHT(INDIRECT(ADDRESS(16,5,,,"MATCHS")), FIND("--",INDIRECT(ADDRESS(16,5,,,"MATCHS")),1)),INDIRECT(ADDRESS(16,5,,,"MATCHS"))),,,IF(IFERROR(FIND("--",INDIRECT(ADDRESS(52,3,,,"MATCHS"))),FALSE),RIGHT(INDIRECT(ADDRESS(52,3,,,"MATCHS")), FIND("--",INDIRECT(ADDRESS(52,3,,,"MATCHS")),1)),INDIRECT(ADDRESS(52,3,,,"MATCHS"))),,,IF(IFERROR(FIND("--",INDIRECT(ADDRESS(90,3,,,"MATCHS"))),FALSE),RIGHT(INDIRECT(ADDRESS(90,3,,,"MATCHS")), FIND("--",INDIRECT(ADDRESS(90,3,,,"MATCHS")),1)),INDIRECT(ADDRESS(90,3,,,"MATCHS"))),,,IF(IFERROR(FIND("--",INDIRECT(ADDRESS(128,5,,,"MATCHS"))),FALSE),RIGHT(INDIRECT(ADDRESS(128,5,,,"MATCHS")), FIND("--",INDIRECT(ADDRESS(128,5,,,"MATCHS")),1)),INDIRECT(ADDRESS(128,5,,,"MATCHS"))),,,IF(IFERROR(FIND("--",INDIRECT(ADDRESS(165,5,,,"MATCHS"))),FALSE),RIGHT(INDIRECT(ADDRESS(165,5,,,"MATCHS")), FIND("--",INDIRECT(ADDRESS(165,5,,,"MATCHS")),1)),INDIRECT(ADDRESS(165,5,,,"MATCHS"))),,,IF(IFERROR(FIND("--",INDIRECT(ADDRESS(202,5,,,"MATCHS"))),FALSE),RIGHT(INDIRECT(ADDRESS(202,5,,,"MATCHS")), FIND("--",INDIRECT(ADDRESS(202,5,,,"MATCHS")),1)),INDIRECT(ADDRESS(202,5,,,"MATCHS"))),,IF(IFERROR(FIND("--",INDIRECT(ADDRESS(226,5,,,"MATCHS"))),FALSE),RIGHT(INDIRECT(ADDRESS(226,5,,,"MATCHS")), FIND("--",INDIRECT(ADDRESS(226,5,,,"MATCHS")),1)),INDIRECT(ADDRESS(226,5,,,"MATCHS"))),,)</f>
        <v>0</v>
      </c>
      <c r="J39" s="125">
        <f ca="1">H39 - I39</f>
        <v>0</v>
      </c>
      <c r="K39" s="125">
        <v>0</v>
      </c>
      <c r="L39" s="125">
        <v>3</v>
      </c>
      <c r="M39" s="125"/>
      <c r="N39" s="115" t="str">
        <f>M39 &amp; "DM"</f>
        <v>DM</v>
      </c>
    </row>
    <row r="40" spans="1:14" ht="15.75" x14ac:dyDescent="0.25">
      <c r="A40" s="124"/>
      <c r="B40" s="125">
        <v>4</v>
      </c>
      <c r="C40" s="125" t="s">
        <v>95</v>
      </c>
      <c r="D40" s="125" t="str">
        <f>INSCRIPTS!C32</f>
        <v>4D</v>
      </c>
      <c r="E40" s="133">
        <f ca="1">SUM(,IF(INDIRECT(ADDRESS(16,5,,,"MATCHS"))&gt;INDIRECT(ADDRESS(16,3,,,"MATCHS")),1,0),,,IF(INDIRECT(ADDRESS(53,5,,,"MATCHS"))&gt;INDIRECT(ADDRESS(53,3,,,"MATCHS")),1,0),,,IF(INDIRECT(ADDRESS(89,5,,,"MATCHS"))&gt;INDIRECT(ADDRESS(89,3,,,"MATCHS")),1,0),,,IF(INDIRECT(ADDRESS(129,3,,,"MATCHS"))&gt;INDIRECT(ADDRESS(129,5,,,"MATCHS")),1,0),,,IF(INDIRECT(ADDRESS(166,3,,,"MATCHS"))&gt;INDIRECT(ADDRESS(166,5,,,"MATCHS")),1,0),,,IF(INDIRECT(ADDRESS(203,3,,,"MATCHS"))&gt;INDIRECT(ADDRESS(203,5,,,"MATCHS")),1,0),,IF(INDIRECT(ADDRESS(227,3,,,"MATCHS"))&gt;INDIRECT(ADDRESS(227,5,,,"MATCHS")),1,0),,) + 0.01 * K40</f>
        <v>0</v>
      </c>
      <c r="F40" s="125">
        <f ca="1">SUM(,IF(INDIRECT(ADDRESS(16,5,,,"MATCHS"))&lt;INDIRECT(ADDRESS(16,3,,,"MATCHS")),1,0),,,IF(INDIRECT(ADDRESS(53,5,,,"MATCHS"))&lt;INDIRECT(ADDRESS(53,3,,,"MATCHS")),1,0),,,IF(INDIRECT(ADDRESS(89,5,,,"MATCHS"))&lt;INDIRECT(ADDRESS(89,3,,,"MATCHS")),1,0),,,IF(INDIRECT(ADDRESS(129,3,,,"MATCHS"))&lt;INDIRECT(ADDRESS(129,5,,,"MATCHS")),1,0),,,IF(INDIRECT(ADDRESS(166,3,,,"MATCHS"))&lt;INDIRECT(ADDRESS(166,5,,,"MATCHS")),1,0),,,IF(INDIRECT(ADDRESS(203,3,,,"MATCHS"))&lt;INDIRECT(ADDRESS(203,5,,,"MATCHS")),1,0),,IF(INDIRECT(ADDRESS(227,3,,,"MATCHS"))&lt;INDIRECT(ADDRESS(227,5,,,"MATCHS")),1,0),,)</f>
        <v>0</v>
      </c>
      <c r="G40" s="125"/>
      <c r="H40" s="125">
        <f ca="1">SUM(,IF(IFERROR(FIND("--",INDIRECT(ADDRESS(16,5,,,"MATCHS"))),FALSE),RIGHT(INDIRECT(ADDRESS(16,5,,,"MATCHS")), FIND("--",INDIRECT(ADDRESS(16,5,,,"MATCHS")),1)),INDIRECT(ADDRESS(16,5,,,"MATCHS"))),,,IF(IFERROR(FIND("--",INDIRECT(ADDRESS(53,5,,,"MATCHS"))),FALSE),RIGHT(INDIRECT(ADDRESS(53,5,,,"MATCHS")), FIND("--",INDIRECT(ADDRESS(53,5,,,"MATCHS")),1)),INDIRECT(ADDRESS(53,5,,,"MATCHS"))),,,IF(IFERROR(FIND("--",INDIRECT(ADDRESS(89,5,,,"MATCHS"))),FALSE),RIGHT(INDIRECT(ADDRESS(89,5,,,"MATCHS")), FIND("--",INDIRECT(ADDRESS(89,5,,,"MATCHS")),1)),INDIRECT(ADDRESS(89,5,,,"MATCHS"))),,,IF(IFERROR(FIND("--",INDIRECT(ADDRESS(129,3,,,"MATCHS"))),FALSE),RIGHT(INDIRECT(ADDRESS(129,3,,,"MATCHS")), FIND("--",INDIRECT(ADDRESS(129,3,,,"MATCHS")),1)),INDIRECT(ADDRESS(129,3,,,"MATCHS"))),,,IF(IFERROR(FIND("--",INDIRECT(ADDRESS(166,3,,,"MATCHS"))),FALSE),RIGHT(INDIRECT(ADDRESS(166,3,,,"MATCHS")), FIND("--",INDIRECT(ADDRESS(166,3,,,"MATCHS")),1)),INDIRECT(ADDRESS(166,3,,,"MATCHS"))),,,IF(IFERROR(FIND("--",INDIRECT(ADDRESS(203,3,,,"MATCHS"))),FALSE),RIGHT(INDIRECT(ADDRESS(203,3,,,"MATCHS")), FIND("--",INDIRECT(ADDRESS(203,3,,,"MATCHS")),1)),INDIRECT(ADDRESS(203,3,,,"MATCHS"))),,IF(IFERROR(FIND("--",INDIRECT(ADDRESS(227,3,,,"MATCHS"))),FALSE),RIGHT(INDIRECT(ADDRESS(227,3,,,"MATCHS")), FIND("--",INDIRECT(ADDRESS(227,3,,,"MATCHS")),1)),INDIRECT(ADDRESS(227,3,,,"MATCHS"))),,)</f>
        <v>0</v>
      </c>
      <c r="I40" s="125">
        <f ca="1">SUM(,IF(IFERROR(FIND("--",INDIRECT(ADDRESS(16,3,,,"MATCHS"))),FALSE),RIGHT(INDIRECT(ADDRESS(16,3,,,"MATCHS")), FIND("--",INDIRECT(ADDRESS(16,3,,,"MATCHS")),1)),INDIRECT(ADDRESS(16,3,,,"MATCHS"))),,,IF(IFERROR(FIND("--",INDIRECT(ADDRESS(53,3,,,"MATCHS"))),FALSE),RIGHT(INDIRECT(ADDRESS(53,3,,,"MATCHS")), FIND("--",INDIRECT(ADDRESS(53,3,,,"MATCHS")),1)),INDIRECT(ADDRESS(53,3,,,"MATCHS"))),,,IF(IFERROR(FIND("--",INDIRECT(ADDRESS(89,3,,,"MATCHS"))),FALSE),RIGHT(INDIRECT(ADDRESS(89,3,,,"MATCHS")), FIND("--",INDIRECT(ADDRESS(89,3,,,"MATCHS")),1)),INDIRECT(ADDRESS(89,3,,,"MATCHS"))),,,IF(IFERROR(FIND("--",INDIRECT(ADDRESS(129,5,,,"MATCHS"))),FALSE),RIGHT(INDIRECT(ADDRESS(129,5,,,"MATCHS")), FIND("--",INDIRECT(ADDRESS(129,5,,,"MATCHS")),1)),INDIRECT(ADDRESS(129,5,,,"MATCHS"))),,,IF(IFERROR(FIND("--",INDIRECT(ADDRESS(166,5,,,"MATCHS"))),FALSE),RIGHT(INDIRECT(ADDRESS(166,5,,,"MATCHS")), FIND("--",INDIRECT(ADDRESS(166,5,,,"MATCHS")),1)),INDIRECT(ADDRESS(166,5,,,"MATCHS"))),,,IF(IFERROR(FIND("--",INDIRECT(ADDRESS(203,5,,,"MATCHS"))),FALSE),RIGHT(INDIRECT(ADDRESS(203,5,,,"MATCHS")), FIND("--",INDIRECT(ADDRESS(203,5,,,"MATCHS")),1)),INDIRECT(ADDRESS(203,5,,,"MATCHS"))),,IF(IFERROR(FIND("--",INDIRECT(ADDRESS(227,5,,,"MATCHS"))),FALSE),RIGHT(INDIRECT(ADDRESS(227,5,,,"MATCHS")), FIND("--",INDIRECT(ADDRESS(227,5,,,"MATCHS")),1)),INDIRECT(ADDRESS(227,5,,,"MATCHS"))),,)</f>
        <v>0</v>
      </c>
      <c r="J40" s="125">
        <f ca="1">H40 - I40</f>
        <v>0</v>
      </c>
      <c r="K40" s="125">
        <v>0</v>
      </c>
      <c r="L40" s="125">
        <v>4</v>
      </c>
      <c r="M40" s="125"/>
      <c r="N40" s="115" t="str">
        <f>M40 &amp; "DM"</f>
        <v>DM</v>
      </c>
    </row>
    <row r="41" spans="1:14" ht="15.75" x14ac:dyDescent="0.25">
      <c r="A41" s="124"/>
      <c r="B41" s="125">
        <v>5</v>
      </c>
      <c r="C41" s="125" t="s">
        <v>96</v>
      </c>
      <c r="D41" s="125" t="str">
        <f>INSCRIPTS!C33</f>
        <v>5D</v>
      </c>
      <c r="E41" s="133">
        <f ca="1">SUM(,IF(INDIRECT(ADDRESS(17,3,,,"MATCHS"))&gt;INDIRECT(ADDRESS(17,5,,,"MATCHS")),1,0),,,IF(INDIRECT(ADDRESS(54,3,,,"MATCHS"))&gt;INDIRECT(ADDRESS(54,5,,,"MATCHS")),1,0),,,IF(INDIRECT(ADDRESS(91,3,,,"MATCHS"))&gt;INDIRECT(ADDRESS(91,5,,,"MATCHS")),1,0),,,IF(INDIRECT(ADDRESS(126,5,,,"MATCHS"))&gt;INDIRECT(ADDRESS(126,3,,,"MATCHS")),1,0),,,IF(INDIRECT(ADDRESS(164,5,,,"MATCHS"))&gt;INDIRECT(ADDRESS(164,3,,,"MATCHS")),1,0),,,IF(INDIRECT(ADDRESS(202,5,,,"MATCHS"))&gt;INDIRECT(ADDRESS(202,3,,,"MATCHS")),1,0),,IF(INDIRECT(ADDRESS(227,5,,,"MATCHS"))&gt;INDIRECT(ADDRESS(227,3,,,"MATCHS")),1,0),,) + 0.01 * K41</f>
        <v>0</v>
      </c>
      <c r="F41" s="125">
        <f ca="1">SUM(,IF(INDIRECT(ADDRESS(17,3,,,"MATCHS"))&lt;INDIRECT(ADDRESS(17,5,,,"MATCHS")),1,0),,,IF(INDIRECT(ADDRESS(54,3,,,"MATCHS"))&lt;INDIRECT(ADDRESS(54,5,,,"MATCHS")),1,0),,,IF(INDIRECT(ADDRESS(91,3,,,"MATCHS"))&lt;INDIRECT(ADDRESS(91,5,,,"MATCHS")),1,0),,,IF(INDIRECT(ADDRESS(126,5,,,"MATCHS"))&lt;INDIRECT(ADDRESS(126,3,,,"MATCHS")),1,0),,,IF(INDIRECT(ADDRESS(164,5,,,"MATCHS"))&lt;INDIRECT(ADDRESS(164,3,,,"MATCHS")),1,0),,,IF(INDIRECT(ADDRESS(202,5,,,"MATCHS"))&lt;INDIRECT(ADDRESS(202,3,,,"MATCHS")),1,0),,IF(INDIRECT(ADDRESS(227,5,,,"MATCHS"))&lt;INDIRECT(ADDRESS(227,3,,,"MATCHS")),1,0),,)</f>
        <v>0</v>
      </c>
      <c r="G41" s="125"/>
      <c r="H41" s="125">
        <f ca="1">SUM(,IF(IFERROR(FIND("--",INDIRECT(ADDRESS(17,3,,,"MATCHS"))),FALSE),RIGHT(INDIRECT(ADDRESS(17,3,,,"MATCHS")), FIND("--",INDIRECT(ADDRESS(17,3,,,"MATCHS")),1)),INDIRECT(ADDRESS(17,3,,,"MATCHS"))),,,IF(IFERROR(FIND("--",INDIRECT(ADDRESS(54,3,,,"MATCHS"))),FALSE),RIGHT(INDIRECT(ADDRESS(54,3,,,"MATCHS")), FIND("--",INDIRECT(ADDRESS(54,3,,,"MATCHS")),1)),INDIRECT(ADDRESS(54,3,,,"MATCHS"))),,,IF(IFERROR(FIND("--",INDIRECT(ADDRESS(91,3,,,"MATCHS"))),FALSE),RIGHT(INDIRECT(ADDRESS(91,3,,,"MATCHS")), FIND("--",INDIRECT(ADDRESS(91,3,,,"MATCHS")),1)),INDIRECT(ADDRESS(91,3,,,"MATCHS"))),,,IF(IFERROR(FIND("--",INDIRECT(ADDRESS(126,5,,,"MATCHS"))),FALSE),RIGHT(INDIRECT(ADDRESS(126,5,,,"MATCHS")), FIND("--",INDIRECT(ADDRESS(126,5,,,"MATCHS")),1)),INDIRECT(ADDRESS(126,5,,,"MATCHS"))),,,IF(IFERROR(FIND("--",INDIRECT(ADDRESS(164,5,,,"MATCHS"))),FALSE),RIGHT(INDIRECT(ADDRESS(164,5,,,"MATCHS")), FIND("--",INDIRECT(ADDRESS(164,5,,,"MATCHS")),1)),INDIRECT(ADDRESS(164,5,,,"MATCHS"))),,,IF(IFERROR(FIND("--",INDIRECT(ADDRESS(202,5,,,"MATCHS"))),FALSE),RIGHT(INDIRECT(ADDRESS(202,5,,,"MATCHS")), FIND("--",INDIRECT(ADDRESS(202,5,,,"MATCHS")),1)),INDIRECT(ADDRESS(202,5,,,"MATCHS"))),,IF(IFERROR(FIND("--",INDIRECT(ADDRESS(227,5,,,"MATCHS"))),FALSE),RIGHT(INDIRECT(ADDRESS(227,5,,,"MATCHS")), FIND("--",INDIRECT(ADDRESS(227,5,,,"MATCHS")),1)),INDIRECT(ADDRESS(227,5,,,"MATCHS"))),,)</f>
        <v>0</v>
      </c>
      <c r="I41" s="125">
        <f ca="1">SUM(,IF(IFERROR(FIND("--",INDIRECT(ADDRESS(17,5,,,"MATCHS"))),FALSE),RIGHT(INDIRECT(ADDRESS(17,5,,,"MATCHS")), FIND("--",INDIRECT(ADDRESS(17,5,,,"MATCHS")),1)),INDIRECT(ADDRESS(17,5,,,"MATCHS"))),,,IF(IFERROR(FIND("--",INDIRECT(ADDRESS(54,5,,,"MATCHS"))),FALSE),RIGHT(INDIRECT(ADDRESS(54,5,,,"MATCHS")), FIND("--",INDIRECT(ADDRESS(54,5,,,"MATCHS")),1)),INDIRECT(ADDRESS(54,5,,,"MATCHS"))),,,IF(IFERROR(FIND("--",INDIRECT(ADDRESS(91,5,,,"MATCHS"))),FALSE),RIGHT(INDIRECT(ADDRESS(91,5,,,"MATCHS")), FIND("--",INDIRECT(ADDRESS(91,5,,,"MATCHS")),1)),INDIRECT(ADDRESS(91,5,,,"MATCHS"))),,,IF(IFERROR(FIND("--",INDIRECT(ADDRESS(126,3,,,"MATCHS"))),FALSE),RIGHT(INDIRECT(ADDRESS(126,3,,,"MATCHS")), FIND("--",INDIRECT(ADDRESS(126,3,,,"MATCHS")),1)),INDIRECT(ADDRESS(126,3,,,"MATCHS"))),,,IF(IFERROR(FIND("--",INDIRECT(ADDRESS(164,3,,,"MATCHS"))),FALSE),RIGHT(INDIRECT(ADDRESS(164,3,,,"MATCHS")), FIND("--",INDIRECT(ADDRESS(164,3,,,"MATCHS")),1)),INDIRECT(ADDRESS(164,3,,,"MATCHS"))),,,IF(IFERROR(FIND("--",INDIRECT(ADDRESS(202,3,,,"MATCHS"))),FALSE),RIGHT(INDIRECT(ADDRESS(202,3,,,"MATCHS")), FIND("--",INDIRECT(ADDRESS(202,3,,,"MATCHS")),1)),INDIRECT(ADDRESS(202,3,,,"MATCHS"))),,IF(IFERROR(FIND("--",INDIRECT(ADDRESS(227,3,,,"MATCHS"))),FALSE),RIGHT(INDIRECT(ADDRESS(227,3,,,"MATCHS")), FIND("--",INDIRECT(ADDRESS(227,3,,,"MATCHS")),1)),INDIRECT(ADDRESS(227,3,,,"MATCHS"))),,)</f>
        <v>0</v>
      </c>
      <c r="J41" s="125">
        <f ca="1">H41 - I41</f>
        <v>0</v>
      </c>
      <c r="K41" s="125">
        <v>0</v>
      </c>
      <c r="L41" s="125">
        <v>5</v>
      </c>
      <c r="M41" s="125"/>
      <c r="N41" s="115" t="str">
        <f>M41 &amp; "DM"</f>
        <v>DM</v>
      </c>
    </row>
    <row r="42" spans="1:14" ht="15.75" x14ac:dyDescent="0.25">
      <c r="A42" s="124"/>
      <c r="B42" s="125">
        <v>6</v>
      </c>
      <c r="C42" s="125" t="s">
        <v>97</v>
      </c>
      <c r="D42" s="125" t="str">
        <f>INSCRIPTS!C34</f>
        <v>6D</v>
      </c>
      <c r="E42" s="133">
        <f ca="1">SUM(,IF(INDIRECT(ADDRESS(17,5,,,"MATCHS"))&gt;INDIRECT(ADDRESS(17,3,,,"MATCHS")),1,0),,,IF(INDIRECT(ADDRESS(55,3,,,"MATCHS"))&gt;INDIRECT(ADDRESS(55,5,,,"MATCHS")),1,0),,,IF(INDIRECT(ADDRESS(92,3,,,"MATCHS"))&gt;INDIRECT(ADDRESS(92,5,,,"MATCHS")),1,0),,,IF(INDIRECT(ADDRESS(127,5,,,"MATCHS"))&gt;INDIRECT(ADDRESS(127,3,,,"MATCHS")),1,0),,,IF(INDIRECT(ADDRESS(163,5,,,"MATCHS"))&gt;INDIRECT(ADDRESS(163,3,,,"MATCHS")),1,0),,,IF(INDIRECT(ADDRESS(203,5,,,"MATCHS"))&gt;INDIRECT(ADDRESS(203,3,,,"MATCHS")),1,0),,IF(INDIRECT(ADDRESS(226,5,,,"MATCHS"))&gt;INDIRECT(ADDRESS(226,3,,,"MATCHS")),1,0),,) + 0.01 * K42</f>
        <v>0</v>
      </c>
      <c r="F42" s="125">
        <f ca="1">SUM(,IF(INDIRECT(ADDRESS(17,5,,,"MATCHS"))&lt;INDIRECT(ADDRESS(17,3,,,"MATCHS")),1,0),,,IF(INDIRECT(ADDRESS(55,3,,,"MATCHS"))&lt;INDIRECT(ADDRESS(55,5,,,"MATCHS")),1,0),,,IF(INDIRECT(ADDRESS(92,3,,,"MATCHS"))&lt;INDIRECT(ADDRESS(92,5,,,"MATCHS")),1,0),,,IF(INDIRECT(ADDRESS(127,5,,,"MATCHS"))&lt;INDIRECT(ADDRESS(127,3,,,"MATCHS")),1,0),,,IF(INDIRECT(ADDRESS(163,5,,,"MATCHS"))&lt;INDIRECT(ADDRESS(163,3,,,"MATCHS")),1,0),,,IF(INDIRECT(ADDRESS(203,5,,,"MATCHS"))&lt;INDIRECT(ADDRESS(203,3,,,"MATCHS")),1,0),,IF(INDIRECT(ADDRESS(226,5,,,"MATCHS"))&lt;INDIRECT(ADDRESS(226,3,,,"MATCHS")),1,0),,)</f>
        <v>0</v>
      </c>
      <c r="G42" s="125"/>
      <c r="H42" s="125">
        <f ca="1">SUM(,IF(IFERROR(FIND("--",INDIRECT(ADDRESS(17,5,,,"MATCHS"))),FALSE),RIGHT(INDIRECT(ADDRESS(17,5,,,"MATCHS")), FIND("--",INDIRECT(ADDRESS(17,5,,,"MATCHS")),1)),INDIRECT(ADDRESS(17,5,,,"MATCHS"))),,,IF(IFERROR(FIND("--",INDIRECT(ADDRESS(55,3,,,"MATCHS"))),FALSE),RIGHT(INDIRECT(ADDRESS(55,3,,,"MATCHS")), FIND("--",INDIRECT(ADDRESS(55,3,,,"MATCHS")),1)),INDIRECT(ADDRESS(55,3,,,"MATCHS"))),,,IF(IFERROR(FIND("--",INDIRECT(ADDRESS(92,3,,,"MATCHS"))),FALSE),RIGHT(INDIRECT(ADDRESS(92,3,,,"MATCHS")), FIND("--",INDIRECT(ADDRESS(92,3,,,"MATCHS")),1)),INDIRECT(ADDRESS(92,3,,,"MATCHS"))),,,IF(IFERROR(FIND("--",INDIRECT(ADDRESS(127,5,,,"MATCHS"))),FALSE),RIGHT(INDIRECT(ADDRESS(127,5,,,"MATCHS")), FIND("--",INDIRECT(ADDRESS(127,5,,,"MATCHS")),1)),INDIRECT(ADDRESS(127,5,,,"MATCHS"))),,,IF(IFERROR(FIND("--",INDIRECT(ADDRESS(163,5,,,"MATCHS"))),FALSE),RIGHT(INDIRECT(ADDRESS(163,5,,,"MATCHS")), FIND("--",INDIRECT(ADDRESS(163,5,,,"MATCHS")),1)),INDIRECT(ADDRESS(163,5,,,"MATCHS"))),,,IF(IFERROR(FIND("--",INDIRECT(ADDRESS(203,5,,,"MATCHS"))),FALSE),RIGHT(INDIRECT(ADDRESS(203,5,,,"MATCHS")), FIND("--",INDIRECT(ADDRESS(203,5,,,"MATCHS")),1)),INDIRECT(ADDRESS(203,5,,,"MATCHS"))),,IF(IFERROR(FIND("--",INDIRECT(ADDRESS(226,5,,,"MATCHS"))),FALSE),RIGHT(INDIRECT(ADDRESS(226,5,,,"MATCHS")), FIND("--",INDIRECT(ADDRESS(226,5,,,"MATCHS")),1)),INDIRECT(ADDRESS(226,5,,,"MATCHS"))),,)</f>
        <v>0</v>
      </c>
      <c r="I42" s="125">
        <f ca="1">SUM(,IF(IFERROR(FIND("--",INDIRECT(ADDRESS(17,3,,,"MATCHS"))),FALSE),RIGHT(INDIRECT(ADDRESS(17,3,,,"MATCHS")), FIND("--",INDIRECT(ADDRESS(17,3,,,"MATCHS")),1)),INDIRECT(ADDRESS(17,3,,,"MATCHS"))),,,IF(IFERROR(FIND("--",INDIRECT(ADDRESS(55,5,,,"MATCHS"))),FALSE),RIGHT(INDIRECT(ADDRESS(55,5,,,"MATCHS")), FIND("--",INDIRECT(ADDRESS(55,5,,,"MATCHS")),1)),INDIRECT(ADDRESS(55,5,,,"MATCHS"))),,,IF(IFERROR(FIND("--",INDIRECT(ADDRESS(92,5,,,"MATCHS"))),FALSE),RIGHT(INDIRECT(ADDRESS(92,5,,,"MATCHS")), FIND("--",INDIRECT(ADDRESS(92,5,,,"MATCHS")),1)),INDIRECT(ADDRESS(92,5,,,"MATCHS"))),,,IF(IFERROR(FIND("--",INDIRECT(ADDRESS(127,3,,,"MATCHS"))),FALSE),RIGHT(INDIRECT(ADDRESS(127,3,,,"MATCHS")), FIND("--",INDIRECT(ADDRESS(127,3,,,"MATCHS")),1)),INDIRECT(ADDRESS(127,3,,,"MATCHS"))),,,IF(IFERROR(FIND("--",INDIRECT(ADDRESS(163,3,,,"MATCHS"))),FALSE),RIGHT(INDIRECT(ADDRESS(163,3,,,"MATCHS")), FIND("--",INDIRECT(ADDRESS(163,3,,,"MATCHS")),1)),INDIRECT(ADDRESS(163,3,,,"MATCHS"))),,,IF(IFERROR(FIND("--",INDIRECT(ADDRESS(203,3,,,"MATCHS"))),FALSE),RIGHT(INDIRECT(ADDRESS(203,3,,,"MATCHS")), FIND("--",INDIRECT(ADDRESS(203,3,,,"MATCHS")),1)),INDIRECT(ADDRESS(203,3,,,"MATCHS"))),,IF(IFERROR(FIND("--",INDIRECT(ADDRESS(226,3,,,"MATCHS"))),FALSE),RIGHT(INDIRECT(ADDRESS(226,3,,,"MATCHS")), FIND("--",INDIRECT(ADDRESS(226,3,,,"MATCHS")),1)),INDIRECT(ADDRESS(226,3,,,"MATCHS"))),,)</f>
        <v>0</v>
      </c>
      <c r="J42" s="125">
        <f ca="1">H42 - I42</f>
        <v>0</v>
      </c>
      <c r="K42" s="125">
        <v>0</v>
      </c>
      <c r="L42" s="125">
        <v>6</v>
      </c>
      <c r="M42" s="125"/>
      <c r="N42" s="115" t="str">
        <f>M42 &amp; "DM"</f>
        <v>DM</v>
      </c>
    </row>
    <row r="43" spans="1:14" ht="15.75" x14ac:dyDescent="0.25">
      <c r="A43" s="124"/>
      <c r="B43" s="125">
        <v>7</v>
      </c>
      <c r="C43" s="125" t="s">
        <v>98</v>
      </c>
      <c r="D43" s="125" t="str">
        <f>INSCRIPTS!C35</f>
        <v>7D</v>
      </c>
      <c r="E43" s="133">
        <f ca="1">SUM(,IF(INDIRECT(ADDRESS(18,3,,,"MATCHS"))&gt;INDIRECT(ADDRESS(18,5,,,"MATCHS")),1,0),,,IF(INDIRECT(ADDRESS(54,5,,,"MATCHS"))&gt;INDIRECT(ADDRESS(54,3,,,"MATCHS")),1,0),,,IF(INDIRECT(ADDRESS(92,5,,,"MATCHS"))&gt;INDIRECT(ADDRESS(92,3,,,"MATCHS")),1,0),,,IF(INDIRECT(ADDRESS(128,5,,,"MATCHS"))&gt;INDIRECT(ADDRESS(128,3,,,"MATCHS")),1,0),,,IF(INDIRECT(ADDRESS(166,5,,,"MATCHS"))&gt;INDIRECT(ADDRESS(166,3,,,"MATCHS")),1,0),,,IF(INDIRECT(ADDRESS(200,5,,,"MATCHS"))&gt;INDIRECT(ADDRESS(200,3,,,"MATCHS")),1,0),,IF(INDIRECT(ADDRESS(225,5,,,"MATCHS"))&gt;INDIRECT(ADDRESS(225,3,,,"MATCHS")),1,0),,) + 0.01 * K43</f>
        <v>0</v>
      </c>
      <c r="F43" s="125">
        <f ca="1">SUM(,IF(INDIRECT(ADDRESS(18,3,,,"MATCHS"))&lt;INDIRECT(ADDRESS(18,5,,,"MATCHS")),1,0),,,IF(INDIRECT(ADDRESS(54,5,,,"MATCHS"))&lt;INDIRECT(ADDRESS(54,3,,,"MATCHS")),1,0),,,IF(INDIRECT(ADDRESS(92,5,,,"MATCHS"))&lt;INDIRECT(ADDRESS(92,3,,,"MATCHS")),1,0),,,IF(INDIRECT(ADDRESS(128,5,,,"MATCHS"))&lt;INDIRECT(ADDRESS(128,3,,,"MATCHS")),1,0),,,IF(INDIRECT(ADDRESS(166,5,,,"MATCHS"))&lt;INDIRECT(ADDRESS(166,3,,,"MATCHS")),1,0),,,IF(INDIRECT(ADDRESS(200,5,,,"MATCHS"))&lt;INDIRECT(ADDRESS(200,3,,,"MATCHS")),1,0),,IF(INDIRECT(ADDRESS(225,5,,,"MATCHS"))&lt;INDIRECT(ADDRESS(225,3,,,"MATCHS")),1,0),,)</f>
        <v>0</v>
      </c>
      <c r="G43" s="125"/>
      <c r="H43" s="125">
        <f ca="1">SUM(,IF(IFERROR(FIND("--",INDIRECT(ADDRESS(18,3,,,"MATCHS"))),FALSE),RIGHT(INDIRECT(ADDRESS(18,3,,,"MATCHS")), FIND("--",INDIRECT(ADDRESS(18,3,,,"MATCHS")),1)),INDIRECT(ADDRESS(18,3,,,"MATCHS"))),,,IF(IFERROR(FIND("--",INDIRECT(ADDRESS(54,5,,,"MATCHS"))),FALSE),RIGHT(INDIRECT(ADDRESS(54,5,,,"MATCHS")), FIND("--",INDIRECT(ADDRESS(54,5,,,"MATCHS")),1)),INDIRECT(ADDRESS(54,5,,,"MATCHS"))),,,IF(IFERROR(FIND("--",INDIRECT(ADDRESS(92,5,,,"MATCHS"))),FALSE),RIGHT(INDIRECT(ADDRESS(92,5,,,"MATCHS")), FIND("--",INDIRECT(ADDRESS(92,5,,,"MATCHS")),1)),INDIRECT(ADDRESS(92,5,,,"MATCHS"))),,,IF(IFERROR(FIND("--",INDIRECT(ADDRESS(128,5,,,"MATCHS"))),FALSE),RIGHT(INDIRECT(ADDRESS(128,5,,,"MATCHS")), FIND("--",INDIRECT(ADDRESS(128,5,,,"MATCHS")),1)),INDIRECT(ADDRESS(128,5,,,"MATCHS"))),,,IF(IFERROR(FIND("--",INDIRECT(ADDRESS(166,5,,,"MATCHS"))),FALSE),RIGHT(INDIRECT(ADDRESS(166,5,,,"MATCHS")), FIND("--",INDIRECT(ADDRESS(166,5,,,"MATCHS")),1)),INDIRECT(ADDRESS(166,5,,,"MATCHS"))),,,IF(IFERROR(FIND("--",INDIRECT(ADDRESS(200,5,,,"MATCHS"))),FALSE),RIGHT(INDIRECT(ADDRESS(200,5,,,"MATCHS")), FIND("--",INDIRECT(ADDRESS(200,5,,,"MATCHS")),1)),INDIRECT(ADDRESS(200,5,,,"MATCHS"))),,IF(IFERROR(FIND("--",INDIRECT(ADDRESS(225,5,,,"MATCHS"))),FALSE),RIGHT(INDIRECT(ADDRESS(225,5,,,"MATCHS")), FIND("--",INDIRECT(ADDRESS(225,5,,,"MATCHS")),1)),INDIRECT(ADDRESS(225,5,,,"MATCHS"))),,)</f>
        <v>0</v>
      </c>
      <c r="I43" s="125">
        <f ca="1">SUM(,IF(IFERROR(FIND("--",INDIRECT(ADDRESS(18,5,,,"MATCHS"))),FALSE),RIGHT(INDIRECT(ADDRESS(18,5,,,"MATCHS")), FIND("--",INDIRECT(ADDRESS(18,5,,,"MATCHS")),1)),INDIRECT(ADDRESS(18,5,,,"MATCHS"))),,,IF(IFERROR(FIND("--",INDIRECT(ADDRESS(54,3,,,"MATCHS"))),FALSE),RIGHT(INDIRECT(ADDRESS(54,3,,,"MATCHS")), FIND("--",INDIRECT(ADDRESS(54,3,,,"MATCHS")),1)),INDIRECT(ADDRESS(54,3,,,"MATCHS"))),,,IF(IFERROR(FIND("--",INDIRECT(ADDRESS(92,3,,,"MATCHS"))),FALSE),RIGHT(INDIRECT(ADDRESS(92,3,,,"MATCHS")), FIND("--",INDIRECT(ADDRESS(92,3,,,"MATCHS")),1)),INDIRECT(ADDRESS(92,3,,,"MATCHS"))),,,IF(IFERROR(FIND("--",INDIRECT(ADDRESS(128,3,,,"MATCHS"))),FALSE),RIGHT(INDIRECT(ADDRESS(128,3,,,"MATCHS")), FIND("--",INDIRECT(ADDRESS(128,3,,,"MATCHS")),1)),INDIRECT(ADDRESS(128,3,,,"MATCHS"))),,,IF(IFERROR(FIND("--",INDIRECT(ADDRESS(166,3,,,"MATCHS"))),FALSE),RIGHT(INDIRECT(ADDRESS(166,3,,,"MATCHS")), FIND("--",INDIRECT(ADDRESS(166,3,,,"MATCHS")),1)),INDIRECT(ADDRESS(166,3,,,"MATCHS"))),,,IF(IFERROR(FIND("--",INDIRECT(ADDRESS(200,3,,,"MATCHS"))),FALSE),RIGHT(INDIRECT(ADDRESS(200,3,,,"MATCHS")), FIND("--",INDIRECT(ADDRESS(200,3,,,"MATCHS")),1)),INDIRECT(ADDRESS(200,3,,,"MATCHS"))),,IF(IFERROR(FIND("--",INDIRECT(ADDRESS(225,3,,,"MATCHS"))),FALSE),RIGHT(INDIRECT(ADDRESS(225,3,,,"MATCHS")), FIND("--",INDIRECT(ADDRESS(225,3,,,"MATCHS")),1)),INDIRECT(ADDRESS(225,3,,,"MATCHS"))),,)</f>
        <v>0</v>
      </c>
      <c r="J43" s="125">
        <f ca="1">H43 - I43</f>
        <v>0</v>
      </c>
      <c r="K43" s="125">
        <v>0</v>
      </c>
      <c r="L43" s="125">
        <v>7</v>
      </c>
      <c r="M43" s="125"/>
      <c r="N43" s="115" t="str">
        <f>M43 &amp; "DM"</f>
        <v>DM</v>
      </c>
    </row>
    <row r="44" spans="1:14" ht="15.75" x14ac:dyDescent="0.25">
      <c r="A44" s="124"/>
      <c r="B44" s="125">
        <v>8</v>
      </c>
      <c r="C44" s="125" t="s">
        <v>99</v>
      </c>
      <c r="D44" s="125" t="str">
        <f>INSCRIPTS!C36</f>
        <v>8D</v>
      </c>
      <c r="E44" s="133">
        <f ca="1">SUM(,IF(INDIRECT(ADDRESS(18,5,,,"MATCHS"))&gt;INDIRECT(ADDRESS(18,3,,,"MATCHS")),1,0),,,IF(INDIRECT(ADDRESS(55,5,,,"MATCHS"))&gt;INDIRECT(ADDRESS(55,3,,,"MATCHS")),1,0),,,IF(INDIRECT(ADDRESS(91,5,,,"MATCHS"))&gt;INDIRECT(ADDRESS(91,3,,,"MATCHS")),1,0),,,IF(INDIRECT(ADDRESS(129,5,,,"MATCHS"))&gt;INDIRECT(ADDRESS(129,3,,,"MATCHS")),1,0),,,IF(INDIRECT(ADDRESS(165,5,,,"MATCHS"))&gt;INDIRECT(ADDRESS(165,3,,,"MATCHS")),1,0),,,IF(INDIRECT(ADDRESS(201,5,,,"MATCHS"))&gt;INDIRECT(ADDRESS(201,3,,,"MATCHS")),1,0),,IF(INDIRECT(ADDRESS(224,5,,,"MATCHS"))&gt;INDIRECT(ADDRESS(224,3,,,"MATCHS")),1,0),,) + 0.01 * K44</f>
        <v>0</v>
      </c>
      <c r="F44" s="125">
        <f ca="1">SUM(,IF(INDIRECT(ADDRESS(18,5,,,"MATCHS"))&lt;INDIRECT(ADDRESS(18,3,,,"MATCHS")),1,0),,,IF(INDIRECT(ADDRESS(55,5,,,"MATCHS"))&lt;INDIRECT(ADDRESS(55,3,,,"MATCHS")),1,0),,,IF(INDIRECT(ADDRESS(91,5,,,"MATCHS"))&lt;INDIRECT(ADDRESS(91,3,,,"MATCHS")),1,0),,,IF(INDIRECT(ADDRESS(129,5,,,"MATCHS"))&lt;INDIRECT(ADDRESS(129,3,,,"MATCHS")),1,0),,,IF(INDIRECT(ADDRESS(165,5,,,"MATCHS"))&lt;INDIRECT(ADDRESS(165,3,,,"MATCHS")),1,0),,,IF(INDIRECT(ADDRESS(201,5,,,"MATCHS"))&lt;INDIRECT(ADDRESS(201,3,,,"MATCHS")),1,0),,IF(INDIRECT(ADDRESS(224,5,,,"MATCHS"))&lt;INDIRECT(ADDRESS(224,3,,,"MATCHS")),1,0),,)</f>
        <v>0</v>
      </c>
      <c r="G44" s="125"/>
      <c r="H44" s="125">
        <f ca="1">SUM(,IF(IFERROR(FIND("--",INDIRECT(ADDRESS(18,5,,,"MATCHS"))),FALSE),RIGHT(INDIRECT(ADDRESS(18,5,,,"MATCHS")), FIND("--",INDIRECT(ADDRESS(18,5,,,"MATCHS")),1)),INDIRECT(ADDRESS(18,5,,,"MATCHS"))),,,IF(IFERROR(FIND("--",INDIRECT(ADDRESS(55,5,,,"MATCHS"))),FALSE),RIGHT(INDIRECT(ADDRESS(55,5,,,"MATCHS")), FIND("--",INDIRECT(ADDRESS(55,5,,,"MATCHS")),1)),INDIRECT(ADDRESS(55,5,,,"MATCHS"))),,,IF(IFERROR(FIND("--",INDIRECT(ADDRESS(91,5,,,"MATCHS"))),FALSE),RIGHT(INDIRECT(ADDRESS(91,5,,,"MATCHS")), FIND("--",INDIRECT(ADDRESS(91,5,,,"MATCHS")),1)),INDIRECT(ADDRESS(91,5,,,"MATCHS"))),,,IF(IFERROR(FIND("--",INDIRECT(ADDRESS(129,5,,,"MATCHS"))),FALSE),RIGHT(INDIRECT(ADDRESS(129,5,,,"MATCHS")), FIND("--",INDIRECT(ADDRESS(129,5,,,"MATCHS")),1)),INDIRECT(ADDRESS(129,5,,,"MATCHS"))),,,IF(IFERROR(FIND("--",INDIRECT(ADDRESS(165,5,,,"MATCHS"))),FALSE),RIGHT(INDIRECT(ADDRESS(165,5,,,"MATCHS")), FIND("--",INDIRECT(ADDRESS(165,5,,,"MATCHS")),1)),INDIRECT(ADDRESS(165,5,,,"MATCHS"))),,,IF(IFERROR(FIND("--",INDIRECT(ADDRESS(201,5,,,"MATCHS"))),FALSE),RIGHT(INDIRECT(ADDRESS(201,5,,,"MATCHS")), FIND("--",INDIRECT(ADDRESS(201,5,,,"MATCHS")),1)),INDIRECT(ADDRESS(201,5,,,"MATCHS"))),,IF(IFERROR(FIND("--",INDIRECT(ADDRESS(224,5,,,"MATCHS"))),FALSE),RIGHT(INDIRECT(ADDRESS(224,5,,,"MATCHS")), FIND("--",INDIRECT(ADDRESS(224,5,,,"MATCHS")),1)),INDIRECT(ADDRESS(224,5,,,"MATCHS"))),,)</f>
        <v>0</v>
      </c>
      <c r="I44" s="125">
        <f ca="1">SUM(,IF(IFERROR(FIND("--",INDIRECT(ADDRESS(18,3,,,"MATCHS"))),FALSE),RIGHT(INDIRECT(ADDRESS(18,3,,,"MATCHS")), FIND("--",INDIRECT(ADDRESS(18,3,,,"MATCHS")),1)),INDIRECT(ADDRESS(18,3,,,"MATCHS"))),,,IF(IFERROR(FIND("--",INDIRECT(ADDRESS(55,3,,,"MATCHS"))),FALSE),RIGHT(INDIRECT(ADDRESS(55,3,,,"MATCHS")), FIND("--",INDIRECT(ADDRESS(55,3,,,"MATCHS")),1)),INDIRECT(ADDRESS(55,3,,,"MATCHS"))),,,IF(IFERROR(FIND("--",INDIRECT(ADDRESS(91,3,,,"MATCHS"))),FALSE),RIGHT(INDIRECT(ADDRESS(91,3,,,"MATCHS")), FIND("--",INDIRECT(ADDRESS(91,3,,,"MATCHS")),1)),INDIRECT(ADDRESS(91,3,,,"MATCHS"))),,,IF(IFERROR(FIND("--",INDIRECT(ADDRESS(129,3,,,"MATCHS"))),FALSE),RIGHT(INDIRECT(ADDRESS(129,3,,,"MATCHS")), FIND("--",INDIRECT(ADDRESS(129,3,,,"MATCHS")),1)),INDIRECT(ADDRESS(129,3,,,"MATCHS"))),,,IF(IFERROR(FIND("--",INDIRECT(ADDRESS(165,3,,,"MATCHS"))),FALSE),RIGHT(INDIRECT(ADDRESS(165,3,,,"MATCHS")), FIND("--",INDIRECT(ADDRESS(165,3,,,"MATCHS")),1)),INDIRECT(ADDRESS(165,3,,,"MATCHS"))),,,IF(IFERROR(FIND("--",INDIRECT(ADDRESS(201,3,,,"MATCHS"))),FALSE),RIGHT(INDIRECT(ADDRESS(201,3,,,"MATCHS")), FIND("--",INDIRECT(ADDRESS(201,3,,,"MATCHS")),1)),INDIRECT(ADDRESS(201,3,,,"MATCHS"))),,IF(IFERROR(FIND("--",INDIRECT(ADDRESS(224,3,,,"MATCHS"))),FALSE),RIGHT(INDIRECT(ADDRESS(224,3,,,"MATCHS")), FIND("--",INDIRECT(ADDRESS(224,3,,,"MATCHS")),1)),INDIRECT(ADDRESS(224,3,,,"MATCHS"))),,)</f>
        <v>0</v>
      </c>
      <c r="J44" s="125">
        <f ca="1">H44 - I44</f>
        <v>0</v>
      </c>
      <c r="K44" s="125">
        <v>0</v>
      </c>
      <c r="L44" s="125">
        <v>8</v>
      </c>
      <c r="M44" s="125"/>
      <c r="N44" s="115" t="str">
        <f>M44 &amp; "DM"</f>
        <v>DM</v>
      </c>
    </row>
    <row r="45" spans="1:14" ht="15.75" thickBot="1" x14ac:dyDescent="0.3"/>
    <row r="46" spans="1:14" ht="30.95" customHeight="1" thickBot="1" x14ac:dyDescent="0.3">
      <c r="C46" s="116" t="s">
        <v>179</v>
      </c>
      <c r="D46" s="116" t="s">
        <v>60</v>
      </c>
      <c r="E46" s="129" t="s">
        <v>180</v>
      </c>
      <c r="F46" s="116" t="s">
        <v>181</v>
      </c>
      <c r="G46" s="116" t="s">
        <v>182</v>
      </c>
      <c r="H46" s="116" t="s">
        <v>183</v>
      </c>
      <c r="I46" s="116" t="s">
        <v>184</v>
      </c>
      <c r="J46" s="116" t="s">
        <v>185</v>
      </c>
      <c r="K46" s="117" t="s">
        <v>186</v>
      </c>
      <c r="L46" s="116" t="s">
        <v>187</v>
      </c>
      <c r="M46" s="117" t="s">
        <v>188</v>
      </c>
    </row>
    <row r="48" spans="1:14" ht="15.75" x14ac:dyDescent="0.25">
      <c r="A48" s="126" t="s">
        <v>66</v>
      </c>
      <c r="B48" s="127">
        <v>1</v>
      </c>
      <c r="C48" s="127" t="s">
        <v>100</v>
      </c>
      <c r="D48" s="127" t="str">
        <f>INSCRIPTS!C38</f>
        <v>1E</v>
      </c>
      <c r="E48" s="134">
        <f ca="1">SUM(,IF(INDIRECT(ADDRESS(19,3,,,"MATCHS"))&gt;INDIRECT(ADDRESS(19,5,,,"MATCHS")),1,0),,,IF(INDIRECT(ADDRESS(56,3,,,"MATCHS"))&gt;INDIRECT(ADDRESS(56,5,,,"MATCHS")),1,0),,,IF(INDIRECT(ADDRESS(93,3,,,"MATCHS"))&gt;INDIRECT(ADDRESS(93,5,,,"MATCHS")),1,0),,,IF(INDIRECT(ADDRESS(130,3,,,"MATCHS"))&gt;INDIRECT(ADDRESS(130,5,,,"MATCHS")),1,0),,,,,,IF(INDIRECT(ADDRESS(204,3,,,"MATCHS"))&gt;INDIRECT(ADDRESS(204,5,,,"MATCHS")),1,0),,IF(INDIRECT(ADDRESS(228,3,,,"MATCHS"))&gt;INDIRECT(ADDRESS(228,5,,,"MATCHS")),1,0),,) + 0.01 * K48</f>
        <v>0</v>
      </c>
      <c r="F48" s="127">
        <f ca="1">SUM(,IF(INDIRECT(ADDRESS(19,3,,,"MATCHS"))&lt;INDIRECT(ADDRESS(19,5,,,"MATCHS")),1,0),,,IF(INDIRECT(ADDRESS(56,3,,,"MATCHS"))&lt;INDIRECT(ADDRESS(56,5,,,"MATCHS")),1,0),,,IF(INDIRECT(ADDRESS(93,3,,,"MATCHS"))&lt;INDIRECT(ADDRESS(93,5,,,"MATCHS")),1,0),,,IF(INDIRECT(ADDRESS(130,3,,,"MATCHS"))&lt;INDIRECT(ADDRESS(130,5,,,"MATCHS")),1,0),,,,,,IF(INDIRECT(ADDRESS(204,3,,,"MATCHS"))&lt;INDIRECT(ADDRESS(204,5,,,"MATCHS")),1,0),,IF(INDIRECT(ADDRESS(228,3,,,"MATCHS"))&lt;INDIRECT(ADDRESS(228,5,,,"MATCHS")),1,0),,)</f>
        <v>0</v>
      </c>
      <c r="G48" s="127"/>
      <c r="H48" s="127">
        <f ca="1">SUM(,IF(IFERROR(FIND("--",INDIRECT(ADDRESS(19,3,,,"MATCHS"))),FALSE),RIGHT(INDIRECT(ADDRESS(19,3,,,"MATCHS")), FIND("--",INDIRECT(ADDRESS(19,3,,,"MATCHS")),1)),INDIRECT(ADDRESS(19,3,,,"MATCHS"))),,,IF(IFERROR(FIND("--",INDIRECT(ADDRESS(56,3,,,"MATCHS"))),FALSE),RIGHT(INDIRECT(ADDRESS(56,3,,,"MATCHS")), FIND("--",INDIRECT(ADDRESS(56,3,,,"MATCHS")),1)),INDIRECT(ADDRESS(56,3,,,"MATCHS"))),,,IF(IFERROR(FIND("--",INDIRECT(ADDRESS(93,3,,,"MATCHS"))),FALSE),RIGHT(INDIRECT(ADDRESS(93,3,,,"MATCHS")), FIND("--",INDIRECT(ADDRESS(93,3,,,"MATCHS")),1)),INDIRECT(ADDRESS(93,3,,,"MATCHS"))),,,IF(IFERROR(FIND("--",INDIRECT(ADDRESS(130,3,,,"MATCHS"))),FALSE),RIGHT(INDIRECT(ADDRESS(130,3,,,"MATCHS")), FIND("--",INDIRECT(ADDRESS(130,3,,,"MATCHS")),1)),INDIRECT(ADDRESS(130,3,,,"MATCHS"))),,,,,,IF(IFERROR(FIND("--",INDIRECT(ADDRESS(204,3,,,"MATCHS"))),FALSE),RIGHT(INDIRECT(ADDRESS(204,3,,,"MATCHS")), FIND("--",INDIRECT(ADDRESS(204,3,,,"MATCHS")),1)),INDIRECT(ADDRESS(204,3,,,"MATCHS"))),,IF(IFERROR(FIND("--",INDIRECT(ADDRESS(228,3,,,"MATCHS"))),FALSE),RIGHT(INDIRECT(ADDRESS(228,3,,,"MATCHS")), FIND("--",INDIRECT(ADDRESS(228,3,,,"MATCHS")),1)),INDIRECT(ADDRESS(228,3,,,"MATCHS"))),,)</f>
        <v>0</v>
      </c>
      <c r="I48" s="127">
        <f ca="1">SUM(,IF(IFERROR(FIND("--",INDIRECT(ADDRESS(19,5,,,"MATCHS"))),FALSE),RIGHT(INDIRECT(ADDRESS(19,5,,,"MATCHS")), FIND("--",INDIRECT(ADDRESS(19,5,,,"MATCHS")),1)),INDIRECT(ADDRESS(19,5,,,"MATCHS"))),,,IF(IFERROR(FIND("--",INDIRECT(ADDRESS(56,5,,,"MATCHS"))),FALSE),RIGHT(INDIRECT(ADDRESS(56,5,,,"MATCHS")), FIND("--",INDIRECT(ADDRESS(56,5,,,"MATCHS")),1)),INDIRECT(ADDRESS(56,5,,,"MATCHS"))),,,IF(IFERROR(FIND("--",INDIRECT(ADDRESS(93,5,,,"MATCHS"))),FALSE),RIGHT(INDIRECT(ADDRESS(93,5,,,"MATCHS")), FIND("--",INDIRECT(ADDRESS(93,5,,,"MATCHS")),1)),INDIRECT(ADDRESS(93,5,,,"MATCHS"))),,,IF(IFERROR(FIND("--",INDIRECT(ADDRESS(130,5,,,"MATCHS"))),FALSE),RIGHT(INDIRECT(ADDRESS(130,5,,,"MATCHS")), FIND("--",INDIRECT(ADDRESS(130,5,,,"MATCHS")),1)),INDIRECT(ADDRESS(130,5,,,"MATCHS"))),,,,,,IF(IFERROR(FIND("--",INDIRECT(ADDRESS(204,5,,,"MATCHS"))),FALSE),RIGHT(INDIRECT(ADDRESS(204,5,,,"MATCHS")), FIND("--",INDIRECT(ADDRESS(204,5,,,"MATCHS")),1)),INDIRECT(ADDRESS(204,5,,,"MATCHS"))),,IF(IFERROR(FIND("--",INDIRECT(ADDRESS(228,5,,,"MATCHS"))),FALSE),RIGHT(INDIRECT(ADDRESS(228,5,,,"MATCHS")), FIND("--",INDIRECT(ADDRESS(228,5,,,"MATCHS")),1)),INDIRECT(ADDRESS(228,5,,,"MATCHS"))),,)</f>
        <v>0</v>
      </c>
      <c r="J48" s="127">
        <f ca="1">H48 - I48</f>
        <v>0</v>
      </c>
      <c r="K48" s="127">
        <v>0</v>
      </c>
      <c r="L48" s="127">
        <v>1</v>
      </c>
      <c r="M48" s="127"/>
      <c r="N48" s="115" t="str">
        <f>M48 &amp; "DH"</f>
        <v>DH</v>
      </c>
    </row>
    <row r="49" spans="1:14" ht="15.75" x14ac:dyDescent="0.25">
      <c r="A49" s="126"/>
      <c r="B49" s="127">
        <v>2</v>
      </c>
      <c r="C49" s="127" t="s">
        <v>101</v>
      </c>
      <c r="D49" s="127" t="str">
        <f>INSCRIPTS!C39</f>
        <v>2E</v>
      </c>
      <c r="E49" s="134">
        <f ca="1">SUM(,IF(INDIRECT(ADDRESS(19,5,,,"MATCHS"))&gt;INDIRECT(ADDRESS(19,3,,,"MATCHS")),1,0),,,,,,IF(INDIRECT(ADDRESS(94,3,,,"MATCHS"))&gt;INDIRECT(ADDRESS(94,5,,,"MATCHS")),1,0),,,IF(INDIRECT(ADDRESS(132,3,,,"MATCHS"))&gt;INDIRECT(ADDRESS(132,5,,,"MATCHS")),1,0),,,IF(INDIRECT(ADDRESS(168,3,,,"MATCHS"))&gt;INDIRECT(ADDRESS(168,5,,,"MATCHS")),1,0),,,,IF(INDIRECT(ADDRESS(206,3,,,"MATCHS"))&gt;INDIRECT(ADDRESS(206,5,,,"MATCHS")),1,0),,IF(INDIRECT(ADDRESS(230,3,,,"MATCHS"))&gt;INDIRECT(ADDRESS(230,5,,,"MATCHS")),1,0),) + 0.01 * K49</f>
        <v>0</v>
      </c>
      <c r="F49" s="127">
        <f ca="1">SUM(,IF(INDIRECT(ADDRESS(19,5,,,"MATCHS"))&lt;INDIRECT(ADDRESS(19,3,,,"MATCHS")),1,0),,,,,,IF(INDIRECT(ADDRESS(94,3,,,"MATCHS"))&lt;INDIRECT(ADDRESS(94,5,,,"MATCHS")),1,0),,,IF(INDIRECT(ADDRESS(132,3,,,"MATCHS"))&lt;INDIRECT(ADDRESS(132,5,,,"MATCHS")),1,0),,,IF(INDIRECT(ADDRESS(168,3,,,"MATCHS"))&lt;INDIRECT(ADDRESS(168,5,,,"MATCHS")),1,0),,,,IF(INDIRECT(ADDRESS(206,3,,,"MATCHS"))&lt;INDIRECT(ADDRESS(206,5,,,"MATCHS")),1,0),,IF(INDIRECT(ADDRESS(230,3,,,"MATCHS"))&lt;INDIRECT(ADDRESS(230,5,,,"MATCHS")),1,0),)</f>
        <v>0</v>
      </c>
      <c r="G49" s="127"/>
      <c r="H49" s="127">
        <f ca="1">SUM(,IF(IFERROR(FIND("--",INDIRECT(ADDRESS(19,5,,,"MATCHS"))),FALSE),RIGHT(INDIRECT(ADDRESS(19,5,,,"MATCHS")), FIND("--",INDIRECT(ADDRESS(19,5,,,"MATCHS")),1)),INDIRECT(ADDRESS(19,5,,,"MATCHS"))),,,,,,IF(IFERROR(FIND("--",INDIRECT(ADDRESS(94,3,,,"MATCHS"))),FALSE),RIGHT(INDIRECT(ADDRESS(94,3,,,"MATCHS")), FIND("--",INDIRECT(ADDRESS(94,3,,,"MATCHS")),1)),INDIRECT(ADDRESS(94,3,,,"MATCHS"))),,,IF(IFERROR(FIND("--",INDIRECT(ADDRESS(132,3,,,"MATCHS"))),FALSE),RIGHT(INDIRECT(ADDRESS(132,3,,,"MATCHS")), FIND("--",INDIRECT(ADDRESS(132,3,,,"MATCHS")),1)),INDIRECT(ADDRESS(132,3,,,"MATCHS"))),,,IF(IFERROR(FIND("--",INDIRECT(ADDRESS(168,3,,,"MATCHS"))),FALSE),RIGHT(INDIRECT(ADDRESS(168,3,,,"MATCHS")), FIND("--",INDIRECT(ADDRESS(168,3,,,"MATCHS")),1)),INDIRECT(ADDRESS(168,3,,,"MATCHS"))),,,,IF(IFERROR(FIND("--",INDIRECT(ADDRESS(206,3,,,"MATCHS"))),FALSE),RIGHT(INDIRECT(ADDRESS(206,3,,,"MATCHS")), FIND("--",INDIRECT(ADDRESS(206,3,,,"MATCHS")),1)),INDIRECT(ADDRESS(206,3,,,"MATCHS"))),,IF(IFERROR(FIND("--",INDIRECT(ADDRESS(230,3,,,"MATCHS"))),FALSE),RIGHT(INDIRECT(ADDRESS(230,3,,,"MATCHS")), FIND("--",INDIRECT(ADDRESS(230,3,,,"MATCHS")),1)),INDIRECT(ADDRESS(230,3,,,"MATCHS"))),)</f>
        <v>0</v>
      </c>
      <c r="I49" s="127">
        <f ca="1">SUM(,IF(IFERROR(FIND("--",INDIRECT(ADDRESS(19,3,,,"MATCHS"))),FALSE),RIGHT(INDIRECT(ADDRESS(19,3,,,"MATCHS")), FIND("--",INDIRECT(ADDRESS(19,3,,,"MATCHS")),1)),INDIRECT(ADDRESS(19,3,,,"MATCHS"))),,,,,,IF(IFERROR(FIND("--",INDIRECT(ADDRESS(94,5,,,"MATCHS"))),FALSE),RIGHT(INDIRECT(ADDRESS(94,5,,,"MATCHS")), FIND("--",INDIRECT(ADDRESS(94,5,,,"MATCHS")),1)),INDIRECT(ADDRESS(94,5,,,"MATCHS"))),,,IF(IFERROR(FIND("--",INDIRECT(ADDRESS(132,5,,,"MATCHS"))),FALSE),RIGHT(INDIRECT(ADDRESS(132,5,,,"MATCHS")), FIND("--",INDIRECT(ADDRESS(132,5,,,"MATCHS")),1)),INDIRECT(ADDRESS(132,5,,,"MATCHS"))),,,IF(IFERROR(FIND("--",INDIRECT(ADDRESS(168,5,,,"MATCHS"))),FALSE),RIGHT(INDIRECT(ADDRESS(168,5,,,"MATCHS")), FIND("--",INDIRECT(ADDRESS(168,5,,,"MATCHS")),1)),INDIRECT(ADDRESS(168,5,,,"MATCHS"))),,,,IF(IFERROR(FIND("--",INDIRECT(ADDRESS(206,5,,,"MATCHS"))),FALSE),RIGHT(INDIRECT(ADDRESS(206,5,,,"MATCHS")), FIND("--",INDIRECT(ADDRESS(206,5,,,"MATCHS")),1)),INDIRECT(ADDRESS(206,5,,,"MATCHS"))),,IF(IFERROR(FIND("--",INDIRECT(ADDRESS(230,5,,,"MATCHS"))),FALSE),RIGHT(INDIRECT(ADDRESS(230,5,,,"MATCHS")), FIND("--",INDIRECT(ADDRESS(230,5,,,"MATCHS")),1)),INDIRECT(ADDRESS(230,5,,,"MATCHS"))),)</f>
        <v>0</v>
      </c>
      <c r="J49" s="127">
        <f ca="1">H49 - I49</f>
        <v>0</v>
      </c>
      <c r="K49" s="127">
        <v>0</v>
      </c>
      <c r="L49" s="127">
        <v>2</v>
      </c>
      <c r="M49" s="127"/>
      <c r="N49" s="115" t="str">
        <f>M49 &amp; "DH"</f>
        <v>DH</v>
      </c>
    </row>
    <row r="50" spans="1:14" ht="15.75" x14ac:dyDescent="0.25">
      <c r="A50" s="126"/>
      <c r="B50" s="127">
        <v>3</v>
      </c>
      <c r="C50" s="127" t="s">
        <v>102</v>
      </c>
      <c r="D50" s="127" t="str">
        <f>INSCRIPTS!C40</f>
        <v>3E</v>
      </c>
      <c r="E50" s="134">
        <f ca="1">SUM(,IF(INDIRECT(ADDRESS(20,3,,,"MATCHS"))&gt;INDIRECT(ADDRESS(20,5,,,"MATCHS")),1,0),,,IF(INDIRECT(ADDRESS(56,5,,,"MATCHS"))&gt;INDIRECT(ADDRESS(56,3,,,"MATCHS")),1,0),,,IF(INDIRECT(ADDRESS(95,5,,,"MATCHS"))&gt;INDIRECT(ADDRESS(95,3,,,"MATCHS")),1,0),,,IF(INDIRECT(ADDRESS(131,5,,,"MATCHS"))&gt;INDIRECT(ADDRESS(131,3,,,"MATCHS")),1,0),,,IF(INDIRECT(ADDRESS(167,3,,,"MATCHS"))&gt;INDIRECT(ADDRESS(167,5,,,"MATCHS")),1,0),,,,,,IF(INDIRECT(ADDRESS(230,5,,,"MATCHS"))&gt;INDIRECT(ADDRESS(230,3,,,"MATCHS")),1,0),) + 0.01 * K50</f>
        <v>0</v>
      </c>
      <c r="F50" s="127">
        <f ca="1">SUM(,IF(INDIRECT(ADDRESS(20,3,,,"MATCHS"))&lt;INDIRECT(ADDRESS(20,5,,,"MATCHS")),1,0),,,IF(INDIRECT(ADDRESS(56,5,,,"MATCHS"))&lt;INDIRECT(ADDRESS(56,3,,,"MATCHS")),1,0),,,IF(INDIRECT(ADDRESS(95,5,,,"MATCHS"))&lt;INDIRECT(ADDRESS(95,3,,,"MATCHS")),1,0),,,IF(INDIRECT(ADDRESS(131,5,,,"MATCHS"))&lt;INDIRECT(ADDRESS(131,3,,,"MATCHS")),1,0),,,IF(INDIRECT(ADDRESS(167,3,,,"MATCHS"))&lt;INDIRECT(ADDRESS(167,5,,,"MATCHS")),1,0),,,,,,IF(INDIRECT(ADDRESS(230,5,,,"MATCHS"))&lt;INDIRECT(ADDRESS(230,3,,,"MATCHS")),1,0),)</f>
        <v>0</v>
      </c>
      <c r="G50" s="127"/>
      <c r="H50" s="127">
        <f ca="1">SUM(,IF(IFERROR(FIND("--",INDIRECT(ADDRESS(20,3,,,"MATCHS"))),FALSE),RIGHT(INDIRECT(ADDRESS(20,3,,,"MATCHS")), FIND("--",INDIRECT(ADDRESS(20,3,,,"MATCHS")),1)),INDIRECT(ADDRESS(20,3,,,"MATCHS"))),,,IF(IFERROR(FIND("--",INDIRECT(ADDRESS(56,5,,,"MATCHS"))),FALSE),RIGHT(INDIRECT(ADDRESS(56,5,,,"MATCHS")), FIND("--",INDIRECT(ADDRESS(56,5,,,"MATCHS")),1)),INDIRECT(ADDRESS(56,5,,,"MATCHS"))),,,IF(IFERROR(FIND("--",INDIRECT(ADDRESS(95,5,,,"MATCHS"))),FALSE),RIGHT(INDIRECT(ADDRESS(95,5,,,"MATCHS")), FIND("--",INDIRECT(ADDRESS(95,5,,,"MATCHS")),1)),INDIRECT(ADDRESS(95,5,,,"MATCHS"))),,,IF(IFERROR(FIND("--",INDIRECT(ADDRESS(131,5,,,"MATCHS"))),FALSE),RIGHT(INDIRECT(ADDRESS(131,5,,,"MATCHS")), FIND("--",INDIRECT(ADDRESS(131,5,,,"MATCHS")),1)),INDIRECT(ADDRESS(131,5,,,"MATCHS"))),,,IF(IFERROR(FIND("--",INDIRECT(ADDRESS(167,3,,,"MATCHS"))),FALSE),RIGHT(INDIRECT(ADDRESS(167,3,,,"MATCHS")), FIND("--",INDIRECT(ADDRESS(167,3,,,"MATCHS")),1)),INDIRECT(ADDRESS(167,3,,,"MATCHS"))),,,,,,IF(IFERROR(FIND("--",INDIRECT(ADDRESS(230,5,,,"MATCHS"))),FALSE),RIGHT(INDIRECT(ADDRESS(230,5,,,"MATCHS")), FIND("--",INDIRECT(ADDRESS(230,5,,,"MATCHS")),1)),INDIRECT(ADDRESS(230,5,,,"MATCHS"))),)</f>
        <v>0</v>
      </c>
      <c r="I50" s="127">
        <f ca="1">SUM(,IF(IFERROR(FIND("--",INDIRECT(ADDRESS(20,5,,,"MATCHS"))),FALSE),RIGHT(INDIRECT(ADDRESS(20,5,,,"MATCHS")), FIND("--",INDIRECT(ADDRESS(20,5,,,"MATCHS")),1)),INDIRECT(ADDRESS(20,5,,,"MATCHS"))),,,IF(IFERROR(FIND("--",INDIRECT(ADDRESS(56,3,,,"MATCHS"))),FALSE),RIGHT(INDIRECT(ADDRESS(56,3,,,"MATCHS")), FIND("--",INDIRECT(ADDRESS(56,3,,,"MATCHS")),1)),INDIRECT(ADDRESS(56,3,,,"MATCHS"))),,,IF(IFERROR(FIND("--",INDIRECT(ADDRESS(95,3,,,"MATCHS"))),FALSE),RIGHT(INDIRECT(ADDRESS(95,3,,,"MATCHS")), FIND("--",INDIRECT(ADDRESS(95,3,,,"MATCHS")),1)),INDIRECT(ADDRESS(95,3,,,"MATCHS"))),,,IF(IFERROR(FIND("--",INDIRECT(ADDRESS(131,3,,,"MATCHS"))),FALSE),RIGHT(INDIRECT(ADDRESS(131,3,,,"MATCHS")), FIND("--",INDIRECT(ADDRESS(131,3,,,"MATCHS")),1)),INDIRECT(ADDRESS(131,3,,,"MATCHS"))),,,IF(IFERROR(FIND("--",INDIRECT(ADDRESS(167,5,,,"MATCHS"))),FALSE),RIGHT(INDIRECT(ADDRESS(167,5,,,"MATCHS")), FIND("--",INDIRECT(ADDRESS(167,5,,,"MATCHS")),1)),INDIRECT(ADDRESS(167,5,,,"MATCHS"))),,,,,,IF(IFERROR(FIND("--",INDIRECT(ADDRESS(230,3,,,"MATCHS"))),FALSE),RIGHT(INDIRECT(ADDRESS(230,3,,,"MATCHS")), FIND("--",INDIRECT(ADDRESS(230,3,,,"MATCHS")),1)),INDIRECT(ADDRESS(230,3,,,"MATCHS"))),)</f>
        <v>0</v>
      </c>
      <c r="J50" s="127">
        <f ca="1">H50 - I50</f>
        <v>0</v>
      </c>
      <c r="K50" s="127">
        <v>0</v>
      </c>
      <c r="L50" s="127">
        <v>3</v>
      </c>
      <c r="M50" s="127"/>
      <c r="N50" s="115" t="str">
        <f>M50 &amp; "DH"</f>
        <v>DH</v>
      </c>
    </row>
    <row r="51" spans="1:14" ht="15.75" x14ac:dyDescent="0.25">
      <c r="A51" s="126"/>
      <c r="B51" s="127">
        <v>4</v>
      </c>
      <c r="C51" s="127" t="s">
        <v>103</v>
      </c>
      <c r="D51" s="127" t="str">
        <f>INSCRIPTS!C41</f>
        <v>4E</v>
      </c>
      <c r="E51" s="134">
        <f ca="1">SUM(,IF(INDIRECT(ADDRESS(20,5,,,"MATCHS"))&gt;INDIRECT(ADDRESS(20,3,,,"MATCHS")),1,0),,,IF(INDIRECT(ADDRESS(57,5,,,"MATCHS"))&gt;INDIRECT(ADDRESS(57,3,,,"MATCHS")),1,0),,,IF(INDIRECT(ADDRESS(93,5,,,"MATCHS"))&gt;INDIRECT(ADDRESS(93,3,,,"MATCHS")),1,0),,,,,,,IF(INDIRECT(ADDRESS(170,3,,,"MATCHS"))&gt;INDIRECT(ADDRESS(170,5,,,"MATCHS")),1,0),,,IF(INDIRECT(ADDRESS(206,5,,,"MATCHS"))&gt;INDIRECT(ADDRESS(206,3,,,"MATCHS")),1,0),,IF(INDIRECT(ADDRESS(231,3,,,"MATCHS"))&gt;INDIRECT(ADDRESS(231,5,,,"MATCHS")),1,0),) + 0.01 * K51</f>
        <v>0</v>
      </c>
      <c r="F51" s="127">
        <f ca="1">SUM(,IF(INDIRECT(ADDRESS(20,5,,,"MATCHS"))&lt;INDIRECT(ADDRESS(20,3,,,"MATCHS")),1,0),,,IF(INDIRECT(ADDRESS(57,5,,,"MATCHS"))&lt;INDIRECT(ADDRESS(57,3,,,"MATCHS")),1,0),,,IF(INDIRECT(ADDRESS(93,5,,,"MATCHS"))&lt;INDIRECT(ADDRESS(93,3,,,"MATCHS")),1,0),,,,,,,IF(INDIRECT(ADDRESS(170,3,,,"MATCHS"))&lt;INDIRECT(ADDRESS(170,5,,,"MATCHS")),1,0),,,IF(INDIRECT(ADDRESS(206,5,,,"MATCHS"))&lt;INDIRECT(ADDRESS(206,3,,,"MATCHS")),1,0),,IF(INDIRECT(ADDRESS(231,3,,,"MATCHS"))&lt;INDIRECT(ADDRESS(231,5,,,"MATCHS")),1,0),)</f>
        <v>0</v>
      </c>
      <c r="G51" s="127"/>
      <c r="H51" s="127">
        <f ca="1">SUM(,IF(IFERROR(FIND("--",INDIRECT(ADDRESS(20,5,,,"MATCHS"))),FALSE),RIGHT(INDIRECT(ADDRESS(20,5,,,"MATCHS")), FIND("--",INDIRECT(ADDRESS(20,5,,,"MATCHS")),1)),INDIRECT(ADDRESS(20,5,,,"MATCHS"))),,,IF(IFERROR(FIND("--",INDIRECT(ADDRESS(57,5,,,"MATCHS"))),FALSE),RIGHT(INDIRECT(ADDRESS(57,5,,,"MATCHS")), FIND("--",INDIRECT(ADDRESS(57,5,,,"MATCHS")),1)),INDIRECT(ADDRESS(57,5,,,"MATCHS"))),,,IF(IFERROR(FIND("--",INDIRECT(ADDRESS(93,5,,,"MATCHS"))),FALSE),RIGHT(INDIRECT(ADDRESS(93,5,,,"MATCHS")), FIND("--",INDIRECT(ADDRESS(93,5,,,"MATCHS")),1)),INDIRECT(ADDRESS(93,5,,,"MATCHS"))),,,,,,,IF(IFERROR(FIND("--",INDIRECT(ADDRESS(170,3,,,"MATCHS"))),FALSE),RIGHT(INDIRECT(ADDRESS(170,3,,,"MATCHS")), FIND("--",INDIRECT(ADDRESS(170,3,,,"MATCHS")),1)),INDIRECT(ADDRESS(170,3,,,"MATCHS"))),,,IF(IFERROR(FIND("--",INDIRECT(ADDRESS(206,5,,,"MATCHS"))),FALSE),RIGHT(INDIRECT(ADDRESS(206,5,,,"MATCHS")), FIND("--",INDIRECT(ADDRESS(206,5,,,"MATCHS")),1)),INDIRECT(ADDRESS(206,5,,,"MATCHS"))),,IF(IFERROR(FIND("--",INDIRECT(ADDRESS(231,3,,,"MATCHS"))),FALSE),RIGHT(INDIRECT(ADDRESS(231,3,,,"MATCHS")), FIND("--",INDIRECT(ADDRESS(231,3,,,"MATCHS")),1)),INDIRECT(ADDRESS(231,3,,,"MATCHS"))),)</f>
        <v>0</v>
      </c>
      <c r="I51" s="127">
        <f ca="1">SUM(,IF(IFERROR(FIND("--",INDIRECT(ADDRESS(20,3,,,"MATCHS"))),FALSE),RIGHT(INDIRECT(ADDRESS(20,3,,,"MATCHS")), FIND("--",INDIRECT(ADDRESS(20,3,,,"MATCHS")),1)),INDIRECT(ADDRESS(20,3,,,"MATCHS"))),,,IF(IFERROR(FIND("--",INDIRECT(ADDRESS(57,3,,,"MATCHS"))),FALSE),RIGHT(INDIRECT(ADDRESS(57,3,,,"MATCHS")), FIND("--",INDIRECT(ADDRESS(57,3,,,"MATCHS")),1)),INDIRECT(ADDRESS(57,3,,,"MATCHS"))),,,IF(IFERROR(FIND("--",INDIRECT(ADDRESS(93,3,,,"MATCHS"))),FALSE),RIGHT(INDIRECT(ADDRESS(93,3,,,"MATCHS")), FIND("--",INDIRECT(ADDRESS(93,3,,,"MATCHS")),1)),INDIRECT(ADDRESS(93,3,,,"MATCHS"))),,,,,,,IF(IFERROR(FIND("--",INDIRECT(ADDRESS(170,5,,,"MATCHS"))),FALSE),RIGHT(INDIRECT(ADDRESS(170,5,,,"MATCHS")), FIND("--",INDIRECT(ADDRESS(170,5,,,"MATCHS")),1)),INDIRECT(ADDRESS(170,5,,,"MATCHS"))),,,IF(IFERROR(FIND("--",INDIRECT(ADDRESS(206,3,,,"MATCHS"))),FALSE),RIGHT(INDIRECT(ADDRESS(206,3,,,"MATCHS")), FIND("--",INDIRECT(ADDRESS(206,3,,,"MATCHS")),1)),INDIRECT(ADDRESS(206,3,,,"MATCHS"))),,IF(IFERROR(FIND("--",INDIRECT(ADDRESS(231,5,,,"MATCHS"))),FALSE),RIGHT(INDIRECT(ADDRESS(231,5,,,"MATCHS")), FIND("--",INDIRECT(ADDRESS(231,5,,,"MATCHS")),1)),INDIRECT(ADDRESS(231,5,,,"MATCHS"))),)</f>
        <v>0</v>
      </c>
      <c r="J51" s="127">
        <f ca="1">H51 - I51</f>
        <v>0</v>
      </c>
      <c r="K51" s="127">
        <v>0</v>
      </c>
      <c r="L51" s="127">
        <v>4</v>
      </c>
      <c r="M51" s="127"/>
      <c r="N51" s="115" t="str">
        <f>M51 &amp; "DH"</f>
        <v>DH</v>
      </c>
    </row>
    <row r="52" spans="1:14" ht="15.75" x14ac:dyDescent="0.25">
      <c r="A52" s="126"/>
      <c r="B52" s="127">
        <v>5</v>
      </c>
      <c r="C52" s="127" t="s">
        <v>104</v>
      </c>
      <c r="D52" s="127" t="str">
        <f>INSCRIPTS!C42</f>
        <v>5E</v>
      </c>
      <c r="E52" s="134">
        <f ca="1">SUM(,IF(INDIRECT(ADDRESS(21,3,,,"MATCHS"))&gt;INDIRECT(ADDRESS(21,5,,,"MATCHS")),1,0),,,IF(INDIRECT(ADDRESS(57,3,,,"MATCHS"))&gt;INDIRECT(ADDRESS(57,5,,,"MATCHS")),1,0),,,IF(INDIRECT(ADDRESS(94,5,,,"MATCHS"))&gt;INDIRECT(ADDRESS(94,3,,,"MATCHS")),1,0),,,IF(INDIRECT(ADDRESS(130,5,,,"MATCHS"))&gt;INDIRECT(ADDRESS(130,3,,,"MATCHS")),1,0),,,IF(INDIRECT(ADDRESS(167,5,,,"MATCHS"))&gt;INDIRECT(ADDRESS(167,3,,,"MATCHS")),1,0),,,,IF(INDIRECT(ADDRESS(207,3,,,"MATCHS"))&gt;INDIRECT(ADDRESS(207,5,,,"MATCHS")),1,0),,,) + 0.01 * K52</f>
        <v>0</v>
      </c>
      <c r="F52" s="127">
        <f ca="1">SUM(,IF(INDIRECT(ADDRESS(21,3,,,"MATCHS"))&lt;INDIRECT(ADDRESS(21,5,,,"MATCHS")),1,0),,,IF(INDIRECT(ADDRESS(57,3,,,"MATCHS"))&lt;INDIRECT(ADDRESS(57,5,,,"MATCHS")),1,0),,,IF(INDIRECT(ADDRESS(94,5,,,"MATCHS"))&lt;INDIRECT(ADDRESS(94,3,,,"MATCHS")),1,0),,,IF(INDIRECT(ADDRESS(130,5,,,"MATCHS"))&lt;INDIRECT(ADDRESS(130,3,,,"MATCHS")),1,0),,,IF(INDIRECT(ADDRESS(167,5,,,"MATCHS"))&lt;INDIRECT(ADDRESS(167,3,,,"MATCHS")),1,0),,,,IF(INDIRECT(ADDRESS(207,3,,,"MATCHS"))&lt;INDIRECT(ADDRESS(207,5,,,"MATCHS")),1,0),,,)</f>
        <v>0</v>
      </c>
      <c r="G52" s="127"/>
      <c r="H52" s="127">
        <f ca="1">SUM(,IF(IFERROR(FIND("--",INDIRECT(ADDRESS(21,3,,,"MATCHS"))),FALSE),RIGHT(INDIRECT(ADDRESS(21,3,,,"MATCHS")), FIND("--",INDIRECT(ADDRESS(21,3,,,"MATCHS")),1)),INDIRECT(ADDRESS(21,3,,,"MATCHS"))),,,IF(IFERROR(FIND("--",INDIRECT(ADDRESS(57,3,,,"MATCHS"))),FALSE),RIGHT(INDIRECT(ADDRESS(57,3,,,"MATCHS")), FIND("--",INDIRECT(ADDRESS(57,3,,,"MATCHS")),1)),INDIRECT(ADDRESS(57,3,,,"MATCHS"))),,,IF(IFERROR(FIND("--",INDIRECT(ADDRESS(94,5,,,"MATCHS"))),FALSE),RIGHT(INDIRECT(ADDRESS(94,5,,,"MATCHS")), FIND("--",INDIRECT(ADDRESS(94,5,,,"MATCHS")),1)),INDIRECT(ADDRESS(94,5,,,"MATCHS"))),,,IF(IFERROR(FIND("--",INDIRECT(ADDRESS(130,5,,,"MATCHS"))),FALSE),RIGHT(INDIRECT(ADDRESS(130,5,,,"MATCHS")), FIND("--",INDIRECT(ADDRESS(130,5,,,"MATCHS")),1)),INDIRECT(ADDRESS(130,5,,,"MATCHS"))),,,IF(IFERROR(FIND("--",INDIRECT(ADDRESS(167,5,,,"MATCHS"))),FALSE),RIGHT(INDIRECT(ADDRESS(167,5,,,"MATCHS")), FIND("--",INDIRECT(ADDRESS(167,5,,,"MATCHS")),1)),INDIRECT(ADDRESS(167,5,,,"MATCHS"))),,,,IF(IFERROR(FIND("--",INDIRECT(ADDRESS(207,3,,,"MATCHS"))),FALSE),RIGHT(INDIRECT(ADDRESS(207,3,,,"MATCHS")), FIND("--",INDIRECT(ADDRESS(207,3,,,"MATCHS")),1)),INDIRECT(ADDRESS(207,3,,,"MATCHS"))),,,)</f>
        <v>0</v>
      </c>
      <c r="I52" s="127">
        <f ca="1">SUM(,IF(IFERROR(FIND("--",INDIRECT(ADDRESS(21,5,,,"MATCHS"))),FALSE),RIGHT(INDIRECT(ADDRESS(21,5,,,"MATCHS")), FIND("--",INDIRECT(ADDRESS(21,5,,,"MATCHS")),1)),INDIRECT(ADDRESS(21,5,,,"MATCHS"))),,,IF(IFERROR(FIND("--",INDIRECT(ADDRESS(57,5,,,"MATCHS"))),FALSE),RIGHT(INDIRECT(ADDRESS(57,5,,,"MATCHS")), FIND("--",INDIRECT(ADDRESS(57,5,,,"MATCHS")),1)),INDIRECT(ADDRESS(57,5,,,"MATCHS"))),,,IF(IFERROR(FIND("--",INDIRECT(ADDRESS(94,3,,,"MATCHS"))),FALSE),RIGHT(INDIRECT(ADDRESS(94,3,,,"MATCHS")), FIND("--",INDIRECT(ADDRESS(94,3,,,"MATCHS")),1)),INDIRECT(ADDRESS(94,3,,,"MATCHS"))),,,IF(IFERROR(FIND("--",INDIRECT(ADDRESS(130,3,,,"MATCHS"))),FALSE),RIGHT(INDIRECT(ADDRESS(130,3,,,"MATCHS")), FIND("--",INDIRECT(ADDRESS(130,3,,,"MATCHS")),1)),INDIRECT(ADDRESS(130,3,,,"MATCHS"))),,,IF(IFERROR(FIND("--",INDIRECT(ADDRESS(167,3,,,"MATCHS"))),FALSE),RIGHT(INDIRECT(ADDRESS(167,3,,,"MATCHS")), FIND("--",INDIRECT(ADDRESS(167,3,,,"MATCHS")),1)),INDIRECT(ADDRESS(167,3,,,"MATCHS"))),,,,IF(IFERROR(FIND("--",INDIRECT(ADDRESS(207,5,,,"MATCHS"))),FALSE),RIGHT(INDIRECT(ADDRESS(207,5,,,"MATCHS")), FIND("--",INDIRECT(ADDRESS(207,5,,,"MATCHS")),1)),INDIRECT(ADDRESS(207,5,,,"MATCHS"))),,,)</f>
        <v>0</v>
      </c>
      <c r="J52" s="127">
        <f ca="1">H52 - I52</f>
        <v>0</v>
      </c>
      <c r="K52" s="127">
        <v>0</v>
      </c>
      <c r="L52" s="127">
        <v>5</v>
      </c>
      <c r="M52" s="127"/>
      <c r="N52" s="115" t="str">
        <f>M52 &amp; "DH"</f>
        <v>DH</v>
      </c>
    </row>
    <row r="53" spans="1:14" ht="15.75" x14ac:dyDescent="0.25">
      <c r="A53" s="126"/>
      <c r="B53" s="127">
        <v>6</v>
      </c>
      <c r="C53" s="127" t="s">
        <v>105</v>
      </c>
      <c r="D53" s="127" t="str">
        <f>INSCRIPTS!C43</f>
        <v>6E</v>
      </c>
      <c r="E53" s="134">
        <f ca="1">SUM(,IF(INDIRECT(ADDRESS(21,5,,,"MATCHS"))&gt;INDIRECT(ADDRESS(21,3,,,"MATCHS")),1,0),,,IF(INDIRECT(ADDRESS(58,3,,,"MATCHS"))&gt;INDIRECT(ADDRESS(58,5,,,"MATCHS")),1,0),,,,,,IF(INDIRECT(ADDRESS(131,3,,,"MATCHS"))&gt;INDIRECT(ADDRESS(131,5,,,"MATCHS")),1,0),,,IF(INDIRECT(ADDRESS(168,5,,,"MATCHS"))&gt;INDIRECT(ADDRESS(168,3,,,"MATCHS")),1,0),,,IF(INDIRECT(ADDRESS(204,5,,,"MATCHS"))&gt;INDIRECT(ADDRESS(204,3,,,"MATCHS")),1,0),,,IF(INDIRECT(ADDRESS(231,5,,,"MATCHS"))&gt;INDIRECT(ADDRESS(231,3,,,"MATCHS")),1,0),) + 0.01 * K53</f>
        <v>0</v>
      </c>
      <c r="F53" s="127">
        <f ca="1">SUM(,IF(INDIRECT(ADDRESS(21,5,,,"MATCHS"))&lt;INDIRECT(ADDRESS(21,3,,,"MATCHS")),1,0),,,IF(INDIRECT(ADDRESS(58,3,,,"MATCHS"))&lt;INDIRECT(ADDRESS(58,5,,,"MATCHS")),1,0),,,,,,IF(INDIRECT(ADDRESS(131,3,,,"MATCHS"))&lt;INDIRECT(ADDRESS(131,5,,,"MATCHS")),1,0),,,IF(INDIRECT(ADDRESS(168,5,,,"MATCHS"))&lt;INDIRECT(ADDRESS(168,3,,,"MATCHS")),1,0),,,IF(INDIRECT(ADDRESS(204,5,,,"MATCHS"))&lt;INDIRECT(ADDRESS(204,3,,,"MATCHS")),1,0),,,IF(INDIRECT(ADDRESS(231,5,,,"MATCHS"))&lt;INDIRECT(ADDRESS(231,3,,,"MATCHS")),1,0),)</f>
        <v>0</v>
      </c>
      <c r="G53" s="127"/>
      <c r="H53" s="127">
        <f ca="1">SUM(,IF(IFERROR(FIND("--",INDIRECT(ADDRESS(21,5,,,"MATCHS"))),FALSE),RIGHT(INDIRECT(ADDRESS(21,5,,,"MATCHS")), FIND("--",INDIRECT(ADDRESS(21,5,,,"MATCHS")),1)),INDIRECT(ADDRESS(21,5,,,"MATCHS"))),,,IF(IFERROR(FIND("--",INDIRECT(ADDRESS(58,3,,,"MATCHS"))),FALSE),RIGHT(INDIRECT(ADDRESS(58,3,,,"MATCHS")), FIND("--",INDIRECT(ADDRESS(58,3,,,"MATCHS")),1)),INDIRECT(ADDRESS(58,3,,,"MATCHS"))),,,,,,IF(IFERROR(FIND("--",INDIRECT(ADDRESS(131,3,,,"MATCHS"))),FALSE),RIGHT(INDIRECT(ADDRESS(131,3,,,"MATCHS")), FIND("--",INDIRECT(ADDRESS(131,3,,,"MATCHS")),1)),INDIRECT(ADDRESS(131,3,,,"MATCHS"))),,,IF(IFERROR(FIND("--",INDIRECT(ADDRESS(168,5,,,"MATCHS"))),FALSE),RIGHT(INDIRECT(ADDRESS(168,5,,,"MATCHS")), FIND("--",INDIRECT(ADDRESS(168,5,,,"MATCHS")),1)),INDIRECT(ADDRESS(168,5,,,"MATCHS"))),,,IF(IFERROR(FIND("--",INDIRECT(ADDRESS(204,5,,,"MATCHS"))),FALSE),RIGHT(INDIRECT(ADDRESS(204,5,,,"MATCHS")), FIND("--",INDIRECT(ADDRESS(204,5,,,"MATCHS")),1)),INDIRECT(ADDRESS(204,5,,,"MATCHS"))),,,IF(IFERROR(FIND("--",INDIRECT(ADDRESS(231,5,,,"MATCHS"))),FALSE),RIGHT(INDIRECT(ADDRESS(231,5,,,"MATCHS")), FIND("--",INDIRECT(ADDRESS(231,5,,,"MATCHS")),1)),INDIRECT(ADDRESS(231,5,,,"MATCHS"))),)</f>
        <v>0</v>
      </c>
      <c r="I53" s="127">
        <f ca="1">SUM(,IF(IFERROR(FIND("--",INDIRECT(ADDRESS(21,3,,,"MATCHS"))),FALSE),RIGHT(INDIRECT(ADDRESS(21,3,,,"MATCHS")), FIND("--",INDIRECT(ADDRESS(21,3,,,"MATCHS")),1)),INDIRECT(ADDRESS(21,3,,,"MATCHS"))),,,IF(IFERROR(FIND("--",INDIRECT(ADDRESS(58,5,,,"MATCHS"))),FALSE),RIGHT(INDIRECT(ADDRESS(58,5,,,"MATCHS")), FIND("--",INDIRECT(ADDRESS(58,5,,,"MATCHS")),1)),INDIRECT(ADDRESS(58,5,,,"MATCHS"))),,,,,,IF(IFERROR(FIND("--",INDIRECT(ADDRESS(131,5,,,"MATCHS"))),FALSE),RIGHT(INDIRECT(ADDRESS(131,5,,,"MATCHS")), FIND("--",INDIRECT(ADDRESS(131,5,,,"MATCHS")),1)),INDIRECT(ADDRESS(131,5,,,"MATCHS"))),,,IF(IFERROR(FIND("--",INDIRECT(ADDRESS(168,3,,,"MATCHS"))),FALSE),RIGHT(INDIRECT(ADDRESS(168,3,,,"MATCHS")), FIND("--",INDIRECT(ADDRESS(168,3,,,"MATCHS")),1)),INDIRECT(ADDRESS(168,3,,,"MATCHS"))),,,IF(IFERROR(FIND("--",INDIRECT(ADDRESS(204,3,,,"MATCHS"))),FALSE),RIGHT(INDIRECT(ADDRESS(204,3,,,"MATCHS")), FIND("--",INDIRECT(ADDRESS(204,3,,,"MATCHS")),1)),INDIRECT(ADDRESS(204,3,,,"MATCHS"))),,,IF(IFERROR(FIND("--",INDIRECT(ADDRESS(231,3,,,"MATCHS"))),FALSE),RIGHT(INDIRECT(ADDRESS(231,3,,,"MATCHS")), FIND("--",INDIRECT(ADDRESS(231,3,,,"MATCHS")),1)),INDIRECT(ADDRESS(231,3,,,"MATCHS"))),)</f>
        <v>0</v>
      </c>
      <c r="J53" s="127">
        <f ca="1">H53 - I53</f>
        <v>0</v>
      </c>
      <c r="K53" s="127">
        <v>0</v>
      </c>
      <c r="L53" s="127">
        <v>6</v>
      </c>
      <c r="M53" s="127"/>
      <c r="N53" s="115" t="str">
        <f>M53 &amp; "DH"</f>
        <v>DH</v>
      </c>
    </row>
    <row r="54" spans="1:14" ht="15.75" x14ac:dyDescent="0.25">
      <c r="A54" s="126"/>
      <c r="B54" s="127">
        <v>7</v>
      </c>
      <c r="C54" s="127" t="s">
        <v>136</v>
      </c>
      <c r="D54" s="127" t="str">
        <f>INSCRIPTS!C44</f>
        <v>7E</v>
      </c>
      <c r="E54" s="134">
        <f ca="1">SUM(,,,,IF(INDIRECT(ADDRESS(58,5,,,"MATCHS"))&gt;INDIRECT(ADDRESS(58,3,,,"MATCHS")),1,0),,,IF(INDIRECT(ADDRESS(95,3,,,"MATCHS"))&gt;INDIRECT(ADDRESS(95,5,,,"MATCHS")),1,0),,,IF(INDIRECT(ADDRESS(132,5,,,"MATCHS"))&gt;INDIRECT(ADDRESS(132,3,,,"MATCHS")),1,0),,,,IF(INDIRECT(ADDRESS(170,5,,,"MATCHS"))&gt;INDIRECT(ADDRESS(170,3,,,"MATCHS")),1,0),,,IF(INDIRECT(ADDRESS(207,5,,,"MATCHS"))&gt;INDIRECT(ADDRESS(207,3,,,"MATCHS")),1,0),IF(INDIRECT(ADDRESS(228,5,,,"MATCHS"))&gt;INDIRECT(ADDRESS(228,3,,,"MATCHS")),1,0),,) + 0.01 * K54</f>
        <v>0</v>
      </c>
      <c r="F54" s="127">
        <f ca="1">SUM(,,,,IF(INDIRECT(ADDRESS(58,5,,,"MATCHS"))&lt;INDIRECT(ADDRESS(58,3,,,"MATCHS")),1,0),,,IF(INDIRECT(ADDRESS(95,3,,,"MATCHS"))&lt;INDIRECT(ADDRESS(95,5,,,"MATCHS")),1,0),,,IF(INDIRECT(ADDRESS(132,5,,,"MATCHS"))&lt;INDIRECT(ADDRESS(132,3,,,"MATCHS")),1,0),,,,IF(INDIRECT(ADDRESS(170,5,,,"MATCHS"))&lt;INDIRECT(ADDRESS(170,3,,,"MATCHS")),1,0),,,IF(INDIRECT(ADDRESS(207,5,,,"MATCHS"))&lt;INDIRECT(ADDRESS(207,3,,,"MATCHS")),1,0),IF(INDIRECT(ADDRESS(228,5,,,"MATCHS"))&lt;INDIRECT(ADDRESS(228,3,,,"MATCHS")),1,0),,)</f>
        <v>0</v>
      </c>
      <c r="G54" s="127"/>
      <c r="H54" s="127">
        <f ca="1">SUM(,,,,IF(IFERROR(FIND("--",INDIRECT(ADDRESS(58,5,,,"MATCHS"))),FALSE),RIGHT(INDIRECT(ADDRESS(58,5,,,"MATCHS")), FIND("--",INDIRECT(ADDRESS(58,5,,,"MATCHS")),1)),INDIRECT(ADDRESS(58,5,,,"MATCHS"))),,,IF(IFERROR(FIND("--",INDIRECT(ADDRESS(95,3,,,"MATCHS"))),FALSE),RIGHT(INDIRECT(ADDRESS(95,3,,,"MATCHS")), FIND("--",INDIRECT(ADDRESS(95,3,,,"MATCHS")),1)),INDIRECT(ADDRESS(95,3,,,"MATCHS"))),,,IF(IFERROR(FIND("--",INDIRECT(ADDRESS(132,5,,,"MATCHS"))),FALSE),RIGHT(INDIRECT(ADDRESS(132,5,,,"MATCHS")), FIND("--",INDIRECT(ADDRESS(132,5,,,"MATCHS")),1)),INDIRECT(ADDRESS(132,5,,,"MATCHS"))),,,,IF(IFERROR(FIND("--",INDIRECT(ADDRESS(170,5,,,"MATCHS"))),FALSE),RIGHT(INDIRECT(ADDRESS(170,5,,,"MATCHS")), FIND("--",INDIRECT(ADDRESS(170,5,,,"MATCHS")),1)),INDIRECT(ADDRESS(170,5,,,"MATCHS"))),,,IF(IFERROR(FIND("--",INDIRECT(ADDRESS(207,5,,,"MATCHS"))),FALSE),RIGHT(INDIRECT(ADDRESS(207,5,,,"MATCHS")), FIND("--",INDIRECT(ADDRESS(207,5,,,"MATCHS")),1)),INDIRECT(ADDRESS(207,5,,,"MATCHS"))),IF(IFERROR(FIND("--",INDIRECT(ADDRESS(228,5,,,"MATCHS"))),FALSE),RIGHT(INDIRECT(ADDRESS(228,5,,,"MATCHS")), FIND("--",INDIRECT(ADDRESS(228,5,,,"MATCHS")),1)),INDIRECT(ADDRESS(228,5,,,"MATCHS"))),,)</f>
        <v>0</v>
      </c>
      <c r="I54" s="127">
        <f ca="1">SUM(,,,,IF(IFERROR(FIND("--",INDIRECT(ADDRESS(58,3,,,"MATCHS"))),FALSE),RIGHT(INDIRECT(ADDRESS(58,3,,,"MATCHS")), FIND("--",INDIRECT(ADDRESS(58,3,,,"MATCHS")),1)),INDIRECT(ADDRESS(58,3,,,"MATCHS"))),,,IF(IFERROR(FIND("--",INDIRECT(ADDRESS(95,5,,,"MATCHS"))),FALSE),RIGHT(INDIRECT(ADDRESS(95,5,,,"MATCHS")), FIND("--",INDIRECT(ADDRESS(95,5,,,"MATCHS")),1)),INDIRECT(ADDRESS(95,5,,,"MATCHS"))),,,IF(IFERROR(FIND("--",INDIRECT(ADDRESS(132,3,,,"MATCHS"))),FALSE),RIGHT(INDIRECT(ADDRESS(132,3,,,"MATCHS")), FIND("--",INDIRECT(ADDRESS(132,3,,,"MATCHS")),1)),INDIRECT(ADDRESS(132,3,,,"MATCHS"))),,,,IF(IFERROR(FIND("--",INDIRECT(ADDRESS(170,3,,,"MATCHS"))),FALSE),RIGHT(INDIRECT(ADDRESS(170,3,,,"MATCHS")), FIND("--",INDIRECT(ADDRESS(170,3,,,"MATCHS")),1)),INDIRECT(ADDRESS(170,3,,,"MATCHS"))),,,IF(IFERROR(FIND("--",INDIRECT(ADDRESS(207,3,,,"MATCHS"))),FALSE),RIGHT(INDIRECT(ADDRESS(207,3,,,"MATCHS")), FIND("--",INDIRECT(ADDRESS(207,3,,,"MATCHS")),1)),INDIRECT(ADDRESS(207,3,,,"MATCHS"))),IF(IFERROR(FIND("--",INDIRECT(ADDRESS(228,3,,,"MATCHS"))),FALSE),RIGHT(INDIRECT(ADDRESS(228,3,,,"MATCHS")), FIND("--",INDIRECT(ADDRESS(228,3,,,"MATCHS")),1)),INDIRECT(ADDRESS(228,3,,,"MATCHS"))),,)</f>
        <v>0</v>
      </c>
      <c r="J54" s="127">
        <f ca="1">H54 - I54</f>
        <v>0</v>
      </c>
      <c r="K54" s="127">
        <v>0</v>
      </c>
      <c r="L54" s="127">
        <v>7</v>
      </c>
      <c r="M54" s="127"/>
      <c r="N54" s="115" t="str">
        <f>M54 &amp; "DH"</f>
        <v>DH</v>
      </c>
    </row>
    <row r="55" spans="1:14" ht="15.75" thickBot="1" x14ac:dyDescent="0.3"/>
    <row r="56" spans="1:14" ht="30.95" customHeight="1" thickBot="1" x14ac:dyDescent="0.3">
      <c r="C56" s="116" t="s">
        <v>179</v>
      </c>
      <c r="D56" s="116" t="s">
        <v>60</v>
      </c>
      <c r="E56" s="129" t="s">
        <v>180</v>
      </c>
      <c r="F56" s="116" t="s">
        <v>181</v>
      </c>
      <c r="G56" s="116" t="s">
        <v>182</v>
      </c>
      <c r="H56" s="116" t="s">
        <v>183</v>
      </c>
      <c r="I56" s="116" t="s">
        <v>184</v>
      </c>
      <c r="J56" s="116" t="s">
        <v>185</v>
      </c>
      <c r="K56" s="117" t="s">
        <v>186</v>
      </c>
      <c r="L56" s="116" t="s">
        <v>187</v>
      </c>
      <c r="M56" s="117" t="s">
        <v>188</v>
      </c>
    </row>
    <row r="58" spans="1:14" ht="15.75" x14ac:dyDescent="0.25">
      <c r="A58" s="118" t="s">
        <v>67</v>
      </c>
      <c r="B58" s="119">
        <v>1</v>
      </c>
      <c r="C58" s="119" t="s">
        <v>106</v>
      </c>
      <c r="D58" s="119" t="str">
        <f>INSCRIPTS!C46</f>
        <v>1F</v>
      </c>
      <c r="E58" s="130">
        <f ca="1">SUM(,IF(INDIRECT(ADDRESS(22,3,,,"MATCHS"))&gt;INDIRECT(ADDRESS(22,5,,,"MATCHS")),1,0),,,IF(INDIRECT(ADDRESS(59,3,,,"MATCHS"))&gt;INDIRECT(ADDRESS(59,5,,,"MATCHS")),1,0),,,IF(INDIRECT(ADDRESS(96,3,,,"MATCHS"))&gt;INDIRECT(ADDRESS(96,5,,,"MATCHS")),1,0),,,,IF(INDIRECT(ADDRESS(134,3,,,"MATCHS"))&gt;INDIRECT(ADDRESS(134,5,,,"MATCHS")),1,0),,,,,,IF(INDIRECT(ADDRESS(208,3,,,"MATCHS"))&gt;INDIRECT(ADDRESS(208,5,,,"MATCHS")),1,0),,IF(INDIRECT(ADDRESS(232,3,,,"MATCHS"))&gt;INDIRECT(ADDRESS(232,5,,,"MATCHS")),1,0),) + 0.01 * K58</f>
        <v>0</v>
      </c>
      <c r="F58" s="119">
        <f ca="1">SUM(,IF(INDIRECT(ADDRESS(22,3,,,"MATCHS"))&lt;INDIRECT(ADDRESS(22,5,,,"MATCHS")),1,0),,,IF(INDIRECT(ADDRESS(59,3,,,"MATCHS"))&lt;INDIRECT(ADDRESS(59,5,,,"MATCHS")),1,0),,,IF(INDIRECT(ADDRESS(96,3,,,"MATCHS"))&lt;INDIRECT(ADDRESS(96,5,,,"MATCHS")),1,0),,,,IF(INDIRECT(ADDRESS(134,3,,,"MATCHS"))&lt;INDIRECT(ADDRESS(134,5,,,"MATCHS")),1,0),,,,,,IF(INDIRECT(ADDRESS(208,3,,,"MATCHS"))&lt;INDIRECT(ADDRESS(208,5,,,"MATCHS")),1,0),,IF(INDIRECT(ADDRESS(232,3,,,"MATCHS"))&lt;INDIRECT(ADDRESS(232,5,,,"MATCHS")),1,0),)</f>
        <v>0</v>
      </c>
      <c r="G58" s="119"/>
      <c r="H58" s="119">
        <f ca="1">SUM(,IF(IFERROR(FIND("--",INDIRECT(ADDRESS(22,3,,,"MATCHS"))),FALSE),RIGHT(INDIRECT(ADDRESS(22,3,,,"MATCHS")), FIND("--",INDIRECT(ADDRESS(22,3,,,"MATCHS")),1)),INDIRECT(ADDRESS(22,3,,,"MATCHS"))),,,IF(IFERROR(FIND("--",INDIRECT(ADDRESS(59,3,,,"MATCHS"))),FALSE),RIGHT(INDIRECT(ADDRESS(59,3,,,"MATCHS")), FIND("--",INDIRECT(ADDRESS(59,3,,,"MATCHS")),1)),INDIRECT(ADDRESS(59,3,,,"MATCHS"))),,,IF(IFERROR(FIND("--",INDIRECT(ADDRESS(96,3,,,"MATCHS"))),FALSE),RIGHT(INDIRECT(ADDRESS(96,3,,,"MATCHS")), FIND("--",INDIRECT(ADDRESS(96,3,,,"MATCHS")),1)),INDIRECT(ADDRESS(96,3,,,"MATCHS"))),,,,IF(IFERROR(FIND("--",INDIRECT(ADDRESS(134,3,,,"MATCHS"))),FALSE),RIGHT(INDIRECT(ADDRESS(134,3,,,"MATCHS")), FIND("--",INDIRECT(ADDRESS(134,3,,,"MATCHS")),1)),INDIRECT(ADDRESS(134,3,,,"MATCHS"))),,,,,,IF(IFERROR(FIND("--",INDIRECT(ADDRESS(208,3,,,"MATCHS"))),FALSE),RIGHT(INDIRECT(ADDRESS(208,3,,,"MATCHS")), FIND("--",INDIRECT(ADDRESS(208,3,,,"MATCHS")),1)),INDIRECT(ADDRESS(208,3,,,"MATCHS"))),,IF(IFERROR(FIND("--",INDIRECT(ADDRESS(232,3,,,"MATCHS"))),FALSE),RIGHT(INDIRECT(ADDRESS(232,3,,,"MATCHS")), FIND("--",INDIRECT(ADDRESS(232,3,,,"MATCHS")),1)),INDIRECT(ADDRESS(232,3,,,"MATCHS"))),)</f>
        <v>0</v>
      </c>
      <c r="I58" s="119">
        <f ca="1">SUM(,IF(IFERROR(FIND("--",INDIRECT(ADDRESS(22,5,,,"MATCHS"))),FALSE),RIGHT(INDIRECT(ADDRESS(22,5,,,"MATCHS")), FIND("--",INDIRECT(ADDRESS(22,5,,,"MATCHS")),1)),INDIRECT(ADDRESS(22,5,,,"MATCHS"))),,,IF(IFERROR(FIND("--",INDIRECT(ADDRESS(59,5,,,"MATCHS"))),FALSE),RIGHT(INDIRECT(ADDRESS(59,5,,,"MATCHS")), FIND("--",INDIRECT(ADDRESS(59,5,,,"MATCHS")),1)),INDIRECT(ADDRESS(59,5,,,"MATCHS"))),,,IF(IFERROR(FIND("--",INDIRECT(ADDRESS(96,5,,,"MATCHS"))),FALSE),RIGHT(INDIRECT(ADDRESS(96,5,,,"MATCHS")), FIND("--",INDIRECT(ADDRESS(96,5,,,"MATCHS")),1)),INDIRECT(ADDRESS(96,5,,,"MATCHS"))),,,,IF(IFERROR(FIND("--",INDIRECT(ADDRESS(134,5,,,"MATCHS"))),FALSE),RIGHT(INDIRECT(ADDRESS(134,5,,,"MATCHS")), FIND("--",INDIRECT(ADDRESS(134,5,,,"MATCHS")),1)),INDIRECT(ADDRESS(134,5,,,"MATCHS"))),,,,,,IF(IFERROR(FIND("--",INDIRECT(ADDRESS(208,5,,,"MATCHS"))),FALSE),RIGHT(INDIRECT(ADDRESS(208,5,,,"MATCHS")), FIND("--",INDIRECT(ADDRESS(208,5,,,"MATCHS")),1)),INDIRECT(ADDRESS(208,5,,,"MATCHS"))),,IF(IFERROR(FIND("--",INDIRECT(ADDRESS(232,5,,,"MATCHS"))),FALSE),RIGHT(INDIRECT(ADDRESS(232,5,,,"MATCHS")), FIND("--",INDIRECT(ADDRESS(232,5,,,"MATCHS")),1)),INDIRECT(ADDRESS(232,5,,,"MATCHS"))),)</f>
        <v>0</v>
      </c>
      <c r="J58" s="119">
        <f ca="1">H58 - I58</f>
        <v>0</v>
      </c>
      <c r="K58" s="119">
        <v>0</v>
      </c>
      <c r="L58" s="119">
        <v>1</v>
      </c>
      <c r="M58" s="119"/>
      <c r="N58" s="115" t="str">
        <f>M58 &amp; "DH"</f>
        <v>DH</v>
      </c>
    </row>
    <row r="59" spans="1:14" ht="15.75" x14ac:dyDescent="0.25">
      <c r="A59" s="118"/>
      <c r="B59" s="119">
        <v>2</v>
      </c>
      <c r="C59" s="119" t="s">
        <v>107</v>
      </c>
      <c r="D59" s="119" t="str">
        <f>INSCRIPTS!C47</f>
        <v>2F</v>
      </c>
      <c r="E59" s="130">
        <f ca="1">SUM(,IF(INDIRECT(ADDRESS(22,5,,,"MATCHS"))&gt;INDIRECT(ADDRESS(22,3,,,"MATCHS")),1,0),,,,,,,IF(INDIRECT(ADDRESS(98,3,,,"MATCHS"))&gt;INDIRECT(ADDRESS(98,5,,,"MATCHS")),1,0),,,IF(INDIRECT(ADDRESS(136,3,,,"MATCHS"))&gt;INDIRECT(ADDRESS(136,5,,,"MATCHS")),1,0),,,IF(INDIRECT(ADDRESS(172,3,,,"MATCHS"))&gt;INDIRECT(ADDRESS(172,5,,,"MATCHS")),1,0),,,IF(INDIRECT(ADDRESS(209,3,,,"MATCHS"))&gt;INDIRECT(ADDRESS(209,5,,,"MATCHS")),1,0),,IF(INDIRECT(ADDRESS(233,3,,,"MATCHS"))&gt;INDIRECT(ADDRESS(233,5,,,"MATCHS")),1,0),) + 0.01 * K59</f>
        <v>0</v>
      </c>
      <c r="F59" s="119">
        <f ca="1">SUM(,IF(INDIRECT(ADDRESS(22,5,,,"MATCHS"))&lt;INDIRECT(ADDRESS(22,3,,,"MATCHS")),1,0),,,,,,,IF(INDIRECT(ADDRESS(98,3,,,"MATCHS"))&lt;INDIRECT(ADDRESS(98,5,,,"MATCHS")),1,0),,,IF(INDIRECT(ADDRESS(136,3,,,"MATCHS"))&lt;INDIRECT(ADDRESS(136,5,,,"MATCHS")),1,0),,,IF(INDIRECT(ADDRESS(172,3,,,"MATCHS"))&lt;INDIRECT(ADDRESS(172,5,,,"MATCHS")),1,0),,,IF(INDIRECT(ADDRESS(209,3,,,"MATCHS"))&lt;INDIRECT(ADDRESS(209,5,,,"MATCHS")),1,0),,IF(INDIRECT(ADDRESS(233,3,,,"MATCHS"))&lt;INDIRECT(ADDRESS(233,5,,,"MATCHS")),1,0),)</f>
        <v>0</v>
      </c>
      <c r="G59" s="119"/>
      <c r="H59" s="119">
        <f ca="1">SUM(,IF(IFERROR(FIND("--",INDIRECT(ADDRESS(22,5,,,"MATCHS"))),FALSE),RIGHT(INDIRECT(ADDRESS(22,5,,,"MATCHS")), FIND("--",INDIRECT(ADDRESS(22,5,,,"MATCHS")),1)),INDIRECT(ADDRESS(22,5,,,"MATCHS"))),,,,,,,IF(IFERROR(FIND("--",INDIRECT(ADDRESS(98,3,,,"MATCHS"))),FALSE),RIGHT(INDIRECT(ADDRESS(98,3,,,"MATCHS")), FIND("--",INDIRECT(ADDRESS(98,3,,,"MATCHS")),1)),INDIRECT(ADDRESS(98,3,,,"MATCHS"))),,,IF(IFERROR(FIND("--",INDIRECT(ADDRESS(136,3,,,"MATCHS"))),FALSE),RIGHT(INDIRECT(ADDRESS(136,3,,,"MATCHS")), FIND("--",INDIRECT(ADDRESS(136,3,,,"MATCHS")),1)),INDIRECT(ADDRESS(136,3,,,"MATCHS"))),,,IF(IFERROR(FIND("--",INDIRECT(ADDRESS(172,3,,,"MATCHS"))),FALSE),RIGHT(INDIRECT(ADDRESS(172,3,,,"MATCHS")), FIND("--",INDIRECT(ADDRESS(172,3,,,"MATCHS")),1)),INDIRECT(ADDRESS(172,3,,,"MATCHS"))),,,IF(IFERROR(FIND("--",INDIRECT(ADDRESS(209,3,,,"MATCHS"))),FALSE),RIGHT(INDIRECT(ADDRESS(209,3,,,"MATCHS")), FIND("--",INDIRECT(ADDRESS(209,3,,,"MATCHS")),1)),INDIRECT(ADDRESS(209,3,,,"MATCHS"))),,IF(IFERROR(FIND("--",INDIRECT(ADDRESS(233,3,,,"MATCHS"))),FALSE),RIGHT(INDIRECT(ADDRESS(233,3,,,"MATCHS")), FIND("--",INDIRECT(ADDRESS(233,3,,,"MATCHS")),1)),INDIRECT(ADDRESS(233,3,,,"MATCHS"))),)</f>
        <v>0</v>
      </c>
      <c r="I59" s="119">
        <f ca="1">SUM(,IF(IFERROR(FIND("--",INDIRECT(ADDRESS(22,3,,,"MATCHS"))),FALSE),RIGHT(INDIRECT(ADDRESS(22,3,,,"MATCHS")), FIND("--",INDIRECT(ADDRESS(22,3,,,"MATCHS")),1)),INDIRECT(ADDRESS(22,3,,,"MATCHS"))),,,,,,,IF(IFERROR(FIND("--",INDIRECT(ADDRESS(98,5,,,"MATCHS"))),FALSE),RIGHT(INDIRECT(ADDRESS(98,5,,,"MATCHS")), FIND("--",INDIRECT(ADDRESS(98,5,,,"MATCHS")),1)),INDIRECT(ADDRESS(98,5,,,"MATCHS"))),,,IF(IFERROR(FIND("--",INDIRECT(ADDRESS(136,5,,,"MATCHS"))),FALSE),RIGHT(INDIRECT(ADDRESS(136,5,,,"MATCHS")), FIND("--",INDIRECT(ADDRESS(136,5,,,"MATCHS")),1)),INDIRECT(ADDRESS(136,5,,,"MATCHS"))),,,IF(IFERROR(FIND("--",INDIRECT(ADDRESS(172,5,,,"MATCHS"))),FALSE),RIGHT(INDIRECT(ADDRESS(172,5,,,"MATCHS")), FIND("--",INDIRECT(ADDRESS(172,5,,,"MATCHS")),1)),INDIRECT(ADDRESS(172,5,,,"MATCHS"))),,,IF(IFERROR(FIND("--",INDIRECT(ADDRESS(209,5,,,"MATCHS"))),FALSE),RIGHT(INDIRECT(ADDRESS(209,5,,,"MATCHS")), FIND("--",INDIRECT(ADDRESS(209,5,,,"MATCHS")),1)),INDIRECT(ADDRESS(209,5,,,"MATCHS"))),,IF(IFERROR(FIND("--",INDIRECT(ADDRESS(233,5,,,"MATCHS"))),FALSE),RIGHT(INDIRECT(ADDRESS(233,5,,,"MATCHS")), FIND("--",INDIRECT(ADDRESS(233,5,,,"MATCHS")),1)),INDIRECT(ADDRESS(233,5,,,"MATCHS"))),)</f>
        <v>0</v>
      </c>
      <c r="J59" s="119">
        <f ca="1">H59 - I59</f>
        <v>0</v>
      </c>
      <c r="K59" s="119">
        <v>0</v>
      </c>
      <c r="L59" s="119">
        <v>2</v>
      </c>
      <c r="M59" s="119"/>
      <c r="N59" s="115" t="str">
        <f>M59 &amp; "DH"</f>
        <v>DH</v>
      </c>
    </row>
    <row r="60" spans="1:14" ht="15.75" x14ac:dyDescent="0.25">
      <c r="A60" s="118"/>
      <c r="B60" s="119">
        <v>3</v>
      </c>
      <c r="C60" s="119" t="s">
        <v>108</v>
      </c>
      <c r="D60" s="119" t="str">
        <f>INSCRIPTS!C48</f>
        <v>3F</v>
      </c>
      <c r="E60" s="130">
        <f ca="1">SUM(,IF(INDIRECT(ADDRESS(23,3,,,"MATCHS"))&gt;INDIRECT(ADDRESS(23,5,,,"MATCHS")),1,0),,,IF(INDIRECT(ADDRESS(59,5,,,"MATCHS"))&gt;INDIRECT(ADDRESS(59,3,,,"MATCHS")),1,0),,,,IF(INDIRECT(ADDRESS(99,5,,,"MATCHS"))&gt;INDIRECT(ADDRESS(99,3,,,"MATCHS")),1,0),,,IF(INDIRECT(ADDRESS(135,5,,,"MATCHS"))&gt;INDIRECT(ADDRESS(135,3,,,"MATCHS")),1,0),,,IF(INDIRECT(ADDRESS(171,3,,,"MATCHS"))&gt;INDIRECT(ADDRESS(171,5,,,"MATCHS")),1,0),,,,,IF(INDIRECT(ADDRESS(233,5,,,"MATCHS"))&gt;INDIRECT(ADDRESS(233,3,,,"MATCHS")),1,0),) + 0.01 * K60</f>
        <v>0</v>
      </c>
      <c r="F60" s="119">
        <f ca="1">SUM(,IF(INDIRECT(ADDRESS(23,3,,,"MATCHS"))&lt;INDIRECT(ADDRESS(23,5,,,"MATCHS")),1,0),,,IF(INDIRECT(ADDRESS(59,5,,,"MATCHS"))&lt;INDIRECT(ADDRESS(59,3,,,"MATCHS")),1,0),,,,IF(INDIRECT(ADDRESS(99,5,,,"MATCHS"))&lt;INDIRECT(ADDRESS(99,3,,,"MATCHS")),1,0),,,IF(INDIRECT(ADDRESS(135,5,,,"MATCHS"))&lt;INDIRECT(ADDRESS(135,3,,,"MATCHS")),1,0),,,IF(INDIRECT(ADDRESS(171,3,,,"MATCHS"))&lt;INDIRECT(ADDRESS(171,5,,,"MATCHS")),1,0),,,,,IF(INDIRECT(ADDRESS(233,5,,,"MATCHS"))&lt;INDIRECT(ADDRESS(233,3,,,"MATCHS")),1,0),)</f>
        <v>0</v>
      </c>
      <c r="G60" s="119"/>
      <c r="H60" s="119">
        <f ca="1">SUM(,IF(IFERROR(FIND("--",INDIRECT(ADDRESS(23,3,,,"MATCHS"))),FALSE),RIGHT(INDIRECT(ADDRESS(23,3,,,"MATCHS")), FIND("--",INDIRECT(ADDRESS(23,3,,,"MATCHS")),1)),INDIRECT(ADDRESS(23,3,,,"MATCHS"))),,,IF(IFERROR(FIND("--",INDIRECT(ADDRESS(59,5,,,"MATCHS"))),FALSE),RIGHT(INDIRECT(ADDRESS(59,5,,,"MATCHS")), FIND("--",INDIRECT(ADDRESS(59,5,,,"MATCHS")),1)),INDIRECT(ADDRESS(59,5,,,"MATCHS"))),,,,IF(IFERROR(FIND("--",INDIRECT(ADDRESS(99,5,,,"MATCHS"))),FALSE),RIGHT(INDIRECT(ADDRESS(99,5,,,"MATCHS")), FIND("--",INDIRECT(ADDRESS(99,5,,,"MATCHS")),1)),INDIRECT(ADDRESS(99,5,,,"MATCHS"))),,,IF(IFERROR(FIND("--",INDIRECT(ADDRESS(135,5,,,"MATCHS"))),FALSE),RIGHT(INDIRECT(ADDRESS(135,5,,,"MATCHS")), FIND("--",INDIRECT(ADDRESS(135,5,,,"MATCHS")),1)),INDIRECT(ADDRESS(135,5,,,"MATCHS"))),,,IF(IFERROR(FIND("--",INDIRECT(ADDRESS(171,3,,,"MATCHS"))),FALSE),RIGHT(INDIRECT(ADDRESS(171,3,,,"MATCHS")), FIND("--",INDIRECT(ADDRESS(171,3,,,"MATCHS")),1)),INDIRECT(ADDRESS(171,3,,,"MATCHS"))),,,,,IF(IFERROR(FIND("--",INDIRECT(ADDRESS(233,5,,,"MATCHS"))),FALSE),RIGHT(INDIRECT(ADDRESS(233,5,,,"MATCHS")), FIND("--",INDIRECT(ADDRESS(233,5,,,"MATCHS")),1)),INDIRECT(ADDRESS(233,5,,,"MATCHS"))),)</f>
        <v>0</v>
      </c>
      <c r="I60" s="119">
        <f ca="1">SUM(,IF(IFERROR(FIND("--",INDIRECT(ADDRESS(23,5,,,"MATCHS"))),FALSE),RIGHT(INDIRECT(ADDRESS(23,5,,,"MATCHS")), FIND("--",INDIRECT(ADDRESS(23,5,,,"MATCHS")),1)),INDIRECT(ADDRESS(23,5,,,"MATCHS"))),,,IF(IFERROR(FIND("--",INDIRECT(ADDRESS(59,3,,,"MATCHS"))),FALSE),RIGHT(INDIRECT(ADDRESS(59,3,,,"MATCHS")), FIND("--",INDIRECT(ADDRESS(59,3,,,"MATCHS")),1)),INDIRECT(ADDRESS(59,3,,,"MATCHS"))),,,,IF(IFERROR(FIND("--",INDIRECT(ADDRESS(99,3,,,"MATCHS"))),FALSE),RIGHT(INDIRECT(ADDRESS(99,3,,,"MATCHS")), FIND("--",INDIRECT(ADDRESS(99,3,,,"MATCHS")),1)),INDIRECT(ADDRESS(99,3,,,"MATCHS"))),,,IF(IFERROR(FIND("--",INDIRECT(ADDRESS(135,3,,,"MATCHS"))),FALSE),RIGHT(INDIRECT(ADDRESS(135,3,,,"MATCHS")), FIND("--",INDIRECT(ADDRESS(135,3,,,"MATCHS")),1)),INDIRECT(ADDRESS(135,3,,,"MATCHS"))),,,IF(IFERROR(FIND("--",INDIRECT(ADDRESS(171,5,,,"MATCHS"))),FALSE),RIGHT(INDIRECT(ADDRESS(171,5,,,"MATCHS")), FIND("--",INDIRECT(ADDRESS(171,5,,,"MATCHS")),1)),INDIRECT(ADDRESS(171,5,,,"MATCHS"))),,,,,IF(IFERROR(FIND("--",INDIRECT(ADDRESS(233,3,,,"MATCHS"))),FALSE),RIGHT(INDIRECT(ADDRESS(233,3,,,"MATCHS")), FIND("--",INDIRECT(ADDRESS(233,3,,,"MATCHS")),1)),INDIRECT(ADDRESS(233,3,,,"MATCHS"))),)</f>
        <v>0</v>
      </c>
      <c r="J60" s="119">
        <f ca="1">H60 - I60</f>
        <v>0</v>
      </c>
      <c r="K60" s="119">
        <v>0</v>
      </c>
      <c r="L60" s="119">
        <v>3</v>
      </c>
      <c r="M60" s="119"/>
      <c r="N60" s="115" t="str">
        <f>M60 &amp; "DH"</f>
        <v>DH</v>
      </c>
    </row>
    <row r="61" spans="1:14" ht="15.75" x14ac:dyDescent="0.25">
      <c r="A61" s="118"/>
      <c r="B61" s="119">
        <v>4</v>
      </c>
      <c r="C61" s="119" t="s">
        <v>109</v>
      </c>
      <c r="D61" s="119" t="str">
        <f>INSCRIPTS!C49</f>
        <v>4F</v>
      </c>
      <c r="E61" s="130">
        <f ca="1">SUM(,IF(INDIRECT(ADDRESS(23,5,,,"MATCHS"))&gt;INDIRECT(ADDRESS(23,3,,,"MATCHS")),1,0),,,IF(INDIRECT(ADDRESS(60,5,,,"MATCHS"))&gt;INDIRECT(ADDRESS(60,3,,,"MATCHS")),1,0),,,IF(INDIRECT(ADDRESS(96,5,,,"MATCHS"))&gt;INDIRECT(ADDRESS(96,3,,,"MATCHS")),1,0),,,,,,,IF(INDIRECT(ADDRESS(173,3,,,"MATCHS"))&gt;INDIRECT(ADDRESS(173,5,,,"MATCHS")),1,0),,,IF(INDIRECT(ADDRESS(209,5,,,"MATCHS"))&gt;INDIRECT(ADDRESS(209,3,,,"MATCHS")),1,0),,IF(INDIRECT(ADDRESS(234,3,,,"MATCHS"))&gt;INDIRECT(ADDRESS(234,5,,,"MATCHS")),1,0),) + 0.01 * K61</f>
        <v>0</v>
      </c>
      <c r="F61" s="119">
        <f ca="1">SUM(,IF(INDIRECT(ADDRESS(23,5,,,"MATCHS"))&lt;INDIRECT(ADDRESS(23,3,,,"MATCHS")),1,0),,,IF(INDIRECT(ADDRESS(60,5,,,"MATCHS"))&lt;INDIRECT(ADDRESS(60,3,,,"MATCHS")),1,0),,,IF(INDIRECT(ADDRESS(96,5,,,"MATCHS"))&lt;INDIRECT(ADDRESS(96,3,,,"MATCHS")),1,0),,,,,,,IF(INDIRECT(ADDRESS(173,3,,,"MATCHS"))&lt;INDIRECT(ADDRESS(173,5,,,"MATCHS")),1,0),,,IF(INDIRECT(ADDRESS(209,5,,,"MATCHS"))&lt;INDIRECT(ADDRESS(209,3,,,"MATCHS")),1,0),,IF(INDIRECT(ADDRESS(234,3,,,"MATCHS"))&lt;INDIRECT(ADDRESS(234,5,,,"MATCHS")),1,0),)</f>
        <v>0</v>
      </c>
      <c r="G61" s="119"/>
      <c r="H61" s="119">
        <f ca="1">SUM(,IF(IFERROR(FIND("--",INDIRECT(ADDRESS(23,5,,,"MATCHS"))),FALSE),RIGHT(INDIRECT(ADDRESS(23,5,,,"MATCHS")), FIND("--",INDIRECT(ADDRESS(23,5,,,"MATCHS")),1)),INDIRECT(ADDRESS(23,5,,,"MATCHS"))),,,IF(IFERROR(FIND("--",INDIRECT(ADDRESS(60,5,,,"MATCHS"))),FALSE),RIGHT(INDIRECT(ADDRESS(60,5,,,"MATCHS")), FIND("--",INDIRECT(ADDRESS(60,5,,,"MATCHS")),1)),INDIRECT(ADDRESS(60,5,,,"MATCHS"))),,,IF(IFERROR(FIND("--",INDIRECT(ADDRESS(96,5,,,"MATCHS"))),FALSE),RIGHT(INDIRECT(ADDRESS(96,5,,,"MATCHS")), FIND("--",INDIRECT(ADDRESS(96,5,,,"MATCHS")),1)),INDIRECT(ADDRESS(96,5,,,"MATCHS"))),,,,,,,IF(IFERROR(FIND("--",INDIRECT(ADDRESS(173,3,,,"MATCHS"))),FALSE),RIGHT(INDIRECT(ADDRESS(173,3,,,"MATCHS")), FIND("--",INDIRECT(ADDRESS(173,3,,,"MATCHS")),1)),INDIRECT(ADDRESS(173,3,,,"MATCHS"))),,,IF(IFERROR(FIND("--",INDIRECT(ADDRESS(209,5,,,"MATCHS"))),FALSE),RIGHT(INDIRECT(ADDRESS(209,5,,,"MATCHS")), FIND("--",INDIRECT(ADDRESS(209,5,,,"MATCHS")),1)),INDIRECT(ADDRESS(209,5,,,"MATCHS"))),,IF(IFERROR(FIND("--",INDIRECT(ADDRESS(234,3,,,"MATCHS"))),FALSE),RIGHT(INDIRECT(ADDRESS(234,3,,,"MATCHS")), FIND("--",INDIRECT(ADDRESS(234,3,,,"MATCHS")),1)),INDIRECT(ADDRESS(234,3,,,"MATCHS"))),)</f>
        <v>0</v>
      </c>
      <c r="I61" s="119">
        <f ca="1">SUM(,IF(IFERROR(FIND("--",INDIRECT(ADDRESS(23,3,,,"MATCHS"))),FALSE),RIGHT(INDIRECT(ADDRESS(23,3,,,"MATCHS")), FIND("--",INDIRECT(ADDRESS(23,3,,,"MATCHS")),1)),INDIRECT(ADDRESS(23,3,,,"MATCHS"))),,,IF(IFERROR(FIND("--",INDIRECT(ADDRESS(60,3,,,"MATCHS"))),FALSE),RIGHT(INDIRECT(ADDRESS(60,3,,,"MATCHS")), FIND("--",INDIRECT(ADDRESS(60,3,,,"MATCHS")),1)),INDIRECT(ADDRESS(60,3,,,"MATCHS"))),,,IF(IFERROR(FIND("--",INDIRECT(ADDRESS(96,3,,,"MATCHS"))),FALSE),RIGHT(INDIRECT(ADDRESS(96,3,,,"MATCHS")), FIND("--",INDIRECT(ADDRESS(96,3,,,"MATCHS")),1)),INDIRECT(ADDRESS(96,3,,,"MATCHS"))),,,,,,,IF(IFERROR(FIND("--",INDIRECT(ADDRESS(173,5,,,"MATCHS"))),FALSE),RIGHT(INDIRECT(ADDRESS(173,5,,,"MATCHS")), FIND("--",INDIRECT(ADDRESS(173,5,,,"MATCHS")),1)),INDIRECT(ADDRESS(173,5,,,"MATCHS"))),,,IF(IFERROR(FIND("--",INDIRECT(ADDRESS(209,3,,,"MATCHS"))),FALSE),RIGHT(INDIRECT(ADDRESS(209,3,,,"MATCHS")), FIND("--",INDIRECT(ADDRESS(209,3,,,"MATCHS")),1)),INDIRECT(ADDRESS(209,3,,,"MATCHS"))),,IF(IFERROR(FIND("--",INDIRECT(ADDRESS(234,5,,,"MATCHS"))),FALSE),RIGHT(INDIRECT(ADDRESS(234,5,,,"MATCHS")), FIND("--",INDIRECT(ADDRESS(234,5,,,"MATCHS")),1)),INDIRECT(ADDRESS(234,5,,,"MATCHS"))),)</f>
        <v>0</v>
      </c>
      <c r="J61" s="119">
        <f ca="1">H61 - I61</f>
        <v>0</v>
      </c>
      <c r="K61" s="119">
        <v>0</v>
      </c>
      <c r="L61" s="119">
        <v>4</v>
      </c>
      <c r="M61" s="119"/>
      <c r="N61" s="115" t="str">
        <f>M61 &amp; "DH"</f>
        <v>DH</v>
      </c>
    </row>
    <row r="62" spans="1:14" ht="15.75" x14ac:dyDescent="0.25">
      <c r="A62" s="118"/>
      <c r="B62" s="119">
        <v>5</v>
      </c>
      <c r="C62" s="119" t="s">
        <v>110</v>
      </c>
      <c r="D62" s="119" t="str">
        <f>INSCRIPTS!C50</f>
        <v>5F</v>
      </c>
      <c r="E62" s="130">
        <f ca="1">SUM(,IF(INDIRECT(ADDRESS(24,3,,,"MATCHS"))&gt;INDIRECT(ADDRESS(24,5,,,"MATCHS")),1,0),,,IF(INDIRECT(ADDRESS(60,3,,,"MATCHS"))&gt;INDIRECT(ADDRESS(60,5,,,"MATCHS")),1,0),,,,IF(INDIRECT(ADDRESS(98,5,,,"MATCHS"))&gt;INDIRECT(ADDRESS(98,3,,,"MATCHS")),1,0),,,IF(INDIRECT(ADDRESS(134,5,,,"MATCHS"))&gt;INDIRECT(ADDRESS(134,3,,,"MATCHS")),1,0),,,IF(INDIRECT(ADDRESS(171,5,,,"MATCHS"))&gt;INDIRECT(ADDRESS(171,3,,,"MATCHS")),1,0),,,IF(INDIRECT(ADDRESS(210,3,,,"MATCHS"))&gt;INDIRECT(ADDRESS(210,5,,,"MATCHS")),1,0),,,) + 0.01 * K62</f>
        <v>0</v>
      </c>
      <c r="F62" s="119">
        <f ca="1">SUM(,IF(INDIRECT(ADDRESS(24,3,,,"MATCHS"))&lt;INDIRECT(ADDRESS(24,5,,,"MATCHS")),1,0),,,IF(INDIRECT(ADDRESS(60,3,,,"MATCHS"))&lt;INDIRECT(ADDRESS(60,5,,,"MATCHS")),1,0),,,,IF(INDIRECT(ADDRESS(98,5,,,"MATCHS"))&lt;INDIRECT(ADDRESS(98,3,,,"MATCHS")),1,0),,,IF(INDIRECT(ADDRESS(134,5,,,"MATCHS"))&lt;INDIRECT(ADDRESS(134,3,,,"MATCHS")),1,0),,,IF(INDIRECT(ADDRESS(171,5,,,"MATCHS"))&lt;INDIRECT(ADDRESS(171,3,,,"MATCHS")),1,0),,,IF(INDIRECT(ADDRESS(210,3,,,"MATCHS"))&lt;INDIRECT(ADDRESS(210,5,,,"MATCHS")),1,0),,,)</f>
        <v>0</v>
      </c>
      <c r="G62" s="119"/>
      <c r="H62" s="119">
        <f ca="1">SUM(,IF(IFERROR(FIND("--",INDIRECT(ADDRESS(24,3,,,"MATCHS"))),FALSE),RIGHT(INDIRECT(ADDRESS(24,3,,,"MATCHS")), FIND("--",INDIRECT(ADDRESS(24,3,,,"MATCHS")),1)),INDIRECT(ADDRESS(24,3,,,"MATCHS"))),,,IF(IFERROR(FIND("--",INDIRECT(ADDRESS(60,3,,,"MATCHS"))),FALSE),RIGHT(INDIRECT(ADDRESS(60,3,,,"MATCHS")), FIND("--",INDIRECT(ADDRESS(60,3,,,"MATCHS")),1)),INDIRECT(ADDRESS(60,3,,,"MATCHS"))),,,,IF(IFERROR(FIND("--",INDIRECT(ADDRESS(98,5,,,"MATCHS"))),FALSE),RIGHT(INDIRECT(ADDRESS(98,5,,,"MATCHS")), FIND("--",INDIRECT(ADDRESS(98,5,,,"MATCHS")),1)),INDIRECT(ADDRESS(98,5,,,"MATCHS"))),,,IF(IFERROR(FIND("--",INDIRECT(ADDRESS(134,5,,,"MATCHS"))),FALSE),RIGHT(INDIRECT(ADDRESS(134,5,,,"MATCHS")), FIND("--",INDIRECT(ADDRESS(134,5,,,"MATCHS")),1)),INDIRECT(ADDRESS(134,5,,,"MATCHS"))),,,IF(IFERROR(FIND("--",INDIRECT(ADDRESS(171,5,,,"MATCHS"))),FALSE),RIGHT(INDIRECT(ADDRESS(171,5,,,"MATCHS")), FIND("--",INDIRECT(ADDRESS(171,5,,,"MATCHS")),1)),INDIRECT(ADDRESS(171,5,,,"MATCHS"))),,,IF(IFERROR(FIND("--",INDIRECT(ADDRESS(210,3,,,"MATCHS"))),FALSE),RIGHT(INDIRECT(ADDRESS(210,3,,,"MATCHS")), FIND("--",INDIRECT(ADDRESS(210,3,,,"MATCHS")),1)),INDIRECT(ADDRESS(210,3,,,"MATCHS"))),,,)</f>
        <v>0</v>
      </c>
      <c r="I62" s="119">
        <f ca="1">SUM(,IF(IFERROR(FIND("--",INDIRECT(ADDRESS(24,5,,,"MATCHS"))),FALSE),RIGHT(INDIRECT(ADDRESS(24,5,,,"MATCHS")), FIND("--",INDIRECT(ADDRESS(24,5,,,"MATCHS")),1)),INDIRECT(ADDRESS(24,5,,,"MATCHS"))),,,IF(IFERROR(FIND("--",INDIRECT(ADDRESS(60,5,,,"MATCHS"))),FALSE),RIGHT(INDIRECT(ADDRESS(60,5,,,"MATCHS")), FIND("--",INDIRECT(ADDRESS(60,5,,,"MATCHS")),1)),INDIRECT(ADDRESS(60,5,,,"MATCHS"))),,,,IF(IFERROR(FIND("--",INDIRECT(ADDRESS(98,3,,,"MATCHS"))),FALSE),RIGHT(INDIRECT(ADDRESS(98,3,,,"MATCHS")), FIND("--",INDIRECT(ADDRESS(98,3,,,"MATCHS")),1)),INDIRECT(ADDRESS(98,3,,,"MATCHS"))),,,IF(IFERROR(FIND("--",INDIRECT(ADDRESS(134,3,,,"MATCHS"))),FALSE),RIGHT(INDIRECT(ADDRESS(134,3,,,"MATCHS")), FIND("--",INDIRECT(ADDRESS(134,3,,,"MATCHS")),1)),INDIRECT(ADDRESS(134,3,,,"MATCHS"))),,,IF(IFERROR(FIND("--",INDIRECT(ADDRESS(171,3,,,"MATCHS"))),FALSE),RIGHT(INDIRECT(ADDRESS(171,3,,,"MATCHS")), FIND("--",INDIRECT(ADDRESS(171,3,,,"MATCHS")),1)),INDIRECT(ADDRESS(171,3,,,"MATCHS"))),,,IF(IFERROR(FIND("--",INDIRECT(ADDRESS(210,5,,,"MATCHS"))),FALSE),RIGHT(INDIRECT(ADDRESS(210,5,,,"MATCHS")), FIND("--",INDIRECT(ADDRESS(210,5,,,"MATCHS")),1)),INDIRECT(ADDRESS(210,5,,,"MATCHS"))),,,)</f>
        <v>0</v>
      </c>
      <c r="J62" s="119">
        <f ca="1">H62 - I62</f>
        <v>0</v>
      </c>
      <c r="K62" s="119">
        <v>0</v>
      </c>
      <c r="L62" s="119">
        <v>5</v>
      </c>
      <c r="M62" s="119"/>
      <c r="N62" s="115" t="str">
        <f>M62 &amp; "DH"</f>
        <v>DH</v>
      </c>
    </row>
    <row r="63" spans="1:14" ht="15.75" x14ac:dyDescent="0.25">
      <c r="A63" s="118"/>
      <c r="B63" s="119">
        <v>6</v>
      </c>
      <c r="C63" s="119" t="s">
        <v>111</v>
      </c>
      <c r="D63" s="119" t="str">
        <f>INSCRIPTS!C51</f>
        <v>6F</v>
      </c>
      <c r="E63" s="130">
        <f ca="1">SUM(,IF(INDIRECT(ADDRESS(24,5,,,"MATCHS"))&gt;INDIRECT(ADDRESS(24,3,,,"MATCHS")),1,0),,,,IF(INDIRECT(ADDRESS(62,3,,,"MATCHS"))&gt;INDIRECT(ADDRESS(62,5,,,"MATCHS")),1,0),,,,,,IF(INDIRECT(ADDRESS(135,3,,,"MATCHS"))&gt;INDIRECT(ADDRESS(135,5,,,"MATCHS")),1,0),,,IF(INDIRECT(ADDRESS(172,5,,,"MATCHS"))&gt;INDIRECT(ADDRESS(172,3,,,"MATCHS")),1,0),,,IF(INDIRECT(ADDRESS(208,5,,,"MATCHS"))&gt;INDIRECT(ADDRESS(208,3,,,"MATCHS")),1,0),,IF(INDIRECT(ADDRESS(234,5,,,"MATCHS"))&gt;INDIRECT(ADDRESS(234,3,,,"MATCHS")),1,0),) + 0.01 * K63</f>
        <v>0</v>
      </c>
      <c r="F63" s="119">
        <f ca="1">SUM(,IF(INDIRECT(ADDRESS(24,5,,,"MATCHS"))&lt;INDIRECT(ADDRESS(24,3,,,"MATCHS")),1,0),,,,IF(INDIRECT(ADDRESS(62,3,,,"MATCHS"))&lt;INDIRECT(ADDRESS(62,5,,,"MATCHS")),1,0),,,,,,IF(INDIRECT(ADDRESS(135,3,,,"MATCHS"))&lt;INDIRECT(ADDRESS(135,5,,,"MATCHS")),1,0),,,IF(INDIRECT(ADDRESS(172,5,,,"MATCHS"))&lt;INDIRECT(ADDRESS(172,3,,,"MATCHS")),1,0),,,IF(INDIRECT(ADDRESS(208,5,,,"MATCHS"))&lt;INDIRECT(ADDRESS(208,3,,,"MATCHS")),1,0),,IF(INDIRECT(ADDRESS(234,5,,,"MATCHS"))&lt;INDIRECT(ADDRESS(234,3,,,"MATCHS")),1,0),)</f>
        <v>0</v>
      </c>
      <c r="G63" s="119"/>
      <c r="H63" s="119">
        <f ca="1">SUM(,IF(IFERROR(FIND("--",INDIRECT(ADDRESS(24,5,,,"MATCHS"))),FALSE),RIGHT(INDIRECT(ADDRESS(24,5,,,"MATCHS")), FIND("--",INDIRECT(ADDRESS(24,5,,,"MATCHS")),1)),INDIRECT(ADDRESS(24,5,,,"MATCHS"))),,,,IF(IFERROR(FIND("--",INDIRECT(ADDRESS(62,3,,,"MATCHS"))),FALSE),RIGHT(INDIRECT(ADDRESS(62,3,,,"MATCHS")), FIND("--",INDIRECT(ADDRESS(62,3,,,"MATCHS")),1)),INDIRECT(ADDRESS(62,3,,,"MATCHS"))),,,,,,IF(IFERROR(FIND("--",INDIRECT(ADDRESS(135,3,,,"MATCHS"))),FALSE),RIGHT(INDIRECT(ADDRESS(135,3,,,"MATCHS")), FIND("--",INDIRECT(ADDRESS(135,3,,,"MATCHS")),1)),INDIRECT(ADDRESS(135,3,,,"MATCHS"))),,,IF(IFERROR(FIND("--",INDIRECT(ADDRESS(172,5,,,"MATCHS"))),FALSE),RIGHT(INDIRECT(ADDRESS(172,5,,,"MATCHS")), FIND("--",INDIRECT(ADDRESS(172,5,,,"MATCHS")),1)),INDIRECT(ADDRESS(172,5,,,"MATCHS"))),,,IF(IFERROR(FIND("--",INDIRECT(ADDRESS(208,5,,,"MATCHS"))),FALSE),RIGHT(INDIRECT(ADDRESS(208,5,,,"MATCHS")), FIND("--",INDIRECT(ADDRESS(208,5,,,"MATCHS")),1)),INDIRECT(ADDRESS(208,5,,,"MATCHS"))),,IF(IFERROR(FIND("--",INDIRECT(ADDRESS(234,5,,,"MATCHS"))),FALSE),RIGHT(INDIRECT(ADDRESS(234,5,,,"MATCHS")), FIND("--",INDIRECT(ADDRESS(234,5,,,"MATCHS")),1)),INDIRECT(ADDRESS(234,5,,,"MATCHS"))),)</f>
        <v>0</v>
      </c>
      <c r="I63" s="119">
        <f ca="1">SUM(,IF(IFERROR(FIND("--",INDIRECT(ADDRESS(24,3,,,"MATCHS"))),FALSE),RIGHT(INDIRECT(ADDRESS(24,3,,,"MATCHS")), FIND("--",INDIRECT(ADDRESS(24,3,,,"MATCHS")),1)),INDIRECT(ADDRESS(24,3,,,"MATCHS"))),,,,IF(IFERROR(FIND("--",INDIRECT(ADDRESS(62,5,,,"MATCHS"))),FALSE),RIGHT(INDIRECT(ADDRESS(62,5,,,"MATCHS")), FIND("--",INDIRECT(ADDRESS(62,5,,,"MATCHS")),1)),INDIRECT(ADDRESS(62,5,,,"MATCHS"))),,,,,,IF(IFERROR(FIND("--",INDIRECT(ADDRESS(135,5,,,"MATCHS"))),FALSE),RIGHT(INDIRECT(ADDRESS(135,5,,,"MATCHS")), FIND("--",INDIRECT(ADDRESS(135,5,,,"MATCHS")),1)),INDIRECT(ADDRESS(135,5,,,"MATCHS"))),,,IF(IFERROR(FIND("--",INDIRECT(ADDRESS(172,3,,,"MATCHS"))),FALSE),RIGHT(INDIRECT(ADDRESS(172,3,,,"MATCHS")), FIND("--",INDIRECT(ADDRESS(172,3,,,"MATCHS")),1)),INDIRECT(ADDRESS(172,3,,,"MATCHS"))),,,IF(IFERROR(FIND("--",INDIRECT(ADDRESS(208,3,,,"MATCHS"))),FALSE),RIGHT(INDIRECT(ADDRESS(208,3,,,"MATCHS")), FIND("--",INDIRECT(ADDRESS(208,3,,,"MATCHS")),1)),INDIRECT(ADDRESS(208,3,,,"MATCHS"))),,IF(IFERROR(FIND("--",INDIRECT(ADDRESS(234,3,,,"MATCHS"))),FALSE),RIGHT(INDIRECT(ADDRESS(234,3,,,"MATCHS")), FIND("--",INDIRECT(ADDRESS(234,3,,,"MATCHS")),1)),INDIRECT(ADDRESS(234,3,,,"MATCHS"))),)</f>
        <v>0</v>
      </c>
      <c r="J63" s="119">
        <f ca="1">H63 - I63</f>
        <v>0</v>
      </c>
      <c r="K63" s="119">
        <v>0</v>
      </c>
      <c r="L63" s="119">
        <v>6</v>
      </c>
      <c r="M63" s="119"/>
      <c r="N63" s="115" t="str">
        <f>M63 &amp; "DH"</f>
        <v>DH</v>
      </c>
    </row>
    <row r="64" spans="1:14" ht="15.75" x14ac:dyDescent="0.25">
      <c r="A64" s="118"/>
      <c r="B64" s="119">
        <v>7</v>
      </c>
      <c r="C64" s="119" t="s">
        <v>137</v>
      </c>
      <c r="D64" s="119" t="str">
        <f>INSCRIPTS!C52</f>
        <v>7F</v>
      </c>
      <c r="E64" s="130">
        <f ca="1">SUM(,,,,,IF(INDIRECT(ADDRESS(62,5,,,"MATCHS"))&gt;INDIRECT(ADDRESS(62,3,,,"MATCHS")),1,0),,,IF(INDIRECT(ADDRESS(99,3,,,"MATCHS"))&gt;INDIRECT(ADDRESS(99,5,,,"MATCHS")),1,0),,,IF(INDIRECT(ADDRESS(136,5,,,"MATCHS"))&gt;INDIRECT(ADDRESS(136,3,,,"MATCHS")),1,0),,,IF(INDIRECT(ADDRESS(173,5,,,"MATCHS"))&gt;INDIRECT(ADDRESS(173,3,,,"MATCHS")),1,0),,,IF(INDIRECT(ADDRESS(210,5,,,"MATCHS"))&gt;INDIRECT(ADDRESS(210,3,,,"MATCHS")),1,0),,IF(INDIRECT(ADDRESS(232,5,,,"MATCHS"))&gt;INDIRECT(ADDRESS(232,3,,,"MATCHS")),1,0),) + 0.01 * K64</f>
        <v>0</v>
      </c>
      <c r="F64" s="119">
        <f ca="1">SUM(,,,,,IF(INDIRECT(ADDRESS(62,5,,,"MATCHS"))&lt;INDIRECT(ADDRESS(62,3,,,"MATCHS")),1,0),,,IF(INDIRECT(ADDRESS(99,3,,,"MATCHS"))&lt;INDIRECT(ADDRESS(99,5,,,"MATCHS")),1,0),,,IF(INDIRECT(ADDRESS(136,5,,,"MATCHS"))&lt;INDIRECT(ADDRESS(136,3,,,"MATCHS")),1,0),,,IF(INDIRECT(ADDRESS(173,5,,,"MATCHS"))&lt;INDIRECT(ADDRESS(173,3,,,"MATCHS")),1,0),,,IF(INDIRECT(ADDRESS(210,5,,,"MATCHS"))&lt;INDIRECT(ADDRESS(210,3,,,"MATCHS")),1,0),,IF(INDIRECT(ADDRESS(232,5,,,"MATCHS"))&lt;INDIRECT(ADDRESS(232,3,,,"MATCHS")),1,0),)</f>
        <v>0</v>
      </c>
      <c r="G64" s="119"/>
      <c r="H64" s="119">
        <f ca="1">SUM(,,,,,IF(IFERROR(FIND("--",INDIRECT(ADDRESS(62,5,,,"MATCHS"))),FALSE),RIGHT(INDIRECT(ADDRESS(62,5,,,"MATCHS")), FIND("--",INDIRECT(ADDRESS(62,5,,,"MATCHS")),1)),INDIRECT(ADDRESS(62,5,,,"MATCHS"))),,,IF(IFERROR(FIND("--",INDIRECT(ADDRESS(99,3,,,"MATCHS"))),FALSE),RIGHT(INDIRECT(ADDRESS(99,3,,,"MATCHS")), FIND("--",INDIRECT(ADDRESS(99,3,,,"MATCHS")),1)),INDIRECT(ADDRESS(99,3,,,"MATCHS"))),,,IF(IFERROR(FIND("--",INDIRECT(ADDRESS(136,5,,,"MATCHS"))),FALSE),RIGHT(INDIRECT(ADDRESS(136,5,,,"MATCHS")), FIND("--",INDIRECT(ADDRESS(136,5,,,"MATCHS")),1)),INDIRECT(ADDRESS(136,5,,,"MATCHS"))),,,IF(IFERROR(FIND("--",INDIRECT(ADDRESS(173,5,,,"MATCHS"))),FALSE),RIGHT(INDIRECT(ADDRESS(173,5,,,"MATCHS")), FIND("--",INDIRECT(ADDRESS(173,5,,,"MATCHS")),1)),INDIRECT(ADDRESS(173,5,,,"MATCHS"))),,,IF(IFERROR(FIND("--",INDIRECT(ADDRESS(210,5,,,"MATCHS"))),FALSE),RIGHT(INDIRECT(ADDRESS(210,5,,,"MATCHS")), FIND("--",INDIRECT(ADDRESS(210,5,,,"MATCHS")),1)),INDIRECT(ADDRESS(210,5,,,"MATCHS"))),,IF(IFERROR(FIND("--",INDIRECT(ADDRESS(232,5,,,"MATCHS"))),FALSE),RIGHT(INDIRECT(ADDRESS(232,5,,,"MATCHS")), FIND("--",INDIRECT(ADDRESS(232,5,,,"MATCHS")),1)),INDIRECT(ADDRESS(232,5,,,"MATCHS"))),)</f>
        <v>0</v>
      </c>
      <c r="I64" s="119">
        <f ca="1">SUM(,,,,,IF(IFERROR(FIND("--",INDIRECT(ADDRESS(62,3,,,"MATCHS"))),FALSE),RIGHT(INDIRECT(ADDRESS(62,3,,,"MATCHS")), FIND("--",INDIRECT(ADDRESS(62,3,,,"MATCHS")),1)),INDIRECT(ADDRESS(62,3,,,"MATCHS"))),,,IF(IFERROR(FIND("--",INDIRECT(ADDRESS(99,5,,,"MATCHS"))),FALSE),RIGHT(INDIRECT(ADDRESS(99,5,,,"MATCHS")), FIND("--",INDIRECT(ADDRESS(99,5,,,"MATCHS")),1)),INDIRECT(ADDRESS(99,5,,,"MATCHS"))),,,IF(IFERROR(FIND("--",INDIRECT(ADDRESS(136,3,,,"MATCHS"))),FALSE),RIGHT(INDIRECT(ADDRESS(136,3,,,"MATCHS")), FIND("--",INDIRECT(ADDRESS(136,3,,,"MATCHS")),1)),INDIRECT(ADDRESS(136,3,,,"MATCHS"))),,,IF(IFERROR(FIND("--",INDIRECT(ADDRESS(173,3,,,"MATCHS"))),FALSE),RIGHT(INDIRECT(ADDRESS(173,3,,,"MATCHS")), FIND("--",INDIRECT(ADDRESS(173,3,,,"MATCHS")),1)),INDIRECT(ADDRESS(173,3,,,"MATCHS"))),,,IF(IFERROR(FIND("--",INDIRECT(ADDRESS(210,3,,,"MATCHS"))),FALSE),RIGHT(INDIRECT(ADDRESS(210,3,,,"MATCHS")), FIND("--",INDIRECT(ADDRESS(210,3,,,"MATCHS")),1)),INDIRECT(ADDRESS(210,3,,,"MATCHS"))),,IF(IFERROR(FIND("--",INDIRECT(ADDRESS(232,3,,,"MATCHS"))),FALSE),RIGHT(INDIRECT(ADDRESS(232,3,,,"MATCHS")), FIND("--",INDIRECT(ADDRESS(232,3,,,"MATCHS")),1)),INDIRECT(ADDRESS(232,3,,,"MATCHS"))),)</f>
        <v>0</v>
      </c>
      <c r="J64" s="119">
        <f ca="1">H64 - I64</f>
        <v>0</v>
      </c>
      <c r="K64" s="119">
        <v>0</v>
      </c>
      <c r="L64" s="119">
        <v>7</v>
      </c>
      <c r="M64" s="119"/>
      <c r="N64" s="115" t="str">
        <f>M64 &amp; "DH"</f>
        <v>DH</v>
      </c>
    </row>
    <row r="65" spans="1:14" ht="15.75" thickBot="1" x14ac:dyDescent="0.3"/>
    <row r="66" spans="1:14" ht="30.95" customHeight="1" thickBot="1" x14ac:dyDescent="0.3">
      <c r="C66" s="116" t="s">
        <v>179</v>
      </c>
      <c r="D66" s="116" t="s">
        <v>60</v>
      </c>
      <c r="E66" s="129" t="s">
        <v>180</v>
      </c>
      <c r="F66" s="116" t="s">
        <v>181</v>
      </c>
      <c r="G66" s="116" t="s">
        <v>182</v>
      </c>
      <c r="H66" s="116" t="s">
        <v>183</v>
      </c>
      <c r="I66" s="116" t="s">
        <v>184</v>
      </c>
      <c r="J66" s="116" t="s">
        <v>185</v>
      </c>
      <c r="K66" s="117" t="s">
        <v>186</v>
      </c>
      <c r="L66" s="116" t="s">
        <v>187</v>
      </c>
      <c r="M66" s="117" t="s">
        <v>188</v>
      </c>
    </row>
    <row r="68" spans="1:14" ht="15.75" x14ac:dyDescent="0.25">
      <c r="A68" s="120" t="s">
        <v>68</v>
      </c>
      <c r="B68" s="121">
        <v>1</v>
      </c>
      <c r="C68" s="121" t="s">
        <v>112</v>
      </c>
      <c r="D68" s="121" t="str">
        <f>INSCRIPTS!C54</f>
        <v>1G</v>
      </c>
      <c r="E68" s="131">
        <f ca="1">SUM(,,IF(INDIRECT(ADDRESS(26,3,,,"MATCHS"))&gt;INDIRECT(ADDRESS(26,5,,,"MATCHS")),1,0),,,IF(INDIRECT(ADDRESS(63,3,,,"MATCHS"))&gt;INDIRECT(ADDRESS(63,5,,,"MATCHS")),1,0),,,IF(INDIRECT(ADDRESS(100,3,,,"MATCHS"))&gt;INDIRECT(ADDRESS(100,5,,,"MATCHS")),1,0),,,IF(INDIRECT(ADDRESS(137,3,,,"MATCHS"))&gt;INDIRECT(ADDRESS(137,5,,,"MATCHS")),1,0),,,IF(INDIRECT(ADDRESS(174,3,,,"MATCHS"))&gt;INDIRECT(ADDRESS(174,5,,,"MATCHS")),1,0),,,,,,) + 0.01 * K68</f>
        <v>0</v>
      </c>
      <c r="F68" s="121">
        <f ca="1">SUM(,,IF(INDIRECT(ADDRESS(26,3,,,"MATCHS"))&lt;INDIRECT(ADDRESS(26,5,,,"MATCHS")),1,0),,,IF(INDIRECT(ADDRESS(63,3,,,"MATCHS"))&lt;INDIRECT(ADDRESS(63,5,,,"MATCHS")),1,0),,,IF(INDIRECT(ADDRESS(100,3,,,"MATCHS"))&lt;INDIRECT(ADDRESS(100,5,,,"MATCHS")),1,0),,,IF(INDIRECT(ADDRESS(137,3,,,"MATCHS"))&lt;INDIRECT(ADDRESS(137,5,,,"MATCHS")),1,0),,,IF(INDIRECT(ADDRESS(174,3,,,"MATCHS"))&lt;INDIRECT(ADDRESS(174,5,,,"MATCHS")),1,0),,,,,,)</f>
        <v>0</v>
      </c>
      <c r="G68" s="121"/>
      <c r="H68" s="121">
        <f ca="1">SUM(,,IF(IFERROR(FIND("--",INDIRECT(ADDRESS(26,3,,,"MATCHS"))),FALSE),RIGHT(INDIRECT(ADDRESS(26,3,,,"MATCHS")), FIND("--",INDIRECT(ADDRESS(26,3,,,"MATCHS")),1)),INDIRECT(ADDRESS(26,3,,,"MATCHS"))),,,IF(IFERROR(FIND("--",INDIRECT(ADDRESS(63,3,,,"MATCHS"))),FALSE),RIGHT(INDIRECT(ADDRESS(63,3,,,"MATCHS")), FIND("--",INDIRECT(ADDRESS(63,3,,,"MATCHS")),1)),INDIRECT(ADDRESS(63,3,,,"MATCHS"))),,,IF(IFERROR(FIND("--",INDIRECT(ADDRESS(100,3,,,"MATCHS"))),FALSE),RIGHT(INDIRECT(ADDRESS(100,3,,,"MATCHS")), FIND("--",INDIRECT(ADDRESS(100,3,,,"MATCHS")),1)),INDIRECT(ADDRESS(100,3,,,"MATCHS"))),,,IF(IFERROR(FIND("--",INDIRECT(ADDRESS(137,3,,,"MATCHS"))),FALSE),RIGHT(INDIRECT(ADDRESS(137,3,,,"MATCHS")), FIND("--",INDIRECT(ADDRESS(137,3,,,"MATCHS")),1)),INDIRECT(ADDRESS(137,3,,,"MATCHS"))),,,IF(IFERROR(FIND("--",INDIRECT(ADDRESS(174,3,,,"MATCHS"))),FALSE),RIGHT(INDIRECT(ADDRESS(174,3,,,"MATCHS")), FIND("--",INDIRECT(ADDRESS(174,3,,,"MATCHS")),1)),INDIRECT(ADDRESS(174,3,,,"MATCHS"))),,,,,,)</f>
        <v>0</v>
      </c>
      <c r="I68" s="121">
        <f ca="1">SUM(,,IF(IFERROR(FIND("--",INDIRECT(ADDRESS(26,5,,,"MATCHS"))),FALSE),RIGHT(INDIRECT(ADDRESS(26,5,,,"MATCHS")), FIND("--",INDIRECT(ADDRESS(26,5,,,"MATCHS")),1)),INDIRECT(ADDRESS(26,5,,,"MATCHS"))),,,IF(IFERROR(FIND("--",INDIRECT(ADDRESS(63,5,,,"MATCHS"))),FALSE),RIGHT(INDIRECT(ADDRESS(63,5,,,"MATCHS")), FIND("--",INDIRECT(ADDRESS(63,5,,,"MATCHS")),1)),INDIRECT(ADDRESS(63,5,,,"MATCHS"))),,,IF(IFERROR(FIND("--",INDIRECT(ADDRESS(100,5,,,"MATCHS"))),FALSE),RIGHT(INDIRECT(ADDRESS(100,5,,,"MATCHS")), FIND("--",INDIRECT(ADDRESS(100,5,,,"MATCHS")),1)),INDIRECT(ADDRESS(100,5,,,"MATCHS"))),,,IF(IFERROR(FIND("--",INDIRECT(ADDRESS(137,5,,,"MATCHS"))),FALSE),RIGHT(INDIRECT(ADDRESS(137,5,,,"MATCHS")), FIND("--",INDIRECT(ADDRESS(137,5,,,"MATCHS")),1)),INDIRECT(ADDRESS(137,5,,,"MATCHS"))),,,IF(IFERROR(FIND("--",INDIRECT(ADDRESS(174,5,,,"MATCHS"))),FALSE),RIGHT(INDIRECT(ADDRESS(174,5,,,"MATCHS")), FIND("--",INDIRECT(ADDRESS(174,5,,,"MATCHS")),1)),INDIRECT(ADDRESS(174,5,,,"MATCHS"))),,,,,,)</f>
        <v>0</v>
      </c>
      <c r="J68" s="121">
        <f ca="1">H68 - I68</f>
        <v>0</v>
      </c>
      <c r="K68" s="121">
        <v>0</v>
      </c>
      <c r="L68" s="121">
        <v>1</v>
      </c>
      <c r="M68" s="121"/>
      <c r="N68" s="115" t="str">
        <f>M68 &amp; "DH"</f>
        <v>DH</v>
      </c>
    </row>
    <row r="69" spans="1:14" ht="15.75" x14ac:dyDescent="0.25">
      <c r="A69" s="120"/>
      <c r="B69" s="121">
        <v>2</v>
      </c>
      <c r="C69" s="121" t="s">
        <v>113</v>
      </c>
      <c r="D69" s="121" t="str">
        <f>INSCRIPTS!C55</f>
        <v>2G</v>
      </c>
      <c r="E69" s="131">
        <f ca="1">SUM(,,IF(INDIRECT(ADDRESS(26,5,,,"MATCHS"))&gt;INDIRECT(ADDRESS(26,3,,,"MATCHS")),1,0),,,IF(INDIRECT(ADDRESS(64,3,,,"MATCHS"))&gt;INDIRECT(ADDRESS(64,5,,,"MATCHS")),1,0),,,IF(INDIRECT(ADDRESS(101,3,,,"MATCHS"))&gt;INDIRECT(ADDRESS(101,5,,,"MATCHS")),1,0),,,IF(INDIRECT(ADDRESS(138,3,,,"MATCHS"))&gt;INDIRECT(ADDRESS(138,5,,,"MATCHS")),1,0),,,IF(INDIRECT(ADDRESS(175,3,,,"MATCHS"))&gt;INDIRECT(ADDRESS(175,5,,,"MATCHS")),1,0),,,,,,) + 0.01 * K69</f>
        <v>0</v>
      </c>
      <c r="F69" s="121">
        <f ca="1">SUM(,,IF(INDIRECT(ADDRESS(26,5,,,"MATCHS"))&lt;INDIRECT(ADDRESS(26,3,,,"MATCHS")),1,0),,,IF(INDIRECT(ADDRESS(64,3,,,"MATCHS"))&lt;INDIRECT(ADDRESS(64,5,,,"MATCHS")),1,0),,,IF(INDIRECT(ADDRESS(101,3,,,"MATCHS"))&lt;INDIRECT(ADDRESS(101,5,,,"MATCHS")),1,0),,,IF(INDIRECT(ADDRESS(138,3,,,"MATCHS"))&lt;INDIRECT(ADDRESS(138,5,,,"MATCHS")),1,0),,,IF(INDIRECT(ADDRESS(175,3,,,"MATCHS"))&lt;INDIRECT(ADDRESS(175,5,,,"MATCHS")),1,0),,,,,,)</f>
        <v>0</v>
      </c>
      <c r="G69" s="121"/>
      <c r="H69" s="121">
        <f ca="1">SUM(,,IF(IFERROR(FIND("--",INDIRECT(ADDRESS(26,5,,,"MATCHS"))),FALSE),RIGHT(INDIRECT(ADDRESS(26,5,,,"MATCHS")), FIND("--",INDIRECT(ADDRESS(26,5,,,"MATCHS")),1)),INDIRECT(ADDRESS(26,5,,,"MATCHS"))),,,IF(IFERROR(FIND("--",INDIRECT(ADDRESS(64,3,,,"MATCHS"))),FALSE),RIGHT(INDIRECT(ADDRESS(64,3,,,"MATCHS")), FIND("--",INDIRECT(ADDRESS(64,3,,,"MATCHS")),1)),INDIRECT(ADDRESS(64,3,,,"MATCHS"))),,,IF(IFERROR(FIND("--",INDIRECT(ADDRESS(101,3,,,"MATCHS"))),FALSE),RIGHT(INDIRECT(ADDRESS(101,3,,,"MATCHS")), FIND("--",INDIRECT(ADDRESS(101,3,,,"MATCHS")),1)),INDIRECT(ADDRESS(101,3,,,"MATCHS"))),,,IF(IFERROR(FIND("--",INDIRECT(ADDRESS(138,3,,,"MATCHS"))),FALSE),RIGHT(INDIRECT(ADDRESS(138,3,,,"MATCHS")), FIND("--",INDIRECT(ADDRESS(138,3,,,"MATCHS")),1)),INDIRECT(ADDRESS(138,3,,,"MATCHS"))),,,IF(IFERROR(FIND("--",INDIRECT(ADDRESS(175,3,,,"MATCHS"))),FALSE),RIGHT(INDIRECT(ADDRESS(175,3,,,"MATCHS")), FIND("--",INDIRECT(ADDRESS(175,3,,,"MATCHS")),1)),INDIRECT(ADDRESS(175,3,,,"MATCHS"))),,,,,,)</f>
        <v>0</v>
      </c>
      <c r="I69" s="121">
        <f ca="1">SUM(,,IF(IFERROR(FIND("--",INDIRECT(ADDRESS(26,3,,,"MATCHS"))),FALSE),RIGHT(INDIRECT(ADDRESS(26,3,,,"MATCHS")), FIND("--",INDIRECT(ADDRESS(26,3,,,"MATCHS")),1)),INDIRECT(ADDRESS(26,3,,,"MATCHS"))),,,IF(IFERROR(FIND("--",INDIRECT(ADDRESS(64,5,,,"MATCHS"))),FALSE),RIGHT(INDIRECT(ADDRESS(64,5,,,"MATCHS")), FIND("--",INDIRECT(ADDRESS(64,5,,,"MATCHS")),1)),INDIRECT(ADDRESS(64,5,,,"MATCHS"))),,,IF(IFERROR(FIND("--",INDIRECT(ADDRESS(101,5,,,"MATCHS"))),FALSE),RIGHT(INDIRECT(ADDRESS(101,5,,,"MATCHS")), FIND("--",INDIRECT(ADDRESS(101,5,,,"MATCHS")),1)),INDIRECT(ADDRESS(101,5,,,"MATCHS"))),,,IF(IFERROR(FIND("--",INDIRECT(ADDRESS(138,5,,,"MATCHS"))),FALSE),RIGHT(INDIRECT(ADDRESS(138,5,,,"MATCHS")), FIND("--",INDIRECT(ADDRESS(138,5,,,"MATCHS")),1)),INDIRECT(ADDRESS(138,5,,,"MATCHS"))),,,IF(IFERROR(FIND("--",INDIRECT(ADDRESS(175,5,,,"MATCHS"))),FALSE),RIGHT(INDIRECT(ADDRESS(175,5,,,"MATCHS")), FIND("--",INDIRECT(ADDRESS(175,5,,,"MATCHS")),1)),INDIRECT(ADDRESS(175,5,,,"MATCHS"))),,,,,,)</f>
        <v>0</v>
      </c>
      <c r="J69" s="121">
        <f ca="1">H69 - I69</f>
        <v>0</v>
      </c>
      <c r="K69" s="121">
        <v>0</v>
      </c>
      <c r="L69" s="121">
        <v>2</v>
      </c>
      <c r="M69" s="121"/>
      <c r="N69" s="115" t="str">
        <f>M69 &amp; "DH"</f>
        <v>DH</v>
      </c>
    </row>
    <row r="70" spans="1:14" ht="15.75" x14ac:dyDescent="0.25">
      <c r="A70" s="120"/>
      <c r="B70" s="121">
        <v>3</v>
      </c>
      <c r="C70" s="121" t="s">
        <v>114</v>
      </c>
      <c r="D70" s="121" t="str">
        <f>INSCRIPTS!C56</f>
        <v>3G</v>
      </c>
      <c r="E70" s="131">
        <f ca="1">SUM(,,IF(INDIRECT(ADDRESS(27,3,,,"MATCHS"))&gt;INDIRECT(ADDRESS(27,5,,,"MATCHS")),1,0),,,IF(INDIRECT(ADDRESS(63,5,,,"MATCHS"))&gt;INDIRECT(ADDRESS(63,3,,,"MATCHS")),1,0),,,IF(INDIRECT(ADDRESS(101,5,,,"MATCHS"))&gt;INDIRECT(ADDRESS(101,3,,,"MATCHS")),1,0),,,IF(INDIRECT(ADDRESS(139,3,,,"MATCHS"))&gt;INDIRECT(ADDRESS(139,5,,,"MATCHS")),1,0),,,IF(INDIRECT(ADDRESS(176,3,,,"MATCHS"))&gt;INDIRECT(ADDRESS(176,5,,,"MATCHS")),1,0),,,,,,) + 0.01 * K70</f>
        <v>0</v>
      </c>
      <c r="F70" s="121">
        <f ca="1">SUM(,,IF(INDIRECT(ADDRESS(27,3,,,"MATCHS"))&lt;INDIRECT(ADDRESS(27,5,,,"MATCHS")),1,0),,,IF(INDIRECT(ADDRESS(63,5,,,"MATCHS"))&lt;INDIRECT(ADDRESS(63,3,,,"MATCHS")),1,0),,,IF(INDIRECT(ADDRESS(101,5,,,"MATCHS"))&lt;INDIRECT(ADDRESS(101,3,,,"MATCHS")),1,0),,,IF(INDIRECT(ADDRESS(139,3,,,"MATCHS"))&lt;INDIRECT(ADDRESS(139,5,,,"MATCHS")),1,0),,,IF(INDIRECT(ADDRESS(176,3,,,"MATCHS"))&lt;INDIRECT(ADDRESS(176,5,,,"MATCHS")),1,0),,,,,,)</f>
        <v>0</v>
      </c>
      <c r="G70" s="121"/>
      <c r="H70" s="121">
        <f ca="1">SUM(,,IF(IFERROR(FIND("--",INDIRECT(ADDRESS(27,3,,,"MATCHS"))),FALSE),RIGHT(INDIRECT(ADDRESS(27,3,,,"MATCHS")), FIND("--",INDIRECT(ADDRESS(27,3,,,"MATCHS")),1)),INDIRECT(ADDRESS(27,3,,,"MATCHS"))),,,IF(IFERROR(FIND("--",INDIRECT(ADDRESS(63,5,,,"MATCHS"))),FALSE),RIGHT(INDIRECT(ADDRESS(63,5,,,"MATCHS")), FIND("--",INDIRECT(ADDRESS(63,5,,,"MATCHS")),1)),INDIRECT(ADDRESS(63,5,,,"MATCHS"))),,,IF(IFERROR(FIND("--",INDIRECT(ADDRESS(101,5,,,"MATCHS"))),FALSE),RIGHT(INDIRECT(ADDRESS(101,5,,,"MATCHS")), FIND("--",INDIRECT(ADDRESS(101,5,,,"MATCHS")),1)),INDIRECT(ADDRESS(101,5,,,"MATCHS"))),,,IF(IFERROR(FIND("--",INDIRECT(ADDRESS(139,3,,,"MATCHS"))),FALSE),RIGHT(INDIRECT(ADDRESS(139,3,,,"MATCHS")), FIND("--",INDIRECT(ADDRESS(139,3,,,"MATCHS")),1)),INDIRECT(ADDRESS(139,3,,,"MATCHS"))),,,IF(IFERROR(FIND("--",INDIRECT(ADDRESS(176,3,,,"MATCHS"))),FALSE),RIGHT(INDIRECT(ADDRESS(176,3,,,"MATCHS")), FIND("--",INDIRECT(ADDRESS(176,3,,,"MATCHS")),1)),INDIRECT(ADDRESS(176,3,,,"MATCHS"))),,,,,,)</f>
        <v>0</v>
      </c>
      <c r="I70" s="121">
        <f ca="1">SUM(,,IF(IFERROR(FIND("--",INDIRECT(ADDRESS(27,5,,,"MATCHS"))),FALSE),RIGHT(INDIRECT(ADDRESS(27,5,,,"MATCHS")), FIND("--",INDIRECT(ADDRESS(27,5,,,"MATCHS")),1)),INDIRECT(ADDRESS(27,5,,,"MATCHS"))),,,IF(IFERROR(FIND("--",INDIRECT(ADDRESS(63,3,,,"MATCHS"))),FALSE),RIGHT(INDIRECT(ADDRESS(63,3,,,"MATCHS")), FIND("--",INDIRECT(ADDRESS(63,3,,,"MATCHS")),1)),INDIRECT(ADDRESS(63,3,,,"MATCHS"))),,,IF(IFERROR(FIND("--",INDIRECT(ADDRESS(101,3,,,"MATCHS"))),FALSE),RIGHT(INDIRECT(ADDRESS(101,3,,,"MATCHS")), FIND("--",INDIRECT(ADDRESS(101,3,,,"MATCHS")),1)),INDIRECT(ADDRESS(101,3,,,"MATCHS"))),,,IF(IFERROR(FIND("--",INDIRECT(ADDRESS(139,5,,,"MATCHS"))),FALSE),RIGHT(INDIRECT(ADDRESS(139,5,,,"MATCHS")), FIND("--",INDIRECT(ADDRESS(139,5,,,"MATCHS")),1)),INDIRECT(ADDRESS(139,5,,,"MATCHS"))),,,IF(IFERROR(FIND("--",INDIRECT(ADDRESS(176,5,,,"MATCHS"))),FALSE),RIGHT(INDIRECT(ADDRESS(176,5,,,"MATCHS")), FIND("--",INDIRECT(ADDRESS(176,5,,,"MATCHS")),1)),INDIRECT(ADDRESS(176,5,,,"MATCHS"))),,,,,,)</f>
        <v>0</v>
      </c>
      <c r="J70" s="121">
        <f ca="1">H70 - I70</f>
        <v>0</v>
      </c>
      <c r="K70" s="121">
        <v>0</v>
      </c>
      <c r="L70" s="121">
        <v>3</v>
      </c>
      <c r="M70" s="121"/>
      <c r="N70" s="115" t="str">
        <f>M70 &amp; "DH"</f>
        <v>DH</v>
      </c>
    </row>
    <row r="71" spans="1:14" ht="15.75" x14ac:dyDescent="0.25">
      <c r="A71" s="120"/>
      <c r="B71" s="121">
        <v>4</v>
      </c>
      <c r="C71" s="121" t="s">
        <v>115</v>
      </c>
      <c r="D71" s="121" t="str">
        <f>INSCRIPTS!C57</f>
        <v>4G</v>
      </c>
      <c r="E71" s="131">
        <f ca="1">SUM(,,IF(INDIRECT(ADDRESS(27,5,,,"MATCHS"))&gt;INDIRECT(ADDRESS(27,3,,,"MATCHS")),1,0),,,IF(INDIRECT(ADDRESS(65,3,,,"MATCHS"))&gt;INDIRECT(ADDRESS(65,5,,,"MATCHS")),1,0),,,IF(INDIRECT(ADDRESS(102,3,,,"MATCHS"))&gt;INDIRECT(ADDRESS(102,5,,,"MATCHS")),1,0),,,IF(INDIRECT(ADDRESS(137,5,,,"MATCHS"))&gt;INDIRECT(ADDRESS(137,3,,,"MATCHS")),1,0),,,IF(INDIRECT(ADDRESS(175,5,,,"MATCHS"))&gt;INDIRECT(ADDRESS(175,3,,,"MATCHS")),1,0),,,,,,) + 0.01 * K71</f>
        <v>0</v>
      </c>
      <c r="F71" s="121">
        <f ca="1">SUM(,,IF(INDIRECT(ADDRESS(27,5,,,"MATCHS"))&lt;INDIRECT(ADDRESS(27,3,,,"MATCHS")),1,0),,,IF(INDIRECT(ADDRESS(65,3,,,"MATCHS"))&lt;INDIRECT(ADDRESS(65,5,,,"MATCHS")),1,0),,,IF(INDIRECT(ADDRESS(102,3,,,"MATCHS"))&lt;INDIRECT(ADDRESS(102,5,,,"MATCHS")),1,0),,,IF(INDIRECT(ADDRESS(137,5,,,"MATCHS"))&lt;INDIRECT(ADDRESS(137,3,,,"MATCHS")),1,0),,,IF(INDIRECT(ADDRESS(175,5,,,"MATCHS"))&lt;INDIRECT(ADDRESS(175,3,,,"MATCHS")),1,0),,,,,,)</f>
        <v>0</v>
      </c>
      <c r="G71" s="121"/>
      <c r="H71" s="121">
        <f ca="1">SUM(,,IF(IFERROR(FIND("--",INDIRECT(ADDRESS(27,5,,,"MATCHS"))),FALSE),RIGHT(INDIRECT(ADDRESS(27,5,,,"MATCHS")), FIND("--",INDIRECT(ADDRESS(27,5,,,"MATCHS")),1)),INDIRECT(ADDRESS(27,5,,,"MATCHS"))),,,IF(IFERROR(FIND("--",INDIRECT(ADDRESS(65,3,,,"MATCHS"))),FALSE),RIGHT(INDIRECT(ADDRESS(65,3,,,"MATCHS")), FIND("--",INDIRECT(ADDRESS(65,3,,,"MATCHS")),1)),INDIRECT(ADDRESS(65,3,,,"MATCHS"))),,,IF(IFERROR(FIND("--",INDIRECT(ADDRESS(102,3,,,"MATCHS"))),FALSE),RIGHT(INDIRECT(ADDRESS(102,3,,,"MATCHS")), FIND("--",INDIRECT(ADDRESS(102,3,,,"MATCHS")),1)),INDIRECT(ADDRESS(102,3,,,"MATCHS"))),,,IF(IFERROR(FIND("--",INDIRECT(ADDRESS(137,5,,,"MATCHS"))),FALSE),RIGHT(INDIRECT(ADDRESS(137,5,,,"MATCHS")), FIND("--",INDIRECT(ADDRESS(137,5,,,"MATCHS")),1)),INDIRECT(ADDRESS(137,5,,,"MATCHS"))),,,IF(IFERROR(FIND("--",INDIRECT(ADDRESS(175,5,,,"MATCHS"))),FALSE),RIGHT(INDIRECT(ADDRESS(175,5,,,"MATCHS")), FIND("--",INDIRECT(ADDRESS(175,5,,,"MATCHS")),1)),INDIRECT(ADDRESS(175,5,,,"MATCHS"))),,,,,,)</f>
        <v>0</v>
      </c>
      <c r="I71" s="121">
        <f ca="1">SUM(,,IF(IFERROR(FIND("--",INDIRECT(ADDRESS(27,3,,,"MATCHS"))),FALSE),RIGHT(INDIRECT(ADDRESS(27,3,,,"MATCHS")), FIND("--",INDIRECT(ADDRESS(27,3,,,"MATCHS")),1)),INDIRECT(ADDRESS(27,3,,,"MATCHS"))),,,IF(IFERROR(FIND("--",INDIRECT(ADDRESS(65,5,,,"MATCHS"))),FALSE),RIGHT(INDIRECT(ADDRESS(65,5,,,"MATCHS")), FIND("--",INDIRECT(ADDRESS(65,5,,,"MATCHS")),1)),INDIRECT(ADDRESS(65,5,,,"MATCHS"))),,,IF(IFERROR(FIND("--",INDIRECT(ADDRESS(102,5,,,"MATCHS"))),FALSE),RIGHT(INDIRECT(ADDRESS(102,5,,,"MATCHS")), FIND("--",INDIRECT(ADDRESS(102,5,,,"MATCHS")),1)),INDIRECT(ADDRESS(102,5,,,"MATCHS"))),,,IF(IFERROR(FIND("--",INDIRECT(ADDRESS(137,3,,,"MATCHS"))),FALSE),RIGHT(INDIRECT(ADDRESS(137,3,,,"MATCHS")), FIND("--",INDIRECT(ADDRESS(137,3,,,"MATCHS")),1)),INDIRECT(ADDRESS(137,3,,,"MATCHS"))),,,IF(IFERROR(FIND("--",INDIRECT(ADDRESS(175,3,,,"MATCHS"))),FALSE),RIGHT(INDIRECT(ADDRESS(175,3,,,"MATCHS")), FIND("--",INDIRECT(ADDRESS(175,3,,,"MATCHS")),1)),INDIRECT(ADDRESS(175,3,,,"MATCHS"))),,,,,,)</f>
        <v>0</v>
      </c>
      <c r="J71" s="121">
        <f ca="1">H71 - I71</f>
        <v>0</v>
      </c>
      <c r="K71" s="121">
        <v>0</v>
      </c>
      <c r="L71" s="121">
        <v>4</v>
      </c>
      <c r="M71" s="121"/>
      <c r="N71" s="115" t="str">
        <f>M71 &amp; "DH"</f>
        <v>DH</v>
      </c>
    </row>
    <row r="72" spans="1:14" ht="15.75" x14ac:dyDescent="0.25">
      <c r="A72" s="120"/>
      <c r="B72" s="121">
        <v>5</v>
      </c>
      <c r="C72" s="121" t="s">
        <v>116</v>
      </c>
      <c r="D72" s="121" t="str">
        <f>INSCRIPTS!C58</f>
        <v>5G</v>
      </c>
      <c r="E72" s="131">
        <f ca="1">SUM(,,IF(INDIRECT(ADDRESS(28,3,,,"MATCHS"))&gt;INDIRECT(ADDRESS(28,5,,,"MATCHS")),1,0),,,IF(INDIRECT(ADDRESS(64,5,,,"MATCHS"))&gt;INDIRECT(ADDRESS(64,3,,,"MATCHS")),1,0),,,IF(INDIRECT(ADDRESS(102,5,,,"MATCHS"))&gt;INDIRECT(ADDRESS(102,3,,,"MATCHS")),1,0),,,IF(INDIRECT(ADDRESS(139,5,,,"MATCHS"))&gt;INDIRECT(ADDRESS(139,3,,,"MATCHS")),1,0),,,IF(INDIRECT(ADDRESS(174,5,,,"MATCHS"))&gt;INDIRECT(ADDRESS(174,3,,,"MATCHS")),1,0),,,,,,) + 0.01 * K72</f>
        <v>0</v>
      </c>
      <c r="F72" s="121">
        <f ca="1">SUM(,,IF(INDIRECT(ADDRESS(28,3,,,"MATCHS"))&lt;INDIRECT(ADDRESS(28,5,,,"MATCHS")),1,0),,,IF(INDIRECT(ADDRESS(64,5,,,"MATCHS"))&lt;INDIRECT(ADDRESS(64,3,,,"MATCHS")),1,0),,,IF(INDIRECT(ADDRESS(102,5,,,"MATCHS"))&lt;INDIRECT(ADDRESS(102,3,,,"MATCHS")),1,0),,,IF(INDIRECT(ADDRESS(139,5,,,"MATCHS"))&lt;INDIRECT(ADDRESS(139,3,,,"MATCHS")),1,0),,,IF(INDIRECT(ADDRESS(174,5,,,"MATCHS"))&lt;INDIRECT(ADDRESS(174,3,,,"MATCHS")),1,0),,,,,,)</f>
        <v>0</v>
      </c>
      <c r="G72" s="121"/>
      <c r="H72" s="121">
        <f ca="1">SUM(,,IF(IFERROR(FIND("--",INDIRECT(ADDRESS(28,3,,,"MATCHS"))),FALSE),RIGHT(INDIRECT(ADDRESS(28,3,,,"MATCHS")), FIND("--",INDIRECT(ADDRESS(28,3,,,"MATCHS")),1)),INDIRECT(ADDRESS(28,3,,,"MATCHS"))),,,IF(IFERROR(FIND("--",INDIRECT(ADDRESS(64,5,,,"MATCHS"))),FALSE),RIGHT(INDIRECT(ADDRESS(64,5,,,"MATCHS")), FIND("--",INDIRECT(ADDRESS(64,5,,,"MATCHS")),1)),INDIRECT(ADDRESS(64,5,,,"MATCHS"))),,,IF(IFERROR(FIND("--",INDIRECT(ADDRESS(102,5,,,"MATCHS"))),FALSE),RIGHT(INDIRECT(ADDRESS(102,5,,,"MATCHS")), FIND("--",INDIRECT(ADDRESS(102,5,,,"MATCHS")),1)),INDIRECT(ADDRESS(102,5,,,"MATCHS"))),,,IF(IFERROR(FIND("--",INDIRECT(ADDRESS(139,5,,,"MATCHS"))),FALSE),RIGHT(INDIRECT(ADDRESS(139,5,,,"MATCHS")), FIND("--",INDIRECT(ADDRESS(139,5,,,"MATCHS")),1)),INDIRECT(ADDRESS(139,5,,,"MATCHS"))),,,IF(IFERROR(FIND("--",INDIRECT(ADDRESS(174,5,,,"MATCHS"))),FALSE),RIGHT(INDIRECT(ADDRESS(174,5,,,"MATCHS")), FIND("--",INDIRECT(ADDRESS(174,5,,,"MATCHS")),1)),INDIRECT(ADDRESS(174,5,,,"MATCHS"))),,,,,,)</f>
        <v>0</v>
      </c>
      <c r="I72" s="121">
        <f ca="1">SUM(,,IF(IFERROR(FIND("--",INDIRECT(ADDRESS(28,5,,,"MATCHS"))),FALSE),RIGHT(INDIRECT(ADDRESS(28,5,,,"MATCHS")), FIND("--",INDIRECT(ADDRESS(28,5,,,"MATCHS")),1)),INDIRECT(ADDRESS(28,5,,,"MATCHS"))),,,IF(IFERROR(FIND("--",INDIRECT(ADDRESS(64,3,,,"MATCHS"))),FALSE),RIGHT(INDIRECT(ADDRESS(64,3,,,"MATCHS")), FIND("--",INDIRECT(ADDRESS(64,3,,,"MATCHS")),1)),INDIRECT(ADDRESS(64,3,,,"MATCHS"))),,,IF(IFERROR(FIND("--",INDIRECT(ADDRESS(102,3,,,"MATCHS"))),FALSE),RIGHT(INDIRECT(ADDRESS(102,3,,,"MATCHS")), FIND("--",INDIRECT(ADDRESS(102,3,,,"MATCHS")),1)),INDIRECT(ADDRESS(102,3,,,"MATCHS"))),,,IF(IFERROR(FIND("--",INDIRECT(ADDRESS(139,3,,,"MATCHS"))),FALSE),RIGHT(INDIRECT(ADDRESS(139,3,,,"MATCHS")), FIND("--",INDIRECT(ADDRESS(139,3,,,"MATCHS")),1)),INDIRECT(ADDRESS(139,3,,,"MATCHS"))),,,IF(IFERROR(FIND("--",INDIRECT(ADDRESS(174,3,,,"MATCHS"))),FALSE),RIGHT(INDIRECT(ADDRESS(174,3,,,"MATCHS")), FIND("--",INDIRECT(ADDRESS(174,3,,,"MATCHS")),1)),INDIRECT(ADDRESS(174,3,,,"MATCHS"))),,,,,,)</f>
        <v>0</v>
      </c>
      <c r="J72" s="121">
        <f ca="1">H72 - I72</f>
        <v>0</v>
      </c>
      <c r="K72" s="121">
        <v>0</v>
      </c>
      <c r="L72" s="121">
        <v>5</v>
      </c>
      <c r="M72" s="121"/>
      <c r="N72" s="115" t="str">
        <f>M72 &amp; "DH"</f>
        <v>DH</v>
      </c>
    </row>
    <row r="73" spans="1:14" ht="15.75" x14ac:dyDescent="0.25">
      <c r="A73" s="120"/>
      <c r="B73" s="121">
        <v>6</v>
      </c>
      <c r="C73" s="121" t="s">
        <v>117</v>
      </c>
      <c r="D73" s="121" t="str">
        <f>INSCRIPTS!C59</f>
        <v>6G</v>
      </c>
      <c r="E73" s="131">
        <f ca="1">SUM(,,IF(INDIRECT(ADDRESS(28,5,,,"MATCHS"))&gt;INDIRECT(ADDRESS(28,3,,,"MATCHS")),1,0),,,IF(INDIRECT(ADDRESS(65,5,,,"MATCHS"))&gt;INDIRECT(ADDRESS(65,3,,,"MATCHS")),1,0),,,IF(INDIRECT(ADDRESS(100,5,,,"MATCHS"))&gt;INDIRECT(ADDRESS(100,3,,,"MATCHS")),1,0),,,IF(INDIRECT(ADDRESS(138,5,,,"MATCHS"))&gt;INDIRECT(ADDRESS(138,3,,,"MATCHS")),1,0),,,IF(INDIRECT(ADDRESS(176,5,,,"MATCHS"))&gt;INDIRECT(ADDRESS(176,3,,,"MATCHS")),1,0),,,,,,) + 0.01 * K73</f>
        <v>0</v>
      </c>
      <c r="F73" s="121">
        <f ca="1">SUM(,,IF(INDIRECT(ADDRESS(28,5,,,"MATCHS"))&lt;INDIRECT(ADDRESS(28,3,,,"MATCHS")),1,0),,,IF(INDIRECT(ADDRESS(65,5,,,"MATCHS"))&lt;INDIRECT(ADDRESS(65,3,,,"MATCHS")),1,0),,,IF(INDIRECT(ADDRESS(100,5,,,"MATCHS"))&lt;INDIRECT(ADDRESS(100,3,,,"MATCHS")),1,0),,,IF(INDIRECT(ADDRESS(138,5,,,"MATCHS"))&lt;INDIRECT(ADDRESS(138,3,,,"MATCHS")),1,0),,,IF(INDIRECT(ADDRESS(176,5,,,"MATCHS"))&lt;INDIRECT(ADDRESS(176,3,,,"MATCHS")),1,0),,,,,,)</f>
        <v>0</v>
      </c>
      <c r="G73" s="121"/>
      <c r="H73" s="121">
        <f ca="1">SUM(,,IF(IFERROR(FIND("--",INDIRECT(ADDRESS(28,5,,,"MATCHS"))),FALSE),RIGHT(INDIRECT(ADDRESS(28,5,,,"MATCHS")), FIND("--",INDIRECT(ADDRESS(28,5,,,"MATCHS")),1)),INDIRECT(ADDRESS(28,5,,,"MATCHS"))),,,IF(IFERROR(FIND("--",INDIRECT(ADDRESS(65,5,,,"MATCHS"))),FALSE),RIGHT(INDIRECT(ADDRESS(65,5,,,"MATCHS")), FIND("--",INDIRECT(ADDRESS(65,5,,,"MATCHS")),1)),INDIRECT(ADDRESS(65,5,,,"MATCHS"))),,,IF(IFERROR(FIND("--",INDIRECT(ADDRESS(100,5,,,"MATCHS"))),FALSE),RIGHT(INDIRECT(ADDRESS(100,5,,,"MATCHS")), FIND("--",INDIRECT(ADDRESS(100,5,,,"MATCHS")),1)),INDIRECT(ADDRESS(100,5,,,"MATCHS"))),,,IF(IFERROR(FIND("--",INDIRECT(ADDRESS(138,5,,,"MATCHS"))),FALSE),RIGHT(INDIRECT(ADDRESS(138,5,,,"MATCHS")), FIND("--",INDIRECT(ADDRESS(138,5,,,"MATCHS")),1)),INDIRECT(ADDRESS(138,5,,,"MATCHS"))),,,IF(IFERROR(FIND("--",INDIRECT(ADDRESS(176,5,,,"MATCHS"))),FALSE),RIGHT(INDIRECT(ADDRESS(176,5,,,"MATCHS")), FIND("--",INDIRECT(ADDRESS(176,5,,,"MATCHS")),1)),INDIRECT(ADDRESS(176,5,,,"MATCHS"))),,,,,,)</f>
        <v>0</v>
      </c>
      <c r="I73" s="121">
        <f ca="1">SUM(,,IF(IFERROR(FIND("--",INDIRECT(ADDRESS(28,3,,,"MATCHS"))),FALSE),RIGHT(INDIRECT(ADDRESS(28,3,,,"MATCHS")), FIND("--",INDIRECT(ADDRESS(28,3,,,"MATCHS")),1)),INDIRECT(ADDRESS(28,3,,,"MATCHS"))),,,IF(IFERROR(FIND("--",INDIRECT(ADDRESS(65,3,,,"MATCHS"))),FALSE),RIGHT(INDIRECT(ADDRESS(65,3,,,"MATCHS")), FIND("--",INDIRECT(ADDRESS(65,3,,,"MATCHS")),1)),INDIRECT(ADDRESS(65,3,,,"MATCHS"))),,,IF(IFERROR(FIND("--",INDIRECT(ADDRESS(100,3,,,"MATCHS"))),FALSE),RIGHT(INDIRECT(ADDRESS(100,3,,,"MATCHS")), FIND("--",INDIRECT(ADDRESS(100,3,,,"MATCHS")),1)),INDIRECT(ADDRESS(100,3,,,"MATCHS"))),,,IF(IFERROR(FIND("--",INDIRECT(ADDRESS(138,3,,,"MATCHS"))),FALSE),RIGHT(INDIRECT(ADDRESS(138,3,,,"MATCHS")), FIND("--",INDIRECT(ADDRESS(138,3,,,"MATCHS")),1)),INDIRECT(ADDRESS(138,3,,,"MATCHS"))),,,IF(IFERROR(FIND("--",INDIRECT(ADDRESS(176,3,,,"MATCHS"))),FALSE),RIGHT(INDIRECT(ADDRESS(176,3,,,"MATCHS")), FIND("--",INDIRECT(ADDRESS(176,3,,,"MATCHS")),1)),INDIRECT(ADDRESS(176,3,,,"MATCHS"))),,,,,,)</f>
        <v>0</v>
      </c>
      <c r="J73" s="121">
        <f ca="1">H73 - I73</f>
        <v>0</v>
      </c>
      <c r="K73" s="121">
        <v>0</v>
      </c>
      <c r="L73" s="121">
        <v>6</v>
      </c>
      <c r="M73" s="121"/>
      <c r="N73" s="115" t="str">
        <f>M73 &amp; "DH"</f>
        <v>DH</v>
      </c>
    </row>
    <row r="74" spans="1:14" ht="15.75" thickBot="1" x14ac:dyDescent="0.3"/>
    <row r="75" spans="1:14" ht="30.95" customHeight="1" thickBot="1" x14ac:dyDescent="0.3">
      <c r="C75" s="116" t="s">
        <v>179</v>
      </c>
      <c r="D75" s="116" t="s">
        <v>61</v>
      </c>
      <c r="E75" s="129" t="s">
        <v>180</v>
      </c>
      <c r="F75" s="116" t="s">
        <v>181</v>
      </c>
      <c r="G75" s="116" t="s">
        <v>182</v>
      </c>
      <c r="H75" s="116" t="s">
        <v>183</v>
      </c>
      <c r="I75" s="116" t="s">
        <v>184</v>
      </c>
      <c r="J75" s="116" t="s">
        <v>185</v>
      </c>
      <c r="K75" s="117" t="s">
        <v>186</v>
      </c>
      <c r="L75" s="116" t="s">
        <v>187</v>
      </c>
      <c r="M75" s="117" t="s">
        <v>188</v>
      </c>
    </row>
    <row r="77" spans="1:14" ht="15.75" x14ac:dyDescent="0.25">
      <c r="A77" s="122" t="s">
        <v>69</v>
      </c>
      <c r="B77" s="123">
        <v>1</v>
      </c>
      <c r="C77" s="123" t="s">
        <v>118</v>
      </c>
      <c r="D77" s="123" t="str">
        <f>INSCRIPTS!C61</f>
        <v>1H</v>
      </c>
      <c r="E77" s="132">
        <f ca="1">SUM(,,IF(INDIRECT(ADDRESS(29,3,,,"MATCHS"))&gt;INDIRECT(ADDRESS(29,5,,,"MATCHS")),1,0),,,IF(INDIRECT(ADDRESS(66,3,,,"MATCHS"))&gt;INDIRECT(ADDRESS(66,5,,,"MATCHS")),1,0),,,IF(INDIRECT(ADDRESS(103,3,,,"MATCHS"))&gt;INDIRECT(ADDRESS(103,5,,,"MATCHS")),1,0),,,IF(INDIRECT(ADDRESS(140,3,,,"MATCHS"))&gt;INDIRECT(ADDRESS(140,5,,,"MATCHS")),1,0),,,,,,,,IF(INDIRECT(ADDRESS(235,3,,,"MATCHS"))&gt;INDIRECT(ADDRESS(235,5,,,"MATCHS")),1,0),IF(INDIRECT(ADDRESS(242,3,,,"MATCHS"))&gt;INDIRECT(ADDRESS(242,5,,,"MATCHS")),1,0)) + 0.01 * K77</f>
        <v>0</v>
      </c>
      <c r="F77" s="123">
        <f ca="1">SUM(,,IF(INDIRECT(ADDRESS(29,3,,,"MATCHS"))&lt;INDIRECT(ADDRESS(29,5,,,"MATCHS")),1,0),,,IF(INDIRECT(ADDRESS(66,3,,,"MATCHS"))&lt;INDIRECT(ADDRESS(66,5,,,"MATCHS")),1,0),,,IF(INDIRECT(ADDRESS(103,3,,,"MATCHS"))&lt;INDIRECT(ADDRESS(103,5,,,"MATCHS")),1,0),,,IF(INDIRECT(ADDRESS(140,3,,,"MATCHS"))&lt;INDIRECT(ADDRESS(140,5,,,"MATCHS")),1,0),,,,,,,,IF(INDIRECT(ADDRESS(235,3,,,"MATCHS"))&lt;INDIRECT(ADDRESS(235,5,,,"MATCHS")),1,0),IF(INDIRECT(ADDRESS(242,3,,,"MATCHS"))&lt;INDIRECT(ADDRESS(242,5,,,"MATCHS")),1,0))</f>
        <v>0</v>
      </c>
      <c r="G77" s="123"/>
      <c r="H77" s="123">
        <f ca="1">SUM(,,IF(IFERROR(FIND("--",INDIRECT(ADDRESS(29,3,,,"MATCHS"))),FALSE),RIGHT(INDIRECT(ADDRESS(29,3,,,"MATCHS")), FIND("--",INDIRECT(ADDRESS(29,3,,,"MATCHS")),1)),INDIRECT(ADDRESS(29,3,,,"MATCHS"))),,,IF(IFERROR(FIND("--",INDIRECT(ADDRESS(66,3,,,"MATCHS"))),FALSE),RIGHT(INDIRECT(ADDRESS(66,3,,,"MATCHS")), FIND("--",INDIRECT(ADDRESS(66,3,,,"MATCHS")),1)),INDIRECT(ADDRESS(66,3,,,"MATCHS"))),,,IF(IFERROR(FIND("--",INDIRECT(ADDRESS(103,3,,,"MATCHS"))),FALSE),RIGHT(INDIRECT(ADDRESS(103,3,,,"MATCHS")), FIND("--",INDIRECT(ADDRESS(103,3,,,"MATCHS")),1)),INDIRECT(ADDRESS(103,3,,,"MATCHS"))),,,IF(IFERROR(FIND("--",INDIRECT(ADDRESS(140,3,,,"MATCHS"))),FALSE),RIGHT(INDIRECT(ADDRESS(140,3,,,"MATCHS")), FIND("--",INDIRECT(ADDRESS(140,3,,,"MATCHS")),1)),INDIRECT(ADDRESS(140,3,,,"MATCHS"))),,,,,,,,IF(IFERROR(FIND("--",INDIRECT(ADDRESS(235,3,,,"MATCHS"))),FALSE),RIGHT(INDIRECT(ADDRESS(235,3,,,"MATCHS")), FIND("--",INDIRECT(ADDRESS(235,3,,,"MATCHS")),1)),INDIRECT(ADDRESS(235,3,,,"MATCHS"))),IF(IFERROR(FIND("--",INDIRECT(ADDRESS(242,3,,,"MATCHS"))),FALSE),RIGHT(INDIRECT(ADDRESS(242,3,,,"MATCHS")), FIND("--",INDIRECT(ADDRESS(242,3,,,"MATCHS")),1)),INDIRECT(ADDRESS(242,3,,,"MATCHS"))))</f>
        <v>0</v>
      </c>
      <c r="I77" s="123">
        <f ca="1">SUM(,,IF(IFERROR(FIND("--",INDIRECT(ADDRESS(29,5,,,"MATCHS"))),FALSE),RIGHT(INDIRECT(ADDRESS(29,5,,,"MATCHS")), FIND("--",INDIRECT(ADDRESS(29,5,,,"MATCHS")),1)),INDIRECT(ADDRESS(29,5,,,"MATCHS"))),,,IF(IFERROR(FIND("--",INDIRECT(ADDRESS(66,5,,,"MATCHS"))),FALSE),RIGHT(INDIRECT(ADDRESS(66,5,,,"MATCHS")), FIND("--",INDIRECT(ADDRESS(66,5,,,"MATCHS")),1)),INDIRECT(ADDRESS(66,5,,,"MATCHS"))),,,IF(IFERROR(FIND("--",INDIRECT(ADDRESS(103,5,,,"MATCHS"))),FALSE),RIGHT(INDIRECT(ADDRESS(103,5,,,"MATCHS")), FIND("--",INDIRECT(ADDRESS(103,5,,,"MATCHS")),1)),INDIRECT(ADDRESS(103,5,,,"MATCHS"))),,,IF(IFERROR(FIND("--",INDIRECT(ADDRESS(140,5,,,"MATCHS"))),FALSE),RIGHT(INDIRECT(ADDRESS(140,5,,,"MATCHS")), FIND("--",INDIRECT(ADDRESS(140,5,,,"MATCHS")),1)),INDIRECT(ADDRESS(140,5,,,"MATCHS"))),,,,,,,,IF(IFERROR(FIND("--",INDIRECT(ADDRESS(235,5,,,"MATCHS"))),FALSE),RIGHT(INDIRECT(ADDRESS(235,5,,,"MATCHS")), FIND("--",INDIRECT(ADDRESS(235,5,,,"MATCHS")),1)),INDIRECT(ADDRESS(235,5,,,"MATCHS"))),IF(IFERROR(FIND("--",INDIRECT(ADDRESS(242,5,,,"MATCHS"))),FALSE),RIGHT(INDIRECT(ADDRESS(242,5,,,"MATCHS")), FIND("--",INDIRECT(ADDRESS(242,5,,,"MATCHS")),1)),INDIRECT(ADDRESS(242,5,,,"MATCHS"))))</f>
        <v>0</v>
      </c>
      <c r="J77" s="123">
        <f ca="1">H77 - I77</f>
        <v>0</v>
      </c>
      <c r="K77" s="123">
        <v>0</v>
      </c>
      <c r="L77" s="123">
        <v>1</v>
      </c>
      <c r="M77" s="123"/>
      <c r="N77" s="115" t="str">
        <f>M77 &amp; "SH"</f>
        <v>SH</v>
      </c>
    </row>
    <row r="78" spans="1:14" ht="15.75" x14ac:dyDescent="0.25">
      <c r="A78" s="122"/>
      <c r="B78" s="123">
        <v>2</v>
      </c>
      <c r="C78" s="123" t="s">
        <v>119</v>
      </c>
      <c r="D78" s="123" t="str">
        <f>INSCRIPTS!C62</f>
        <v>2H</v>
      </c>
      <c r="E78" s="132">
        <f ca="1">SUM(,,IF(INDIRECT(ADDRESS(29,5,,,"MATCHS"))&gt;INDIRECT(ADDRESS(29,3,,,"MATCHS")),1,0),,,,,,IF(INDIRECT(ADDRESS(104,3,,,"MATCHS"))&gt;INDIRECT(ADDRESS(104,5,,,"MATCHS")),1,0),,,IF(INDIRECT(ADDRESS(142,3,,,"MATCHS"))&gt;INDIRECT(ADDRESS(142,5,,,"MATCHS")),1,0),,,IF(INDIRECT(ADDRESS(178,3,,,"MATCHS"))&gt;INDIRECT(ADDRESS(178,5,,,"MATCHS")),1,0),,,,,IF(INDIRECT(ADDRESS(236,3,,,"MATCHS"))&gt;INDIRECT(ADDRESS(236,5,,,"MATCHS")),1,0),IF(INDIRECT(ADDRESS(243,3,,,"MATCHS"))&gt;INDIRECT(ADDRESS(243,5,,,"MATCHS")),1,0)) + 0.01 * K78</f>
        <v>0</v>
      </c>
      <c r="F78" s="123">
        <f ca="1">SUM(,,IF(INDIRECT(ADDRESS(29,5,,,"MATCHS"))&lt;INDIRECT(ADDRESS(29,3,,,"MATCHS")),1,0),,,,,,IF(INDIRECT(ADDRESS(104,3,,,"MATCHS"))&lt;INDIRECT(ADDRESS(104,5,,,"MATCHS")),1,0),,,IF(INDIRECT(ADDRESS(142,3,,,"MATCHS"))&lt;INDIRECT(ADDRESS(142,5,,,"MATCHS")),1,0),,,IF(INDIRECT(ADDRESS(178,3,,,"MATCHS"))&lt;INDIRECT(ADDRESS(178,5,,,"MATCHS")),1,0),,,,,IF(INDIRECT(ADDRESS(236,3,,,"MATCHS"))&lt;INDIRECT(ADDRESS(236,5,,,"MATCHS")),1,0),IF(INDIRECT(ADDRESS(243,3,,,"MATCHS"))&lt;INDIRECT(ADDRESS(243,5,,,"MATCHS")),1,0))</f>
        <v>0</v>
      </c>
      <c r="G78" s="123"/>
      <c r="H78" s="123">
        <f ca="1">SUM(,,IF(IFERROR(FIND("--",INDIRECT(ADDRESS(29,5,,,"MATCHS"))),FALSE),RIGHT(INDIRECT(ADDRESS(29,5,,,"MATCHS")), FIND("--",INDIRECT(ADDRESS(29,5,,,"MATCHS")),1)),INDIRECT(ADDRESS(29,5,,,"MATCHS"))),,,,,,IF(IFERROR(FIND("--",INDIRECT(ADDRESS(104,3,,,"MATCHS"))),FALSE),RIGHT(INDIRECT(ADDRESS(104,3,,,"MATCHS")), FIND("--",INDIRECT(ADDRESS(104,3,,,"MATCHS")),1)),INDIRECT(ADDRESS(104,3,,,"MATCHS"))),,,IF(IFERROR(FIND("--",INDIRECT(ADDRESS(142,3,,,"MATCHS"))),FALSE),RIGHT(INDIRECT(ADDRESS(142,3,,,"MATCHS")), FIND("--",INDIRECT(ADDRESS(142,3,,,"MATCHS")),1)),INDIRECT(ADDRESS(142,3,,,"MATCHS"))),,,IF(IFERROR(FIND("--",INDIRECT(ADDRESS(178,3,,,"MATCHS"))),FALSE),RIGHT(INDIRECT(ADDRESS(178,3,,,"MATCHS")), FIND("--",INDIRECT(ADDRESS(178,3,,,"MATCHS")),1)),INDIRECT(ADDRESS(178,3,,,"MATCHS"))),,,,,IF(IFERROR(FIND("--",INDIRECT(ADDRESS(236,3,,,"MATCHS"))),FALSE),RIGHT(INDIRECT(ADDRESS(236,3,,,"MATCHS")), FIND("--",INDIRECT(ADDRESS(236,3,,,"MATCHS")),1)),INDIRECT(ADDRESS(236,3,,,"MATCHS"))),IF(IFERROR(FIND("--",INDIRECT(ADDRESS(243,3,,,"MATCHS"))),FALSE),RIGHT(INDIRECT(ADDRESS(243,3,,,"MATCHS")), FIND("--",INDIRECT(ADDRESS(243,3,,,"MATCHS")),1)),INDIRECT(ADDRESS(243,3,,,"MATCHS"))))</f>
        <v>0</v>
      </c>
      <c r="I78" s="123">
        <f ca="1">SUM(,,IF(IFERROR(FIND("--",INDIRECT(ADDRESS(29,3,,,"MATCHS"))),FALSE),RIGHT(INDIRECT(ADDRESS(29,3,,,"MATCHS")), FIND("--",INDIRECT(ADDRESS(29,3,,,"MATCHS")),1)),INDIRECT(ADDRESS(29,3,,,"MATCHS"))),,,,,,IF(IFERROR(FIND("--",INDIRECT(ADDRESS(104,5,,,"MATCHS"))),FALSE),RIGHT(INDIRECT(ADDRESS(104,5,,,"MATCHS")), FIND("--",INDIRECT(ADDRESS(104,5,,,"MATCHS")),1)),INDIRECT(ADDRESS(104,5,,,"MATCHS"))),,,IF(IFERROR(FIND("--",INDIRECT(ADDRESS(142,5,,,"MATCHS"))),FALSE),RIGHT(INDIRECT(ADDRESS(142,5,,,"MATCHS")), FIND("--",INDIRECT(ADDRESS(142,5,,,"MATCHS")),1)),INDIRECT(ADDRESS(142,5,,,"MATCHS"))),,,IF(IFERROR(FIND("--",INDIRECT(ADDRESS(178,5,,,"MATCHS"))),FALSE),RIGHT(INDIRECT(ADDRESS(178,5,,,"MATCHS")), FIND("--",INDIRECT(ADDRESS(178,5,,,"MATCHS")),1)),INDIRECT(ADDRESS(178,5,,,"MATCHS"))),,,,,IF(IFERROR(FIND("--",INDIRECT(ADDRESS(236,5,,,"MATCHS"))),FALSE),RIGHT(INDIRECT(ADDRESS(236,5,,,"MATCHS")), FIND("--",INDIRECT(ADDRESS(236,5,,,"MATCHS")),1)),INDIRECT(ADDRESS(236,5,,,"MATCHS"))),IF(IFERROR(FIND("--",INDIRECT(ADDRESS(243,5,,,"MATCHS"))),FALSE),RIGHT(INDIRECT(ADDRESS(243,5,,,"MATCHS")), FIND("--",INDIRECT(ADDRESS(243,5,,,"MATCHS")),1)),INDIRECT(ADDRESS(243,5,,,"MATCHS"))))</f>
        <v>0</v>
      </c>
      <c r="J78" s="123">
        <f ca="1">H78 - I78</f>
        <v>0</v>
      </c>
      <c r="K78" s="123">
        <v>0</v>
      </c>
      <c r="L78" s="123">
        <v>2</v>
      </c>
      <c r="M78" s="123"/>
      <c r="N78" s="115" t="str">
        <f>M78 &amp; "SH"</f>
        <v>SH</v>
      </c>
    </row>
    <row r="79" spans="1:14" ht="15.75" x14ac:dyDescent="0.25">
      <c r="A79" s="122"/>
      <c r="B79" s="123">
        <v>3</v>
      </c>
      <c r="C79" s="123" t="s">
        <v>120</v>
      </c>
      <c r="D79" s="123" t="str">
        <f>INSCRIPTS!C63</f>
        <v>3H</v>
      </c>
      <c r="E79" s="132">
        <f ca="1">SUM(,,IF(INDIRECT(ADDRESS(30,3,,,"MATCHS"))&gt;INDIRECT(ADDRESS(30,5,,,"MATCHS")),1,0),,,IF(INDIRECT(ADDRESS(66,5,,,"MATCHS"))&gt;INDIRECT(ADDRESS(66,3,,,"MATCHS")),1,0),,,IF(INDIRECT(ADDRESS(105,5,,,"MATCHS"))&gt;INDIRECT(ADDRESS(105,3,,,"MATCHS")),1,0),,,IF(INDIRECT(ADDRESS(141,5,,,"MATCHS"))&gt;INDIRECT(ADDRESS(141,3,,,"MATCHS")),1,0),,,IF(INDIRECT(ADDRESS(177,3,,,"MATCHS"))&gt;INDIRECT(ADDRESS(177,5,,,"MATCHS")),1,0),,,,,,IF(INDIRECT(ADDRESS(243,5,,,"MATCHS"))&gt;INDIRECT(ADDRESS(243,3,,,"MATCHS")),1,0)) + 0.01 * K79</f>
        <v>0</v>
      </c>
      <c r="F79" s="123">
        <f ca="1">SUM(,,IF(INDIRECT(ADDRESS(30,3,,,"MATCHS"))&lt;INDIRECT(ADDRESS(30,5,,,"MATCHS")),1,0),,,IF(INDIRECT(ADDRESS(66,5,,,"MATCHS"))&lt;INDIRECT(ADDRESS(66,3,,,"MATCHS")),1,0),,,IF(INDIRECT(ADDRESS(105,5,,,"MATCHS"))&lt;INDIRECT(ADDRESS(105,3,,,"MATCHS")),1,0),,,IF(INDIRECT(ADDRESS(141,5,,,"MATCHS"))&lt;INDIRECT(ADDRESS(141,3,,,"MATCHS")),1,0),,,IF(INDIRECT(ADDRESS(177,3,,,"MATCHS"))&lt;INDIRECT(ADDRESS(177,5,,,"MATCHS")),1,0),,,,,,IF(INDIRECT(ADDRESS(243,5,,,"MATCHS"))&lt;INDIRECT(ADDRESS(243,3,,,"MATCHS")),1,0))</f>
        <v>0</v>
      </c>
      <c r="G79" s="123"/>
      <c r="H79" s="123">
        <f ca="1">SUM(,,IF(IFERROR(FIND("--",INDIRECT(ADDRESS(30,3,,,"MATCHS"))),FALSE),RIGHT(INDIRECT(ADDRESS(30,3,,,"MATCHS")), FIND("--",INDIRECT(ADDRESS(30,3,,,"MATCHS")),1)),INDIRECT(ADDRESS(30,3,,,"MATCHS"))),,,IF(IFERROR(FIND("--",INDIRECT(ADDRESS(66,5,,,"MATCHS"))),FALSE),RIGHT(INDIRECT(ADDRESS(66,5,,,"MATCHS")), FIND("--",INDIRECT(ADDRESS(66,5,,,"MATCHS")),1)),INDIRECT(ADDRESS(66,5,,,"MATCHS"))),,,IF(IFERROR(FIND("--",INDIRECT(ADDRESS(105,5,,,"MATCHS"))),FALSE),RIGHT(INDIRECT(ADDRESS(105,5,,,"MATCHS")), FIND("--",INDIRECT(ADDRESS(105,5,,,"MATCHS")),1)),INDIRECT(ADDRESS(105,5,,,"MATCHS"))),,,IF(IFERROR(FIND("--",INDIRECT(ADDRESS(141,5,,,"MATCHS"))),FALSE),RIGHT(INDIRECT(ADDRESS(141,5,,,"MATCHS")), FIND("--",INDIRECT(ADDRESS(141,5,,,"MATCHS")),1)),INDIRECT(ADDRESS(141,5,,,"MATCHS"))),,,IF(IFERROR(FIND("--",INDIRECT(ADDRESS(177,3,,,"MATCHS"))),FALSE),RIGHT(INDIRECT(ADDRESS(177,3,,,"MATCHS")), FIND("--",INDIRECT(ADDRESS(177,3,,,"MATCHS")),1)),INDIRECT(ADDRESS(177,3,,,"MATCHS"))),,,,,,IF(IFERROR(FIND("--",INDIRECT(ADDRESS(243,5,,,"MATCHS"))),FALSE),RIGHT(INDIRECT(ADDRESS(243,5,,,"MATCHS")), FIND("--",INDIRECT(ADDRESS(243,5,,,"MATCHS")),1)),INDIRECT(ADDRESS(243,5,,,"MATCHS"))))</f>
        <v>0</v>
      </c>
      <c r="I79" s="123">
        <f ca="1">SUM(,,IF(IFERROR(FIND("--",INDIRECT(ADDRESS(30,5,,,"MATCHS"))),FALSE),RIGHT(INDIRECT(ADDRESS(30,5,,,"MATCHS")), FIND("--",INDIRECT(ADDRESS(30,5,,,"MATCHS")),1)),INDIRECT(ADDRESS(30,5,,,"MATCHS"))),,,IF(IFERROR(FIND("--",INDIRECT(ADDRESS(66,3,,,"MATCHS"))),FALSE),RIGHT(INDIRECT(ADDRESS(66,3,,,"MATCHS")), FIND("--",INDIRECT(ADDRESS(66,3,,,"MATCHS")),1)),INDIRECT(ADDRESS(66,3,,,"MATCHS"))),,,IF(IFERROR(FIND("--",INDIRECT(ADDRESS(105,3,,,"MATCHS"))),FALSE),RIGHT(INDIRECT(ADDRESS(105,3,,,"MATCHS")), FIND("--",INDIRECT(ADDRESS(105,3,,,"MATCHS")),1)),INDIRECT(ADDRESS(105,3,,,"MATCHS"))),,,IF(IFERROR(FIND("--",INDIRECT(ADDRESS(141,3,,,"MATCHS"))),FALSE),RIGHT(INDIRECT(ADDRESS(141,3,,,"MATCHS")), FIND("--",INDIRECT(ADDRESS(141,3,,,"MATCHS")),1)),INDIRECT(ADDRESS(141,3,,,"MATCHS"))),,,IF(IFERROR(FIND("--",INDIRECT(ADDRESS(177,5,,,"MATCHS"))),FALSE),RIGHT(INDIRECT(ADDRESS(177,5,,,"MATCHS")), FIND("--",INDIRECT(ADDRESS(177,5,,,"MATCHS")),1)),INDIRECT(ADDRESS(177,5,,,"MATCHS"))),,,,,,IF(IFERROR(FIND("--",INDIRECT(ADDRESS(243,3,,,"MATCHS"))),FALSE),RIGHT(INDIRECT(ADDRESS(243,3,,,"MATCHS")), FIND("--",INDIRECT(ADDRESS(243,3,,,"MATCHS")),1)),INDIRECT(ADDRESS(243,3,,,"MATCHS"))))</f>
        <v>0</v>
      </c>
      <c r="J79" s="123">
        <f ca="1">H79 - I79</f>
        <v>0</v>
      </c>
      <c r="K79" s="123">
        <v>0</v>
      </c>
      <c r="L79" s="123">
        <v>3</v>
      </c>
      <c r="M79" s="123"/>
      <c r="N79" s="115" t="str">
        <f>M79 &amp; "SH"</f>
        <v>SH</v>
      </c>
    </row>
    <row r="80" spans="1:14" ht="15.75" x14ac:dyDescent="0.25">
      <c r="A80" s="122"/>
      <c r="B80" s="123">
        <v>4</v>
      </c>
      <c r="C80" s="123" t="s">
        <v>121</v>
      </c>
      <c r="D80" s="123" t="str">
        <f>INSCRIPTS!C64</f>
        <v>4H</v>
      </c>
      <c r="E80" s="132">
        <f ca="1">SUM(,,IF(INDIRECT(ADDRESS(30,5,,,"MATCHS"))&gt;INDIRECT(ADDRESS(30,3,,,"MATCHS")),1,0),,,IF(INDIRECT(ADDRESS(67,5,,,"MATCHS"))&gt;INDIRECT(ADDRESS(67,3,,,"MATCHS")),1,0),,,IF(INDIRECT(ADDRESS(103,5,,,"MATCHS"))&gt;INDIRECT(ADDRESS(103,3,,,"MATCHS")),1,0),,,,,,IF(INDIRECT(ADDRESS(179,3,,,"MATCHS"))&gt;INDIRECT(ADDRESS(179,5,,,"MATCHS")),1,0),,,,,IF(INDIRECT(ADDRESS(236,5,,,"MATCHS"))&gt;INDIRECT(ADDRESS(236,3,,,"MATCHS")),1,0),IF(INDIRECT(ADDRESS(244,3,,,"MATCHS"))&gt;INDIRECT(ADDRESS(244,5,,,"MATCHS")),1,0)) + 0.01 * K80</f>
        <v>0</v>
      </c>
      <c r="F80" s="123">
        <f ca="1">SUM(,,IF(INDIRECT(ADDRESS(30,5,,,"MATCHS"))&lt;INDIRECT(ADDRESS(30,3,,,"MATCHS")),1,0),,,IF(INDIRECT(ADDRESS(67,5,,,"MATCHS"))&lt;INDIRECT(ADDRESS(67,3,,,"MATCHS")),1,0),,,IF(INDIRECT(ADDRESS(103,5,,,"MATCHS"))&lt;INDIRECT(ADDRESS(103,3,,,"MATCHS")),1,0),,,,,,IF(INDIRECT(ADDRESS(179,3,,,"MATCHS"))&lt;INDIRECT(ADDRESS(179,5,,,"MATCHS")),1,0),,,,,IF(INDIRECT(ADDRESS(236,5,,,"MATCHS"))&lt;INDIRECT(ADDRESS(236,3,,,"MATCHS")),1,0),IF(INDIRECT(ADDRESS(244,3,,,"MATCHS"))&lt;INDIRECT(ADDRESS(244,5,,,"MATCHS")),1,0))</f>
        <v>0</v>
      </c>
      <c r="G80" s="123"/>
      <c r="H80" s="123">
        <f ca="1">SUM(,,IF(IFERROR(FIND("--",INDIRECT(ADDRESS(30,5,,,"MATCHS"))),FALSE),RIGHT(INDIRECT(ADDRESS(30,5,,,"MATCHS")), FIND("--",INDIRECT(ADDRESS(30,5,,,"MATCHS")),1)),INDIRECT(ADDRESS(30,5,,,"MATCHS"))),,,IF(IFERROR(FIND("--",INDIRECT(ADDRESS(67,5,,,"MATCHS"))),FALSE),RIGHT(INDIRECT(ADDRESS(67,5,,,"MATCHS")), FIND("--",INDIRECT(ADDRESS(67,5,,,"MATCHS")),1)),INDIRECT(ADDRESS(67,5,,,"MATCHS"))),,,IF(IFERROR(FIND("--",INDIRECT(ADDRESS(103,5,,,"MATCHS"))),FALSE),RIGHT(INDIRECT(ADDRESS(103,5,,,"MATCHS")), FIND("--",INDIRECT(ADDRESS(103,5,,,"MATCHS")),1)),INDIRECT(ADDRESS(103,5,,,"MATCHS"))),,,,,,IF(IFERROR(FIND("--",INDIRECT(ADDRESS(179,3,,,"MATCHS"))),FALSE),RIGHT(INDIRECT(ADDRESS(179,3,,,"MATCHS")), FIND("--",INDIRECT(ADDRESS(179,3,,,"MATCHS")),1)),INDIRECT(ADDRESS(179,3,,,"MATCHS"))),,,,,IF(IFERROR(FIND("--",INDIRECT(ADDRESS(236,5,,,"MATCHS"))),FALSE),RIGHT(INDIRECT(ADDRESS(236,5,,,"MATCHS")), FIND("--",INDIRECT(ADDRESS(236,5,,,"MATCHS")),1)),INDIRECT(ADDRESS(236,5,,,"MATCHS"))),IF(IFERROR(FIND("--",INDIRECT(ADDRESS(244,3,,,"MATCHS"))),FALSE),RIGHT(INDIRECT(ADDRESS(244,3,,,"MATCHS")), FIND("--",INDIRECT(ADDRESS(244,3,,,"MATCHS")),1)),INDIRECT(ADDRESS(244,3,,,"MATCHS"))))</f>
        <v>0</v>
      </c>
      <c r="I80" s="123">
        <f ca="1">SUM(,,IF(IFERROR(FIND("--",INDIRECT(ADDRESS(30,3,,,"MATCHS"))),FALSE),RIGHT(INDIRECT(ADDRESS(30,3,,,"MATCHS")), FIND("--",INDIRECT(ADDRESS(30,3,,,"MATCHS")),1)),INDIRECT(ADDRESS(30,3,,,"MATCHS"))),,,IF(IFERROR(FIND("--",INDIRECT(ADDRESS(67,3,,,"MATCHS"))),FALSE),RIGHT(INDIRECT(ADDRESS(67,3,,,"MATCHS")), FIND("--",INDIRECT(ADDRESS(67,3,,,"MATCHS")),1)),INDIRECT(ADDRESS(67,3,,,"MATCHS"))),,,IF(IFERROR(FIND("--",INDIRECT(ADDRESS(103,3,,,"MATCHS"))),FALSE),RIGHT(INDIRECT(ADDRESS(103,3,,,"MATCHS")), FIND("--",INDIRECT(ADDRESS(103,3,,,"MATCHS")),1)),INDIRECT(ADDRESS(103,3,,,"MATCHS"))),,,,,,IF(IFERROR(FIND("--",INDIRECT(ADDRESS(179,5,,,"MATCHS"))),FALSE),RIGHT(INDIRECT(ADDRESS(179,5,,,"MATCHS")), FIND("--",INDIRECT(ADDRESS(179,5,,,"MATCHS")),1)),INDIRECT(ADDRESS(179,5,,,"MATCHS"))),,,,,IF(IFERROR(FIND("--",INDIRECT(ADDRESS(236,3,,,"MATCHS"))),FALSE),RIGHT(INDIRECT(ADDRESS(236,3,,,"MATCHS")), FIND("--",INDIRECT(ADDRESS(236,3,,,"MATCHS")),1)),INDIRECT(ADDRESS(236,3,,,"MATCHS"))),IF(IFERROR(FIND("--",INDIRECT(ADDRESS(244,5,,,"MATCHS"))),FALSE),RIGHT(INDIRECT(ADDRESS(244,5,,,"MATCHS")), FIND("--",INDIRECT(ADDRESS(244,5,,,"MATCHS")),1)),INDIRECT(ADDRESS(244,5,,,"MATCHS"))))</f>
        <v>0</v>
      </c>
      <c r="J80" s="123">
        <f ca="1">H80 - I80</f>
        <v>0</v>
      </c>
      <c r="K80" s="123">
        <v>0</v>
      </c>
      <c r="L80" s="123">
        <v>4</v>
      </c>
      <c r="M80" s="123"/>
      <c r="N80" s="115" t="str">
        <f>M80 &amp; "SH"</f>
        <v>SH</v>
      </c>
    </row>
    <row r="81" spans="1:14" ht="15.75" x14ac:dyDescent="0.25">
      <c r="A81" s="122"/>
      <c r="B81" s="123">
        <v>5</v>
      </c>
      <c r="C81" s="123" t="s">
        <v>122</v>
      </c>
      <c r="D81" s="123" t="str">
        <f>INSCRIPTS!C65</f>
        <v>5H</v>
      </c>
      <c r="E81" s="132">
        <f ca="1">SUM(,,IF(INDIRECT(ADDRESS(31,3,,,"MATCHS"))&gt;INDIRECT(ADDRESS(31,5,,,"MATCHS")),1,0),,,IF(INDIRECT(ADDRESS(67,3,,,"MATCHS"))&gt;INDIRECT(ADDRESS(67,5,,,"MATCHS")),1,0),,,IF(INDIRECT(ADDRESS(104,5,,,"MATCHS"))&gt;INDIRECT(ADDRESS(104,3,,,"MATCHS")),1,0),,,IF(INDIRECT(ADDRESS(140,5,,,"MATCHS"))&gt;INDIRECT(ADDRESS(140,3,,,"MATCHS")),1,0),,,IF(INDIRECT(ADDRESS(177,5,,,"MATCHS"))&gt;INDIRECT(ADDRESS(177,3,,,"MATCHS")),1,0),,,,,IF(INDIRECT(ADDRESS(237,3,,,"MATCHS"))&gt;INDIRECT(ADDRESS(237,5,,,"MATCHS")),1,0),) + 0.01 * K81</f>
        <v>0</v>
      </c>
      <c r="F81" s="123">
        <f ca="1">SUM(,,IF(INDIRECT(ADDRESS(31,3,,,"MATCHS"))&lt;INDIRECT(ADDRESS(31,5,,,"MATCHS")),1,0),,,IF(INDIRECT(ADDRESS(67,3,,,"MATCHS"))&lt;INDIRECT(ADDRESS(67,5,,,"MATCHS")),1,0),,,IF(INDIRECT(ADDRESS(104,5,,,"MATCHS"))&lt;INDIRECT(ADDRESS(104,3,,,"MATCHS")),1,0),,,IF(INDIRECT(ADDRESS(140,5,,,"MATCHS"))&lt;INDIRECT(ADDRESS(140,3,,,"MATCHS")),1,0),,,IF(INDIRECT(ADDRESS(177,5,,,"MATCHS"))&lt;INDIRECT(ADDRESS(177,3,,,"MATCHS")),1,0),,,,,IF(INDIRECT(ADDRESS(237,3,,,"MATCHS"))&lt;INDIRECT(ADDRESS(237,5,,,"MATCHS")),1,0),)</f>
        <v>0</v>
      </c>
      <c r="G81" s="123"/>
      <c r="H81" s="123">
        <f ca="1">SUM(,,IF(IFERROR(FIND("--",INDIRECT(ADDRESS(31,3,,,"MATCHS"))),FALSE),RIGHT(INDIRECT(ADDRESS(31,3,,,"MATCHS")), FIND("--",INDIRECT(ADDRESS(31,3,,,"MATCHS")),1)),INDIRECT(ADDRESS(31,3,,,"MATCHS"))),,,IF(IFERROR(FIND("--",INDIRECT(ADDRESS(67,3,,,"MATCHS"))),FALSE),RIGHT(INDIRECT(ADDRESS(67,3,,,"MATCHS")), FIND("--",INDIRECT(ADDRESS(67,3,,,"MATCHS")),1)),INDIRECT(ADDRESS(67,3,,,"MATCHS"))),,,IF(IFERROR(FIND("--",INDIRECT(ADDRESS(104,5,,,"MATCHS"))),FALSE),RIGHT(INDIRECT(ADDRESS(104,5,,,"MATCHS")), FIND("--",INDIRECT(ADDRESS(104,5,,,"MATCHS")),1)),INDIRECT(ADDRESS(104,5,,,"MATCHS"))),,,IF(IFERROR(FIND("--",INDIRECT(ADDRESS(140,5,,,"MATCHS"))),FALSE),RIGHT(INDIRECT(ADDRESS(140,5,,,"MATCHS")), FIND("--",INDIRECT(ADDRESS(140,5,,,"MATCHS")),1)),INDIRECT(ADDRESS(140,5,,,"MATCHS"))),,,IF(IFERROR(FIND("--",INDIRECT(ADDRESS(177,5,,,"MATCHS"))),FALSE),RIGHT(INDIRECT(ADDRESS(177,5,,,"MATCHS")), FIND("--",INDIRECT(ADDRESS(177,5,,,"MATCHS")),1)),INDIRECT(ADDRESS(177,5,,,"MATCHS"))),,,,,IF(IFERROR(FIND("--",INDIRECT(ADDRESS(237,3,,,"MATCHS"))),FALSE),RIGHT(INDIRECT(ADDRESS(237,3,,,"MATCHS")), FIND("--",INDIRECT(ADDRESS(237,3,,,"MATCHS")),1)),INDIRECT(ADDRESS(237,3,,,"MATCHS"))),)</f>
        <v>0</v>
      </c>
      <c r="I81" s="123">
        <f ca="1">SUM(,,IF(IFERROR(FIND("--",INDIRECT(ADDRESS(31,5,,,"MATCHS"))),FALSE),RIGHT(INDIRECT(ADDRESS(31,5,,,"MATCHS")), FIND("--",INDIRECT(ADDRESS(31,5,,,"MATCHS")),1)),INDIRECT(ADDRESS(31,5,,,"MATCHS"))),,,IF(IFERROR(FIND("--",INDIRECT(ADDRESS(67,5,,,"MATCHS"))),FALSE),RIGHT(INDIRECT(ADDRESS(67,5,,,"MATCHS")), FIND("--",INDIRECT(ADDRESS(67,5,,,"MATCHS")),1)),INDIRECT(ADDRESS(67,5,,,"MATCHS"))),,,IF(IFERROR(FIND("--",INDIRECT(ADDRESS(104,3,,,"MATCHS"))),FALSE),RIGHT(INDIRECT(ADDRESS(104,3,,,"MATCHS")), FIND("--",INDIRECT(ADDRESS(104,3,,,"MATCHS")),1)),INDIRECT(ADDRESS(104,3,,,"MATCHS"))),,,IF(IFERROR(FIND("--",INDIRECT(ADDRESS(140,3,,,"MATCHS"))),FALSE),RIGHT(INDIRECT(ADDRESS(140,3,,,"MATCHS")), FIND("--",INDIRECT(ADDRESS(140,3,,,"MATCHS")),1)),INDIRECT(ADDRESS(140,3,,,"MATCHS"))),,,IF(IFERROR(FIND("--",INDIRECT(ADDRESS(177,3,,,"MATCHS"))),FALSE),RIGHT(INDIRECT(ADDRESS(177,3,,,"MATCHS")), FIND("--",INDIRECT(ADDRESS(177,3,,,"MATCHS")),1)),INDIRECT(ADDRESS(177,3,,,"MATCHS"))),,,,,IF(IFERROR(FIND("--",INDIRECT(ADDRESS(237,5,,,"MATCHS"))),FALSE),RIGHT(INDIRECT(ADDRESS(237,5,,,"MATCHS")), FIND("--",INDIRECT(ADDRESS(237,5,,,"MATCHS")),1)),INDIRECT(ADDRESS(237,5,,,"MATCHS"))),)</f>
        <v>0</v>
      </c>
      <c r="J81" s="123">
        <f ca="1">H81 - I81</f>
        <v>0</v>
      </c>
      <c r="K81" s="123">
        <v>0</v>
      </c>
      <c r="L81" s="123">
        <v>5</v>
      </c>
      <c r="M81" s="123"/>
      <c r="N81" s="115" t="str">
        <f>M81 &amp; "SH"</f>
        <v>SH</v>
      </c>
    </row>
    <row r="82" spans="1:14" ht="15.75" x14ac:dyDescent="0.25">
      <c r="A82" s="122"/>
      <c r="B82" s="123">
        <v>6</v>
      </c>
      <c r="C82" s="123" t="s">
        <v>123</v>
      </c>
      <c r="D82" s="123" t="str">
        <f>INSCRIPTS!C66</f>
        <v>6H</v>
      </c>
      <c r="E82" s="132">
        <f ca="1">SUM(,,IF(INDIRECT(ADDRESS(31,5,,,"MATCHS"))&gt;INDIRECT(ADDRESS(31,3,,,"MATCHS")),1,0),,,IF(INDIRECT(ADDRESS(68,3,,,"MATCHS"))&gt;INDIRECT(ADDRESS(68,5,,,"MATCHS")),1,0),,,,,,IF(INDIRECT(ADDRESS(141,3,,,"MATCHS"))&gt;INDIRECT(ADDRESS(141,5,,,"MATCHS")),1,0),,,IF(INDIRECT(ADDRESS(178,5,,,"MATCHS"))&gt;INDIRECT(ADDRESS(178,3,,,"MATCHS")),1,0),,,,,IF(INDIRECT(ADDRESS(235,5,,,"MATCHS"))&gt;INDIRECT(ADDRESS(235,3,,,"MATCHS")),1,0),IF(INDIRECT(ADDRESS(244,5,,,"MATCHS"))&gt;INDIRECT(ADDRESS(244,3,,,"MATCHS")),1,0)) + 0.01 * K82</f>
        <v>0</v>
      </c>
      <c r="F82" s="123">
        <f ca="1">SUM(,,IF(INDIRECT(ADDRESS(31,5,,,"MATCHS"))&lt;INDIRECT(ADDRESS(31,3,,,"MATCHS")),1,0),,,IF(INDIRECT(ADDRESS(68,3,,,"MATCHS"))&lt;INDIRECT(ADDRESS(68,5,,,"MATCHS")),1,0),,,,,,IF(INDIRECT(ADDRESS(141,3,,,"MATCHS"))&lt;INDIRECT(ADDRESS(141,5,,,"MATCHS")),1,0),,,IF(INDIRECT(ADDRESS(178,5,,,"MATCHS"))&lt;INDIRECT(ADDRESS(178,3,,,"MATCHS")),1,0),,,,,IF(INDIRECT(ADDRESS(235,5,,,"MATCHS"))&lt;INDIRECT(ADDRESS(235,3,,,"MATCHS")),1,0),IF(INDIRECT(ADDRESS(244,5,,,"MATCHS"))&lt;INDIRECT(ADDRESS(244,3,,,"MATCHS")),1,0))</f>
        <v>0</v>
      </c>
      <c r="G82" s="123"/>
      <c r="H82" s="123">
        <f ca="1">SUM(,,IF(IFERROR(FIND("--",INDIRECT(ADDRESS(31,5,,,"MATCHS"))),FALSE),RIGHT(INDIRECT(ADDRESS(31,5,,,"MATCHS")), FIND("--",INDIRECT(ADDRESS(31,5,,,"MATCHS")),1)),INDIRECT(ADDRESS(31,5,,,"MATCHS"))),,,IF(IFERROR(FIND("--",INDIRECT(ADDRESS(68,3,,,"MATCHS"))),FALSE),RIGHT(INDIRECT(ADDRESS(68,3,,,"MATCHS")), FIND("--",INDIRECT(ADDRESS(68,3,,,"MATCHS")),1)),INDIRECT(ADDRESS(68,3,,,"MATCHS"))),,,,,,IF(IFERROR(FIND("--",INDIRECT(ADDRESS(141,3,,,"MATCHS"))),FALSE),RIGHT(INDIRECT(ADDRESS(141,3,,,"MATCHS")), FIND("--",INDIRECT(ADDRESS(141,3,,,"MATCHS")),1)),INDIRECT(ADDRESS(141,3,,,"MATCHS"))),,,IF(IFERROR(FIND("--",INDIRECT(ADDRESS(178,5,,,"MATCHS"))),FALSE),RIGHT(INDIRECT(ADDRESS(178,5,,,"MATCHS")), FIND("--",INDIRECT(ADDRESS(178,5,,,"MATCHS")),1)),INDIRECT(ADDRESS(178,5,,,"MATCHS"))),,,,,IF(IFERROR(FIND("--",INDIRECT(ADDRESS(235,5,,,"MATCHS"))),FALSE),RIGHT(INDIRECT(ADDRESS(235,5,,,"MATCHS")), FIND("--",INDIRECT(ADDRESS(235,5,,,"MATCHS")),1)),INDIRECT(ADDRESS(235,5,,,"MATCHS"))),IF(IFERROR(FIND("--",INDIRECT(ADDRESS(244,5,,,"MATCHS"))),FALSE),RIGHT(INDIRECT(ADDRESS(244,5,,,"MATCHS")), FIND("--",INDIRECT(ADDRESS(244,5,,,"MATCHS")),1)),INDIRECT(ADDRESS(244,5,,,"MATCHS"))))</f>
        <v>0</v>
      </c>
      <c r="I82" s="123">
        <f ca="1">SUM(,,IF(IFERROR(FIND("--",INDIRECT(ADDRESS(31,3,,,"MATCHS"))),FALSE),RIGHT(INDIRECT(ADDRESS(31,3,,,"MATCHS")), FIND("--",INDIRECT(ADDRESS(31,3,,,"MATCHS")),1)),INDIRECT(ADDRESS(31,3,,,"MATCHS"))),,,IF(IFERROR(FIND("--",INDIRECT(ADDRESS(68,5,,,"MATCHS"))),FALSE),RIGHT(INDIRECT(ADDRESS(68,5,,,"MATCHS")), FIND("--",INDIRECT(ADDRESS(68,5,,,"MATCHS")),1)),INDIRECT(ADDRESS(68,5,,,"MATCHS"))),,,,,,IF(IFERROR(FIND("--",INDIRECT(ADDRESS(141,5,,,"MATCHS"))),FALSE),RIGHT(INDIRECT(ADDRESS(141,5,,,"MATCHS")), FIND("--",INDIRECT(ADDRESS(141,5,,,"MATCHS")),1)),INDIRECT(ADDRESS(141,5,,,"MATCHS"))),,,IF(IFERROR(FIND("--",INDIRECT(ADDRESS(178,3,,,"MATCHS"))),FALSE),RIGHT(INDIRECT(ADDRESS(178,3,,,"MATCHS")), FIND("--",INDIRECT(ADDRESS(178,3,,,"MATCHS")),1)),INDIRECT(ADDRESS(178,3,,,"MATCHS"))),,,,,IF(IFERROR(FIND("--",INDIRECT(ADDRESS(235,3,,,"MATCHS"))),FALSE),RIGHT(INDIRECT(ADDRESS(235,3,,,"MATCHS")), FIND("--",INDIRECT(ADDRESS(235,3,,,"MATCHS")),1)),INDIRECT(ADDRESS(235,3,,,"MATCHS"))),IF(IFERROR(FIND("--",INDIRECT(ADDRESS(244,3,,,"MATCHS"))),FALSE),RIGHT(INDIRECT(ADDRESS(244,3,,,"MATCHS")), FIND("--",INDIRECT(ADDRESS(244,3,,,"MATCHS")),1)),INDIRECT(ADDRESS(244,3,,,"MATCHS"))))</f>
        <v>0</v>
      </c>
      <c r="J82" s="123">
        <f ca="1">H82 - I82</f>
        <v>0</v>
      </c>
      <c r="K82" s="123">
        <v>0</v>
      </c>
      <c r="L82" s="123">
        <v>6</v>
      </c>
      <c r="M82" s="123"/>
      <c r="N82" s="115" t="str">
        <f>M82 &amp; "SH"</f>
        <v>SH</v>
      </c>
    </row>
    <row r="83" spans="1:14" ht="15.75" x14ac:dyDescent="0.25">
      <c r="A83" s="122"/>
      <c r="B83" s="123">
        <v>7</v>
      </c>
      <c r="C83" s="123" t="s">
        <v>138</v>
      </c>
      <c r="D83" s="123" t="str">
        <f>INSCRIPTS!C67</f>
        <v>7H</v>
      </c>
      <c r="E83" s="132">
        <f ca="1">SUM(,,,,,IF(INDIRECT(ADDRESS(68,5,,,"MATCHS"))&gt;INDIRECT(ADDRESS(68,3,,,"MATCHS")),1,0),,,IF(INDIRECT(ADDRESS(105,3,,,"MATCHS"))&gt;INDIRECT(ADDRESS(105,5,,,"MATCHS")),1,0),,,IF(INDIRECT(ADDRESS(142,5,,,"MATCHS"))&gt;INDIRECT(ADDRESS(142,3,,,"MATCHS")),1,0),,,IF(INDIRECT(ADDRESS(179,5,,,"MATCHS"))&gt;INDIRECT(ADDRESS(179,3,,,"MATCHS")),1,0),,,,,IF(INDIRECT(ADDRESS(237,5,,,"MATCHS"))&gt;INDIRECT(ADDRESS(237,3,,,"MATCHS")),1,0),IF(INDIRECT(ADDRESS(242,5,,,"MATCHS"))&gt;INDIRECT(ADDRESS(242,3,,,"MATCHS")),1,0)) + 0.01 * K83</f>
        <v>0</v>
      </c>
      <c r="F83" s="123">
        <f ca="1">SUM(,,,,,IF(INDIRECT(ADDRESS(68,5,,,"MATCHS"))&lt;INDIRECT(ADDRESS(68,3,,,"MATCHS")),1,0),,,IF(INDIRECT(ADDRESS(105,3,,,"MATCHS"))&lt;INDIRECT(ADDRESS(105,5,,,"MATCHS")),1,0),,,IF(INDIRECT(ADDRESS(142,5,,,"MATCHS"))&lt;INDIRECT(ADDRESS(142,3,,,"MATCHS")),1,0),,,IF(INDIRECT(ADDRESS(179,5,,,"MATCHS"))&lt;INDIRECT(ADDRESS(179,3,,,"MATCHS")),1,0),,,,,IF(INDIRECT(ADDRESS(237,5,,,"MATCHS"))&lt;INDIRECT(ADDRESS(237,3,,,"MATCHS")),1,0),IF(INDIRECT(ADDRESS(242,5,,,"MATCHS"))&lt;INDIRECT(ADDRESS(242,3,,,"MATCHS")),1,0))</f>
        <v>0</v>
      </c>
      <c r="G83" s="123"/>
      <c r="H83" s="123">
        <f ca="1">SUM(,,,,,IF(IFERROR(FIND("--",INDIRECT(ADDRESS(68,5,,,"MATCHS"))),FALSE),RIGHT(INDIRECT(ADDRESS(68,5,,,"MATCHS")), FIND("--",INDIRECT(ADDRESS(68,5,,,"MATCHS")),1)),INDIRECT(ADDRESS(68,5,,,"MATCHS"))),,,IF(IFERROR(FIND("--",INDIRECT(ADDRESS(105,3,,,"MATCHS"))),FALSE),RIGHT(INDIRECT(ADDRESS(105,3,,,"MATCHS")), FIND("--",INDIRECT(ADDRESS(105,3,,,"MATCHS")),1)),INDIRECT(ADDRESS(105,3,,,"MATCHS"))),,,IF(IFERROR(FIND("--",INDIRECT(ADDRESS(142,5,,,"MATCHS"))),FALSE),RIGHT(INDIRECT(ADDRESS(142,5,,,"MATCHS")), FIND("--",INDIRECT(ADDRESS(142,5,,,"MATCHS")),1)),INDIRECT(ADDRESS(142,5,,,"MATCHS"))),,,IF(IFERROR(FIND("--",INDIRECT(ADDRESS(179,5,,,"MATCHS"))),FALSE),RIGHT(INDIRECT(ADDRESS(179,5,,,"MATCHS")), FIND("--",INDIRECT(ADDRESS(179,5,,,"MATCHS")),1)),INDIRECT(ADDRESS(179,5,,,"MATCHS"))),,,,,IF(IFERROR(FIND("--",INDIRECT(ADDRESS(237,5,,,"MATCHS"))),FALSE),RIGHT(INDIRECT(ADDRESS(237,5,,,"MATCHS")), FIND("--",INDIRECT(ADDRESS(237,5,,,"MATCHS")),1)),INDIRECT(ADDRESS(237,5,,,"MATCHS"))),IF(IFERROR(FIND("--",INDIRECT(ADDRESS(242,5,,,"MATCHS"))),FALSE),RIGHT(INDIRECT(ADDRESS(242,5,,,"MATCHS")), FIND("--",INDIRECT(ADDRESS(242,5,,,"MATCHS")),1)),INDIRECT(ADDRESS(242,5,,,"MATCHS"))))</f>
        <v>0</v>
      </c>
      <c r="I83" s="123">
        <f ca="1">SUM(,,,,,IF(IFERROR(FIND("--",INDIRECT(ADDRESS(68,3,,,"MATCHS"))),FALSE),RIGHT(INDIRECT(ADDRESS(68,3,,,"MATCHS")), FIND("--",INDIRECT(ADDRESS(68,3,,,"MATCHS")),1)),INDIRECT(ADDRESS(68,3,,,"MATCHS"))),,,IF(IFERROR(FIND("--",INDIRECT(ADDRESS(105,5,,,"MATCHS"))),FALSE),RIGHT(INDIRECT(ADDRESS(105,5,,,"MATCHS")), FIND("--",INDIRECT(ADDRESS(105,5,,,"MATCHS")),1)),INDIRECT(ADDRESS(105,5,,,"MATCHS"))),,,IF(IFERROR(FIND("--",INDIRECT(ADDRESS(142,3,,,"MATCHS"))),FALSE),RIGHT(INDIRECT(ADDRESS(142,3,,,"MATCHS")), FIND("--",INDIRECT(ADDRESS(142,3,,,"MATCHS")),1)),INDIRECT(ADDRESS(142,3,,,"MATCHS"))),,,IF(IFERROR(FIND("--",INDIRECT(ADDRESS(179,3,,,"MATCHS"))),FALSE),RIGHT(INDIRECT(ADDRESS(179,3,,,"MATCHS")), FIND("--",INDIRECT(ADDRESS(179,3,,,"MATCHS")),1)),INDIRECT(ADDRESS(179,3,,,"MATCHS"))),,,,,IF(IFERROR(FIND("--",INDIRECT(ADDRESS(237,3,,,"MATCHS"))),FALSE),RIGHT(INDIRECT(ADDRESS(237,3,,,"MATCHS")), FIND("--",INDIRECT(ADDRESS(237,3,,,"MATCHS")),1)),INDIRECT(ADDRESS(237,3,,,"MATCHS"))),IF(IFERROR(FIND("--",INDIRECT(ADDRESS(242,3,,,"MATCHS"))),FALSE),RIGHT(INDIRECT(ADDRESS(242,3,,,"MATCHS")), FIND("--",INDIRECT(ADDRESS(242,3,,,"MATCHS")),1)),INDIRECT(ADDRESS(242,3,,,"MATCHS"))))</f>
        <v>0</v>
      </c>
      <c r="J83" s="123">
        <f ca="1">H83 - I83</f>
        <v>0</v>
      </c>
      <c r="K83" s="123">
        <v>0</v>
      </c>
      <c r="L83" s="123">
        <v>7</v>
      </c>
      <c r="M83" s="123"/>
      <c r="N83" s="115" t="str">
        <f>M83 &amp; "SH"</f>
        <v>SH</v>
      </c>
    </row>
    <row r="84" spans="1:14" ht="15.75" thickBot="1" x14ac:dyDescent="0.3"/>
    <row r="85" spans="1:14" ht="30.95" customHeight="1" thickBot="1" x14ac:dyDescent="0.3">
      <c r="C85" s="116" t="s">
        <v>179</v>
      </c>
      <c r="D85" s="116" t="s">
        <v>61</v>
      </c>
      <c r="E85" s="129" t="s">
        <v>180</v>
      </c>
      <c r="F85" s="116" t="s">
        <v>181</v>
      </c>
      <c r="G85" s="116" t="s">
        <v>182</v>
      </c>
      <c r="H85" s="116" t="s">
        <v>183</v>
      </c>
      <c r="I85" s="116" t="s">
        <v>184</v>
      </c>
      <c r="J85" s="116" t="s">
        <v>185</v>
      </c>
      <c r="K85" s="117" t="s">
        <v>186</v>
      </c>
      <c r="L85" s="116" t="s">
        <v>187</v>
      </c>
      <c r="M85" s="117" t="s">
        <v>188</v>
      </c>
    </row>
    <row r="87" spans="1:14" ht="15.75" x14ac:dyDescent="0.25">
      <c r="A87" s="124" t="s">
        <v>70</v>
      </c>
      <c r="B87" s="125">
        <v>1</v>
      </c>
      <c r="C87" s="125" t="s">
        <v>124</v>
      </c>
      <c r="D87" s="125" t="str">
        <f>INSCRIPTS!C69</f>
        <v>1I</v>
      </c>
      <c r="E87" s="133">
        <f ca="1">SUM(,,IF(INDIRECT(ADDRESS(32,3,,,"MATCHS"))&gt;INDIRECT(ADDRESS(32,5,,,"MATCHS")),1,0),,,IF(INDIRECT(ADDRESS(69,3,,,"MATCHS"))&gt;INDIRECT(ADDRESS(69,5,,,"MATCHS")),1,0),,,IF(INDIRECT(ADDRESS(106,3,,,"MATCHS"))&gt;INDIRECT(ADDRESS(106,5,,,"MATCHS")),1,0),,,IF(INDIRECT(ADDRESS(143,3,,,"MATCHS"))&gt;INDIRECT(ADDRESS(143,5,,,"MATCHS")),1,0),,,,,,,,IF(INDIRECT(ADDRESS(238,3,,,"MATCHS"))&gt;INDIRECT(ADDRESS(238,5,,,"MATCHS")),1,0),IF(INDIRECT(ADDRESS(245,3,,,"MATCHS"))&gt;INDIRECT(ADDRESS(245,5,,,"MATCHS")),1,0)) + 0.01 * K87</f>
        <v>0</v>
      </c>
      <c r="F87" s="125">
        <f ca="1">SUM(,,IF(INDIRECT(ADDRESS(32,3,,,"MATCHS"))&lt;INDIRECT(ADDRESS(32,5,,,"MATCHS")),1,0),,,IF(INDIRECT(ADDRESS(69,3,,,"MATCHS"))&lt;INDIRECT(ADDRESS(69,5,,,"MATCHS")),1,0),,,IF(INDIRECT(ADDRESS(106,3,,,"MATCHS"))&lt;INDIRECT(ADDRESS(106,5,,,"MATCHS")),1,0),,,IF(INDIRECT(ADDRESS(143,3,,,"MATCHS"))&lt;INDIRECT(ADDRESS(143,5,,,"MATCHS")),1,0),,,,,,,,IF(INDIRECT(ADDRESS(238,3,,,"MATCHS"))&lt;INDIRECT(ADDRESS(238,5,,,"MATCHS")),1,0),IF(INDIRECT(ADDRESS(245,3,,,"MATCHS"))&lt;INDIRECT(ADDRESS(245,5,,,"MATCHS")),1,0))</f>
        <v>0</v>
      </c>
      <c r="G87" s="125"/>
      <c r="H87" s="125">
        <f ca="1">SUM(,,IF(IFERROR(FIND("--",INDIRECT(ADDRESS(32,3,,,"MATCHS"))),FALSE),RIGHT(INDIRECT(ADDRESS(32,3,,,"MATCHS")), FIND("--",INDIRECT(ADDRESS(32,3,,,"MATCHS")),1)),INDIRECT(ADDRESS(32,3,,,"MATCHS"))),,,IF(IFERROR(FIND("--",INDIRECT(ADDRESS(69,3,,,"MATCHS"))),FALSE),RIGHT(INDIRECT(ADDRESS(69,3,,,"MATCHS")), FIND("--",INDIRECT(ADDRESS(69,3,,,"MATCHS")),1)),INDIRECT(ADDRESS(69,3,,,"MATCHS"))),,,IF(IFERROR(FIND("--",INDIRECT(ADDRESS(106,3,,,"MATCHS"))),FALSE),RIGHT(INDIRECT(ADDRESS(106,3,,,"MATCHS")), FIND("--",INDIRECT(ADDRESS(106,3,,,"MATCHS")),1)),INDIRECT(ADDRESS(106,3,,,"MATCHS"))),,,IF(IFERROR(FIND("--",INDIRECT(ADDRESS(143,3,,,"MATCHS"))),FALSE),RIGHT(INDIRECT(ADDRESS(143,3,,,"MATCHS")), FIND("--",INDIRECT(ADDRESS(143,3,,,"MATCHS")),1)),INDIRECT(ADDRESS(143,3,,,"MATCHS"))),,,,,,,,IF(IFERROR(FIND("--",INDIRECT(ADDRESS(238,3,,,"MATCHS"))),FALSE),RIGHT(INDIRECT(ADDRESS(238,3,,,"MATCHS")), FIND("--",INDIRECT(ADDRESS(238,3,,,"MATCHS")),1)),INDIRECT(ADDRESS(238,3,,,"MATCHS"))),IF(IFERROR(FIND("--",INDIRECT(ADDRESS(245,3,,,"MATCHS"))),FALSE),RIGHT(INDIRECT(ADDRESS(245,3,,,"MATCHS")), FIND("--",INDIRECT(ADDRESS(245,3,,,"MATCHS")),1)),INDIRECT(ADDRESS(245,3,,,"MATCHS"))))</f>
        <v>0</v>
      </c>
      <c r="I87" s="125">
        <f ca="1">SUM(,,IF(IFERROR(FIND("--",INDIRECT(ADDRESS(32,5,,,"MATCHS"))),FALSE),RIGHT(INDIRECT(ADDRESS(32,5,,,"MATCHS")), FIND("--",INDIRECT(ADDRESS(32,5,,,"MATCHS")),1)),INDIRECT(ADDRESS(32,5,,,"MATCHS"))),,,IF(IFERROR(FIND("--",INDIRECT(ADDRESS(69,5,,,"MATCHS"))),FALSE),RIGHT(INDIRECT(ADDRESS(69,5,,,"MATCHS")), FIND("--",INDIRECT(ADDRESS(69,5,,,"MATCHS")),1)),INDIRECT(ADDRESS(69,5,,,"MATCHS"))),,,IF(IFERROR(FIND("--",INDIRECT(ADDRESS(106,5,,,"MATCHS"))),FALSE),RIGHT(INDIRECT(ADDRESS(106,5,,,"MATCHS")), FIND("--",INDIRECT(ADDRESS(106,5,,,"MATCHS")),1)),INDIRECT(ADDRESS(106,5,,,"MATCHS"))),,,IF(IFERROR(FIND("--",INDIRECT(ADDRESS(143,5,,,"MATCHS"))),FALSE),RIGHT(INDIRECT(ADDRESS(143,5,,,"MATCHS")), FIND("--",INDIRECT(ADDRESS(143,5,,,"MATCHS")),1)),INDIRECT(ADDRESS(143,5,,,"MATCHS"))),,,,,,,,IF(IFERROR(FIND("--",INDIRECT(ADDRESS(238,5,,,"MATCHS"))),FALSE),RIGHT(INDIRECT(ADDRESS(238,5,,,"MATCHS")), FIND("--",INDIRECT(ADDRESS(238,5,,,"MATCHS")),1)),INDIRECT(ADDRESS(238,5,,,"MATCHS"))),IF(IFERROR(FIND("--",INDIRECT(ADDRESS(245,5,,,"MATCHS"))),FALSE),RIGHT(INDIRECT(ADDRESS(245,5,,,"MATCHS")), FIND("--",INDIRECT(ADDRESS(245,5,,,"MATCHS")),1)),INDIRECT(ADDRESS(245,5,,,"MATCHS"))))</f>
        <v>0</v>
      </c>
      <c r="J87" s="125">
        <f ca="1">H87 - I87</f>
        <v>0</v>
      </c>
      <c r="K87" s="125">
        <v>0</v>
      </c>
      <c r="L87" s="125">
        <v>1</v>
      </c>
      <c r="M87" s="125"/>
      <c r="N87" s="115" t="str">
        <f>M87 &amp; "SH"</f>
        <v>SH</v>
      </c>
    </row>
    <row r="88" spans="1:14" ht="15.75" x14ac:dyDescent="0.25">
      <c r="A88" s="124"/>
      <c r="B88" s="125">
        <v>2</v>
      </c>
      <c r="C88" s="125" t="s">
        <v>125</v>
      </c>
      <c r="D88" s="125" t="str">
        <f>INSCRIPTS!C70</f>
        <v>2I</v>
      </c>
      <c r="E88" s="133">
        <f ca="1">SUM(,,IF(INDIRECT(ADDRESS(32,5,,,"MATCHS"))&gt;INDIRECT(ADDRESS(32,3,,,"MATCHS")),1,0),,,,,,IF(INDIRECT(ADDRESS(107,3,,,"MATCHS"))&gt;INDIRECT(ADDRESS(107,5,,,"MATCHS")),1,0),,,,IF(INDIRECT(ADDRESS(146,3,,,"MATCHS"))&gt;INDIRECT(ADDRESS(146,5,,,"MATCHS")),1,0),,,IF(INDIRECT(ADDRESS(182,3,,,"MATCHS"))&gt;INDIRECT(ADDRESS(182,5,,,"MATCHS")),1,0),,,,IF(INDIRECT(ADDRESS(239,3,,,"MATCHS"))&gt;INDIRECT(ADDRESS(239,5,,,"MATCHS")),1,0),IF(INDIRECT(ADDRESS(246,3,,,"MATCHS"))&gt;INDIRECT(ADDRESS(246,5,,,"MATCHS")),1,0)) + 0.01 * K88</f>
        <v>0</v>
      </c>
      <c r="F88" s="125">
        <f ca="1">SUM(,,IF(INDIRECT(ADDRESS(32,5,,,"MATCHS"))&lt;INDIRECT(ADDRESS(32,3,,,"MATCHS")),1,0),,,,,,IF(INDIRECT(ADDRESS(107,3,,,"MATCHS"))&lt;INDIRECT(ADDRESS(107,5,,,"MATCHS")),1,0),,,,IF(INDIRECT(ADDRESS(146,3,,,"MATCHS"))&lt;INDIRECT(ADDRESS(146,5,,,"MATCHS")),1,0),,,IF(INDIRECT(ADDRESS(182,3,,,"MATCHS"))&lt;INDIRECT(ADDRESS(182,5,,,"MATCHS")),1,0),,,,IF(INDIRECT(ADDRESS(239,3,,,"MATCHS"))&lt;INDIRECT(ADDRESS(239,5,,,"MATCHS")),1,0),IF(INDIRECT(ADDRESS(246,3,,,"MATCHS"))&lt;INDIRECT(ADDRESS(246,5,,,"MATCHS")),1,0))</f>
        <v>0</v>
      </c>
      <c r="G88" s="125"/>
      <c r="H88" s="125">
        <f ca="1">SUM(,,IF(IFERROR(FIND("--",INDIRECT(ADDRESS(32,5,,,"MATCHS"))),FALSE),RIGHT(INDIRECT(ADDRESS(32,5,,,"MATCHS")), FIND("--",INDIRECT(ADDRESS(32,5,,,"MATCHS")),1)),INDIRECT(ADDRESS(32,5,,,"MATCHS"))),,,,,,IF(IFERROR(FIND("--",INDIRECT(ADDRESS(107,3,,,"MATCHS"))),FALSE),RIGHT(INDIRECT(ADDRESS(107,3,,,"MATCHS")), FIND("--",INDIRECT(ADDRESS(107,3,,,"MATCHS")),1)),INDIRECT(ADDRESS(107,3,,,"MATCHS"))),,,,IF(IFERROR(FIND("--",INDIRECT(ADDRESS(146,3,,,"MATCHS"))),FALSE),RIGHT(INDIRECT(ADDRESS(146,3,,,"MATCHS")), FIND("--",INDIRECT(ADDRESS(146,3,,,"MATCHS")),1)),INDIRECT(ADDRESS(146,3,,,"MATCHS"))),,,IF(IFERROR(FIND("--",INDIRECT(ADDRESS(182,3,,,"MATCHS"))),FALSE),RIGHT(INDIRECT(ADDRESS(182,3,,,"MATCHS")), FIND("--",INDIRECT(ADDRESS(182,3,,,"MATCHS")),1)),INDIRECT(ADDRESS(182,3,,,"MATCHS"))),,,,IF(IFERROR(FIND("--",INDIRECT(ADDRESS(239,3,,,"MATCHS"))),FALSE),RIGHT(INDIRECT(ADDRESS(239,3,,,"MATCHS")), FIND("--",INDIRECT(ADDRESS(239,3,,,"MATCHS")),1)),INDIRECT(ADDRESS(239,3,,,"MATCHS"))),IF(IFERROR(FIND("--",INDIRECT(ADDRESS(246,3,,,"MATCHS"))),FALSE),RIGHT(INDIRECT(ADDRESS(246,3,,,"MATCHS")), FIND("--",INDIRECT(ADDRESS(246,3,,,"MATCHS")),1)),INDIRECT(ADDRESS(246,3,,,"MATCHS"))))</f>
        <v>0</v>
      </c>
      <c r="I88" s="125">
        <f ca="1">SUM(,,IF(IFERROR(FIND("--",INDIRECT(ADDRESS(32,3,,,"MATCHS"))),FALSE),RIGHT(INDIRECT(ADDRESS(32,3,,,"MATCHS")), FIND("--",INDIRECT(ADDRESS(32,3,,,"MATCHS")),1)),INDIRECT(ADDRESS(32,3,,,"MATCHS"))),,,,,,IF(IFERROR(FIND("--",INDIRECT(ADDRESS(107,5,,,"MATCHS"))),FALSE),RIGHT(INDIRECT(ADDRESS(107,5,,,"MATCHS")), FIND("--",INDIRECT(ADDRESS(107,5,,,"MATCHS")),1)),INDIRECT(ADDRESS(107,5,,,"MATCHS"))),,,,IF(IFERROR(FIND("--",INDIRECT(ADDRESS(146,5,,,"MATCHS"))),FALSE),RIGHT(INDIRECT(ADDRESS(146,5,,,"MATCHS")), FIND("--",INDIRECT(ADDRESS(146,5,,,"MATCHS")),1)),INDIRECT(ADDRESS(146,5,,,"MATCHS"))),,,IF(IFERROR(FIND("--",INDIRECT(ADDRESS(182,5,,,"MATCHS"))),FALSE),RIGHT(INDIRECT(ADDRESS(182,5,,,"MATCHS")), FIND("--",INDIRECT(ADDRESS(182,5,,,"MATCHS")),1)),INDIRECT(ADDRESS(182,5,,,"MATCHS"))),,,,IF(IFERROR(FIND("--",INDIRECT(ADDRESS(239,5,,,"MATCHS"))),FALSE),RIGHT(INDIRECT(ADDRESS(239,5,,,"MATCHS")), FIND("--",INDIRECT(ADDRESS(239,5,,,"MATCHS")),1)),INDIRECT(ADDRESS(239,5,,,"MATCHS"))),IF(IFERROR(FIND("--",INDIRECT(ADDRESS(246,5,,,"MATCHS"))),FALSE),RIGHT(INDIRECT(ADDRESS(246,5,,,"MATCHS")), FIND("--",INDIRECT(ADDRESS(246,5,,,"MATCHS")),1)),INDIRECT(ADDRESS(246,5,,,"MATCHS"))))</f>
        <v>0</v>
      </c>
      <c r="J88" s="125">
        <f ca="1">H88 - I88</f>
        <v>0</v>
      </c>
      <c r="K88" s="125">
        <v>0</v>
      </c>
      <c r="L88" s="125">
        <v>2</v>
      </c>
      <c r="M88" s="125"/>
      <c r="N88" s="115" t="str">
        <f>M88 &amp; "SH"</f>
        <v>SH</v>
      </c>
    </row>
    <row r="89" spans="1:14" ht="15.75" x14ac:dyDescent="0.25">
      <c r="A89" s="124"/>
      <c r="B89" s="125">
        <v>3</v>
      </c>
      <c r="C89" s="125" t="s">
        <v>126</v>
      </c>
      <c r="D89" s="125" t="str">
        <f>INSCRIPTS!C71</f>
        <v>3I</v>
      </c>
      <c r="E89" s="133">
        <f ca="1">SUM(,,IF(INDIRECT(ADDRESS(33,3,,,"MATCHS"))&gt;INDIRECT(ADDRESS(33,5,,,"MATCHS")),1,0),,,IF(INDIRECT(ADDRESS(69,5,,,"MATCHS"))&gt;INDIRECT(ADDRESS(69,3,,,"MATCHS")),1,0),,,IF(INDIRECT(ADDRESS(108,5,,,"MATCHS"))&gt;INDIRECT(ADDRESS(108,3,,,"MATCHS")),1,0),,,IF(INDIRECT(ADDRESS(144,5,,,"MATCHS"))&gt;INDIRECT(ADDRESS(144,3,,,"MATCHS")),1,0),,,IF(INDIRECT(ADDRESS(180,3,,,"MATCHS"))&gt;INDIRECT(ADDRESS(180,5,,,"MATCHS")),1,0),,,,,,IF(INDIRECT(ADDRESS(246,5,,,"MATCHS"))&gt;INDIRECT(ADDRESS(246,3,,,"MATCHS")),1,0)) + 0.01 * K89</f>
        <v>0</v>
      </c>
      <c r="F89" s="125">
        <f ca="1">SUM(,,IF(INDIRECT(ADDRESS(33,3,,,"MATCHS"))&lt;INDIRECT(ADDRESS(33,5,,,"MATCHS")),1,0),,,IF(INDIRECT(ADDRESS(69,5,,,"MATCHS"))&lt;INDIRECT(ADDRESS(69,3,,,"MATCHS")),1,0),,,IF(INDIRECT(ADDRESS(108,5,,,"MATCHS"))&lt;INDIRECT(ADDRESS(108,3,,,"MATCHS")),1,0),,,IF(INDIRECT(ADDRESS(144,5,,,"MATCHS"))&lt;INDIRECT(ADDRESS(144,3,,,"MATCHS")),1,0),,,IF(INDIRECT(ADDRESS(180,3,,,"MATCHS"))&lt;INDIRECT(ADDRESS(180,5,,,"MATCHS")),1,0),,,,,,IF(INDIRECT(ADDRESS(246,5,,,"MATCHS"))&lt;INDIRECT(ADDRESS(246,3,,,"MATCHS")),1,0))</f>
        <v>0</v>
      </c>
      <c r="G89" s="125"/>
      <c r="H89" s="125">
        <f ca="1">SUM(,,IF(IFERROR(FIND("--",INDIRECT(ADDRESS(33,3,,,"MATCHS"))),FALSE),RIGHT(INDIRECT(ADDRESS(33,3,,,"MATCHS")), FIND("--",INDIRECT(ADDRESS(33,3,,,"MATCHS")),1)),INDIRECT(ADDRESS(33,3,,,"MATCHS"))),,,IF(IFERROR(FIND("--",INDIRECT(ADDRESS(69,5,,,"MATCHS"))),FALSE),RIGHT(INDIRECT(ADDRESS(69,5,,,"MATCHS")), FIND("--",INDIRECT(ADDRESS(69,5,,,"MATCHS")),1)),INDIRECT(ADDRESS(69,5,,,"MATCHS"))),,,IF(IFERROR(FIND("--",INDIRECT(ADDRESS(108,5,,,"MATCHS"))),FALSE),RIGHT(INDIRECT(ADDRESS(108,5,,,"MATCHS")), FIND("--",INDIRECT(ADDRESS(108,5,,,"MATCHS")),1)),INDIRECT(ADDRESS(108,5,,,"MATCHS"))),,,IF(IFERROR(FIND("--",INDIRECT(ADDRESS(144,5,,,"MATCHS"))),FALSE),RIGHT(INDIRECT(ADDRESS(144,5,,,"MATCHS")), FIND("--",INDIRECT(ADDRESS(144,5,,,"MATCHS")),1)),INDIRECT(ADDRESS(144,5,,,"MATCHS"))),,,IF(IFERROR(FIND("--",INDIRECT(ADDRESS(180,3,,,"MATCHS"))),FALSE),RIGHT(INDIRECT(ADDRESS(180,3,,,"MATCHS")), FIND("--",INDIRECT(ADDRESS(180,3,,,"MATCHS")),1)),INDIRECT(ADDRESS(180,3,,,"MATCHS"))),,,,,,IF(IFERROR(FIND("--",INDIRECT(ADDRESS(246,5,,,"MATCHS"))),FALSE),RIGHT(INDIRECT(ADDRESS(246,5,,,"MATCHS")), FIND("--",INDIRECT(ADDRESS(246,5,,,"MATCHS")),1)),INDIRECT(ADDRESS(246,5,,,"MATCHS"))))</f>
        <v>0</v>
      </c>
      <c r="I89" s="125">
        <f ca="1">SUM(,,IF(IFERROR(FIND("--",INDIRECT(ADDRESS(33,5,,,"MATCHS"))),FALSE),RIGHT(INDIRECT(ADDRESS(33,5,,,"MATCHS")), FIND("--",INDIRECT(ADDRESS(33,5,,,"MATCHS")),1)),INDIRECT(ADDRESS(33,5,,,"MATCHS"))),,,IF(IFERROR(FIND("--",INDIRECT(ADDRESS(69,3,,,"MATCHS"))),FALSE),RIGHT(INDIRECT(ADDRESS(69,3,,,"MATCHS")), FIND("--",INDIRECT(ADDRESS(69,3,,,"MATCHS")),1)),INDIRECT(ADDRESS(69,3,,,"MATCHS"))),,,IF(IFERROR(FIND("--",INDIRECT(ADDRESS(108,3,,,"MATCHS"))),FALSE),RIGHT(INDIRECT(ADDRESS(108,3,,,"MATCHS")), FIND("--",INDIRECT(ADDRESS(108,3,,,"MATCHS")),1)),INDIRECT(ADDRESS(108,3,,,"MATCHS"))),,,IF(IFERROR(FIND("--",INDIRECT(ADDRESS(144,3,,,"MATCHS"))),FALSE),RIGHT(INDIRECT(ADDRESS(144,3,,,"MATCHS")), FIND("--",INDIRECT(ADDRESS(144,3,,,"MATCHS")),1)),INDIRECT(ADDRESS(144,3,,,"MATCHS"))),,,IF(IFERROR(FIND("--",INDIRECT(ADDRESS(180,5,,,"MATCHS"))),FALSE),RIGHT(INDIRECT(ADDRESS(180,5,,,"MATCHS")), FIND("--",INDIRECT(ADDRESS(180,5,,,"MATCHS")),1)),INDIRECT(ADDRESS(180,5,,,"MATCHS"))),,,,,,IF(IFERROR(FIND("--",INDIRECT(ADDRESS(246,3,,,"MATCHS"))),FALSE),RIGHT(INDIRECT(ADDRESS(246,3,,,"MATCHS")), FIND("--",INDIRECT(ADDRESS(246,3,,,"MATCHS")),1)),INDIRECT(ADDRESS(246,3,,,"MATCHS"))))</f>
        <v>0</v>
      </c>
      <c r="J89" s="125">
        <f ca="1">H89 - I89</f>
        <v>0</v>
      </c>
      <c r="K89" s="125">
        <v>0</v>
      </c>
      <c r="L89" s="125">
        <v>3</v>
      </c>
      <c r="M89" s="125"/>
      <c r="N89" s="115" t="str">
        <f>M89 &amp; "SH"</f>
        <v>SH</v>
      </c>
    </row>
    <row r="90" spans="1:14" ht="15.75" x14ac:dyDescent="0.25">
      <c r="A90" s="124"/>
      <c r="B90" s="125">
        <v>4</v>
      </c>
      <c r="C90" s="125" t="s">
        <v>127</v>
      </c>
      <c r="D90" s="125" t="str">
        <f>INSCRIPTS!C72</f>
        <v>4I</v>
      </c>
      <c r="E90" s="133">
        <f ca="1">SUM(,,IF(INDIRECT(ADDRESS(33,5,,,"MATCHS"))&gt;INDIRECT(ADDRESS(33,3,,,"MATCHS")),1,0),,,IF(INDIRECT(ADDRESS(70,5,,,"MATCHS"))&gt;INDIRECT(ADDRESS(70,3,,,"MATCHS")),1,0),,,IF(INDIRECT(ADDRESS(106,5,,,"MATCHS"))&gt;INDIRECT(ADDRESS(106,3,,,"MATCHS")),1,0),,,,,,,IF(INDIRECT(ADDRESS(183,3,,,"MATCHS"))&gt;INDIRECT(ADDRESS(183,5,,,"MATCHS")),1,0),,,,IF(INDIRECT(ADDRESS(239,5,,,"MATCHS"))&gt;INDIRECT(ADDRESS(239,3,,,"MATCHS")),1,0),IF(INDIRECT(ADDRESS(247,3,,,"MATCHS"))&gt;INDIRECT(ADDRESS(247,5,,,"MATCHS")),1,0)) + 0.01 * K90</f>
        <v>0</v>
      </c>
      <c r="F90" s="125">
        <f ca="1">SUM(,,IF(INDIRECT(ADDRESS(33,5,,,"MATCHS"))&lt;INDIRECT(ADDRESS(33,3,,,"MATCHS")),1,0),,,IF(INDIRECT(ADDRESS(70,5,,,"MATCHS"))&lt;INDIRECT(ADDRESS(70,3,,,"MATCHS")),1,0),,,IF(INDIRECT(ADDRESS(106,5,,,"MATCHS"))&lt;INDIRECT(ADDRESS(106,3,,,"MATCHS")),1,0),,,,,,,IF(INDIRECT(ADDRESS(183,3,,,"MATCHS"))&lt;INDIRECT(ADDRESS(183,5,,,"MATCHS")),1,0),,,,IF(INDIRECT(ADDRESS(239,5,,,"MATCHS"))&lt;INDIRECT(ADDRESS(239,3,,,"MATCHS")),1,0),IF(INDIRECT(ADDRESS(247,3,,,"MATCHS"))&lt;INDIRECT(ADDRESS(247,5,,,"MATCHS")),1,0))</f>
        <v>0</v>
      </c>
      <c r="G90" s="125"/>
      <c r="H90" s="125">
        <f ca="1">SUM(,,IF(IFERROR(FIND("--",INDIRECT(ADDRESS(33,5,,,"MATCHS"))),FALSE),RIGHT(INDIRECT(ADDRESS(33,5,,,"MATCHS")), FIND("--",INDIRECT(ADDRESS(33,5,,,"MATCHS")),1)),INDIRECT(ADDRESS(33,5,,,"MATCHS"))),,,IF(IFERROR(FIND("--",INDIRECT(ADDRESS(70,5,,,"MATCHS"))),FALSE),RIGHT(INDIRECT(ADDRESS(70,5,,,"MATCHS")), FIND("--",INDIRECT(ADDRESS(70,5,,,"MATCHS")),1)),INDIRECT(ADDRESS(70,5,,,"MATCHS"))),,,IF(IFERROR(FIND("--",INDIRECT(ADDRESS(106,5,,,"MATCHS"))),FALSE),RIGHT(INDIRECT(ADDRESS(106,5,,,"MATCHS")), FIND("--",INDIRECT(ADDRESS(106,5,,,"MATCHS")),1)),INDIRECT(ADDRESS(106,5,,,"MATCHS"))),,,,,,,IF(IFERROR(FIND("--",INDIRECT(ADDRESS(183,3,,,"MATCHS"))),FALSE),RIGHT(INDIRECT(ADDRESS(183,3,,,"MATCHS")), FIND("--",INDIRECT(ADDRESS(183,3,,,"MATCHS")),1)),INDIRECT(ADDRESS(183,3,,,"MATCHS"))),,,,IF(IFERROR(FIND("--",INDIRECT(ADDRESS(239,5,,,"MATCHS"))),FALSE),RIGHT(INDIRECT(ADDRESS(239,5,,,"MATCHS")), FIND("--",INDIRECT(ADDRESS(239,5,,,"MATCHS")),1)),INDIRECT(ADDRESS(239,5,,,"MATCHS"))),IF(IFERROR(FIND("--",INDIRECT(ADDRESS(247,3,,,"MATCHS"))),FALSE),RIGHT(INDIRECT(ADDRESS(247,3,,,"MATCHS")), FIND("--",INDIRECT(ADDRESS(247,3,,,"MATCHS")),1)),INDIRECT(ADDRESS(247,3,,,"MATCHS"))))</f>
        <v>0</v>
      </c>
      <c r="I90" s="125">
        <f ca="1">SUM(,,IF(IFERROR(FIND("--",INDIRECT(ADDRESS(33,3,,,"MATCHS"))),FALSE),RIGHT(INDIRECT(ADDRESS(33,3,,,"MATCHS")), FIND("--",INDIRECT(ADDRESS(33,3,,,"MATCHS")),1)),INDIRECT(ADDRESS(33,3,,,"MATCHS"))),,,IF(IFERROR(FIND("--",INDIRECT(ADDRESS(70,3,,,"MATCHS"))),FALSE),RIGHT(INDIRECT(ADDRESS(70,3,,,"MATCHS")), FIND("--",INDIRECT(ADDRESS(70,3,,,"MATCHS")),1)),INDIRECT(ADDRESS(70,3,,,"MATCHS"))),,,IF(IFERROR(FIND("--",INDIRECT(ADDRESS(106,3,,,"MATCHS"))),FALSE),RIGHT(INDIRECT(ADDRESS(106,3,,,"MATCHS")), FIND("--",INDIRECT(ADDRESS(106,3,,,"MATCHS")),1)),INDIRECT(ADDRESS(106,3,,,"MATCHS"))),,,,,,,IF(IFERROR(FIND("--",INDIRECT(ADDRESS(183,5,,,"MATCHS"))),FALSE),RIGHT(INDIRECT(ADDRESS(183,5,,,"MATCHS")), FIND("--",INDIRECT(ADDRESS(183,5,,,"MATCHS")),1)),INDIRECT(ADDRESS(183,5,,,"MATCHS"))),,,,IF(IFERROR(FIND("--",INDIRECT(ADDRESS(239,3,,,"MATCHS"))),FALSE),RIGHT(INDIRECT(ADDRESS(239,3,,,"MATCHS")), FIND("--",INDIRECT(ADDRESS(239,3,,,"MATCHS")),1)),INDIRECT(ADDRESS(239,3,,,"MATCHS"))),IF(IFERROR(FIND("--",INDIRECT(ADDRESS(247,5,,,"MATCHS"))),FALSE),RIGHT(INDIRECT(ADDRESS(247,5,,,"MATCHS")), FIND("--",INDIRECT(ADDRESS(247,5,,,"MATCHS")),1)),INDIRECT(ADDRESS(247,5,,,"MATCHS"))))</f>
        <v>0</v>
      </c>
      <c r="J90" s="125">
        <f ca="1">H90 - I90</f>
        <v>0</v>
      </c>
      <c r="K90" s="125">
        <v>0</v>
      </c>
      <c r="L90" s="125">
        <v>4</v>
      </c>
      <c r="M90" s="125"/>
      <c r="N90" s="115" t="str">
        <f>M90 &amp; "SH"</f>
        <v>SH</v>
      </c>
    </row>
    <row r="91" spans="1:14" ht="15.75" x14ac:dyDescent="0.25">
      <c r="A91" s="124"/>
      <c r="B91" s="125">
        <v>5</v>
      </c>
      <c r="C91" s="125" t="s">
        <v>128</v>
      </c>
      <c r="D91" s="125" t="str">
        <f>INSCRIPTS!C73</f>
        <v>5I</v>
      </c>
      <c r="E91" s="133">
        <f ca="1">SUM(,,IF(INDIRECT(ADDRESS(34,3,,,"MATCHS"))&gt;INDIRECT(ADDRESS(34,5,,,"MATCHS")),1,0),,,IF(INDIRECT(ADDRESS(70,3,,,"MATCHS"))&gt;INDIRECT(ADDRESS(70,5,,,"MATCHS")),1,0),,,IF(INDIRECT(ADDRESS(107,5,,,"MATCHS"))&gt;INDIRECT(ADDRESS(107,3,,,"MATCHS")),1,0),,,IF(INDIRECT(ADDRESS(143,5,,,"MATCHS"))&gt;INDIRECT(ADDRESS(143,3,,,"MATCHS")),1,0),,,IF(INDIRECT(ADDRESS(180,5,,,"MATCHS"))&gt;INDIRECT(ADDRESS(180,3,,,"MATCHS")),1,0),,,,,IF(INDIRECT(ADDRESS(240,3,,,"MATCHS"))&gt;INDIRECT(ADDRESS(240,5,,,"MATCHS")),1,0),) + 0.01 * K91</f>
        <v>0</v>
      </c>
      <c r="F91" s="125">
        <f ca="1">SUM(,,IF(INDIRECT(ADDRESS(34,3,,,"MATCHS"))&lt;INDIRECT(ADDRESS(34,5,,,"MATCHS")),1,0),,,IF(INDIRECT(ADDRESS(70,3,,,"MATCHS"))&lt;INDIRECT(ADDRESS(70,5,,,"MATCHS")),1,0),,,IF(INDIRECT(ADDRESS(107,5,,,"MATCHS"))&lt;INDIRECT(ADDRESS(107,3,,,"MATCHS")),1,0),,,IF(INDIRECT(ADDRESS(143,5,,,"MATCHS"))&lt;INDIRECT(ADDRESS(143,3,,,"MATCHS")),1,0),,,IF(INDIRECT(ADDRESS(180,5,,,"MATCHS"))&lt;INDIRECT(ADDRESS(180,3,,,"MATCHS")),1,0),,,,,IF(INDIRECT(ADDRESS(240,3,,,"MATCHS"))&lt;INDIRECT(ADDRESS(240,5,,,"MATCHS")),1,0),)</f>
        <v>0</v>
      </c>
      <c r="G91" s="125"/>
      <c r="H91" s="125">
        <f ca="1">SUM(,,IF(IFERROR(FIND("--",INDIRECT(ADDRESS(34,3,,,"MATCHS"))),FALSE),RIGHT(INDIRECT(ADDRESS(34,3,,,"MATCHS")), FIND("--",INDIRECT(ADDRESS(34,3,,,"MATCHS")),1)),INDIRECT(ADDRESS(34,3,,,"MATCHS"))),,,IF(IFERROR(FIND("--",INDIRECT(ADDRESS(70,3,,,"MATCHS"))),FALSE),RIGHT(INDIRECT(ADDRESS(70,3,,,"MATCHS")), FIND("--",INDIRECT(ADDRESS(70,3,,,"MATCHS")),1)),INDIRECT(ADDRESS(70,3,,,"MATCHS"))),,,IF(IFERROR(FIND("--",INDIRECT(ADDRESS(107,5,,,"MATCHS"))),FALSE),RIGHT(INDIRECT(ADDRESS(107,5,,,"MATCHS")), FIND("--",INDIRECT(ADDRESS(107,5,,,"MATCHS")),1)),INDIRECT(ADDRESS(107,5,,,"MATCHS"))),,,IF(IFERROR(FIND("--",INDIRECT(ADDRESS(143,5,,,"MATCHS"))),FALSE),RIGHT(INDIRECT(ADDRESS(143,5,,,"MATCHS")), FIND("--",INDIRECT(ADDRESS(143,5,,,"MATCHS")),1)),INDIRECT(ADDRESS(143,5,,,"MATCHS"))),,,IF(IFERROR(FIND("--",INDIRECT(ADDRESS(180,5,,,"MATCHS"))),FALSE),RIGHT(INDIRECT(ADDRESS(180,5,,,"MATCHS")), FIND("--",INDIRECT(ADDRESS(180,5,,,"MATCHS")),1)),INDIRECT(ADDRESS(180,5,,,"MATCHS"))),,,,,IF(IFERROR(FIND("--",INDIRECT(ADDRESS(240,3,,,"MATCHS"))),FALSE),RIGHT(INDIRECT(ADDRESS(240,3,,,"MATCHS")), FIND("--",INDIRECT(ADDRESS(240,3,,,"MATCHS")),1)),INDIRECT(ADDRESS(240,3,,,"MATCHS"))),)</f>
        <v>0</v>
      </c>
      <c r="I91" s="125">
        <f ca="1">SUM(,,IF(IFERROR(FIND("--",INDIRECT(ADDRESS(34,5,,,"MATCHS"))),FALSE),RIGHT(INDIRECT(ADDRESS(34,5,,,"MATCHS")), FIND("--",INDIRECT(ADDRESS(34,5,,,"MATCHS")),1)),INDIRECT(ADDRESS(34,5,,,"MATCHS"))),,,IF(IFERROR(FIND("--",INDIRECT(ADDRESS(70,5,,,"MATCHS"))),FALSE),RIGHT(INDIRECT(ADDRESS(70,5,,,"MATCHS")), FIND("--",INDIRECT(ADDRESS(70,5,,,"MATCHS")),1)),INDIRECT(ADDRESS(70,5,,,"MATCHS"))),,,IF(IFERROR(FIND("--",INDIRECT(ADDRESS(107,3,,,"MATCHS"))),FALSE),RIGHT(INDIRECT(ADDRESS(107,3,,,"MATCHS")), FIND("--",INDIRECT(ADDRESS(107,3,,,"MATCHS")),1)),INDIRECT(ADDRESS(107,3,,,"MATCHS"))),,,IF(IFERROR(FIND("--",INDIRECT(ADDRESS(143,3,,,"MATCHS"))),FALSE),RIGHT(INDIRECT(ADDRESS(143,3,,,"MATCHS")), FIND("--",INDIRECT(ADDRESS(143,3,,,"MATCHS")),1)),INDIRECT(ADDRESS(143,3,,,"MATCHS"))),,,IF(IFERROR(FIND("--",INDIRECT(ADDRESS(180,3,,,"MATCHS"))),FALSE),RIGHT(INDIRECT(ADDRESS(180,3,,,"MATCHS")), FIND("--",INDIRECT(ADDRESS(180,3,,,"MATCHS")),1)),INDIRECT(ADDRESS(180,3,,,"MATCHS"))),,,,,IF(IFERROR(FIND("--",INDIRECT(ADDRESS(240,5,,,"MATCHS"))),FALSE),RIGHT(INDIRECT(ADDRESS(240,5,,,"MATCHS")), FIND("--",INDIRECT(ADDRESS(240,5,,,"MATCHS")),1)),INDIRECT(ADDRESS(240,5,,,"MATCHS"))),)</f>
        <v>0</v>
      </c>
      <c r="J91" s="125">
        <f ca="1">H91 - I91</f>
        <v>0</v>
      </c>
      <c r="K91" s="125">
        <v>0</v>
      </c>
      <c r="L91" s="125">
        <v>5</v>
      </c>
      <c r="M91" s="125"/>
      <c r="N91" s="115" t="str">
        <f>M91 &amp; "SH"</f>
        <v>SH</v>
      </c>
    </row>
    <row r="92" spans="1:14" ht="15.75" x14ac:dyDescent="0.25">
      <c r="A92" s="124"/>
      <c r="B92" s="125">
        <v>6</v>
      </c>
      <c r="C92" s="125" t="s">
        <v>129</v>
      </c>
      <c r="D92" s="125" t="str">
        <f>INSCRIPTS!C74</f>
        <v>6I</v>
      </c>
      <c r="E92" s="133">
        <f ca="1">SUM(,,IF(INDIRECT(ADDRESS(34,5,,,"MATCHS"))&gt;INDIRECT(ADDRESS(34,3,,,"MATCHS")),1,0),,,IF(INDIRECT(ADDRESS(71,3,,,"MATCHS"))&gt;INDIRECT(ADDRESS(71,5,,,"MATCHS")),1,0),,,,,,IF(INDIRECT(ADDRESS(144,3,,,"MATCHS"))&gt;INDIRECT(ADDRESS(144,5,,,"MATCHS")),1,0),,,,IF(INDIRECT(ADDRESS(182,5,,,"MATCHS"))&gt;INDIRECT(ADDRESS(182,3,,,"MATCHS")),1,0),,,,IF(INDIRECT(ADDRESS(238,5,,,"MATCHS"))&gt;INDIRECT(ADDRESS(238,3,,,"MATCHS")),1,0),IF(INDIRECT(ADDRESS(247,5,,,"MATCHS"))&gt;INDIRECT(ADDRESS(247,3,,,"MATCHS")),1,0)) + 0.01 * K92</f>
        <v>0</v>
      </c>
      <c r="F92" s="125">
        <f ca="1">SUM(,,IF(INDIRECT(ADDRESS(34,5,,,"MATCHS"))&lt;INDIRECT(ADDRESS(34,3,,,"MATCHS")),1,0),,,IF(INDIRECT(ADDRESS(71,3,,,"MATCHS"))&lt;INDIRECT(ADDRESS(71,5,,,"MATCHS")),1,0),,,,,,IF(INDIRECT(ADDRESS(144,3,,,"MATCHS"))&lt;INDIRECT(ADDRESS(144,5,,,"MATCHS")),1,0),,,,IF(INDIRECT(ADDRESS(182,5,,,"MATCHS"))&lt;INDIRECT(ADDRESS(182,3,,,"MATCHS")),1,0),,,,IF(INDIRECT(ADDRESS(238,5,,,"MATCHS"))&lt;INDIRECT(ADDRESS(238,3,,,"MATCHS")),1,0),IF(INDIRECT(ADDRESS(247,5,,,"MATCHS"))&lt;INDIRECT(ADDRESS(247,3,,,"MATCHS")),1,0))</f>
        <v>0</v>
      </c>
      <c r="G92" s="125"/>
      <c r="H92" s="125">
        <f ca="1">SUM(,,IF(IFERROR(FIND("--",INDIRECT(ADDRESS(34,5,,,"MATCHS"))),FALSE),RIGHT(INDIRECT(ADDRESS(34,5,,,"MATCHS")), FIND("--",INDIRECT(ADDRESS(34,5,,,"MATCHS")),1)),INDIRECT(ADDRESS(34,5,,,"MATCHS"))),,,IF(IFERROR(FIND("--",INDIRECT(ADDRESS(71,3,,,"MATCHS"))),FALSE),RIGHT(INDIRECT(ADDRESS(71,3,,,"MATCHS")), FIND("--",INDIRECT(ADDRESS(71,3,,,"MATCHS")),1)),INDIRECT(ADDRESS(71,3,,,"MATCHS"))),,,,,,IF(IFERROR(FIND("--",INDIRECT(ADDRESS(144,3,,,"MATCHS"))),FALSE),RIGHT(INDIRECT(ADDRESS(144,3,,,"MATCHS")), FIND("--",INDIRECT(ADDRESS(144,3,,,"MATCHS")),1)),INDIRECT(ADDRESS(144,3,,,"MATCHS"))),,,,IF(IFERROR(FIND("--",INDIRECT(ADDRESS(182,5,,,"MATCHS"))),FALSE),RIGHT(INDIRECT(ADDRESS(182,5,,,"MATCHS")), FIND("--",INDIRECT(ADDRESS(182,5,,,"MATCHS")),1)),INDIRECT(ADDRESS(182,5,,,"MATCHS"))),,,,IF(IFERROR(FIND("--",INDIRECT(ADDRESS(238,5,,,"MATCHS"))),FALSE),RIGHT(INDIRECT(ADDRESS(238,5,,,"MATCHS")), FIND("--",INDIRECT(ADDRESS(238,5,,,"MATCHS")),1)),INDIRECT(ADDRESS(238,5,,,"MATCHS"))),IF(IFERROR(FIND("--",INDIRECT(ADDRESS(247,5,,,"MATCHS"))),FALSE),RIGHT(INDIRECT(ADDRESS(247,5,,,"MATCHS")), FIND("--",INDIRECT(ADDRESS(247,5,,,"MATCHS")),1)),INDIRECT(ADDRESS(247,5,,,"MATCHS"))))</f>
        <v>0</v>
      </c>
      <c r="I92" s="125">
        <f ca="1">SUM(,,IF(IFERROR(FIND("--",INDIRECT(ADDRESS(34,3,,,"MATCHS"))),FALSE),RIGHT(INDIRECT(ADDRESS(34,3,,,"MATCHS")), FIND("--",INDIRECT(ADDRESS(34,3,,,"MATCHS")),1)),INDIRECT(ADDRESS(34,3,,,"MATCHS"))),,,IF(IFERROR(FIND("--",INDIRECT(ADDRESS(71,5,,,"MATCHS"))),FALSE),RIGHT(INDIRECT(ADDRESS(71,5,,,"MATCHS")), FIND("--",INDIRECT(ADDRESS(71,5,,,"MATCHS")),1)),INDIRECT(ADDRESS(71,5,,,"MATCHS"))),,,,,,IF(IFERROR(FIND("--",INDIRECT(ADDRESS(144,5,,,"MATCHS"))),FALSE),RIGHT(INDIRECT(ADDRESS(144,5,,,"MATCHS")), FIND("--",INDIRECT(ADDRESS(144,5,,,"MATCHS")),1)),INDIRECT(ADDRESS(144,5,,,"MATCHS"))),,,,IF(IFERROR(FIND("--",INDIRECT(ADDRESS(182,3,,,"MATCHS"))),FALSE),RIGHT(INDIRECT(ADDRESS(182,3,,,"MATCHS")), FIND("--",INDIRECT(ADDRESS(182,3,,,"MATCHS")),1)),INDIRECT(ADDRESS(182,3,,,"MATCHS"))),,,,IF(IFERROR(FIND("--",INDIRECT(ADDRESS(238,3,,,"MATCHS"))),FALSE),RIGHT(INDIRECT(ADDRESS(238,3,,,"MATCHS")), FIND("--",INDIRECT(ADDRESS(238,3,,,"MATCHS")),1)),INDIRECT(ADDRESS(238,3,,,"MATCHS"))),IF(IFERROR(FIND("--",INDIRECT(ADDRESS(247,3,,,"MATCHS"))),FALSE),RIGHT(INDIRECT(ADDRESS(247,3,,,"MATCHS")), FIND("--",INDIRECT(ADDRESS(247,3,,,"MATCHS")),1)),INDIRECT(ADDRESS(247,3,,,"MATCHS"))))</f>
        <v>0</v>
      </c>
      <c r="J92" s="125">
        <f ca="1">H92 - I92</f>
        <v>0</v>
      </c>
      <c r="K92" s="125">
        <v>0</v>
      </c>
      <c r="L92" s="125">
        <v>6</v>
      </c>
      <c r="M92" s="125"/>
      <c r="N92" s="115" t="str">
        <f>M92 &amp; "SH"</f>
        <v>SH</v>
      </c>
    </row>
    <row r="93" spans="1:14" ht="15.75" x14ac:dyDescent="0.25">
      <c r="A93" s="124"/>
      <c r="B93" s="125">
        <v>7</v>
      </c>
      <c r="C93" s="125" t="s">
        <v>139</v>
      </c>
      <c r="D93" s="125" t="str">
        <f>INSCRIPTS!C75</f>
        <v>7I</v>
      </c>
      <c r="E93" s="133">
        <f ca="1">SUM(,,,,,IF(INDIRECT(ADDRESS(71,5,,,"MATCHS"))&gt;INDIRECT(ADDRESS(71,3,,,"MATCHS")),1,0),,,IF(INDIRECT(ADDRESS(108,3,,,"MATCHS"))&gt;INDIRECT(ADDRESS(108,5,,,"MATCHS")),1,0),,,,IF(INDIRECT(ADDRESS(146,5,,,"MATCHS"))&gt;INDIRECT(ADDRESS(146,3,,,"MATCHS")),1,0),,,IF(INDIRECT(ADDRESS(183,5,,,"MATCHS"))&gt;INDIRECT(ADDRESS(183,3,,,"MATCHS")),1,0),,,,IF(INDIRECT(ADDRESS(240,5,,,"MATCHS"))&gt;INDIRECT(ADDRESS(240,3,,,"MATCHS")),1,0),IF(INDIRECT(ADDRESS(245,5,,,"MATCHS"))&gt;INDIRECT(ADDRESS(245,3,,,"MATCHS")),1,0)) + 0.01 * K93</f>
        <v>0</v>
      </c>
      <c r="F93" s="125">
        <f ca="1">SUM(,,,,,IF(INDIRECT(ADDRESS(71,5,,,"MATCHS"))&lt;INDIRECT(ADDRESS(71,3,,,"MATCHS")),1,0),,,IF(INDIRECT(ADDRESS(108,3,,,"MATCHS"))&lt;INDIRECT(ADDRESS(108,5,,,"MATCHS")),1,0),,,,IF(INDIRECT(ADDRESS(146,5,,,"MATCHS"))&lt;INDIRECT(ADDRESS(146,3,,,"MATCHS")),1,0),,,IF(INDIRECT(ADDRESS(183,5,,,"MATCHS"))&lt;INDIRECT(ADDRESS(183,3,,,"MATCHS")),1,0),,,,IF(INDIRECT(ADDRESS(240,5,,,"MATCHS"))&lt;INDIRECT(ADDRESS(240,3,,,"MATCHS")),1,0),IF(INDIRECT(ADDRESS(245,5,,,"MATCHS"))&lt;INDIRECT(ADDRESS(245,3,,,"MATCHS")),1,0))</f>
        <v>0</v>
      </c>
      <c r="G93" s="125"/>
      <c r="H93" s="125">
        <f ca="1">SUM(,,,,,IF(IFERROR(FIND("--",INDIRECT(ADDRESS(71,5,,,"MATCHS"))),FALSE),RIGHT(INDIRECT(ADDRESS(71,5,,,"MATCHS")), FIND("--",INDIRECT(ADDRESS(71,5,,,"MATCHS")),1)),INDIRECT(ADDRESS(71,5,,,"MATCHS"))),,,IF(IFERROR(FIND("--",INDIRECT(ADDRESS(108,3,,,"MATCHS"))),FALSE),RIGHT(INDIRECT(ADDRESS(108,3,,,"MATCHS")), FIND("--",INDIRECT(ADDRESS(108,3,,,"MATCHS")),1)),INDIRECT(ADDRESS(108,3,,,"MATCHS"))),,,,IF(IFERROR(FIND("--",INDIRECT(ADDRESS(146,5,,,"MATCHS"))),FALSE),RIGHT(INDIRECT(ADDRESS(146,5,,,"MATCHS")), FIND("--",INDIRECT(ADDRESS(146,5,,,"MATCHS")),1)),INDIRECT(ADDRESS(146,5,,,"MATCHS"))),,,IF(IFERROR(FIND("--",INDIRECT(ADDRESS(183,5,,,"MATCHS"))),FALSE),RIGHT(INDIRECT(ADDRESS(183,5,,,"MATCHS")), FIND("--",INDIRECT(ADDRESS(183,5,,,"MATCHS")),1)),INDIRECT(ADDRESS(183,5,,,"MATCHS"))),,,,IF(IFERROR(FIND("--",INDIRECT(ADDRESS(240,5,,,"MATCHS"))),FALSE),RIGHT(INDIRECT(ADDRESS(240,5,,,"MATCHS")), FIND("--",INDIRECT(ADDRESS(240,5,,,"MATCHS")),1)),INDIRECT(ADDRESS(240,5,,,"MATCHS"))),IF(IFERROR(FIND("--",INDIRECT(ADDRESS(245,5,,,"MATCHS"))),FALSE),RIGHT(INDIRECT(ADDRESS(245,5,,,"MATCHS")), FIND("--",INDIRECT(ADDRESS(245,5,,,"MATCHS")),1)),INDIRECT(ADDRESS(245,5,,,"MATCHS"))))</f>
        <v>0</v>
      </c>
      <c r="I93" s="125">
        <f ca="1">SUM(,,,,,IF(IFERROR(FIND("--",INDIRECT(ADDRESS(71,3,,,"MATCHS"))),FALSE),RIGHT(INDIRECT(ADDRESS(71,3,,,"MATCHS")), FIND("--",INDIRECT(ADDRESS(71,3,,,"MATCHS")),1)),INDIRECT(ADDRESS(71,3,,,"MATCHS"))),,,IF(IFERROR(FIND("--",INDIRECT(ADDRESS(108,5,,,"MATCHS"))),FALSE),RIGHT(INDIRECT(ADDRESS(108,5,,,"MATCHS")), FIND("--",INDIRECT(ADDRESS(108,5,,,"MATCHS")),1)),INDIRECT(ADDRESS(108,5,,,"MATCHS"))),,,,IF(IFERROR(FIND("--",INDIRECT(ADDRESS(146,3,,,"MATCHS"))),FALSE),RIGHT(INDIRECT(ADDRESS(146,3,,,"MATCHS")), FIND("--",INDIRECT(ADDRESS(146,3,,,"MATCHS")),1)),INDIRECT(ADDRESS(146,3,,,"MATCHS"))),,,IF(IFERROR(FIND("--",INDIRECT(ADDRESS(183,3,,,"MATCHS"))),FALSE),RIGHT(INDIRECT(ADDRESS(183,3,,,"MATCHS")), FIND("--",INDIRECT(ADDRESS(183,3,,,"MATCHS")),1)),INDIRECT(ADDRESS(183,3,,,"MATCHS"))),,,,IF(IFERROR(FIND("--",INDIRECT(ADDRESS(240,3,,,"MATCHS"))),FALSE),RIGHT(INDIRECT(ADDRESS(240,3,,,"MATCHS")), FIND("--",INDIRECT(ADDRESS(240,3,,,"MATCHS")),1)),INDIRECT(ADDRESS(240,3,,,"MATCHS"))),IF(IFERROR(FIND("--",INDIRECT(ADDRESS(245,3,,,"MATCHS"))),FALSE),RIGHT(INDIRECT(ADDRESS(245,3,,,"MATCHS")), FIND("--",INDIRECT(ADDRESS(245,3,,,"MATCHS")),1)),INDIRECT(ADDRESS(245,3,,,"MATCHS"))))</f>
        <v>0</v>
      </c>
      <c r="J93" s="125">
        <f ca="1">H93 - I93</f>
        <v>0</v>
      </c>
      <c r="K93" s="125">
        <v>0</v>
      </c>
      <c r="L93" s="125">
        <v>7</v>
      </c>
      <c r="M93" s="125"/>
      <c r="N93" s="115" t="str">
        <f>M93 &amp; "SH"</f>
        <v>SH</v>
      </c>
    </row>
    <row r="94" spans="1:14" ht="15.75" thickBot="1" x14ac:dyDescent="0.3"/>
    <row r="95" spans="1:14" ht="30.95" customHeight="1" thickBot="1" x14ac:dyDescent="0.3">
      <c r="C95" s="116" t="s">
        <v>179</v>
      </c>
      <c r="D95" s="116" t="s">
        <v>61</v>
      </c>
      <c r="E95" s="129" t="s">
        <v>180</v>
      </c>
      <c r="F95" s="116" t="s">
        <v>181</v>
      </c>
      <c r="G95" s="116" t="s">
        <v>182</v>
      </c>
      <c r="H95" s="116" t="s">
        <v>183</v>
      </c>
      <c r="I95" s="116" t="s">
        <v>184</v>
      </c>
      <c r="J95" s="116" t="s">
        <v>185</v>
      </c>
      <c r="K95" s="117" t="s">
        <v>186</v>
      </c>
      <c r="L95" s="116" t="s">
        <v>187</v>
      </c>
      <c r="M95" s="117" t="s">
        <v>188</v>
      </c>
    </row>
    <row r="97" spans="1:14" ht="15.75" x14ac:dyDescent="0.25">
      <c r="A97" s="126" t="s">
        <v>71</v>
      </c>
      <c r="B97" s="127">
        <v>1</v>
      </c>
      <c r="C97" s="127" t="s">
        <v>130</v>
      </c>
      <c r="D97" s="127" t="str">
        <f>INSCRIPTS!C77</f>
        <v>1J</v>
      </c>
      <c r="E97" s="134">
        <f ca="1">SUM(,,IF(INDIRECT(ADDRESS(35,3,,,"MATCHS"))&gt;INDIRECT(ADDRESS(35,5,,,"MATCHS")),1,0),,,IF(INDIRECT(ADDRESS(72,3,,,"MATCHS"))&gt;INDIRECT(ADDRESS(72,5,,,"MATCHS")),1,0),,,,IF(INDIRECT(ADDRESS(110,3,,,"MATCHS"))&gt;INDIRECT(ADDRESS(110,5,,,"MATCHS")),1,0),,,IF(INDIRECT(ADDRESS(147,3,,,"MATCHS"))&gt;INDIRECT(ADDRESS(147,5,,,"MATCHS")),1,0),,,IF(INDIRECT(ADDRESS(184,3,,,"MATCHS"))&gt;INDIRECT(ADDRESS(184,5,,,"MATCHS")),1,0),,,,,) + 0.01 * K97</f>
        <v>0</v>
      </c>
      <c r="F97" s="127">
        <f ca="1">SUM(,,IF(INDIRECT(ADDRESS(35,3,,,"MATCHS"))&lt;INDIRECT(ADDRESS(35,5,,,"MATCHS")),1,0),,,IF(INDIRECT(ADDRESS(72,3,,,"MATCHS"))&lt;INDIRECT(ADDRESS(72,5,,,"MATCHS")),1,0),,,,IF(INDIRECT(ADDRESS(110,3,,,"MATCHS"))&lt;INDIRECT(ADDRESS(110,5,,,"MATCHS")),1,0),,,IF(INDIRECT(ADDRESS(147,3,,,"MATCHS"))&lt;INDIRECT(ADDRESS(147,5,,,"MATCHS")),1,0),,,IF(INDIRECT(ADDRESS(184,3,,,"MATCHS"))&lt;INDIRECT(ADDRESS(184,5,,,"MATCHS")),1,0),,,,,)</f>
        <v>0</v>
      </c>
      <c r="G97" s="127"/>
      <c r="H97" s="127">
        <f ca="1">SUM(,,IF(IFERROR(FIND("--",INDIRECT(ADDRESS(35,3,,,"MATCHS"))),FALSE),RIGHT(INDIRECT(ADDRESS(35,3,,,"MATCHS")), FIND("--",INDIRECT(ADDRESS(35,3,,,"MATCHS")),1)),INDIRECT(ADDRESS(35,3,,,"MATCHS"))),,,IF(IFERROR(FIND("--",INDIRECT(ADDRESS(72,3,,,"MATCHS"))),FALSE),RIGHT(INDIRECT(ADDRESS(72,3,,,"MATCHS")), FIND("--",INDIRECT(ADDRESS(72,3,,,"MATCHS")),1)),INDIRECT(ADDRESS(72,3,,,"MATCHS"))),,,,IF(IFERROR(FIND("--",INDIRECT(ADDRESS(110,3,,,"MATCHS"))),FALSE),RIGHT(INDIRECT(ADDRESS(110,3,,,"MATCHS")), FIND("--",INDIRECT(ADDRESS(110,3,,,"MATCHS")),1)),INDIRECT(ADDRESS(110,3,,,"MATCHS"))),,,IF(IFERROR(FIND("--",INDIRECT(ADDRESS(147,3,,,"MATCHS"))),FALSE),RIGHT(INDIRECT(ADDRESS(147,3,,,"MATCHS")), FIND("--",INDIRECT(ADDRESS(147,3,,,"MATCHS")),1)),INDIRECT(ADDRESS(147,3,,,"MATCHS"))),,,IF(IFERROR(FIND("--",INDIRECT(ADDRESS(184,3,,,"MATCHS"))),FALSE),RIGHT(INDIRECT(ADDRESS(184,3,,,"MATCHS")), FIND("--",INDIRECT(ADDRESS(184,3,,,"MATCHS")),1)),INDIRECT(ADDRESS(184,3,,,"MATCHS"))),,,,,)</f>
        <v>0</v>
      </c>
      <c r="I97" s="127">
        <f ca="1">SUM(,,IF(IFERROR(FIND("--",INDIRECT(ADDRESS(35,5,,,"MATCHS"))),FALSE),RIGHT(INDIRECT(ADDRESS(35,5,,,"MATCHS")), FIND("--",INDIRECT(ADDRESS(35,5,,,"MATCHS")),1)),INDIRECT(ADDRESS(35,5,,,"MATCHS"))),,,IF(IFERROR(FIND("--",INDIRECT(ADDRESS(72,5,,,"MATCHS"))),FALSE),RIGHT(INDIRECT(ADDRESS(72,5,,,"MATCHS")), FIND("--",INDIRECT(ADDRESS(72,5,,,"MATCHS")),1)),INDIRECT(ADDRESS(72,5,,,"MATCHS"))),,,,IF(IFERROR(FIND("--",INDIRECT(ADDRESS(110,5,,,"MATCHS"))),FALSE),RIGHT(INDIRECT(ADDRESS(110,5,,,"MATCHS")), FIND("--",INDIRECT(ADDRESS(110,5,,,"MATCHS")),1)),INDIRECT(ADDRESS(110,5,,,"MATCHS"))),,,IF(IFERROR(FIND("--",INDIRECT(ADDRESS(147,5,,,"MATCHS"))),FALSE),RIGHT(INDIRECT(ADDRESS(147,5,,,"MATCHS")), FIND("--",INDIRECT(ADDRESS(147,5,,,"MATCHS")),1)),INDIRECT(ADDRESS(147,5,,,"MATCHS"))),,,IF(IFERROR(FIND("--",INDIRECT(ADDRESS(184,5,,,"MATCHS"))),FALSE),RIGHT(INDIRECT(ADDRESS(184,5,,,"MATCHS")), FIND("--",INDIRECT(ADDRESS(184,5,,,"MATCHS")),1)),INDIRECT(ADDRESS(184,5,,,"MATCHS"))),,,,,)</f>
        <v>0</v>
      </c>
      <c r="J97" s="127">
        <f ca="1">H97 - I97</f>
        <v>0</v>
      </c>
      <c r="K97" s="127">
        <v>0</v>
      </c>
      <c r="L97" s="127">
        <v>1</v>
      </c>
      <c r="M97" s="127"/>
      <c r="N97" s="115" t="str">
        <f>M97 &amp; "SH"</f>
        <v>SH</v>
      </c>
    </row>
    <row r="98" spans="1:14" ht="15.75" x14ac:dyDescent="0.25">
      <c r="A98" s="126"/>
      <c r="B98" s="127">
        <v>2</v>
      </c>
      <c r="C98" s="127" t="s">
        <v>131</v>
      </c>
      <c r="D98" s="127" t="str">
        <f>INSCRIPTS!C78</f>
        <v>2J</v>
      </c>
      <c r="E98" s="134">
        <f ca="1">SUM(,,IF(INDIRECT(ADDRESS(35,5,,,"MATCHS"))&gt;INDIRECT(ADDRESS(35,3,,,"MATCHS")),1,0),,,,IF(INDIRECT(ADDRESS(74,3,,,"MATCHS"))&gt;INDIRECT(ADDRESS(74,5,,,"MATCHS")),1,0),,,IF(INDIRECT(ADDRESS(111,3,,,"MATCHS"))&gt;INDIRECT(ADDRESS(111,5,,,"MATCHS")),1,0),,,IF(INDIRECT(ADDRESS(148,3,,,"MATCHS"))&gt;INDIRECT(ADDRESS(148,5,,,"MATCHS")),1,0),,,IF(INDIRECT(ADDRESS(185,3,,,"MATCHS"))&gt;INDIRECT(ADDRESS(185,5,,,"MATCHS")),1,0),,,,,) + 0.01 * K98</f>
        <v>0</v>
      </c>
      <c r="F98" s="127">
        <f ca="1">SUM(,,IF(INDIRECT(ADDRESS(35,5,,,"MATCHS"))&lt;INDIRECT(ADDRESS(35,3,,,"MATCHS")),1,0),,,,IF(INDIRECT(ADDRESS(74,3,,,"MATCHS"))&lt;INDIRECT(ADDRESS(74,5,,,"MATCHS")),1,0),,,IF(INDIRECT(ADDRESS(111,3,,,"MATCHS"))&lt;INDIRECT(ADDRESS(111,5,,,"MATCHS")),1,0),,,IF(INDIRECT(ADDRESS(148,3,,,"MATCHS"))&lt;INDIRECT(ADDRESS(148,5,,,"MATCHS")),1,0),,,IF(INDIRECT(ADDRESS(185,3,,,"MATCHS"))&lt;INDIRECT(ADDRESS(185,5,,,"MATCHS")),1,0),,,,,)</f>
        <v>0</v>
      </c>
      <c r="G98" s="127"/>
      <c r="H98" s="127">
        <f ca="1">SUM(,,IF(IFERROR(FIND("--",INDIRECT(ADDRESS(35,5,,,"MATCHS"))),FALSE),RIGHT(INDIRECT(ADDRESS(35,5,,,"MATCHS")), FIND("--",INDIRECT(ADDRESS(35,5,,,"MATCHS")),1)),INDIRECT(ADDRESS(35,5,,,"MATCHS"))),,,,IF(IFERROR(FIND("--",INDIRECT(ADDRESS(74,3,,,"MATCHS"))),FALSE),RIGHT(INDIRECT(ADDRESS(74,3,,,"MATCHS")), FIND("--",INDIRECT(ADDRESS(74,3,,,"MATCHS")),1)),INDIRECT(ADDRESS(74,3,,,"MATCHS"))),,,IF(IFERROR(FIND("--",INDIRECT(ADDRESS(111,3,,,"MATCHS"))),FALSE),RIGHT(INDIRECT(ADDRESS(111,3,,,"MATCHS")), FIND("--",INDIRECT(ADDRESS(111,3,,,"MATCHS")),1)),INDIRECT(ADDRESS(111,3,,,"MATCHS"))),,,IF(IFERROR(FIND("--",INDIRECT(ADDRESS(148,3,,,"MATCHS"))),FALSE),RIGHT(INDIRECT(ADDRESS(148,3,,,"MATCHS")), FIND("--",INDIRECT(ADDRESS(148,3,,,"MATCHS")),1)),INDIRECT(ADDRESS(148,3,,,"MATCHS"))),,,IF(IFERROR(FIND("--",INDIRECT(ADDRESS(185,3,,,"MATCHS"))),FALSE),RIGHT(INDIRECT(ADDRESS(185,3,,,"MATCHS")), FIND("--",INDIRECT(ADDRESS(185,3,,,"MATCHS")),1)),INDIRECT(ADDRESS(185,3,,,"MATCHS"))),,,,,)</f>
        <v>0</v>
      </c>
      <c r="I98" s="127">
        <f ca="1">SUM(,,IF(IFERROR(FIND("--",INDIRECT(ADDRESS(35,3,,,"MATCHS"))),FALSE),RIGHT(INDIRECT(ADDRESS(35,3,,,"MATCHS")), FIND("--",INDIRECT(ADDRESS(35,3,,,"MATCHS")),1)),INDIRECT(ADDRESS(35,3,,,"MATCHS"))),,,,IF(IFERROR(FIND("--",INDIRECT(ADDRESS(74,5,,,"MATCHS"))),FALSE),RIGHT(INDIRECT(ADDRESS(74,5,,,"MATCHS")), FIND("--",INDIRECT(ADDRESS(74,5,,,"MATCHS")),1)),INDIRECT(ADDRESS(74,5,,,"MATCHS"))),,,IF(IFERROR(FIND("--",INDIRECT(ADDRESS(111,5,,,"MATCHS"))),FALSE),RIGHT(INDIRECT(ADDRESS(111,5,,,"MATCHS")), FIND("--",INDIRECT(ADDRESS(111,5,,,"MATCHS")),1)),INDIRECT(ADDRESS(111,5,,,"MATCHS"))),,,IF(IFERROR(FIND("--",INDIRECT(ADDRESS(148,5,,,"MATCHS"))),FALSE),RIGHT(INDIRECT(ADDRESS(148,5,,,"MATCHS")), FIND("--",INDIRECT(ADDRESS(148,5,,,"MATCHS")),1)),INDIRECT(ADDRESS(148,5,,,"MATCHS"))),,,IF(IFERROR(FIND("--",INDIRECT(ADDRESS(185,5,,,"MATCHS"))),FALSE),RIGHT(INDIRECT(ADDRESS(185,5,,,"MATCHS")), FIND("--",INDIRECT(ADDRESS(185,5,,,"MATCHS")),1)),INDIRECT(ADDRESS(185,5,,,"MATCHS"))),,,,,)</f>
        <v>0</v>
      </c>
      <c r="J98" s="127">
        <f ca="1">H98 - I98</f>
        <v>0</v>
      </c>
      <c r="K98" s="127">
        <v>0</v>
      </c>
      <c r="L98" s="127">
        <v>2</v>
      </c>
      <c r="M98" s="127"/>
      <c r="N98" s="115" t="str">
        <f>M98 &amp; "SH"</f>
        <v>SH</v>
      </c>
    </row>
    <row r="99" spans="1:14" ht="15.75" x14ac:dyDescent="0.25">
      <c r="A99" s="126"/>
      <c r="B99" s="127">
        <v>3</v>
      </c>
      <c r="C99" s="127" t="s">
        <v>132</v>
      </c>
      <c r="D99" s="127" t="str">
        <f>INSCRIPTS!C79</f>
        <v>3J</v>
      </c>
      <c r="E99" s="134">
        <f ca="1">SUM(,,IF(INDIRECT(ADDRESS(36,3,,,"MATCHS"))&gt;INDIRECT(ADDRESS(36,5,,,"MATCHS")),1,0),,,IF(INDIRECT(ADDRESS(72,5,,,"MATCHS"))&gt;INDIRECT(ADDRESS(72,3,,,"MATCHS")),1,0),,,,IF(INDIRECT(ADDRESS(111,5,,,"MATCHS"))&gt;INDIRECT(ADDRESS(111,3,,,"MATCHS")),1,0),,,IF(INDIRECT(ADDRESS(149,3,,,"MATCHS"))&gt;INDIRECT(ADDRESS(149,5,,,"MATCHS")),1,0),,,IF(INDIRECT(ADDRESS(186,3,,,"MATCHS"))&gt;INDIRECT(ADDRESS(186,5,,,"MATCHS")),1,0),,,,,) + 0.01 * K99</f>
        <v>0</v>
      </c>
      <c r="F99" s="127">
        <f ca="1">SUM(,,IF(INDIRECT(ADDRESS(36,3,,,"MATCHS"))&lt;INDIRECT(ADDRESS(36,5,,,"MATCHS")),1,0),,,IF(INDIRECT(ADDRESS(72,5,,,"MATCHS"))&lt;INDIRECT(ADDRESS(72,3,,,"MATCHS")),1,0),,,,IF(INDIRECT(ADDRESS(111,5,,,"MATCHS"))&lt;INDIRECT(ADDRESS(111,3,,,"MATCHS")),1,0),,,IF(INDIRECT(ADDRESS(149,3,,,"MATCHS"))&lt;INDIRECT(ADDRESS(149,5,,,"MATCHS")),1,0),,,IF(INDIRECT(ADDRESS(186,3,,,"MATCHS"))&lt;INDIRECT(ADDRESS(186,5,,,"MATCHS")),1,0),,,,,)</f>
        <v>0</v>
      </c>
      <c r="G99" s="127"/>
      <c r="H99" s="127">
        <f ca="1">SUM(,,IF(IFERROR(FIND("--",INDIRECT(ADDRESS(36,3,,,"MATCHS"))),FALSE),RIGHT(INDIRECT(ADDRESS(36,3,,,"MATCHS")), FIND("--",INDIRECT(ADDRESS(36,3,,,"MATCHS")),1)),INDIRECT(ADDRESS(36,3,,,"MATCHS"))),,,IF(IFERROR(FIND("--",INDIRECT(ADDRESS(72,5,,,"MATCHS"))),FALSE),RIGHT(INDIRECT(ADDRESS(72,5,,,"MATCHS")), FIND("--",INDIRECT(ADDRESS(72,5,,,"MATCHS")),1)),INDIRECT(ADDRESS(72,5,,,"MATCHS"))),,,,IF(IFERROR(FIND("--",INDIRECT(ADDRESS(111,5,,,"MATCHS"))),FALSE),RIGHT(INDIRECT(ADDRESS(111,5,,,"MATCHS")), FIND("--",INDIRECT(ADDRESS(111,5,,,"MATCHS")),1)),INDIRECT(ADDRESS(111,5,,,"MATCHS"))),,,IF(IFERROR(FIND("--",INDIRECT(ADDRESS(149,3,,,"MATCHS"))),FALSE),RIGHT(INDIRECT(ADDRESS(149,3,,,"MATCHS")), FIND("--",INDIRECT(ADDRESS(149,3,,,"MATCHS")),1)),INDIRECT(ADDRESS(149,3,,,"MATCHS"))),,,IF(IFERROR(FIND("--",INDIRECT(ADDRESS(186,3,,,"MATCHS"))),FALSE),RIGHT(INDIRECT(ADDRESS(186,3,,,"MATCHS")), FIND("--",INDIRECT(ADDRESS(186,3,,,"MATCHS")),1)),INDIRECT(ADDRESS(186,3,,,"MATCHS"))),,,,,)</f>
        <v>0</v>
      </c>
      <c r="I99" s="127">
        <f ca="1">SUM(,,IF(IFERROR(FIND("--",INDIRECT(ADDRESS(36,5,,,"MATCHS"))),FALSE),RIGHT(INDIRECT(ADDRESS(36,5,,,"MATCHS")), FIND("--",INDIRECT(ADDRESS(36,5,,,"MATCHS")),1)),INDIRECT(ADDRESS(36,5,,,"MATCHS"))),,,IF(IFERROR(FIND("--",INDIRECT(ADDRESS(72,3,,,"MATCHS"))),FALSE),RIGHT(INDIRECT(ADDRESS(72,3,,,"MATCHS")), FIND("--",INDIRECT(ADDRESS(72,3,,,"MATCHS")),1)),INDIRECT(ADDRESS(72,3,,,"MATCHS"))),,,,IF(IFERROR(FIND("--",INDIRECT(ADDRESS(111,3,,,"MATCHS"))),FALSE),RIGHT(INDIRECT(ADDRESS(111,3,,,"MATCHS")), FIND("--",INDIRECT(ADDRESS(111,3,,,"MATCHS")),1)),INDIRECT(ADDRESS(111,3,,,"MATCHS"))),,,IF(IFERROR(FIND("--",INDIRECT(ADDRESS(149,5,,,"MATCHS"))),FALSE),RIGHT(INDIRECT(ADDRESS(149,5,,,"MATCHS")), FIND("--",INDIRECT(ADDRESS(149,5,,,"MATCHS")),1)),INDIRECT(ADDRESS(149,5,,,"MATCHS"))),,,IF(IFERROR(FIND("--",INDIRECT(ADDRESS(186,5,,,"MATCHS"))),FALSE),RIGHT(INDIRECT(ADDRESS(186,5,,,"MATCHS")), FIND("--",INDIRECT(ADDRESS(186,5,,,"MATCHS")),1)),INDIRECT(ADDRESS(186,5,,,"MATCHS"))),,,,,)</f>
        <v>0</v>
      </c>
      <c r="J99" s="127">
        <f ca="1">H99 - I99</f>
        <v>0</v>
      </c>
      <c r="K99" s="127">
        <v>0</v>
      </c>
      <c r="L99" s="127">
        <v>3</v>
      </c>
      <c r="M99" s="127"/>
      <c r="N99" s="115" t="str">
        <f>M99 &amp; "SH"</f>
        <v>SH</v>
      </c>
    </row>
    <row r="100" spans="1:14" ht="15.75" x14ac:dyDescent="0.25">
      <c r="A100" s="126"/>
      <c r="B100" s="127">
        <v>4</v>
      </c>
      <c r="C100" s="127" t="s">
        <v>133</v>
      </c>
      <c r="D100" s="127" t="str">
        <f>INSCRIPTS!C80</f>
        <v>4J</v>
      </c>
      <c r="E100" s="134">
        <f ca="1">SUM(,,IF(INDIRECT(ADDRESS(36,5,,,"MATCHS"))&gt;INDIRECT(ADDRESS(36,3,,,"MATCHS")),1,0),,,,IF(INDIRECT(ADDRESS(75,3,,,"MATCHS"))&gt;INDIRECT(ADDRESS(75,5,,,"MATCHS")),1,0),,,IF(INDIRECT(ADDRESS(112,3,,,"MATCHS"))&gt;INDIRECT(ADDRESS(112,5,,,"MATCHS")),1,0),,,IF(INDIRECT(ADDRESS(147,5,,,"MATCHS"))&gt;INDIRECT(ADDRESS(147,3,,,"MATCHS")),1,0),,,IF(INDIRECT(ADDRESS(185,5,,,"MATCHS"))&gt;INDIRECT(ADDRESS(185,3,,,"MATCHS")),1,0),,,,,) + 0.01 * K100</f>
        <v>0</v>
      </c>
      <c r="F100" s="127">
        <f ca="1">SUM(,,IF(INDIRECT(ADDRESS(36,5,,,"MATCHS"))&lt;INDIRECT(ADDRESS(36,3,,,"MATCHS")),1,0),,,,IF(INDIRECT(ADDRESS(75,3,,,"MATCHS"))&lt;INDIRECT(ADDRESS(75,5,,,"MATCHS")),1,0),,,IF(INDIRECT(ADDRESS(112,3,,,"MATCHS"))&lt;INDIRECT(ADDRESS(112,5,,,"MATCHS")),1,0),,,IF(INDIRECT(ADDRESS(147,5,,,"MATCHS"))&lt;INDIRECT(ADDRESS(147,3,,,"MATCHS")),1,0),,,IF(INDIRECT(ADDRESS(185,5,,,"MATCHS"))&lt;INDIRECT(ADDRESS(185,3,,,"MATCHS")),1,0),,,,,)</f>
        <v>0</v>
      </c>
      <c r="G100" s="127"/>
      <c r="H100" s="127">
        <f ca="1">SUM(,,IF(IFERROR(FIND("--",INDIRECT(ADDRESS(36,5,,,"MATCHS"))),FALSE),RIGHT(INDIRECT(ADDRESS(36,5,,,"MATCHS")), FIND("--",INDIRECT(ADDRESS(36,5,,,"MATCHS")),1)),INDIRECT(ADDRESS(36,5,,,"MATCHS"))),,,,IF(IFERROR(FIND("--",INDIRECT(ADDRESS(75,3,,,"MATCHS"))),FALSE),RIGHT(INDIRECT(ADDRESS(75,3,,,"MATCHS")), FIND("--",INDIRECT(ADDRESS(75,3,,,"MATCHS")),1)),INDIRECT(ADDRESS(75,3,,,"MATCHS"))),,,IF(IFERROR(FIND("--",INDIRECT(ADDRESS(112,3,,,"MATCHS"))),FALSE),RIGHT(INDIRECT(ADDRESS(112,3,,,"MATCHS")), FIND("--",INDIRECT(ADDRESS(112,3,,,"MATCHS")),1)),INDIRECT(ADDRESS(112,3,,,"MATCHS"))),,,IF(IFERROR(FIND("--",INDIRECT(ADDRESS(147,5,,,"MATCHS"))),FALSE),RIGHT(INDIRECT(ADDRESS(147,5,,,"MATCHS")), FIND("--",INDIRECT(ADDRESS(147,5,,,"MATCHS")),1)),INDIRECT(ADDRESS(147,5,,,"MATCHS"))),,,IF(IFERROR(FIND("--",INDIRECT(ADDRESS(185,5,,,"MATCHS"))),FALSE),RIGHT(INDIRECT(ADDRESS(185,5,,,"MATCHS")), FIND("--",INDIRECT(ADDRESS(185,5,,,"MATCHS")),1)),INDIRECT(ADDRESS(185,5,,,"MATCHS"))),,,,,)</f>
        <v>0</v>
      </c>
      <c r="I100" s="127">
        <f ca="1">SUM(,,IF(IFERROR(FIND("--",INDIRECT(ADDRESS(36,3,,,"MATCHS"))),FALSE),RIGHT(INDIRECT(ADDRESS(36,3,,,"MATCHS")), FIND("--",INDIRECT(ADDRESS(36,3,,,"MATCHS")),1)),INDIRECT(ADDRESS(36,3,,,"MATCHS"))),,,,IF(IFERROR(FIND("--",INDIRECT(ADDRESS(75,5,,,"MATCHS"))),FALSE),RIGHT(INDIRECT(ADDRESS(75,5,,,"MATCHS")), FIND("--",INDIRECT(ADDRESS(75,5,,,"MATCHS")),1)),INDIRECT(ADDRESS(75,5,,,"MATCHS"))),,,IF(IFERROR(FIND("--",INDIRECT(ADDRESS(112,5,,,"MATCHS"))),FALSE),RIGHT(INDIRECT(ADDRESS(112,5,,,"MATCHS")), FIND("--",INDIRECT(ADDRESS(112,5,,,"MATCHS")),1)),INDIRECT(ADDRESS(112,5,,,"MATCHS"))),,,IF(IFERROR(FIND("--",INDIRECT(ADDRESS(147,3,,,"MATCHS"))),FALSE),RIGHT(INDIRECT(ADDRESS(147,3,,,"MATCHS")), FIND("--",INDIRECT(ADDRESS(147,3,,,"MATCHS")),1)),INDIRECT(ADDRESS(147,3,,,"MATCHS"))),,,IF(IFERROR(FIND("--",INDIRECT(ADDRESS(185,3,,,"MATCHS"))),FALSE),RIGHT(INDIRECT(ADDRESS(185,3,,,"MATCHS")), FIND("--",INDIRECT(ADDRESS(185,3,,,"MATCHS")),1)),INDIRECT(ADDRESS(185,3,,,"MATCHS"))),,,,,)</f>
        <v>0</v>
      </c>
      <c r="J100" s="127">
        <f ca="1">H100 - I100</f>
        <v>0</v>
      </c>
      <c r="K100" s="127">
        <v>0</v>
      </c>
      <c r="L100" s="127">
        <v>4</v>
      </c>
      <c r="M100" s="127"/>
      <c r="N100" s="115" t="str">
        <f>M100 &amp; "SH"</f>
        <v>SH</v>
      </c>
    </row>
    <row r="101" spans="1:14" ht="15.75" x14ac:dyDescent="0.25">
      <c r="A101" s="126"/>
      <c r="B101" s="127">
        <v>5</v>
      </c>
      <c r="C101" s="127" t="s">
        <v>134</v>
      </c>
      <c r="D101" s="127" t="str">
        <f>INSCRIPTS!C81</f>
        <v>5J</v>
      </c>
      <c r="E101" s="134">
        <f ca="1">SUM(,,,IF(INDIRECT(ADDRESS(38,3,,,"MATCHS"))&gt;INDIRECT(ADDRESS(38,5,,,"MATCHS")),1,0),,,IF(INDIRECT(ADDRESS(74,5,,,"MATCHS"))&gt;INDIRECT(ADDRESS(74,3,,,"MATCHS")),1,0),,,IF(INDIRECT(ADDRESS(112,5,,,"MATCHS"))&gt;INDIRECT(ADDRESS(112,3,,,"MATCHS")),1,0),,,IF(INDIRECT(ADDRESS(149,5,,,"MATCHS"))&gt;INDIRECT(ADDRESS(149,3,,,"MATCHS")),1,0),,,IF(INDIRECT(ADDRESS(184,5,,,"MATCHS"))&gt;INDIRECT(ADDRESS(184,3,,,"MATCHS")),1,0),,,,,) + 0.01 * K101</f>
        <v>0</v>
      </c>
      <c r="F101" s="127">
        <f ca="1">SUM(,,,IF(INDIRECT(ADDRESS(38,3,,,"MATCHS"))&lt;INDIRECT(ADDRESS(38,5,,,"MATCHS")),1,0),,,IF(INDIRECT(ADDRESS(74,5,,,"MATCHS"))&lt;INDIRECT(ADDRESS(74,3,,,"MATCHS")),1,0),,,IF(INDIRECT(ADDRESS(112,5,,,"MATCHS"))&lt;INDIRECT(ADDRESS(112,3,,,"MATCHS")),1,0),,,IF(INDIRECT(ADDRESS(149,5,,,"MATCHS"))&lt;INDIRECT(ADDRESS(149,3,,,"MATCHS")),1,0),,,IF(INDIRECT(ADDRESS(184,5,,,"MATCHS"))&lt;INDIRECT(ADDRESS(184,3,,,"MATCHS")),1,0),,,,,)</f>
        <v>0</v>
      </c>
      <c r="G101" s="127"/>
      <c r="H101" s="127">
        <f ca="1">SUM(,,,IF(IFERROR(FIND("--",INDIRECT(ADDRESS(38,3,,,"MATCHS"))),FALSE),RIGHT(INDIRECT(ADDRESS(38,3,,,"MATCHS")), FIND("--",INDIRECT(ADDRESS(38,3,,,"MATCHS")),1)),INDIRECT(ADDRESS(38,3,,,"MATCHS"))),,,IF(IFERROR(FIND("--",INDIRECT(ADDRESS(74,5,,,"MATCHS"))),FALSE),RIGHT(INDIRECT(ADDRESS(74,5,,,"MATCHS")), FIND("--",INDIRECT(ADDRESS(74,5,,,"MATCHS")),1)),INDIRECT(ADDRESS(74,5,,,"MATCHS"))),,,IF(IFERROR(FIND("--",INDIRECT(ADDRESS(112,5,,,"MATCHS"))),FALSE),RIGHT(INDIRECT(ADDRESS(112,5,,,"MATCHS")), FIND("--",INDIRECT(ADDRESS(112,5,,,"MATCHS")),1)),INDIRECT(ADDRESS(112,5,,,"MATCHS"))),,,IF(IFERROR(FIND("--",INDIRECT(ADDRESS(149,5,,,"MATCHS"))),FALSE),RIGHT(INDIRECT(ADDRESS(149,5,,,"MATCHS")), FIND("--",INDIRECT(ADDRESS(149,5,,,"MATCHS")),1)),INDIRECT(ADDRESS(149,5,,,"MATCHS"))),,,IF(IFERROR(FIND("--",INDIRECT(ADDRESS(184,5,,,"MATCHS"))),FALSE),RIGHT(INDIRECT(ADDRESS(184,5,,,"MATCHS")), FIND("--",INDIRECT(ADDRESS(184,5,,,"MATCHS")),1)),INDIRECT(ADDRESS(184,5,,,"MATCHS"))),,,,,)</f>
        <v>0</v>
      </c>
      <c r="I101" s="127">
        <f ca="1">SUM(,,,IF(IFERROR(FIND("--",INDIRECT(ADDRESS(38,5,,,"MATCHS"))),FALSE),RIGHT(INDIRECT(ADDRESS(38,5,,,"MATCHS")), FIND("--",INDIRECT(ADDRESS(38,5,,,"MATCHS")),1)),INDIRECT(ADDRESS(38,5,,,"MATCHS"))),,,IF(IFERROR(FIND("--",INDIRECT(ADDRESS(74,3,,,"MATCHS"))),FALSE),RIGHT(INDIRECT(ADDRESS(74,3,,,"MATCHS")), FIND("--",INDIRECT(ADDRESS(74,3,,,"MATCHS")),1)),INDIRECT(ADDRESS(74,3,,,"MATCHS"))),,,IF(IFERROR(FIND("--",INDIRECT(ADDRESS(112,3,,,"MATCHS"))),FALSE),RIGHT(INDIRECT(ADDRESS(112,3,,,"MATCHS")), FIND("--",INDIRECT(ADDRESS(112,3,,,"MATCHS")),1)),INDIRECT(ADDRESS(112,3,,,"MATCHS"))),,,IF(IFERROR(FIND("--",INDIRECT(ADDRESS(149,3,,,"MATCHS"))),FALSE),RIGHT(INDIRECT(ADDRESS(149,3,,,"MATCHS")), FIND("--",INDIRECT(ADDRESS(149,3,,,"MATCHS")),1)),INDIRECT(ADDRESS(149,3,,,"MATCHS"))),,,IF(IFERROR(FIND("--",INDIRECT(ADDRESS(184,3,,,"MATCHS"))),FALSE),RIGHT(INDIRECT(ADDRESS(184,3,,,"MATCHS")), FIND("--",INDIRECT(ADDRESS(184,3,,,"MATCHS")),1)),INDIRECT(ADDRESS(184,3,,,"MATCHS"))),,,,,)</f>
        <v>0</v>
      </c>
      <c r="J101" s="127">
        <f ca="1">H101 - I101</f>
        <v>0</v>
      </c>
      <c r="K101" s="127">
        <v>0</v>
      </c>
      <c r="L101" s="127">
        <v>5</v>
      </c>
      <c r="M101" s="127"/>
      <c r="N101" s="115" t="str">
        <f>M101 &amp; "SH"</f>
        <v>SH</v>
      </c>
    </row>
    <row r="102" spans="1:14" ht="15.75" x14ac:dyDescent="0.25">
      <c r="A102" s="126"/>
      <c r="B102" s="127">
        <v>6</v>
      </c>
      <c r="C102" s="127" t="s">
        <v>135</v>
      </c>
      <c r="D102" s="127" t="str">
        <f>INSCRIPTS!C82</f>
        <v>6J</v>
      </c>
      <c r="E102" s="134">
        <f ca="1">SUM(,,,IF(INDIRECT(ADDRESS(38,5,,,"MATCHS"))&gt;INDIRECT(ADDRESS(38,3,,,"MATCHS")),1,0),,,IF(INDIRECT(ADDRESS(75,5,,,"MATCHS"))&gt;INDIRECT(ADDRESS(75,3,,,"MATCHS")),1,0),,,IF(INDIRECT(ADDRESS(110,5,,,"MATCHS"))&gt;INDIRECT(ADDRESS(110,3,,,"MATCHS")),1,0),,,IF(INDIRECT(ADDRESS(148,5,,,"MATCHS"))&gt;INDIRECT(ADDRESS(148,3,,,"MATCHS")),1,0),,,IF(INDIRECT(ADDRESS(186,5,,,"MATCHS"))&gt;INDIRECT(ADDRESS(186,3,,,"MATCHS")),1,0),,,,,) + 0.01 * K102</f>
        <v>0</v>
      </c>
      <c r="F102" s="127">
        <f ca="1">SUM(,,,IF(INDIRECT(ADDRESS(38,5,,,"MATCHS"))&lt;INDIRECT(ADDRESS(38,3,,,"MATCHS")),1,0),,,IF(INDIRECT(ADDRESS(75,5,,,"MATCHS"))&lt;INDIRECT(ADDRESS(75,3,,,"MATCHS")),1,0),,,IF(INDIRECT(ADDRESS(110,5,,,"MATCHS"))&lt;INDIRECT(ADDRESS(110,3,,,"MATCHS")),1,0),,,IF(INDIRECT(ADDRESS(148,5,,,"MATCHS"))&lt;INDIRECT(ADDRESS(148,3,,,"MATCHS")),1,0),,,IF(INDIRECT(ADDRESS(186,5,,,"MATCHS"))&lt;INDIRECT(ADDRESS(186,3,,,"MATCHS")),1,0),,,,,)</f>
        <v>0</v>
      </c>
      <c r="G102" s="127"/>
      <c r="H102" s="127">
        <f ca="1">SUM(,,,IF(IFERROR(FIND("--",INDIRECT(ADDRESS(38,5,,,"MATCHS"))),FALSE),RIGHT(INDIRECT(ADDRESS(38,5,,,"MATCHS")), FIND("--",INDIRECT(ADDRESS(38,5,,,"MATCHS")),1)),INDIRECT(ADDRESS(38,5,,,"MATCHS"))),,,IF(IFERROR(FIND("--",INDIRECT(ADDRESS(75,5,,,"MATCHS"))),FALSE),RIGHT(INDIRECT(ADDRESS(75,5,,,"MATCHS")), FIND("--",INDIRECT(ADDRESS(75,5,,,"MATCHS")),1)),INDIRECT(ADDRESS(75,5,,,"MATCHS"))),,,IF(IFERROR(FIND("--",INDIRECT(ADDRESS(110,5,,,"MATCHS"))),FALSE),RIGHT(INDIRECT(ADDRESS(110,5,,,"MATCHS")), FIND("--",INDIRECT(ADDRESS(110,5,,,"MATCHS")),1)),INDIRECT(ADDRESS(110,5,,,"MATCHS"))),,,IF(IFERROR(FIND("--",INDIRECT(ADDRESS(148,5,,,"MATCHS"))),FALSE),RIGHT(INDIRECT(ADDRESS(148,5,,,"MATCHS")), FIND("--",INDIRECT(ADDRESS(148,5,,,"MATCHS")),1)),INDIRECT(ADDRESS(148,5,,,"MATCHS"))),,,IF(IFERROR(FIND("--",INDIRECT(ADDRESS(186,5,,,"MATCHS"))),FALSE),RIGHT(INDIRECT(ADDRESS(186,5,,,"MATCHS")), FIND("--",INDIRECT(ADDRESS(186,5,,,"MATCHS")),1)),INDIRECT(ADDRESS(186,5,,,"MATCHS"))),,,,,)</f>
        <v>0</v>
      </c>
      <c r="I102" s="127">
        <f ca="1">SUM(,,,IF(IFERROR(FIND("--",INDIRECT(ADDRESS(38,3,,,"MATCHS"))),FALSE),RIGHT(INDIRECT(ADDRESS(38,3,,,"MATCHS")), FIND("--",INDIRECT(ADDRESS(38,3,,,"MATCHS")),1)),INDIRECT(ADDRESS(38,3,,,"MATCHS"))),,,IF(IFERROR(FIND("--",INDIRECT(ADDRESS(75,3,,,"MATCHS"))),FALSE),RIGHT(INDIRECT(ADDRESS(75,3,,,"MATCHS")), FIND("--",INDIRECT(ADDRESS(75,3,,,"MATCHS")),1)),INDIRECT(ADDRESS(75,3,,,"MATCHS"))),,,IF(IFERROR(FIND("--",INDIRECT(ADDRESS(110,3,,,"MATCHS"))),FALSE),RIGHT(INDIRECT(ADDRESS(110,3,,,"MATCHS")), FIND("--",INDIRECT(ADDRESS(110,3,,,"MATCHS")),1)),INDIRECT(ADDRESS(110,3,,,"MATCHS"))),,,IF(IFERROR(FIND("--",INDIRECT(ADDRESS(148,3,,,"MATCHS"))),FALSE),RIGHT(INDIRECT(ADDRESS(148,3,,,"MATCHS")), FIND("--",INDIRECT(ADDRESS(148,3,,,"MATCHS")),1)),INDIRECT(ADDRESS(148,3,,,"MATCHS"))),,,IF(IFERROR(FIND("--",INDIRECT(ADDRESS(186,3,,,"MATCHS"))),FALSE),RIGHT(INDIRECT(ADDRESS(186,3,,,"MATCHS")), FIND("--",INDIRECT(ADDRESS(186,3,,,"MATCHS")),1)),INDIRECT(ADDRESS(186,3,,,"MATCHS"))),,,,,)</f>
        <v>0</v>
      </c>
      <c r="J102" s="127">
        <f ca="1">H102 - I102</f>
        <v>0</v>
      </c>
      <c r="K102" s="127">
        <v>0</v>
      </c>
      <c r="L102" s="127">
        <v>6</v>
      </c>
      <c r="M102" s="127"/>
      <c r="N102" s="115" t="str">
        <f>M102 &amp; "SH"</f>
        <v>SH</v>
      </c>
    </row>
  </sheetData>
  <mergeCells count="10">
    <mergeCell ref="A68:A73"/>
    <mergeCell ref="A77:A83"/>
    <mergeCell ref="A87:A93"/>
    <mergeCell ref="A97:A102"/>
    <mergeCell ref="A4:A11"/>
    <mergeCell ref="A15:A22"/>
    <mergeCell ref="A26:A33"/>
    <mergeCell ref="A37:A44"/>
    <mergeCell ref="A48:A54"/>
    <mergeCell ref="A58:A64"/>
  </mergeCells>
  <dataValidations count="2">
    <dataValidation type="whole" allowBlank="1" showErrorMessage="1" errorTitle="ATTENTION" error="NOMBRE ENTIER UNIQUEMENT_x000a_COMPRIS ENTRE --&gt; 1 ET 40" sqref="M1:M1048576" xr:uid="{63B57D12-1231-49EC-B4B6-3F4FE6C5FB95}">
      <formula1>1</formula1>
      <formula2>40</formula2>
    </dataValidation>
    <dataValidation type="whole" operator="greaterThanOrEqual" allowBlank="1" showErrorMessage="1" errorTitle="ATTENTION" error="NOMBRE ENTIER UNIQUEMENT_x000a_MINIMUM --&gt; 0" sqref="J1:J1048576" xr:uid="{FC7090C7-222E-43D9-87B3-17B7ACD78D53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3" name="TRIPOULE">
              <controlPr defaultSize="0" print="0" autoFill="0" autoPict="0" macro="[0]!tp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4" name="ValiderOrdrePhaseFinale">
              <controlPr defaultSize="0" print="0" autoFill="0" autoPict="0" macro="[0]!listmatchph14ind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1" r:id="rId5" name="C4PPClassement">
              <controlPr defaultSize="0" print="0" autoFill="0" autoPict="0" macro="[0]!'copyimage &quot;A2:J102&quot;'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5CBAE-4980-4E33-BA69-334487DA80D7}">
  <dimension ref="B1:O168"/>
  <sheetViews>
    <sheetView workbookViewId="0"/>
  </sheetViews>
  <sheetFormatPr baseColWidth="10" defaultRowHeight="15" x14ac:dyDescent="0.25"/>
  <cols>
    <col min="1" max="1" width="11.42578125" style="135"/>
    <col min="2" max="2" width="4.28515625" style="140" customWidth="1"/>
    <col min="3" max="3" width="22.85546875" style="135" customWidth="1"/>
    <col min="4" max="4" width="2.85546875" style="135" customWidth="1"/>
    <col min="5" max="5" width="4.28515625" style="140" customWidth="1"/>
    <col min="6" max="6" width="22.85546875" style="135" customWidth="1"/>
    <col min="7" max="7" width="2.85546875" style="135" customWidth="1"/>
    <col min="8" max="8" width="22.85546875" style="135" customWidth="1"/>
    <col min="9" max="9" width="4.28515625" style="140" customWidth="1"/>
    <col min="10" max="10" width="2.85546875" style="135" customWidth="1"/>
    <col min="11" max="11" width="22.85546875" style="135" customWidth="1"/>
    <col min="12" max="12" width="4.28515625" style="140" customWidth="1"/>
    <col min="13" max="13" width="2.85546875" style="135" customWidth="1"/>
    <col min="14" max="14" width="22.85546875" style="135" customWidth="1"/>
    <col min="15" max="15" width="4.28515625" style="140" customWidth="1"/>
    <col min="16" max="16384" width="11.42578125" style="135"/>
  </cols>
  <sheetData>
    <row r="1" spans="2:15" x14ac:dyDescent="0.25">
      <c r="H1" s="135" t="s">
        <v>189</v>
      </c>
    </row>
    <row r="2" spans="2:15" x14ac:dyDescent="0.25">
      <c r="H2" s="135" t="s">
        <v>192</v>
      </c>
    </row>
    <row r="3" spans="2:15" ht="15.75" thickBot="1" x14ac:dyDescent="0.3">
      <c r="H3" s="135" t="s">
        <v>193</v>
      </c>
    </row>
    <row r="4" spans="2:15" x14ac:dyDescent="0.25">
      <c r="H4" s="136"/>
      <c r="I4" s="143"/>
    </row>
    <row r="5" spans="2:15" ht="15.75" thickBot="1" x14ac:dyDescent="0.3">
      <c r="F5" s="135" t="s">
        <v>199</v>
      </c>
      <c r="H5" s="138"/>
      <c r="I5" s="144"/>
      <c r="K5" s="135" t="s">
        <v>196</v>
      </c>
    </row>
    <row r="6" spans="2:15" x14ac:dyDescent="0.25">
      <c r="C6" s="135" t="s">
        <v>203</v>
      </c>
      <c r="E6" s="141"/>
      <c r="F6" s="137" t="str">
        <f>IF(OR(I4="",I5=""),"",IF(I4&lt;I5,H4,H5))</f>
        <v/>
      </c>
      <c r="K6" s="136" t="str">
        <f>IF(OR(I4="",I5=""),"",IF(I4&gt;I5,H4,H5))</f>
        <v/>
      </c>
      <c r="L6" s="143"/>
      <c r="N6" s="135" t="s">
        <v>200</v>
      </c>
    </row>
    <row r="7" spans="2:15" ht="15.75" thickBot="1" x14ac:dyDescent="0.3">
      <c r="C7" s="135" t="s">
        <v>209</v>
      </c>
      <c r="E7" s="142"/>
      <c r="F7" s="139" t="str">
        <f>IF(OR(I8="",I9=""),"",IF(I8&lt;I9,H8,H9))</f>
        <v/>
      </c>
      <c r="H7" s="135" t="s">
        <v>194</v>
      </c>
      <c r="K7" s="138" t="str">
        <f>IF(OR(I8="",I9=""),"",IF(I8&gt;I9,H8,H9))</f>
        <v/>
      </c>
      <c r="L7" s="144"/>
      <c r="N7" s="135" t="s">
        <v>207</v>
      </c>
    </row>
    <row r="8" spans="2:15" x14ac:dyDescent="0.25">
      <c r="B8" s="141"/>
      <c r="C8" s="137" t="str">
        <f>IF(OR(E6="",E7=""),"",IF(E6&gt;E7,F6,F7))</f>
        <v/>
      </c>
      <c r="H8" s="136"/>
      <c r="I8" s="143"/>
      <c r="N8" s="136" t="str">
        <f>IF(OR(L6="",L7=""),"",IF(L6&gt;L7,K6,K7))</f>
        <v/>
      </c>
      <c r="O8" s="143"/>
    </row>
    <row r="9" spans="2:15" ht="15.75" thickBot="1" x14ac:dyDescent="0.3">
      <c r="B9" s="142"/>
      <c r="C9" s="139" t="str">
        <f>IF(OR(E14="",E15=""),"",IF(E14&gt;E15,F14,F15))</f>
        <v/>
      </c>
      <c r="H9" s="138"/>
      <c r="I9" s="144"/>
      <c r="N9" s="138" t="str">
        <f>IF(OR(L14="",L15=""),"",IF(L14&gt;L15,K14,K15))</f>
        <v/>
      </c>
      <c r="O9" s="144"/>
    </row>
    <row r="10" spans="2:15" x14ac:dyDescent="0.25">
      <c r="C10" s="135" t="s">
        <v>204</v>
      </c>
      <c r="N10" s="135" t="s">
        <v>201</v>
      </c>
    </row>
    <row r="11" spans="2:15" ht="15.75" thickBot="1" x14ac:dyDescent="0.3">
      <c r="C11" s="135" t="s">
        <v>210</v>
      </c>
      <c r="H11" s="135" t="s">
        <v>195</v>
      </c>
      <c r="N11" s="135" t="s">
        <v>208</v>
      </c>
    </row>
    <row r="12" spans="2:15" x14ac:dyDescent="0.25">
      <c r="B12" s="141"/>
      <c r="C12" s="137" t="str">
        <f>IF(OR(E6="",E7=""),"",IF(E6&lt;E7,F6,F7))</f>
        <v/>
      </c>
      <c r="H12" s="136"/>
      <c r="I12" s="143"/>
      <c r="N12" s="136" t="str">
        <f>IF(OR(L6="",L7=""),"",IF(L6&lt;L7,K6,K7))</f>
        <v/>
      </c>
      <c r="O12" s="143"/>
    </row>
    <row r="13" spans="2:15" ht="15.75" thickBot="1" x14ac:dyDescent="0.3">
      <c r="B13" s="142"/>
      <c r="C13" s="139" t="str">
        <f>IF(OR(E14="",E15=""),"",IF(E14&lt;E15,F14,F15))</f>
        <v/>
      </c>
      <c r="F13" s="135" t="s">
        <v>200</v>
      </c>
      <c r="H13" s="138"/>
      <c r="I13" s="144"/>
      <c r="K13" s="135" t="s">
        <v>198</v>
      </c>
      <c r="N13" s="138" t="str">
        <f>IF(OR(L14="",L15=""),"",IF(L14&lt;L15,K14,K15))</f>
        <v/>
      </c>
      <c r="O13" s="144"/>
    </row>
    <row r="14" spans="2:15" x14ac:dyDescent="0.25">
      <c r="E14" s="141"/>
      <c r="F14" s="137" t="str">
        <f>IF(OR(I12="",I13=""),"",IF(I12&lt;I13,H12,H13))</f>
        <v/>
      </c>
      <c r="K14" s="136" t="str">
        <f>IF(OR(I12="",I13=""),"",IF(I12&gt;I13,H12,H13))</f>
        <v/>
      </c>
      <c r="L14" s="143"/>
    </row>
    <row r="15" spans="2:15" ht="15.75" thickBot="1" x14ac:dyDescent="0.3">
      <c r="E15" s="142"/>
      <c r="F15" s="139" t="str">
        <f>IF(OR(I16="",I17=""),"",IF(I16&lt;I17,H16,H17))</f>
        <v/>
      </c>
      <c r="H15" s="135" t="s">
        <v>196</v>
      </c>
      <c r="K15" s="138" t="str">
        <f>IF(OR(I16="",I17=""),"",IF(I16&gt;I17,H16,H17))</f>
        <v/>
      </c>
      <c r="L15" s="144"/>
    </row>
    <row r="16" spans="2:15" x14ac:dyDescent="0.25">
      <c r="H16" s="136"/>
      <c r="I16" s="143"/>
    </row>
    <row r="17" spans="2:15" ht="15.75" thickBot="1" x14ac:dyDescent="0.3">
      <c r="H17" s="138"/>
      <c r="I17" s="144"/>
    </row>
    <row r="19" spans="2:15" x14ac:dyDescent="0.25">
      <c r="H19" s="135" t="s">
        <v>197</v>
      </c>
    </row>
    <row r="20" spans="2:15" ht="15.75" thickBot="1" x14ac:dyDescent="0.3">
      <c r="H20" s="135" t="s">
        <v>198</v>
      </c>
    </row>
    <row r="21" spans="2:15" x14ac:dyDescent="0.25">
      <c r="H21" s="136"/>
      <c r="I21" s="143"/>
    </row>
    <row r="22" spans="2:15" ht="15.75" thickBot="1" x14ac:dyDescent="0.3">
      <c r="F22" s="135" t="s">
        <v>204</v>
      </c>
      <c r="H22" s="138"/>
      <c r="I22" s="144"/>
      <c r="K22" s="135" t="s">
        <v>201</v>
      </c>
    </row>
    <row r="23" spans="2:15" x14ac:dyDescent="0.25">
      <c r="C23" s="135" t="s">
        <v>194</v>
      </c>
      <c r="E23" s="141"/>
      <c r="F23" s="137" t="str">
        <f>IF(OR(I21="",I22=""),"",IF(I21&lt;I22,H21,H22))</f>
        <v/>
      </c>
      <c r="K23" s="136" t="str">
        <f>IF(OR(I21="",I22=""),"",IF(I21&gt;I22,H21,H22))</f>
        <v/>
      </c>
      <c r="L23" s="143"/>
      <c r="N23" s="135" t="s">
        <v>205</v>
      </c>
    </row>
    <row r="24" spans="2:15" ht="15.75" thickBot="1" x14ac:dyDescent="0.3">
      <c r="C24" s="135" t="s">
        <v>213</v>
      </c>
      <c r="E24" s="142"/>
      <c r="F24" s="139" t="str">
        <f>IF(OR(I25="",I26=""),"",IF(I25&lt;I26,H25,H26))</f>
        <v/>
      </c>
      <c r="H24" s="135" t="s">
        <v>199</v>
      </c>
      <c r="K24" s="138" t="str">
        <f>IF(OR(I25="",I26=""),"",IF(I25&gt;I26,H25,H26))</f>
        <v/>
      </c>
      <c r="L24" s="144"/>
      <c r="N24" s="135" t="s">
        <v>211</v>
      </c>
    </row>
    <row r="25" spans="2:15" x14ac:dyDescent="0.25">
      <c r="B25" s="141"/>
      <c r="C25" s="137" t="str">
        <f>IF(OR(E23="",E24=""),"",IF(E23&gt;E24,F23,F24))</f>
        <v/>
      </c>
      <c r="H25" s="136"/>
      <c r="I25" s="143"/>
      <c r="N25" s="136" t="str">
        <f>IF(OR(L23="",L24=""),"",IF(L23&gt;L24,K23,K24))</f>
        <v/>
      </c>
      <c r="O25" s="143"/>
    </row>
    <row r="26" spans="2:15" ht="15.75" thickBot="1" x14ac:dyDescent="0.3">
      <c r="B26" s="142"/>
      <c r="C26" s="139" t="str">
        <f>IF(OR(E31="",E32=""),"",IF(E31&gt;E32,F31,F32))</f>
        <v/>
      </c>
      <c r="H26" s="138"/>
      <c r="I26" s="144"/>
      <c r="N26" s="138" t="str">
        <f>IF(OR(L31="",L32=""),"",IF(L31&gt;L32,K31,K32))</f>
        <v/>
      </c>
      <c r="O26" s="144"/>
    </row>
    <row r="27" spans="2:15" x14ac:dyDescent="0.25">
      <c r="C27" s="135" t="s">
        <v>195</v>
      </c>
      <c r="N27" s="135" t="s">
        <v>193</v>
      </c>
    </row>
    <row r="28" spans="2:15" ht="15.75" thickBot="1" x14ac:dyDescent="0.3">
      <c r="C28" s="135" t="s">
        <v>214</v>
      </c>
      <c r="H28" s="135" t="s">
        <v>200</v>
      </c>
      <c r="N28" s="135" t="s">
        <v>212</v>
      </c>
    </row>
    <row r="29" spans="2:15" x14ac:dyDescent="0.25">
      <c r="B29" s="141"/>
      <c r="C29" s="137" t="str">
        <f>IF(OR(E23="",E24=""),"",IF(E23&lt;E24,F23,F24))</f>
        <v/>
      </c>
      <c r="H29" s="136"/>
      <c r="I29" s="143"/>
      <c r="N29" s="136" t="str">
        <f>IF(OR(L23="",L24=""),"",IF(L23&lt;L24,K23,K24))</f>
        <v/>
      </c>
      <c r="O29" s="143"/>
    </row>
    <row r="30" spans="2:15" ht="15.75" thickBot="1" x14ac:dyDescent="0.3">
      <c r="B30" s="142"/>
      <c r="C30" s="139" t="str">
        <f>IF(OR(E31="",E32=""),"",IF(E31&lt;E32,F31,F32))</f>
        <v/>
      </c>
      <c r="F30" s="135" t="s">
        <v>205</v>
      </c>
      <c r="H30" s="138"/>
      <c r="I30" s="144"/>
      <c r="K30" s="135" t="s">
        <v>203</v>
      </c>
      <c r="N30" s="138" t="str">
        <f>IF(OR(L31="",L32=""),"",IF(L31&lt;L32,K31,K32))</f>
        <v/>
      </c>
      <c r="O30" s="144"/>
    </row>
    <row r="31" spans="2:15" x14ac:dyDescent="0.25">
      <c r="E31" s="141"/>
      <c r="F31" s="137" t="str">
        <f>IF(OR(I29="",I30=""),"",IF(I29&lt;I30,H29,H30))</f>
        <v/>
      </c>
      <c r="K31" s="136" t="str">
        <f>IF(OR(I29="",I30=""),"",IF(I29&gt;I30,H29,H30))</f>
        <v/>
      </c>
      <c r="L31" s="143"/>
    </row>
    <row r="32" spans="2:15" ht="15.75" thickBot="1" x14ac:dyDescent="0.3">
      <c r="E32" s="142"/>
      <c r="F32" s="139" t="str">
        <f>IF(OR(I33="",I34=""),"",IF(I33&lt;I34,H33,H34))</f>
        <v/>
      </c>
      <c r="H32" s="135" t="s">
        <v>201</v>
      </c>
      <c r="K32" s="138" t="str">
        <f>IF(OR(I33="",I34=""),"",IF(I33&gt;I34,H33,H34))</f>
        <v/>
      </c>
      <c r="L32" s="144"/>
    </row>
    <row r="33" spans="2:15" x14ac:dyDescent="0.25">
      <c r="H33" s="136"/>
      <c r="I33" s="143"/>
    </row>
    <row r="34" spans="2:15" ht="15.75" thickBot="1" x14ac:dyDescent="0.3">
      <c r="H34" s="138"/>
      <c r="I34" s="144"/>
    </row>
    <row r="36" spans="2:15" x14ac:dyDescent="0.25">
      <c r="H36" s="135" t="s">
        <v>202</v>
      </c>
    </row>
    <row r="37" spans="2:15" ht="15.75" thickBot="1" x14ac:dyDescent="0.3">
      <c r="H37" s="135" t="s">
        <v>203</v>
      </c>
    </row>
    <row r="38" spans="2:15" x14ac:dyDescent="0.25">
      <c r="H38" s="136"/>
      <c r="I38" s="143"/>
    </row>
    <row r="39" spans="2:15" ht="15.75" thickBot="1" x14ac:dyDescent="0.3">
      <c r="F39" s="135" t="s">
        <v>195</v>
      </c>
      <c r="H39" s="138"/>
      <c r="I39" s="144"/>
      <c r="K39" s="135" t="s">
        <v>193</v>
      </c>
    </row>
    <row r="40" spans="2:15" x14ac:dyDescent="0.25">
      <c r="C40" s="135" t="s">
        <v>199</v>
      </c>
      <c r="E40" s="141"/>
      <c r="F40" s="137" t="str">
        <f>IF(OR(I38="",I39=""),"",IF(I38&lt;I39,H38,H39))</f>
        <v/>
      </c>
      <c r="K40" s="136" t="str">
        <f>IF(OR(I38="",I39=""),"",IF(I38&gt;I39,H38,H39))</f>
        <v/>
      </c>
      <c r="L40" s="143"/>
      <c r="N40" s="135" t="s">
        <v>196</v>
      </c>
    </row>
    <row r="41" spans="2:15" ht="15.75" thickBot="1" x14ac:dyDescent="0.3">
      <c r="C41" s="135" t="s">
        <v>217</v>
      </c>
      <c r="E41" s="142"/>
      <c r="F41" s="139" t="str">
        <f>IF(OR(I42="",I43=""),"",IF(I42&lt;I43,H42,H43))</f>
        <v/>
      </c>
      <c r="H41" s="135" t="s">
        <v>204</v>
      </c>
      <c r="K41" s="138" t="str">
        <f>IF(OR(I42="",I43=""),"",IF(I42&gt;I43,H42,H43))</f>
        <v/>
      </c>
      <c r="L41" s="144"/>
      <c r="N41" s="135" t="s">
        <v>215</v>
      </c>
    </row>
    <row r="42" spans="2:15" x14ac:dyDescent="0.25">
      <c r="B42" s="141"/>
      <c r="C42" s="137" t="str">
        <f>IF(OR(E40="",E41=""),"",IF(E40&gt;E41,F40,F41))</f>
        <v/>
      </c>
      <c r="H42" s="136"/>
      <c r="I42" s="143"/>
      <c r="N42" s="136" t="str">
        <f>IF(OR(L40="",L41=""),"",IF(L40&gt;L41,K40,K41))</f>
        <v/>
      </c>
      <c r="O42" s="143"/>
    </row>
    <row r="43" spans="2:15" ht="15.75" thickBot="1" x14ac:dyDescent="0.3">
      <c r="B43" s="142"/>
      <c r="C43" s="139" t="str">
        <f>IF(OR(E48="",E49=""),"",IF(E48&gt;E49,F48,F49))</f>
        <v/>
      </c>
      <c r="H43" s="138"/>
      <c r="I43" s="144"/>
      <c r="N43" s="138" t="str">
        <f>IF(OR(L48="",L49=""),"",IF(L48&gt;L49,K48,K49))</f>
        <v/>
      </c>
      <c r="O43" s="144"/>
    </row>
    <row r="44" spans="2:15" x14ac:dyDescent="0.25">
      <c r="C44" s="135" t="s">
        <v>200</v>
      </c>
      <c r="N44" s="135" t="s">
        <v>198</v>
      </c>
    </row>
    <row r="45" spans="2:15" ht="15.75" thickBot="1" x14ac:dyDescent="0.3">
      <c r="C45" s="135" t="s">
        <v>218</v>
      </c>
      <c r="H45" s="135" t="s">
        <v>205</v>
      </c>
      <c r="N45" s="135" t="s">
        <v>216</v>
      </c>
    </row>
    <row r="46" spans="2:15" x14ac:dyDescent="0.25">
      <c r="B46" s="141"/>
      <c r="C46" s="137" t="str">
        <f>IF(OR(E40="",E41=""),"",IF(E40&lt;E41,F40,F41))</f>
        <v/>
      </c>
      <c r="H46" s="136"/>
      <c r="I46" s="143"/>
      <c r="N46" s="136" t="str">
        <f>IF(OR(L40="",L41=""),"",IF(L40&lt;L41,K40,K41))</f>
        <v/>
      </c>
      <c r="O46" s="143"/>
    </row>
    <row r="47" spans="2:15" ht="15.75" thickBot="1" x14ac:dyDescent="0.3">
      <c r="B47" s="142"/>
      <c r="C47" s="139" t="str">
        <f>IF(OR(E48="",E49=""),"",IF(E48&lt;E49,F48,F49))</f>
        <v/>
      </c>
      <c r="F47" s="135" t="s">
        <v>196</v>
      </c>
      <c r="H47" s="138"/>
      <c r="I47" s="144"/>
      <c r="K47" s="135" t="s">
        <v>194</v>
      </c>
      <c r="N47" s="138" t="str">
        <f>IF(OR(L48="",L49=""),"",IF(L48&lt;L49,K48,K49))</f>
        <v/>
      </c>
      <c r="O47" s="144"/>
    </row>
    <row r="48" spans="2:15" x14ac:dyDescent="0.25">
      <c r="E48" s="141"/>
      <c r="F48" s="137" t="str">
        <f>IF(OR(I46="",I47=""),"",IF(I46&lt;I47,H46,H47))</f>
        <v/>
      </c>
      <c r="K48" s="136" t="str">
        <f>IF(OR(I46="",I47=""),"",IF(I46&gt;I47,H46,H47))</f>
        <v/>
      </c>
      <c r="L48" s="143"/>
    </row>
    <row r="49" spans="2:15" ht="15.75" thickBot="1" x14ac:dyDescent="0.3">
      <c r="E49" s="142"/>
      <c r="F49" s="139" t="str">
        <f>IF(OR(I50="",I51=""),"",IF(I50&lt;I51,H50,H51))</f>
        <v/>
      </c>
      <c r="H49" s="135" t="s">
        <v>193</v>
      </c>
      <c r="K49" s="138" t="str">
        <f>IF(OR(I50="",I51=""),"",IF(I50&gt;I51,H50,H51))</f>
        <v/>
      </c>
      <c r="L49" s="144"/>
    </row>
    <row r="50" spans="2:15" x14ac:dyDescent="0.25">
      <c r="H50" s="136"/>
      <c r="I50" s="143"/>
    </row>
    <row r="51" spans="2:15" ht="15.75" thickBot="1" x14ac:dyDescent="0.3">
      <c r="H51" s="138"/>
      <c r="I51" s="144"/>
    </row>
    <row r="53" spans="2:15" x14ac:dyDescent="0.25">
      <c r="H53" s="135" t="s">
        <v>206</v>
      </c>
    </row>
    <row r="54" spans="2:15" ht="15.75" thickBot="1" x14ac:dyDescent="0.3">
      <c r="H54" s="135" t="s">
        <v>194</v>
      </c>
    </row>
    <row r="55" spans="2:15" x14ac:dyDescent="0.25">
      <c r="H55" s="136"/>
      <c r="I55" s="143"/>
    </row>
    <row r="56" spans="2:15" ht="15.75" thickBot="1" x14ac:dyDescent="0.3">
      <c r="F56" s="135" t="s">
        <v>200</v>
      </c>
      <c r="H56" s="138"/>
      <c r="I56" s="144"/>
      <c r="K56" s="135" t="s">
        <v>198</v>
      </c>
    </row>
    <row r="57" spans="2:15" x14ac:dyDescent="0.25">
      <c r="C57" s="135" t="s">
        <v>204</v>
      </c>
      <c r="E57" s="141"/>
      <c r="F57" s="137" t="str">
        <f>IF(OR(I55="",I56=""),"",IF(I55&lt;I56,H55,H56))</f>
        <v/>
      </c>
      <c r="K57" s="136" t="str">
        <f>IF(OR(I55="",I56=""),"",IF(I55&gt;I56,H55,H56))</f>
        <v/>
      </c>
      <c r="L57" s="143"/>
      <c r="N57" s="135" t="s">
        <v>201</v>
      </c>
    </row>
    <row r="58" spans="2:15" ht="15.75" thickBot="1" x14ac:dyDescent="0.3">
      <c r="C58" s="135" t="s">
        <v>221</v>
      </c>
      <c r="E58" s="142"/>
      <c r="F58" s="139" t="str">
        <f>IF(OR(I59="",I60=""),"",IF(I59&lt;I60,H59,H60))</f>
        <v/>
      </c>
      <c r="H58" s="135" t="s">
        <v>195</v>
      </c>
      <c r="K58" s="138" t="str">
        <f>IF(OR(I59="",I60=""),"",IF(I59&gt;I60,H59,H60))</f>
        <v/>
      </c>
      <c r="L58" s="144"/>
      <c r="N58" s="135" t="s">
        <v>219</v>
      </c>
    </row>
    <row r="59" spans="2:15" x14ac:dyDescent="0.25">
      <c r="B59" s="141"/>
      <c r="C59" s="137" t="str">
        <f>IF(OR(E57="",E58=""),"",IF(E57&gt;E58,F57,F58))</f>
        <v/>
      </c>
      <c r="H59" s="136"/>
      <c r="I59" s="143"/>
      <c r="N59" s="136" t="str">
        <f>IF(OR(L57="",L58=""),"",IF(L57&gt;L58,K57,K58))</f>
        <v/>
      </c>
      <c r="O59" s="143"/>
    </row>
    <row r="60" spans="2:15" ht="15.75" thickBot="1" x14ac:dyDescent="0.3">
      <c r="B60" s="142"/>
      <c r="C60" s="139" t="str">
        <f>IF(OR(E65="",E66=""),"",IF(E65&gt;E66,F65,F66))</f>
        <v/>
      </c>
      <c r="H60" s="138"/>
      <c r="I60" s="144"/>
      <c r="N60" s="138" t="str">
        <f>IF(OR(L65="",L66=""),"",IF(L65&gt;L66,K65,K66))</f>
        <v/>
      </c>
      <c r="O60" s="144"/>
    </row>
    <row r="61" spans="2:15" x14ac:dyDescent="0.25">
      <c r="C61" s="135" t="s">
        <v>205</v>
      </c>
      <c r="N61" s="135" t="s">
        <v>203</v>
      </c>
    </row>
    <row r="62" spans="2:15" ht="15.75" thickBot="1" x14ac:dyDescent="0.3">
      <c r="C62" s="135" t="s">
        <v>222</v>
      </c>
      <c r="H62" s="135" t="s">
        <v>196</v>
      </c>
      <c r="N62" s="135" t="s">
        <v>220</v>
      </c>
    </row>
    <row r="63" spans="2:15" x14ac:dyDescent="0.25">
      <c r="B63" s="141"/>
      <c r="C63" s="137" t="str">
        <f>IF(OR(E57="",E58=""),"",IF(E57&lt;E58,F57,F58))</f>
        <v/>
      </c>
      <c r="H63" s="136"/>
      <c r="I63" s="143"/>
      <c r="N63" s="136" t="str">
        <f>IF(OR(L57="",L58=""),"",IF(L57&lt;L58,K57,K58))</f>
        <v/>
      </c>
      <c r="O63" s="143"/>
    </row>
    <row r="64" spans="2:15" ht="15.75" thickBot="1" x14ac:dyDescent="0.3">
      <c r="B64" s="142"/>
      <c r="C64" s="139" t="str">
        <f>IF(OR(E65="",E66=""),"",IF(E65&lt;E66,F65,F66))</f>
        <v/>
      </c>
      <c r="F64" s="135" t="s">
        <v>201</v>
      </c>
      <c r="H64" s="138"/>
      <c r="I64" s="144"/>
      <c r="K64" s="135" t="s">
        <v>199</v>
      </c>
      <c r="N64" s="138" t="str">
        <f>IF(OR(L65="",L66=""),"",IF(L65&lt;L66,K65,K66))</f>
        <v/>
      </c>
      <c r="O64" s="144"/>
    </row>
    <row r="65" spans="3:14" x14ac:dyDescent="0.25">
      <c r="E65" s="141"/>
      <c r="F65" s="137" t="str">
        <f>IF(OR(I63="",I64=""),"",IF(I63&lt;I64,H63,H64))</f>
        <v/>
      </c>
      <c r="K65" s="136" t="str">
        <f>IF(OR(I63="",I64=""),"",IF(I63&gt;I64,H63,H64))</f>
        <v/>
      </c>
      <c r="L65" s="143"/>
    </row>
    <row r="66" spans="3:14" ht="15.75" thickBot="1" x14ac:dyDescent="0.3">
      <c r="E66" s="142"/>
      <c r="F66" s="139" t="str">
        <f>IF(OR(I67="",I68=""),"",IF(I67&lt;I68,H67,H68))</f>
        <v/>
      </c>
      <c r="H66" s="135" t="s">
        <v>198</v>
      </c>
      <c r="K66" s="138" t="str">
        <f>IF(OR(I67="",I68=""),"",IF(I67&gt;I68,H67,H68))</f>
        <v/>
      </c>
      <c r="L66" s="144"/>
    </row>
    <row r="67" spans="3:14" x14ac:dyDescent="0.25">
      <c r="H67" s="136"/>
      <c r="I67" s="143"/>
    </row>
    <row r="68" spans="3:14" ht="15.75" thickBot="1" x14ac:dyDescent="0.3">
      <c r="H68" s="138"/>
      <c r="I68" s="144"/>
    </row>
    <row r="74" spans="3:14" x14ac:dyDescent="0.25">
      <c r="F74" s="135" t="str">
        <f>IF(OR(I72="",I73=""),"",IF(I72&lt;I73,H72,H73))</f>
        <v/>
      </c>
      <c r="K74" s="135" t="str">
        <f>IF(OR(I72="",I73=""),"",IF(I72&gt;I73,H72,H73))</f>
        <v/>
      </c>
    </row>
    <row r="75" spans="3:14" x14ac:dyDescent="0.25">
      <c r="F75" s="135" t="str">
        <f>IF(OR(I76="",I77=""),"",IF(I76&lt;I77,H76,H77))</f>
        <v/>
      </c>
      <c r="K75" s="135" t="str">
        <f>IF(OR(I76="",I77=""),"",IF(I76&gt;I77,H76,H77))</f>
        <v/>
      </c>
    </row>
    <row r="76" spans="3:14" x14ac:dyDescent="0.25">
      <c r="C76" s="135" t="str">
        <f>IF(OR(E74="",E75=""),"",IF(E74&gt;E75,F74,F75))</f>
        <v/>
      </c>
      <c r="N76" s="135" t="str">
        <f>IF(OR(L74="",L75=""),"",IF(L74&gt;L75,K74,K75))</f>
        <v/>
      </c>
    </row>
    <row r="77" spans="3:14" x14ac:dyDescent="0.25">
      <c r="C77" s="135" t="str">
        <f>IF(OR(E82="",E83=""),"",IF(E82&gt;E83,F82,F83))</f>
        <v/>
      </c>
      <c r="N77" s="135" t="str">
        <f>IF(OR(L82="",L83=""),"",IF(L82&gt;L83,K82,K83))</f>
        <v/>
      </c>
    </row>
    <row r="80" spans="3:14" x14ac:dyDescent="0.25">
      <c r="C80" s="135" t="str">
        <f>IF(OR(E74="",E75=""),"",IF(E74&lt;E75,F74,F75))</f>
        <v/>
      </c>
      <c r="N80" s="135" t="str">
        <f>IF(OR(L74="",L75=""),"",IF(L74&lt;L75,K74,K75))</f>
        <v/>
      </c>
    </row>
    <row r="81" spans="3:14" x14ac:dyDescent="0.25">
      <c r="C81" s="135" t="str">
        <f>IF(OR(E82="",E83=""),"",IF(E82&lt;E83,F82,F83))</f>
        <v/>
      </c>
      <c r="N81" s="135" t="str">
        <f>IF(OR(L82="",L83=""),"",IF(L82&lt;L83,K82,K83))</f>
        <v/>
      </c>
    </row>
    <row r="82" spans="3:14" x14ac:dyDescent="0.25">
      <c r="F82" s="135" t="str">
        <f>IF(OR(I80="",I81=""),"",IF(I80&lt;I81,H80,H81))</f>
        <v/>
      </c>
      <c r="K82" s="135" t="str">
        <f>IF(OR(I80="",I81=""),"",IF(I80&gt;I81,H80,H81))</f>
        <v/>
      </c>
    </row>
    <row r="83" spans="3:14" x14ac:dyDescent="0.25">
      <c r="F83" s="135" t="str">
        <f>IF(OR(I84="",I85=""),"",IF(I84&lt;I85,H84,H85))</f>
        <v/>
      </c>
      <c r="K83" s="135" t="str">
        <f>IF(OR(I84="",I85=""),"",IF(I84&gt;I85,H84,H85))</f>
        <v/>
      </c>
    </row>
    <row r="91" spans="3:14" x14ac:dyDescent="0.25">
      <c r="F91" s="135" t="str">
        <f>IF(OR(I89="",I90=""),"",IF(I89&lt;I90,H89,H90))</f>
        <v/>
      </c>
      <c r="K91" s="135" t="str">
        <f>IF(OR(I89="",I90=""),"",IF(I89&gt;I90,H89,H90))</f>
        <v/>
      </c>
    </row>
    <row r="92" spans="3:14" x14ac:dyDescent="0.25">
      <c r="F92" s="135" t="str">
        <f>IF(OR(I93="",I94=""),"",IF(I93&lt;I94,H93,H94))</f>
        <v/>
      </c>
      <c r="K92" s="135" t="str">
        <f>IF(OR(I93="",I94=""),"",IF(I93&gt;I94,H93,H94))</f>
        <v/>
      </c>
    </row>
    <row r="93" spans="3:14" x14ac:dyDescent="0.25">
      <c r="C93" s="135" t="str">
        <f>IF(OR(E91="",E92=""),"",IF(E91&gt;E92,F91,F92))</f>
        <v/>
      </c>
      <c r="N93" s="135" t="str">
        <f>IF(OR(L91="",L92=""),"",IF(L91&gt;L92,K91,K92))</f>
        <v/>
      </c>
    </row>
    <row r="94" spans="3:14" x14ac:dyDescent="0.25">
      <c r="C94" s="135" t="str">
        <f>IF(OR(E99="",E100=""),"",IF(E99&gt;E100,F99,F100))</f>
        <v/>
      </c>
      <c r="N94" s="135" t="str">
        <f>IF(OR(L99="",L100=""),"",IF(L99&gt;L100,K99,K100))</f>
        <v/>
      </c>
    </row>
    <row r="97" spans="3:14" x14ac:dyDescent="0.25">
      <c r="C97" s="135" t="str">
        <f>IF(OR(E91="",E92=""),"",IF(E91&lt;E92,F91,F92))</f>
        <v/>
      </c>
      <c r="N97" s="135" t="str">
        <f>IF(OR(L91="",L92=""),"",IF(L91&lt;L92,K91,K92))</f>
        <v/>
      </c>
    </row>
    <row r="98" spans="3:14" x14ac:dyDescent="0.25">
      <c r="C98" s="135" t="str">
        <f>IF(OR(E99="",E100=""),"",IF(E99&lt;E100,F99,F100))</f>
        <v/>
      </c>
      <c r="N98" s="135" t="str">
        <f>IF(OR(L99="",L100=""),"",IF(L99&lt;L100,K99,K100))</f>
        <v/>
      </c>
    </row>
    <row r="99" spans="3:14" x14ac:dyDescent="0.25">
      <c r="F99" s="135" t="str">
        <f>IF(OR(I97="",I98=""),"",IF(I97&lt;I98,H97,H98))</f>
        <v/>
      </c>
      <c r="K99" s="135" t="str">
        <f>IF(OR(I97="",I98=""),"",IF(I97&gt;I98,H97,H98))</f>
        <v/>
      </c>
    </row>
    <row r="100" spans="3:14" x14ac:dyDescent="0.25">
      <c r="F100" s="135" t="str">
        <f>IF(OR(I101="",I102=""),"",IF(I101&lt;I102,H101,H102))</f>
        <v/>
      </c>
      <c r="K100" s="135" t="str">
        <f>IF(OR(I101="",I102=""),"",IF(I101&gt;I102,H101,H102))</f>
        <v/>
      </c>
    </row>
    <row r="108" spans="3:14" x14ac:dyDescent="0.25">
      <c r="F108" s="135" t="str">
        <f>IF(OR(I106="",I107=""),"",IF(I106&lt;I107,H106,H107))</f>
        <v/>
      </c>
      <c r="K108" s="135" t="str">
        <f>IF(OR(I106="",I107=""),"",IF(I106&gt;I107,H106,H107))</f>
        <v/>
      </c>
    </row>
    <row r="109" spans="3:14" x14ac:dyDescent="0.25">
      <c r="F109" s="135" t="str">
        <f>IF(OR(I110="",I111=""),"",IF(I110&lt;I111,H110,H111))</f>
        <v/>
      </c>
      <c r="K109" s="135" t="str">
        <f>IF(OR(I110="",I111=""),"",IF(I110&gt;I111,H110,H111))</f>
        <v/>
      </c>
    </row>
    <row r="110" spans="3:14" x14ac:dyDescent="0.25">
      <c r="C110" s="135" t="str">
        <f>IF(OR(E108="",E109=""),"",IF(E108&gt;E109,F108,F109))</f>
        <v/>
      </c>
      <c r="N110" s="135" t="str">
        <f>IF(OR(L108="",L109=""),"",IF(L108&gt;L109,K108,K109))</f>
        <v/>
      </c>
    </row>
    <row r="111" spans="3:14" x14ac:dyDescent="0.25">
      <c r="C111" s="135" t="str">
        <f>IF(OR(E116="",E117=""),"",IF(E116&gt;E117,F116,F117))</f>
        <v/>
      </c>
      <c r="N111" s="135" t="str">
        <f>IF(OR(L116="",L117=""),"",IF(L116&gt;L117,K116,K117))</f>
        <v/>
      </c>
    </row>
    <row r="114" spans="3:14" x14ac:dyDescent="0.25">
      <c r="C114" s="135" t="str">
        <f>IF(OR(E108="",E109=""),"",IF(E108&lt;E109,F108,F109))</f>
        <v/>
      </c>
      <c r="N114" s="135" t="str">
        <f>IF(OR(L108="",L109=""),"",IF(L108&lt;L109,K108,K109))</f>
        <v/>
      </c>
    </row>
    <row r="115" spans="3:14" x14ac:dyDescent="0.25">
      <c r="C115" s="135" t="str">
        <f>IF(OR(E116="",E117=""),"",IF(E116&lt;E117,F116,F117))</f>
        <v/>
      </c>
      <c r="N115" s="135" t="str">
        <f>IF(OR(L116="",L117=""),"",IF(L116&lt;L117,K116,K117))</f>
        <v/>
      </c>
    </row>
    <row r="116" spans="3:14" x14ac:dyDescent="0.25">
      <c r="F116" s="135" t="str">
        <f>IF(OR(I114="",I115=""),"",IF(I114&lt;I115,H114,H115))</f>
        <v/>
      </c>
      <c r="K116" s="135" t="str">
        <f>IF(OR(I114="",I115=""),"",IF(I114&gt;I115,H114,H115))</f>
        <v/>
      </c>
    </row>
    <row r="117" spans="3:14" x14ac:dyDescent="0.25">
      <c r="F117" s="135" t="str">
        <f>IF(OR(I118="",I119=""),"",IF(I118&lt;I119,H118,H119))</f>
        <v/>
      </c>
      <c r="K117" s="135" t="str">
        <f>IF(OR(I118="",I119=""),"",IF(I118&gt;I119,H118,H119))</f>
        <v/>
      </c>
    </row>
    <row r="125" spans="3:14" x14ac:dyDescent="0.25">
      <c r="F125" s="135" t="str">
        <f>IF(OR(I123="",I124=""),"",IF(I123&lt;I124,H123,H124))</f>
        <v/>
      </c>
      <c r="K125" s="135" t="str">
        <f>IF(OR(I123="",I124=""),"",IF(I123&gt;I124,H123,H124))</f>
        <v/>
      </c>
    </row>
    <row r="126" spans="3:14" x14ac:dyDescent="0.25">
      <c r="F126" s="135" t="str">
        <f>IF(OR(I127="",I128=""),"",IF(I127&lt;I128,H127,H128))</f>
        <v/>
      </c>
      <c r="K126" s="135" t="str">
        <f>IF(OR(I127="",I128=""),"",IF(I127&gt;I128,H127,H128))</f>
        <v/>
      </c>
    </row>
    <row r="127" spans="3:14" x14ac:dyDescent="0.25">
      <c r="C127" s="135" t="str">
        <f>IF(OR(E125="",E126=""),"",IF(E125&gt;E126,F125,F126))</f>
        <v/>
      </c>
      <c r="N127" s="135" t="str">
        <f>IF(OR(L125="",L126=""),"",IF(L125&gt;L126,K125,K126))</f>
        <v/>
      </c>
    </row>
    <row r="128" spans="3:14" x14ac:dyDescent="0.25">
      <c r="C128" s="135" t="str">
        <f>IF(OR(E133="",E134=""),"",IF(E133&gt;E134,F133,F134))</f>
        <v/>
      </c>
      <c r="N128" s="135" t="str">
        <f>IF(OR(L133="",L134=""),"",IF(L133&gt;L134,K133,K134))</f>
        <v/>
      </c>
    </row>
    <row r="131" spans="3:14" x14ac:dyDescent="0.25">
      <c r="C131" s="135" t="str">
        <f>IF(OR(E125="",E126=""),"",IF(E125&lt;E126,F125,F126))</f>
        <v/>
      </c>
      <c r="N131" s="135" t="str">
        <f>IF(OR(L125="",L126=""),"",IF(L125&lt;L126,K125,K126))</f>
        <v/>
      </c>
    </row>
    <row r="132" spans="3:14" x14ac:dyDescent="0.25">
      <c r="C132" s="135" t="str">
        <f>IF(OR(E133="",E134=""),"",IF(E133&lt;E134,F133,F134))</f>
        <v/>
      </c>
      <c r="N132" s="135" t="str">
        <f>IF(OR(L133="",L134=""),"",IF(L133&lt;L134,K133,K134))</f>
        <v/>
      </c>
    </row>
    <row r="133" spans="3:14" x14ac:dyDescent="0.25">
      <c r="F133" s="135" t="str">
        <f>IF(OR(I131="",I132=""),"",IF(I131&lt;I132,H131,H132))</f>
        <v/>
      </c>
      <c r="K133" s="135" t="str">
        <f>IF(OR(I131="",I132=""),"",IF(I131&gt;I132,H131,H132))</f>
        <v/>
      </c>
    </row>
    <row r="134" spans="3:14" x14ac:dyDescent="0.25">
      <c r="F134" s="135" t="str">
        <f>IF(OR(I135="",I136=""),"",IF(I135&lt;I136,H135,H136))</f>
        <v/>
      </c>
      <c r="K134" s="135" t="str">
        <f>IF(OR(I135="",I136=""),"",IF(I135&gt;I136,H135,H136))</f>
        <v/>
      </c>
    </row>
    <row r="142" spans="3:14" x14ac:dyDescent="0.25">
      <c r="F142" s="135" t="str">
        <f>IF(OR(I140="",I141=""),"",IF(I140&lt;I141,H140,H141))</f>
        <v/>
      </c>
      <c r="K142" s="135" t="str">
        <f>IF(OR(I140="",I141=""),"",IF(I140&gt;I141,H140,H141))</f>
        <v/>
      </c>
    </row>
    <row r="143" spans="3:14" x14ac:dyDescent="0.25">
      <c r="F143" s="135" t="str">
        <f>IF(OR(I144="",I145=""),"",IF(I144&lt;I145,H144,H145))</f>
        <v/>
      </c>
      <c r="K143" s="135" t="str">
        <f>IF(OR(I144="",I145=""),"",IF(I144&gt;I145,H144,H145))</f>
        <v/>
      </c>
    </row>
    <row r="144" spans="3:14" x14ac:dyDescent="0.25">
      <c r="C144" s="135" t="str">
        <f>IF(OR(E142="",E143=""),"",IF(E142&gt;E143,F142,F143))</f>
        <v/>
      </c>
      <c r="N144" s="135" t="str">
        <f>IF(OR(L142="",L143=""),"",IF(L142&gt;L143,K142,K143))</f>
        <v/>
      </c>
    </row>
    <row r="145" spans="3:14" x14ac:dyDescent="0.25">
      <c r="C145" s="135" t="str">
        <f>IF(OR(E150="",E151=""),"",IF(E150&gt;E151,F150,F151))</f>
        <v/>
      </c>
      <c r="N145" s="135" t="str">
        <f>IF(OR(L150="",L151=""),"",IF(L150&gt;L151,K150,K151))</f>
        <v/>
      </c>
    </row>
    <row r="148" spans="3:14" x14ac:dyDescent="0.25">
      <c r="C148" s="135" t="str">
        <f>IF(OR(E142="",E143=""),"",IF(E142&lt;E143,F142,F143))</f>
        <v/>
      </c>
      <c r="N148" s="135" t="str">
        <f>IF(OR(L142="",L143=""),"",IF(L142&lt;L143,K142,K143))</f>
        <v/>
      </c>
    </row>
    <row r="149" spans="3:14" x14ac:dyDescent="0.25">
      <c r="C149" s="135" t="str">
        <f>IF(OR(E150="",E151=""),"",IF(E150&lt;E151,F150,F151))</f>
        <v/>
      </c>
      <c r="N149" s="135" t="str">
        <f>IF(OR(L150="",L151=""),"",IF(L150&lt;L151,K150,K151))</f>
        <v/>
      </c>
    </row>
    <row r="150" spans="3:14" x14ac:dyDescent="0.25">
      <c r="F150" s="135" t="str">
        <f>IF(OR(I148="",I149=""),"",IF(I148&lt;I149,H148,H149))</f>
        <v/>
      </c>
      <c r="K150" s="135" t="str">
        <f>IF(OR(I148="",I149=""),"",IF(I148&gt;I149,H148,H149))</f>
        <v/>
      </c>
    </row>
    <row r="151" spans="3:14" x14ac:dyDescent="0.25">
      <c r="F151" s="135" t="str">
        <f>IF(OR(I152="",I153=""),"",IF(I152&lt;I153,H152,H153))</f>
        <v/>
      </c>
      <c r="K151" s="135" t="str">
        <f>IF(OR(I152="",I153=""),"",IF(I152&gt;I153,H152,H153))</f>
        <v/>
      </c>
    </row>
    <row r="159" spans="3:14" x14ac:dyDescent="0.25">
      <c r="F159" s="135" t="str">
        <f>IF(OR(I157="",I158=""),"",IF(I157&lt;I158,H157,H158))</f>
        <v/>
      </c>
      <c r="K159" s="135" t="str">
        <f>IF(OR(I157="",I158=""),"",IF(I157&gt;I158,H157,H158))</f>
        <v/>
      </c>
    </row>
    <row r="160" spans="3:14" x14ac:dyDescent="0.25">
      <c r="F160" s="135" t="str">
        <f>IF(OR(I161="",I162=""),"",IF(I161&lt;I162,H161,H162))</f>
        <v/>
      </c>
      <c r="K160" s="135" t="str">
        <f>IF(OR(I161="",I162=""),"",IF(I161&gt;I162,H161,H162))</f>
        <v/>
      </c>
    </row>
    <row r="161" spans="3:14" x14ac:dyDescent="0.25">
      <c r="C161" s="135" t="str">
        <f>IF(OR(E159="",E160=""),"",IF(E159&gt;E160,F159,F160))</f>
        <v/>
      </c>
      <c r="N161" s="135" t="str">
        <f>IF(OR(L159="",L160=""),"",IF(L159&gt;L160,K159,K160))</f>
        <v/>
      </c>
    </row>
    <row r="162" spans="3:14" x14ac:dyDescent="0.25">
      <c r="C162" s="135" t="str">
        <f>IF(OR(E167="",E168=""),"",IF(E167&gt;E168,F167,F168))</f>
        <v/>
      </c>
      <c r="N162" s="135" t="str">
        <f>IF(OR(L167="",L168=""),"",IF(L167&gt;L168,K167,K168))</f>
        <v/>
      </c>
    </row>
    <row r="165" spans="3:14" x14ac:dyDescent="0.25">
      <c r="C165" s="135" t="str">
        <f>IF(OR(E159="",E160=""),"",IF(E159&lt;E160,F159,F160))</f>
        <v/>
      </c>
      <c r="N165" s="135" t="str">
        <f>IF(OR(L159="",L160=""),"",IF(L159&lt;L160,K159,K160))</f>
        <v/>
      </c>
    </row>
    <row r="166" spans="3:14" x14ac:dyDescent="0.25">
      <c r="C166" s="135" t="str">
        <f>IF(OR(E167="",E168=""),"",IF(E167&lt;E168,F167,F168))</f>
        <v/>
      </c>
      <c r="N166" s="135" t="str">
        <f>IF(OR(L167="",L168=""),"",IF(L167&lt;L168,K167,K168))</f>
        <v/>
      </c>
    </row>
    <row r="167" spans="3:14" x14ac:dyDescent="0.25">
      <c r="F167" s="135" t="str">
        <f>IF(OR(I165="",I166=""),"",IF(I165&lt;I166,H165,H166))</f>
        <v/>
      </c>
      <c r="K167" s="135" t="str">
        <f>IF(OR(I165="",I166=""),"",IF(I165&gt;I166,H165,H166))</f>
        <v/>
      </c>
    </row>
    <row r="168" spans="3:14" x14ac:dyDescent="0.25">
      <c r="F168" s="135" t="str">
        <f>IF(OR(I169="",I170=""),"",IF(I169&lt;I170,H169,H170))</f>
        <v/>
      </c>
      <c r="K168" s="135" t="str">
        <f>IF(OR(I169="",I170=""),"",IF(I169&gt;I170,H169,H170))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48D673B1-4C62-4314-9CD2-1A1A1EC7E47B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313" r:id="rId3" name="C4PPph14">
              <controlPr defaultSize="0" print="0" autoFill="0" autoPict="0" macro="[0]!'copyimage &quot;B2:O51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8AD93-872C-46D8-876B-824BDB409441}">
  <dimension ref="B1:O168"/>
  <sheetViews>
    <sheetView workbookViewId="0"/>
  </sheetViews>
  <sheetFormatPr baseColWidth="10" defaultRowHeight="15" x14ac:dyDescent="0.25"/>
  <cols>
    <col min="1" max="1" width="11.42578125" style="135"/>
    <col min="2" max="2" width="4.28515625" style="140" customWidth="1"/>
    <col min="3" max="3" width="22.85546875" style="135" customWidth="1"/>
    <col min="4" max="4" width="2.85546875" style="135" customWidth="1"/>
    <col min="5" max="5" width="4.28515625" style="140" customWidth="1"/>
    <col min="6" max="6" width="22.85546875" style="135" customWidth="1"/>
    <col min="7" max="7" width="2.85546875" style="135" customWidth="1"/>
    <col min="8" max="8" width="22.85546875" style="135" customWidth="1"/>
    <col min="9" max="9" width="4.28515625" style="140" customWidth="1"/>
    <col min="10" max="10" width="2.85546875" style="135" customWidth="1"/>
    <col min="11" max="11" width="22.85546875" style="135" customWidth="1"/>
    <col min="12" max="12" width="4.28515625" style="140" customWidth="1"/>
    <col min="13" max="13" width="2.85546875" style="135" customWidth="1"/>
    <col min="14" max="14" width="22.85546875" style="135" customWidth="1"/>
    <col min="15" max="15" width="4.28515625" style="140" customWidth="1"/>
    <col min="16" max="16384" width="11.42578125" style="135"/>
  </cols>
  <sheetData>
    <row r="1" spans="2:15" x14ac:dyDescent="0.25">
      <c r="H1" s="135" t="s">
        <v>190</v>
      </c>
    </row>
    <row r="2" spans="2:15" x14ac:dyDescent="0.25">
      <c r="H2" s="135" t="s">
        <v>192</v>
      </c>
    </row>
    <row r="3" spans="2:15" ht="15.75" thickBot="1" x14ac:dyDescent="0.3">
      <c r="H3" s="135" t="s">
        <v>199</v>
      </c>
    </row>
    <row r="4" spans="2:15" x14ac:dyDescent="0.25">
      <c r="H4" s="136"/>
      <c r="I4" s="143"/>
    </row>
    <row r="5" spans="2:15" ht="15.75" thickBot="1" x14ac:dyDescent="0.3">
      <c r="F5" s="135" t="s">
        <v>205</v>
      </c>
      <c r="H5" s="138"/>
      <c r="I5" s="144"/>
      <c r="K5" s="135" t="s">
        <v>203</v>
      </c>
    </row>
    <row r="6" spans="2:15" x14ac:dyDescent="0.25">
      <c r="C6" s="135" t="s">
        <v>195</v>
      </c>
      <c r="E6" s="141"/>
      <c r="F6" s="137" t="str">
        <f>IF(OR(I4="",I5=""),"",IF(I4&lt;I5,H4,H5))</f>
        <v/>
      </c>
      <c r="K6" s="136" t="str">
        <f>IF(OR(I4="",I5=""),"",IF(I4&gt;I5,H4,H5))</f>
        <v/>
      </c>
      <c r="L6" s="143"/>
      <c r="N6" s="135" t="s">
        <v>193</v>
      </c>
    </row>
    <row r="7" spans="2:15" ht="15.75" thickBot="1" x14ac:dyDescent="0.3">
      <c r="C7" s="135" t="s">
        <v>209</v>
      </c>
      <c r="E7" s="142"/>
      <c r="F7" s="139" t="str">
        <f>IF(OR(I8="",I9=""),"",IF(I8&lt;I9,H8,H9))</f>
        <v/>
      </c>
      <c r="H7" s="135" t="s">
        <v>200</v>
      </c>
      <c r="K7" s="138" t="str">
        <f>IF(OR(I8="",I9=""),"",IF(I8&gt;I9,H8,H9))</f>
        <v/>
      </c>
      <c r="L7" s="144"/>
      <c r="N7" s="135" t="s">
        <v>207</v>
      </c>
    </row>
    <row r="8" spans="2:15" x14ac:dyDescent="0.25">
      <c r="B8" s="141"/>
      <c r="C8" s="137" t="str">
        <f>IF(OR(E6="",E7=""),"",IF(E6&gt;E7,F6,F7))</f>
        <v/>
      </c>
      <c r="H8" s="136"/>
      <c r="I8" s="143"/>
      <c r="N8" s="136" t="str">
        <f>IF(OR(L6="",L7=""),"",IF(L6&gt;L7,K6,K7))</f>
        <v/>
      </c>
      <c r="O8" s="143"/>
    </row>
    <row r="9" spans="2:15" ht="15.75" thickBot="1" x14ac:dyDescent="0.3">
      <c r="B9" s="142"/>
      <c r="C9" s="139" t="str">
        <f>IF(OR(E14="",E15=""),"",IF(E14&gt;E15,F14,F15))</f>
        <v/>
      </c>
      <c r="H9" s="138"/>
      <c r="I9" s="144"/>
      <c r="N9" s="138" t="str">
        <f>IF(OR(L14="",L15=""),"",IF(L14&gt;L15,K14,K15))</f>
        <v/>
      </c>
      <c r="O9" s="144"/>
    </row>
    <row r="10" spans="2:15" x14ac:dyDescent="0.25">
      <c r="C10" s="135" t="s">
        <v>196</v>
      </c>
      <c r="N10" s="135" t="s">
        <v>194</v>
      </c>
    </row>
    <row r="11" spans="2:15" ht="15.75" thickBot="1" x14ac:dyDescent="0.3">
      <c r="C11" s="135" t="s">
        <v>210</v>
      </c>
      <c r="H11" s="135" t="s">
        <v>201</v>
      </c>
      <c r="N11" s="135" t="s">
        <v>208</v>
      </c>
    </row>
    <row r="12" spans="2:15" x14ac:dyDescent="0.25">
      <c r="B12" s="141"/>
      <c r="C12" s="137" t="str">
        <f>IF(OR(E6="",E7=""),"",IF(E6&lt;E7,F6,F7))</f>
        <v/>
      </c>
      <c r="H12" s="136"/>
      <c r="I12" s="143"/>
      <c r="N12" s="136" t="str">
        <f>IF(OR(L6="",L7=""),"",IF(L6&lt;L7,K6,K7))</f>
        <v/>
      </c>
      <c r="O12" s="143"/>
    </row>
    <row r="13" spans="2:15" ht="15.75" thickBot="1" x14ac:dyDescent="0.3">
      <c r="B13" s="142"/>
      <c r="C13" s="139" t="str">
        <f>IF(OR(E14="",E15=""),"",IF(E14&lt;E15,F14,F15))</f>
        <v/>
      </c>
      <c r="F13" s="135" t="s">
        <v>193</v>
      </c>
      <c r="H13" s="138"/>
      <c r="I13" s="144"/>
      <c r="K13" s="135" t="s">
        <v>204</v>
      </c>
      <c r="N13" s="138" t="str">
        <f>IF(OR(L14="",L15=""),"",IF(L14&lt;L15,K14,K15))</f>
        <v/>
      </c>
      <c r="O13" s="144"/>
    </row>
    <row r="14" spans="2:15" x14ac:dyDescent="0.25">
      <c r="E14" s="141"/>
      <c r="F14" s="137" t="str">
        <f>IF(OR(I12="",I13=""),"",IF(I12&lt;I13,H12,H13))</f>
        <v/>
      </c>
      <c r="K14" s="136" t="str">
        <f>IF(OR(I12="",I13=""),"",IF(I12&gt;I13,H12,H13))</f>
        <v/>
      </c>
      <c r="L14" s="143"/>
    </row>
    <row r="15" spans="2:15" ht="15.75" thickBot="1" x14ac:dyDescent="0.3">
      <c r="E15" s="142"/>
      <c r="F15" s="139" t="str">
        <f>IF(OR(I16="",I17=""),"",IF(I16&lt;I17,H16,H17))</f>
        <v/>
      </c>
      <c r="H15" s="135" t="s">
        <v>203</v>
      </c>
      <c r="K15" s="138" t="str">
        <f>IF(OR(I16="",I17=""),"",IF(I16&gt;I17,H16,H17))</f>
        <v/>
      </c>
      <c r="L15" s="144"/>
    </row>
    <row r="16" spans="2:15" x14ac:dyDescent="0.25">
      <c r="H16" s="136"/>
      <c r="I16" s="143"/>
    </row>
    <row r="17" spans="2:15" ht="15.75" thickBot="1" x14ac:dyDescent="0.3">
      <c r="H17" s="138"/>
      <c r="I17" s="144"/>
    </row>
    <row r="19" spans="2:15" x14ac:dyDescent="0.25">
      <c r="H19" s="135" t="s">
        <v>197</v>
      </c>
    </row>
    <row r="20" spans="2:15" ht="15.75" thickBot="1" x14ac:dyDescent="0.3">
      <c r="H20" s="135" t="s">
        <v>204</v>
      </c>
    </row>
    <row r="21" spans="2:15" x14ac:dyDescent="0.25">
      <c r="H21" s="136"/>
      <c r="I21" s="143"/>
    </row>
    <row r="22" spans="2:15" ht="15.75" thickBot="1" x14ac:dyDescent="0.3">
      <c r="F22" s="135" t="s">
        <v>196</v>
      </c>
      <c r="H22" s="138"/>
      <c r="I22" s="144"/>
      <c r="K22" s="135" t="s">
        <v>194</v>
      </c>
    </row>
    <row r="23" spans="2:15" x14ac:dyDescent="0.25">
      <c r="C23" s="135" t="s">
        <v>200</v>
      </c>
      <c r="E23" s="141"/>
      <c r="F23" s="137" t="str">
        <f>IF(OR(I21="",I22=""),"",IF(I21&lt;I22,H21,H22))</f>
        <v/>
      </c>
      <c r="K23" s="136" t="str">
        <f>IF(OR(I21="",I22=""),"",IF(I21&gt;I22,H21,H22))</f>
        <v/>
      </c>
      <c r="L23" s="143"/>
      <c r="N23" s="135" t="s">
        <v>198</v>
      </c>
    </row>
    <row r="24" spans="2:15" ht="15.75" thickBot="1" x14ac:dyDescent="0.3">
      <c r="C24" s="135" t="s">
        <v>213</v>
      </c>
      <c r="E24" s="142"/>
      <c r="F24" s="139" t="str">
        <f>IF(OR(I25="",I26=""),"",IF(I25&lt;I26,H25,H26))</f>
        <v/>
      </c>
      <c r="H24" s="135" t="s">
        <v>205</v>
      </c>
      <c r="K24" s="138" t="str">
        <f>IF(OR(I25="",I26=""),"",IF(I25&gt;I26,H25,H26))</f>
        <v/>
      </c>
      <c r="L24" s="144"/>
      <c r="N24" s="135" t="s">
        <v>211</v>
      </c>
    </row>
    <row r="25" spans="2:15" x14ac:dyDescent="0.25">
      <c r="B25" s="141"/>
      <c r="C25" s="137" t="str">
        <f>IF(OR(E23="",E24=""),"",IF(E23&gt;E24,F23,F24))</f>
        <v/>
      </c>
      <c r="H25" s="136"/>
      <c r="I25" s="143"/>
      <c r="N25" s="136" t="str">
        <f>IF(OR(L23="",L24=""),"",IF(L23&gt;L24,K23,K24))</f>
        <v/>
      </c>
      <c r="O25" s="143"/>
    </row>
    <row r="26" spans="2:15" ht="15.75" thickBot="1" x14ac:dyDescent="0.3">
      <c r="B26" s="142"/>
      <c r="C26" s="139" t="str">
        <f>IF(OR(E31="",E32=""),"",IF(E31&gt;E32,F31,F32))</f>
        <v/>
      </c>
      <c r="H26" s="138"/>
      <c r="I26" s="144"/>
      <c r="N26" s="138" t="str">
        <f>IF(OR(L31="",L32=""),"",IF(L31&gt;L32,K31,K32))</f>
        <v/>
      </c>
      <c r="O26" s="144"/>
    </row>
    <row r="27" spans="2:15" x14ac:dyDescent="0.25">
      <c r="C27" s="135" t="s">
        <v>201</v>
      </c>
      <c r="N27" s="135" t="s">
        <v>199</v>
      </c>
    </row>
    <row r="28" spans="2:15" ht="15.75" thickBot="1" x14ac:dyDescent="0.3">
      <c r="C28" s="135" t="s">
        <v>214</v>
      </c>
      <c r="H28" s="135" t="s">
        <v>193</v>
      </c>
      <c r="N28" s="135" t="s">
        <v>212</v>
      </c>
    </row>
    <row r="29" spans="2:15" x14ac:dyDescent="0.25">
      <c r="B29" s="141"/>
      <c r="C29" s="137" t="str">
        <f>IF(OR(E23="",E24=""),"",IF(E23&lt;E24,F23,F24))</f>
        <v/>
      </c>
      <c r="H29" s="136"/>
      <c r="I29" s="143"/>
      <c r="N29" s="136" t="str">
        <f>IF(OR(L23="",L24=""),"",IF(L23&lt;L24,K23,K24))</f>
        <v/>
      </c>
      <c r="O29" s="143"/>
    </row>
    <row r="30" spans="2:15" ht="15.75" thickBot="1" x14ac:dyDescent="0.3">
      <c r="B30" s="142"/>
      <c r="C30" s="139" t="str">
        <f>IF(OR(E31="",E32=""),"",IF(E31&lt;E32,F31,F32))</f>
        <v/>
      </c>
      <c r="F30" s="135" t="s">
        <v>198</v>
      </c>
      <c r="H30" s="138"/>
      <c r="I30" s="144"/>
      <c r="K30" s="135" t="s">
        <v>195</v>
      </c>
      <c r="N30" s="138" t="str">
        <f>IF(OR(L31="",L32=""),"",IF(L31&lt;L32,K31,K32))</f>
        <v/>
      </c>
      <c r="O30" s="144"/>
    </row>
    <row r="31" spans="2:15" x14ac:dyDescent="0.25">
      <c r="E31" s="141"/>
      <c r="F31" s="137" t="str">
        <f>IF(OR(I29="",I30=""),"",IF(I29&lt;I30,H29,H30))</f>
        <v/>
      </c>
      <c r="K31" s="136" t="str">
        <f>IF(OR(I29="",I30=""),"",IF(I29&gt;I30,H29,H30))</f>
        <v/>
      </c>
      <c r="L31" s="143"/>
    </row>
    <row r="32" spans="2:15" ht="15.75" thickBot="1" x14ac:dyDescent="0.3">
      <c r="E32" s="142"/>
      <c r="F32" s="139" t="str">
        <f>IF(OR(I33="",I34=""),"",IF(I33&lt;I34,H33,H34))</f>
        <v/>
      </c>
      <c r="H32" s="135" t="s">
        <v>194</v>
      </c>
      <c r="K32" s="138" t="str">
        <f>IF(OR(I33="",I34=""),"",IF(I33&gt;I34,H33,H34))</f>
        <v/>
      </c>
      <c r="L32" s="144"/>
    </row>
    <row r="33" spans="2:15" x14ac:dyDescent="0.25">
      <c r="H33" s="136"/>
      <c r="I33" s="143"/>
    </row>
    <row r="34" spans="2:15" ht="15.75" thickBot="1" x14ac:dyDescent="0.3">
      <c r="H34" s="138"/>
      <c r="I34" s="144"/>
    </row>
    <row r="36" spans="2:15" x14ac:dyDescent="0.25">
      <c r="H36" s="135" t="s">
        <v>202</v>
      </c>
    </row>
    <row r="37" spans="2:15" ht="15.75" thickBot="1" x14ac:dyDescent="0.3">
      <c r="H37" s="135" t="s">
        <v>195</v>
      </c>
    </row>
    <row r="38" spans="2:15" x14ac:dyDescent="0.25">
      <c r="H38" s="136"/>
      <c r="I38" s="143"/>
    </row>
    <row r="39" spans="2:15" ht="15.75" thickBot="1" x14ac:dyDescent="0.3">
      <c r="F39" s="135" t="s">
        <v>200</v>
      </c>
      <c r="H39" s="138"/>
      <c r="I39" s="144"/>
      <c r="K39" s="135" t="s">
        <v>199</v>
      </c>
    </row>
    <row r="40" spans="2:15" x14ac:dyDescent="0.25">
      <c r="C40" s="135" t="s">
        <v>204</v>
      </c>
      <c r="E40" s="141"/>
      <c r="F40" s="137" t="str">
        <f>IF(OR(I38="",I39=""),"",IF(I38&lt;I39,H38,H39))</f>
        <v/>
      </c>
      <c r="K40" s="136" t="str">
        <f>IF(OR(I38="",I39=""),"",IF(I38&gt;I39,H38,H39))</f>
        <v/>
      </c>
      <c r="L40" s="143"/>
      <c r="N40" s="135" t="s">
        <v>203</v>
      </c>
    </row>
    <row r="41" spans="2:15" ht="15.75" thickBot="1" x14ac:dyDescent="0.3">
      <c r="C41" s="135" t="s">
        <v>216</v>
      </c>
      <c r="E41" s="142"/>
      <c r="F41" s="139" t="str">
        <f>IF(OR(I42="",I43=""),"",IF(I42&lt;I43,H42,H43))</f>
        <v/>
      </c>
      <c r="H41" s="135" t="s">
        <v>196</v>
      </c>
      <c r="K41" s="138" t="str">
        <f>IF(OR(I42="",I43=""),"",IF(I42&gt;I43,H42,H43))</f>
        <v/>
      </c>
      <c r="L41" s="144"/>
      <c r="N41" s="135" t="s">
        <v>215</v>
      </c>
    </row>
    <row r="42" spans="2:15" x14ac:dyDescent="0.25">
      <c r="B42" s="141"/>
      <c r="C42" s="137" t="str">
        <f>IF(OR(E40="",E41=""),"",IF(E40&gt;E41,F40,F41))</f>
        <v/>
      </c>
      <c r="H42" s="136"/>
      <c r="I42" s="143"/>
      <c r="N42" s="136" t="str">
        <f>IF(OR(L40="",L41=""),"",IF(L40&gt;L41,K40,K41))</f>
        <v/>
      </c>
      <c r="O42" s="143"/>
    </row>
    <row r="43" spans="2:15" ht="15.75" thickBot="1" x14ac:dyDescent="0.3">
      <c r="B43" s="142"/>
      <c r="C43" s="139" t="str">
        <f>IF(OR(E48="",E49=""),"",IF(E48&gt;E49,F48,F49))</f>
        <v/>
      </c>
      <c r="H43" s="138"/>
      <c r="I43" s="144"/>
      <c r="N43" s="138" t="str">
        <f>IF(OR(L48="",L49=""),"",IF(L48&gt;L49,K48,K49))</f>
        <v/>
      </c>
      <c r="O43" s="144"/>
    </row>
    <row r="46" spans="2:15" x14ac:dyDescent="0.25">
      <c r="C46" s="135" t="str">
        <f>IF(OR(E40="",E41=""),"",IF(E40&lt;E41,F40,F41))</f>
        <v/>
      </c>
      <c r="N46" s="135" t="str">
        <f>IF(OR(L40="",L41=""),"",IF(L40&lt;L41,K40,K41))</f>
        <v/>
      </c>
    </row>
    <row r="47" spans="2:15" x14ac:dyDescent="0.25">
      <c r="C47" s="135" t="str">
        <f>IF(OR(E48="",E49=""),"",IF(E48&lt;E49,F48,F49))</f>
        <v/>
      </c>
      <c r="N47" s="135" t="str">
        <f>IF(OR(L48="",L49=""),"",IF(L48&lt;L49,K48,K49))</f>
        <v/>
      </c>
    </row>
    <row r="48" spans="2:15" x14ac:dyDescent="0.25">
      <c r="F48" s="135" t="str">
        <f>IF(OR(I46="",I47=""),"",IF(I46&lt;I47,H46,H47))</f>
        <v/>
      </c>
      <c r="K48" s="135" t="str">
        <f>IF(OR(I46="",I47=""),"",IF(I46&gt;I47,H46,H47))</f>
        <v/>
      </c>
    </row>
    <row r="49" spans="3:14" x14ac:dyDescent="0.25">
      <c r="F49" s="135" t="str">
        <f>IF(OR(I50="",I51=""),"",IF(I50&lt;I51,H50,H51))</f>
        <v/>
      </c>
      <c r="K49" s="135" t="str">
        <f>IF(OR(I50="",I51=""),"",IF(I50&gt;I51,H50,H51))</f>
        <v/>
      </c>
    </row>
    <row r="57" spans="3:14" x14ac:dyDescent="0.25">
      <c r="F57" s="135" t="str">
        <f>IF(OR(I55="",I56=""),"",IF(I55&lt;I56,H55,H56))</f>
        <v/>
      </c>
      <c r="K57" s="135" t="str">
        <f>IF(OR(I55="",I56=""),"",IF(I55&gt;I56,H55,H56))</f>
        <v/>
      </c>
    </row>
    <row r="58" spans="3:14" x14ac:dyDescent="0.25">
      <c r="F58" s="135" t="str">
        <f>IF(OR(I59="",I60=""),"",IF(I59&lt;I60,H59,H60))</f>
        <v/>
      </c>
      <c r="K58" s="135" t="str">
        <f>IF(OR(I59="",I60=""),"",IF(I59&gt;I60,H59,H60))</f>
        <v/>
      </c>
    </row>
    <row r="59" spans="3:14" x14ac:dyDescent="0.25">
      <c r="C59" s="135" t="str">
        <f>IF(OR(E57="",E58=""),"",IF(E57&gt;E58,F57,F58))</f>
        <v/>
      </c>
      <c r="N59" s="135" t="str">
        <f>IF(OR(L57="",L58=""),"",IF(L57&gt;L58,K57,K58))</f>
        <v/>
      </c>
    </row>
    <row r="60" spans="3:14" x14ac:dyDescent="0.25">
      <c r="C60" s="135" t="str">
        <f>IF(OR(E65="",E66=""),"",IF(E65&gt;E66,F65,F66))</f>
        <v/>
      </c>
      <c r="N60" s="135" t="str">
        <f>IF(OR(L65="",L66=""),"",IF(L65&gt;L66,K65,K66))</f>
        <v/>
      </c>
    </row>
    <row r="63" spans="3:14" x14ac:dyDescent="0.25">
      <c r="C63" s="135" t="str">
        <f>IF(OR(E57="",E58=""),"",IF(E57&lt;E58,F57,F58))</f>
        <v/>
      </c>
      <c r="N63" s="135" t="str">
        <f>IF(OR(L57="",L58=""),"",IF(L57&lt;L58,K57,K58))</f>
        <v/>
      </c>
    </row>
    <row r="64" spans="3:14" x14ac:dyDescent="0.25">
      <c r="C64" s="135" t="str">
        <f>IF(OR(E65="",E66=""),"",IF(E65&lt;E66,F65,F66))</f>
        <v/>
      </c>
      <c r="N64" s="135" t="str">
        <f>IF(OR(L65="",L66=""),"",IF(L65&lt;L66,K65,K66))</f>
        <v/>
      </c>
    </row>
    <row r="65" spans="3:14" x14ac:dyDescent="0.25">
      <c r="F65" s="135" t="str">
        <f>IF(OR(I63="",I64=""),"",IF(I63&lt;I64,H63,H64))</f>
        <v/>
      </c>
      <c r="K65" s="135" t="str">
        <f>IF(OR(I63="",I64=""),"",IF(I63&gt;I64,H63,H64))</f>
        <v/>
      </c>
    </row>
    <row r="66" spans="3:14" x14ac:dyDescent="0.25">
      <c r="F66" s="135" t="str">
        <f>IF(OR(I67="",I68=""),"",IF(I67&lt;I68,H67,H68))</f>
        <v/>
      </c>
      <c r="K66" s="135" t="str">
        <f>IF(OR(I67="",I68=""),"",IF(I67&gt;I68,H67,H68))</f>
        <v/>
      </c>
    </row>
    <row r="74" spans="3:14" x14ac:dyDescent="0.25">
      <c r="F74" s="135" t="str">
        <f>IF(OR(I72="",I73=""),"",IF(I72&lt;I73,H72,H73))</f>
        <v/>
      </c>
      <c r="K74" s="135" t="str">
        <f>IF(OR(I72="",I73=""),"",IF(I72&gt;I73,H72,H73))</f>
        <v/>
      </c>
    </row>
    <row r="75" spans="3:14" x14ac:dyDescent="0.25">
      <c r="F75" s="135" t="str">
        <f>IF(OR(I76="",I77=""),"",IF(I76&lt;I77,H76,H77))</f>
        <v/>
      </c>
      <c r="K75" s="135" t="str">
        <f>IF(OR(I76="",I77=""),"",IF(I76&gt;I77,H76,H77))</f>
        <v/>
      </c>
    </row>
    <row r="76" spans="3:14" x14ac:dyDescent="0.25">
      <c r="C76" s="135" t="str">
        <f>IF(OR(E74="",E75=""),"",IF(E74&gt;E75,F74,F75))</f>
        <v/>
      </c>
      <c r="N76" s="135" t="str">
        <f>IF(OR(L74="",L75=""),"",IF(L74&gt;L75,K74,K75))</f>
        <v/>
      </c>
    </row>
    <row r="77" spans="3:14" x14ac:dyDescent="0.25">
      <c r="C77" s="135" t="str">
        <f>IF(OR(E82="",E83=""),"",IF(E82&gt;E83,F82,F83))</f>
        <v/>
      </c>
      <c r="N77" s="135" t="str">
        <f>IF(OR(L82="",L83=""),"",IF(L82&gt;L83,K82,K83))</f>
        <v/>
      </c>
    </row>
    <row r="80" spans="3:14" x14ac:dyDescent="0.25">
      <c r="C80" s="135" t="str">
        <f>IF(OR(E74="",E75=""),"",IF(E74&lt;E75,F74,F75))</f>
        <v/>
      </c>
      <c r="N80" s="135" t="str">
        <f>IF(OR(L74="",L75=""),"",IF(L74&lt;L75,K74,K75))</f>
        <v/>
      </c>
    </row>
    <row r="81" spans="3:14" x14ac:dyDescent="0.25">
      <c r="C81" s="135" t="str">
        <f>IF(OR(E82="",E83=""),"",IF(E82&lt;E83,F82,F83))</f>
        <v/>
      </c>
      <c r="N81" s="135" t="str">
        <f>IF(OR(L82="",L83=""),"",IF(L82&lt;L83,K82,K83))</f>
        <v/>
      </c>
    </row>
    <row r="82" spans="3:14" x14ac:dyDescent="0.25">
      <c r="F82" s="135" t="str">
        <f>IF(OR(I80="",I81=""),"",IF(I80&lt;I81,H80,H81))</f>
        <v/>
      </c>
      <c r="K82" s="135" t="str">
        <f>IF(OR(I80="",I81=""),"",IF(I80&gt;I81,H80,H81))</f>
        <v/>
      </c>
    </row>
    <row r="83" spans="3:14" x14ac:dyDescent="0.25">
      <c r="F83" s="135" t="str">
        <f>IF(OR(I84="",I85=""),"",IF(I84&lt;I85,H84,H85))</f>
        <v/>
      </c>
      <c r="K83" s="135" t="str">
        <f>IF(OR(I84="",I85=""),"",IF(I84&gt;I85,H84,H85))</f>
        <v/>
      </c>
    </row>
    <row r="91" spans="3:14" x14ac:dyDescent="0.25">
      <c r="F91" s="135" t="str">
        <f>IF(OR(I89="",I90=""),"",IF(I89&lt;I90,H89,H90))</f>
        <v/>
      </c>
      <c r="K91" s="135" t="str">
        <f>IF(OR(I89="",I90=""),"",IF(I89&gt;I90,H89,H90))</f>
        <v/>
      </c>
    </row>
    <row r="92" spans="3:14" x14ac:dyDescent="0.25">
      <c r="F92" s="135" t="str">
        <f>IF(OR(I93="",I94=""),"",IF(I93&lt;I94,H93,H94))</f>
        <v/>
      </c>
      <c r="K92" s="135" t="str">
        <f>IF(OR(I93="",I94=""),"",IF(I93&gt;I94,H93,H94))</f>
        <v/>
      </c>
    </row>
    <row r="93" spans="3:14" x14ac:dyDescent="0.25">
      <c r="C93" s="135" t="str">
        <f>IF(OR(E91="",E92=""),"",IF(E91&gt;E92,F91,F92))</f>
        <v/>
      </c>
      <c r="N93" s="135" t="str">
        <f>IF(OR(L91="",L92=""),"",IF(L91&gt;L92,K91,K92))</f>
        <v/>
      </c>
    </row>
    <row r="94" spans="3:14" x14ac:dyDescent="0.25">
      <c r="C94" s="135" t="str">
        <f>IF(OR(E99="",E100=""),"",IF(E99&gt;E100,F99,F100))</f>
        <v/>
      </c>
      <c r="N94" s="135" t="str">
        <f>IF(OR(L99="",L100=""),"",IF(L99&gt;L100,K99,K100))</f>
        <v/>
      </c>
    </row>
    <row r="97" spans="3:14" x14ac:dyDescent="0.25">
      <c r="C97" s="135" t="str">
        <f>IF(OR(E91="",E92=""),"",IF(E91&lt;E92,F91,F92))</f>
        <v/>
      </c>
      <c r="N97" s="135" t="str">
        <f>IF(OR(L91="",L92=""),"",IF(L91&lt;L92,K91,K92))</f>
        <v/>
      </c>
    </row>
    <row r="98" spans="3:14" x14ac:dyDescent="0.25">
      <c r="C98" s="135" t="str">
        <f>IF(OR(E99="",E100=""),"",IF(E99&lt;E100,F99,F100))</f>
        <v/>
      </c>
      <c r="N98" s="135" t="str">
        <f>IF(OR(L99="",L100=""),"",IF(L99&lt;L100,K99,K100))</f>
        <v/>
      </c>
    </row>
    <row r="99" spans="3:14" x14ac:dyDescent="0.25">
      <c r="F99" s="135" t="str">
        <f>IF(OR(I97="",I98=""),"",IF(I97&lt;I98,H97,H98))</f>
        <v/>
      </c>
      <c r="K99" s="135" t="str">
        <f>IF(OR(I97="",I98=""),"",IF(I97&gt;I98,H97,H98))</f>
        <v/>
      </c>
    </row>
    <row r="100" spans="3:14" x14ac:dyDescent="0.25">
      <c r="F100" s="135" t="str">
        <f>IF(OR(I101="",I102=""),"",IF(I101&lt;I102,H101,H102))</f>
        <v/>
      </c>
      <c r="K100" s="135" t="str">
        <f>IF(OR(I101="",I102=""),"",IF(I101&gt;I102,H101,H102))</f>
        <v/>
      </c>
    </row>
    <row r="108" spans="3:14" x14ac:dyDescent="0.25">
      <c r="F108" s="135" t="str">
        <f>IF(OR(I106="",I107=""),"",IF(I106&lt;I107,H106,H107))</f>
        <v/>
      </c>
      <c r="K108" s="135" t="str">
        <f>IF(OR(I106="",I107=""),"",IF(I106&gt;I107,H106,H107))</f>
        <v/>
      </c>
    </row>
    <row r="109" spans="3:14" x14ac:dyDescent="0.25">
      <c r="F109" s="135" t="str">
        <f>IF(OR(I110="",I111=""),"",IF(I110&lt;I111,H110,H111))</f>
        <v/>
      </c>
      <c r="K109" s="135" t="str">
        <f>IF(OR(I110="",I111=""),"",IF(I110&gt;I111,H110,H111))</f>
        <v/>
      </c>
    </row>
    <row r="110" spans="3:14" x14ac:dyDescent="0.25">
      <c r="C110" s="135" t="str">
        <f>IF(OR(E108="",E109=""),"",IF(E108&gt;E109,F108,F109))</f>
        <v/>
      </c>
      <c r="N110" s="135" t="str">
        <f>IF(OR(L108="",L109=""),"",IF(L108&gt;L109,K108,K109))</f>
        <v/>
      </c>
    </row>
    <row r="111" spans="3:14" x14ac:dyDescent="0.25">
      <c r="C111" s="135" t="str">
        <f>IF(OR(E116="",E117=""),"",IF(E116&gt;E117,F116,F117))</f>
        <v/>
      </c>
      <c r="N111" s="135" t="str">
        <f>IF(OR(L116="",L117=""),"",IF(L116&gt;L117,K116,K117))</f>
        <v/>
      </c>
    </row>
    <row r="114" spans="3:14" x14ac:dyDescent="0.25">
      <c r="C114" s="135" t="str">
        <f>IF(OR(E108="",E109=""),"",IF(E108&lt;E109,F108,F109))</f>
        <v/>
      </c>
      <c r="N114" s="135" t="str">
        <f>IF(OR(L108="",L109=""),"",IF(L108&lt;L109,K108,K109))</f>
        <v/>
      </c>
    </row>
    <row r="115" spans="3:14" x14ac:dyDescent="0.25">
      <c r="C115" s="135" t="str">
        <f>IF(OR(E116="",E117=""),"",IF(E116&lt;E117,F116,F117))</f>
        <v/>
      </c>
      <c r="N115" s="135" t="str">
        <f>IF(OR(L116="",L117=""),"",IF(L116&lt;L117,K116,K117))</f>
        <v/>
      </c>
    </row>
    <row r="116" spans="3:14" x14ac:dyDescent="0.25">
      <c r="F116" s="135" t="str">
        <f>IF(OR(I114="",I115=""),"",IF(I114&lt;I115,H114,H115))</f>
        <v/>
      </c>
      <c r="K116" s="135" t="str">
        <f>IF(OR(I114="",I115=""),"",IF(I114&gt;I115,H114,H115))</f>
        <v/>
      </c>
    </row>
    <row r="117" spans="3:14" x14ac:dyDescent="0.25">
      <c r="F117" s="135" t="str">
        <f>IF(OR(I118="",I119=""),"",IF(I118&lt;I119,H118,H119))</f>
        <v/>
      </c>
      <c r="K117" s="135" t="str">
        <f>IF(OR(I118="",I119=""),"",IF(I118&gt;I119,H118,H119))</f>
        <v/>
      </c>
    </row>
    <row r="125" spans="3:14" x14ac:dyDescent="0.25">
      <c r="F125" s="135" t="str">
        <f>IF(OR(I123="",I124=""),"",IF(I123&lt;I124,H123,H124))</f>
        <v/>
      </c>
      <c r="K125" s="135" t="str">
        <f>IF(OR(I123="",I124=""),"",IF(I123&gt;I124,H123,H124))</f>
        <v/>
      </c>
    </row>
    <row r="126" spans="3:14" x14ac:dyDescent="0.25">
      <c r="F126" s="135" t="str">
        <f>IF(OR(I127="",I128=""),"",IF(I127&lt;I128,H127,H128))</f>
        <v/>
      </c>
      <c r="K126" s="135" t="str">
        <f>IF(OR(I127="",I128=""),"",IF(I127&gt;I128,H127,H128))</f>
        <v/>
      </c>
    </row>
    <row r="127" spans="3:14" x14ac:dyDescent="0.25">
      <c r="C127" s="135" t="str">
        <f>IF(OR(E125="",E126=""),"",IF(E125&gt;E126,F125,F126))</f>
        <v/>
      </c>
      <c r="N127" s="135" t="str">
        <f>IF(OR(L125="",L126=""),"",IF(L125&gt;L126,K125,K126))</f>
        <v/>
      </c>
    </row>
    <row r="128" spans="3:14" x14ac:dyDescent="0.25">
      <c r="C128" s="135" t="str">
        <f>IF(OR(E133="",E134=""),"",IF(E133&gt;E134,F133,F134))</f>
        <v/>
      </c>
      <c r="N128" s="135" t="str">
        <f>IF(OR(L133="",L134=""),"",IF(L133&gt;L134,K133,K134))</f>
        <v/>
      </c>
    </row>
    <row r="131" spans="3:14" x14ac:dyDescent="0.25">
      <c r="C131" s="135" t="str">
        <f>IF(OR(E125="",E126=""),"",IF(E125&lt;E126,F125,F126))</f>
        <v/>
      </c>
      <c r="N131" s="135" t="str">
        <f>IF(OR(L125="",L126=""),"",IF(L125&lt;L126,K125,K126))</f>
        <v/>
      </c>
    </row>
    <row r="132" spans="3:14" x14ac:dyDescent="0.25">
      <c r="C132" s="135" t="str">
        <f>IF(OR(E133="",E134=""),"",IF(E133&lt;E134,F133,F134))</f>
        <v/>
      </c>
      <c r="N132" s="135" t="str">
        <f>IF(OR(L133="",L134=""),"",IF(L133&lt;L134,K133,K134))</f>
        <v/>
      </c>
    </row>
    <row r="133" spans="3:14" x14ac:dyDescent="0.25">
      <c r="F133" s="135" t="str">
        <f>IF(OR(I131="",I132=""),"",IF(I131&lt;I132,H131,H132))</f>
        <v/>
      </c>
      <c r="K133" s="135" t="str">
        <f>IF(OR(I131="",I132=""),"",IF(I131&gt;I132,H131,H132))</f>
        <v/>
      </c>
    </row>
    <row r="134" spans="3:14" x14ac:dyDescent="0.25">
      <c r="F134" s="135" t="str">
        <f>IF(OR(I135="",I136=""),"",IF(I135&lt;I136,H135,H136))</f>
        <v/>
      </c>
      <c r="K134" s="135" t="str">
        <f>IF(OR(I135="",I136=""),"",IF(I135&gt;I136,H135,H136))</f>
        <v/>
      </c>
    </row>
    <row r="142" spans="3:14" x14ac:dyDescent="0.25">
      <c r="F142" s="135" t="str">
        <f>IF(OR(I140="",I141=""),"",IF(I140&lt;I141,H140,H141))</f>
        <v/>
      </c>
      <c r="K142" s="135" t="str">
        <f>IF(OR(I140="",I141=""),"",IF(I140&gt;I141,H140,H141))</f>
        <v/>
      </c>
    </row>
    <row r="143" spans="3:14" x14ac:dyDescent="0.25">
      <c r="F143" s="135" t="str">
        <f>IF(OR(I144="",I145=""),"",IF(I144&lt;I145,H144,H145))</f>
        <v/>
      </c>
      <c r="K143" s="135" t="str">
        <f>IF(OR(I144="",I145=""),"",IF(I144&gt;I145,H144,H145))</f>
        <v/>
      </c>
    </row>
    <row r="144" spans="3:14" x14ac:dyDescent="0.25">
      <c r="C144" s="135" t="str">
        <f>IF(OR(E142="",E143=""),"",IF(E142&gt;E143,F142,F143))</f>
        <v/>
      </c>
      <c r="N144" s="135" t="str">
        <f>IF(OR(L142="",L143=""),"",IF(L142&gt;L143,K142,K143))</f>
        <v/>
      </c>
    </row>
    <row r="145" spans="3:14" x14ac:dyDescent="0.25">
      <c r="C145" s="135" t="str">
        <f>IF(OR(E150="",E151=""),"",IF(E150&gt;E151,F150,F151))</f>
        <v/>
      </c>
      <c r="N145" s="135" t="str">
        <f>IF(OR(L150="",L151=""),"",IF(L150&gt;L151,K150,K151))</f>
        <v/>
      </c>
    </row>
    <row r="148" spans="3:14" x14ac:dyDescent="0.25">
      <c r="C148" s="135" t="str">
        <f>IF(OR(E142="",E143=""),"",IF(E142&lt;E143,F142,F143))</f>
        <v/>
      </c>
      <c r="N148" s="135" t="str">
        <f>IF(OR(L142="",L143=""),"",IF(L142&lt;L143,K142,K143))</f>
        <v/>
      </c>
    </row>
    <row r="149" spans="3:14" x14ac:dyDescent="0.25">
      <c r="C149" s="135" t="str">
        <f>IF(OR(E150="",E151=""),"",IF(E150&lt;E151,F150,F151))</f>
        <v/>
      </c>
      <c r="N149" s="135" t="str">
        <f>IF(OR(L150="",L151=""),"",IF(L150&lt;L151,K150,K151))</f>
        <v/>
      </c>
    </row>
    <row r="150" spans="3:14" x14ac:dyDescent="0.25">
      <c r="F150" s="135" t="str">
        <f>IF(OR(I148="",I149=""),"",IF(I148&lt;I149,H148,H149))</f>
        <v/>
      </c>
      <c r="K150" s="135" t="str">
        <f>IF(OR(I148="",I149=""),"",IF(I148&gt;I149,H148,H149))</f>
        <v/>
      </c>
    </row>
    <row r="151" spans="3:14" x14ac:dyDescent="0.25">
      <c r="F151" s="135" t="str">
        <f>IF(OR(I152="",I153=""),"",IF(I152&lt;I153,H152,H153))</f>
        <v/>
      </c>
      <c r="K151" s="135" t="str">
        <f>IF(OR(I152="",I153=""),"",IF(I152&gt;I153,H152,H153))</f>
        <v/>
      </c>
    </row>
    <row r="159" spans="3:14" x14ac:dyDescent="0.25">
      <c r="F159" s="135" t="str">
        <f>IF(OR(I157="",I158=""),"",IF(I157&lt;I158,H157,H158))</f>
        <v/>
      </c>
      <c r="K159" s="135" t="str">
        <f>IF(OR(I157="",I158=""),"",IF(I157&gt;I158,H157,H158))</f>
        <v/>
      </c>
    </row>
    <row r="160" spans="3:14" x14ac:dyDescent="0.25">
      <c r="F160" s="135" t="str">
        <f>IF(OR(I161="",I162=""),"",IF(I161&lt;I162,H161,H162))</f>
        <v/>
      </c>
      <c r="K160" s="135" t="str">
        <f>IF(OR(I161="",I162=""),"",IF(I161&gt;I162,H161,H162))</f>
        <v/>
      </c>
    </row>
    <row r="161" spans="3:14" x14ac:dyDescent="0.25">
      <c r="C161" s="135" t="str">
        <f>IF(OR(E159="",E160=""),"",IF(E159&gt;E160,F159,F160))</f>
        <v/>
      </c>
      <c r="N161" s="135" t="str">
        <f>IF(OR(L159="",L160=""),"",IF(L159&gt;L160,K159,K160))</f>
        <v/>
      </c>
    </row>
    <row r="162" spans="3:14" x14ac:dyDescent="0.25">
      <c r="C162" s="135" t="str">
        <f>IF(OR(E167="",E168=""),"",IF(E167&gt;E168,F167,F168))</f>
        <v/>
      </c>
      <c r="N162" s="135" t="str">
        <f>IF(OR(L167="",L168=""),"",IF(L167&gt;L168,K167,K168))</f>
        <v/>
      </c>
    </row>
    <row r="165" spans="3:14" x14ac:dyDescent="0.25">
      <c r="C165" s="135" t="str">
        <f>IF(OR(E159="",E160=""),"",IF(E159&lt;E160,F159,F160))</f>
        <v/>
      </c>
      <c r="N165" s="135" t="str">
        <f>IF(OR(L159="",L160=""),"",IF(L159&lt;L160,K159,K160))</f>
        <v/>
      </c>
    </row>
    <row r="166" spans="3:14" x14ac:dyDescent="0.25">
      <c r="C166" s="135" t="str">
        <f>IF(OR(E167="",E168=""),"",IF(E167&lt;E168,F167,F168))</f>
        <v/>
      </c>
      <c r="N166" s="135" t="str">
        <f>IF(OR(L167="",L168=""),"",IF(L167&lt;L168,K167,K168))</f>
        <v/>
      </c>
    </row>
    <row r="167" spans="3:14" x14ac:dyDescent="0.25">
      <c r="F167" s="135" t="str">
        <f>IF(OR(I165="",I166=""),"",IF(I165&lt;I166,H165,H166))</f>
        <v/>
      </c>
      <c r="K167" s="135" t="str">
        <f>IF(OR(I165="",I166=""),"",IF(I165&gt;I166,H165,H166))</f>
        <v/>
      </c>
    </row>
    <row r="168" spans="3:14" x14ac:dyDescent="0.25">
      <c r="F168" s="135" t="str">
        <f>IF(OR(I169="",I170=""),"",IF(I169&lt;I170,H169,H170))</f>
        <v/>
      </c>
      <c r="K168" s="135" t="str">
        <f>IF(OR(I169="",I170=""),"",IF(I169&gt;I170,H169,H170))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94E6363A-7F31-4590-852D-8B359DE4C6FF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337" r:id="rId3" name="C4PPph14">
              <controlPr defaultSize="0" print="0" autoFill="0" autoPict="0" macro="[0]!'copyimage &quot;B2:O51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BD174-3A09-465C-ACC0-3BAD22F1024C}">
  <dimension ref="B1:O168"/>
  <sheetViews>
    <sheetView workbookViewId="0"/>
  </sheetViews>
  <sheetFormatPr baseColWidth="10" defaultRowHeight="15" x14ac:dyDescent="0.25"/>
  <cols>
    <col min="1" max="1" width="11.42578125" style="135"/>
    <col min="2" max="2" width="4.28515625" style="140" customWidth="1"/>
    <col min="3" max="3" width="22.85546875" style="135" customWidth="1"/>
    <col min="4" max="4" width="2.85546875" style="135" customWidth="1"/>
    <col min="5" max="5" width="4.28515625" style="140" customWidth="1"/>
    <col min="6" max="6" width="22.85546875" style="135" customWidth="1"/>
    <col min="7" max="7" width="2.85546875" style="135" customWidth="1"/>
    <col min="8" max="8" width="22.85546875" style="135" customWidth="1"/>
    <col min="9" max="9" width="4.28515625" style="140" customWidth="1"/>
    <col min="10" max="10" width="2.85546875" style="135" customWidth="1"/>
    <col min="11" max="11" width="22.85546875" style="135" customWidth="1"/>
    <col min="12" max="12" width="4.28515625" style="140" customWidth="1"/>
    <col min="13" max="13" width="2.85546875" style="135" customWidth="1"/>
    <col min="14" max="14" width="22.85546875" style="135" customWidth="1"/>
    <col min="15" max="15" width="4.28515625" style="140" customWidth="1"/>
    <col min="16" max="16384" width="11.42578125" style="135"/>
  </cols>
  <sheetData>
    <row r="1" spans="2:15" x14ac:dyDescent="0.25">
      <c r="H1" s="135" t="s">
        <v>191</v>
      </c>
    </row>
    <row r="2" spans="2:15" x14ac:dyDescent="0.25">
      <c r="H2" s="135" t="s">
        <v>192</v>
      </c>
    </row>
    <row r="3" spans="2:15" ht="15.75" thickBot="1" x14ac:dyDescent="0.3">
      <c r="H3" s="135" t="s">
        <v>198</v>
      </c>
    </row>
    <row r="4" spans="2:15" x14ac:dyDescent="0.25">
      <c r="H4" s="136"/>
      <c r="I4" s="143"/>
    </row>
    <row r="5" spans="2:15" ht="15.75" thickBot="1" x14ac:dyDescent="0.3">
      <c r="F5" s="135" t="s">
        <v>204</v>
      </c>
      <c r="H5" s="138"/>
      <c r="I5" s="144"/>
      <c r="K5" s="135" t="s">
        <v>201</v>
      </c>
    </row>
    <row r="6" spans="2:15" x14ac:dyDescent="0.25">
      <c r="C6" s="135" t="s">
        <v>194</v>
      </c>
      <c r="E6" s="141"/>
      <c r="F6" s="137" t="str">
        <f>IF(OR(I4="",I5=""),"",IF(I4&lt;I5,H4,H5))</f>
        <v/>
      </c>
      <c r="K6" s="136" t="str">
        <f>IF(OR(I4="",I5=""),"",IF(I4&gt;I5,H4,H5))</f>
        <v/>
      </c>
      <c r="L6" s="143"/>
      <c r="N6" s="135" t="s">
        <v>205</v>
      </c>
    </row>
    <row r="7" spans="2:15" ht="15.75" thickBot="1" x14ac:dyDescent="0.3">
      <c r="C7" s="135" t="s">
        <v>209</v>
      </c>
      <c r="E7" s="142"/>
      <c r="F7" s="139" t="str">
        <f>IF(OR(I8="",I9=""),"",IF(I8&lt;I9,H8,H9))</f>
        <v/>
      </c>
      <c r="H7" s="135" t="s">
        <v>199</v>
      </c>
      <c r="K7" s="138" t="str">
        <f>IF(OR(I8="",I9=""),"",IF(I8&gt;I9,H8,H9))</f>
        <v/>
      </c>
      <c r="L7" s="144"/>
      <c r="N7" s="135" t="s">
        <v>207</v>
      </c>
    </row>
    <row r="8" spans="2:15" x14ac:dyDescent="0.25">
      <c r="B8" s="141"/>
      <c r="C8" s="137" t="str">
        <f>IF(OR(E6="",E7=""),"",IF(E6&gt;E7,F6,F7))</f>
        <v/>
      </c>
      <c r="H8" s="136"/>
      <c r="I8" s="143"/>
      <c r="N8" s="136" t="str">
        <f>IF(OR(L6="",L7=""),"",IF(L6&gt;L7,K6,K7))</f>
        <v/>
      </c>
      <c r="O8" s="143"/>
    </row>
    <row r="9" spans="2:15" ht="15.75" thickBot="1" x14ac:dyDescent="0.3">
      <c r="B9" s="142"/>
      <c r="C9" s="139" t="str">
        <f>IF(OR(E14="",E15=""),"",IF(E14&gt;E15,F14,F15))</f>
        <v/>
      </c>
      <c r="H9" s="138"/>
      <c r="I9" s="144"/>
      <c r="N9" s="138" t="str">
        <f>IF(OR(L14="",L15=""),"",IF(L14&gt;L15,K14,K15))</f>
        <v/>
      </c>
      <c r="O9" s="144"/>
    </row>
    <row r="10" spans="2:15" x14ac:dyDescent="0.25">
      <c r="C10" s="135" t="s">
        <v>195</v>
      </c>
      <c r="N10" s="135" t="s">
        <v>193</v>
      </c>
    </row>
    <row r="11" spans="2:15" ht="15.75" thickBot="1" x14ac:dyDescent="0.3">
      <c r="C11" s="135" t="s">
        <v>210</v>
      </c>
      <c r="H11" s="135" t="s">
        <v>200</v>
      </c>
      <c r="N11" s="135" t="s">
        <v>208</v>
      </c>
    </row>
    <row r="12" spans="2:15" x14ac:dyDescent="0.25">
      <c r="B12" s="141"/>
      <c r="C12" s="137" t="str">
        <f>IF(OR(E6="",E7=""),"",IF(E6&lt;E7,F6,F7))</f>
        <v/>
      </c>
      <c r="H12" s="136"/>
      <c r="I12" s="143"/>
      <c r="N12" s="136" t="str">
        <f>IF(OR(L6="",L7=""),"",IF(L6&lt;L7,K6,K7))</f>
        <v/>
      </c>
      <c r="O12" s="143"/>
    </row>
    <row r="13" spans="2:15" ht="15.75" thickBot="1" x14ac:dyDescent="0.3">
      <c r="B13" s="142"/>
      <c r="C13" s="139" t="str">
        <f>IF(OR(E14="",E15=""),"",IF(E14&lt;E15,F14,F15))</f>
        <v/>
      </c>
      <c r="F13" s="135" t="s">
        <v>205</v>
      </c>
      <c r="H13" s="138"/>
      <c r="I13" s="144"/>
      <c r="K13" s="135" t="s">
        <v>203</v>
      </c>
      <c r="N13" s="138" t="str">
        <f>IF(OR(L14="",L15=""),"",IF(L14&lt;L15,K14,K15))</f>
        <v/>
      </c>
      <c r="O13" s="144"/>
    </row>
    <row r="14" spans="2:15" x14ac:dyDescent="0.25">
      <c r="E14" s="141"/>
      <c r="F14" s="137" t="str">
        <f>IF(OR(I12="",I13=""),"",IF(I12&lt;I13,H12,H13))</f>
        <v/>
      </c>
      <c r="K14" s="136" t="str">
        <f>IF(OR(I12="",I13=""),"",IF(I12&gt;I13,H12,H13))</f>
        <v/>
      </c>
      <c r="L14" s="143"/>
    </row>
    <row r="15" spans="2:15" ht="15.75" thickBot="1" x14ac:dyDescent="0.3">
      <c r="E15" s="142"/>
      <c r="F15" s="139" t="str">
        <f>IF(OR(I16="",I17=""),"",IF(I16&lt;I17,H16,H17))</f>
        <v/>
      </c>
      <c r="H15" s="135" t="s">
        <v>201</v>
      </c>
      <c r="K15" s="138" t="str">
        <f>IF(OR(I16="",I17=""),"",IF(I16&gt;I17,H16,H17))</f>
        <v/>
      </c>
      <c r="L15" s="144"/>
    </row>
    <row r="16" spans="2:15" x14ac:dyDescent="0.25">
      <c r="H16" s="136"/>
      <c r="I16" s="143"/>
    </row>
    <row r="17" spans="2:15" ht="15.75" thickBot="1" x14ac:dyDescent="0.3">
      <c r="H17" s="138"/>
      <c r="I17" s="144"/>
    </row>
    <row r="19" spans="2:15" x14ac:dyDescent="0.25">
      <c r="H19" s="135" t="s">
        <v>197</v>
      </c>
    </row>
    <row r="20" spans="2:15" ht="15.75" thickBot="1" x14ac:dyDescent="0.3">
      <c r="H20" s="135" t="s">
        <v>203</v>
      </c>
    </row>
    <row r="21" spans="2:15" x14ac:dyDescent="0.25">
      <c r="H21" s="136"/>
      <c r="I21" s="143"/>
    </row>
    <row r="22" spans="2:15" ht="15.75" thickBot="1" x14ac:dyDescent="0.3">
      <c r="F22" s="135" t="s">
        <v>195</v>
      </c>
      <c r="H22" s="138"/>
      <c r="I22" s="144"/>
      <c r="K22" s="135" t="s">
        <v>193</v>
      </c>
    </row>
    <row r="23" spans="2:15" x14ac:dyDescent="0.25">
      <c r="C23" s="135" t="s">
        <v>199</v>
      </c>
      <c r="E23" s="141"/>
      <c r="F23" s="137" t="str">
        <f>IF(OR(I21="",I22=""),"",IF(I21&lt;I22,H21,H22))</f>
        <v/>
      </c>
      <c r="K23" s="136" t="str">
        <f>IF(OR(I21="",I22=""),"",IF(I21&gt;I22,H21,H22))</f>
        <v/>
      </c>
      <c r="L23" s="143"/>
      <c r="N23" s="135" t="s">
        <v>196</v>
      </c>
    </row>
    <row r="24" spans="2:15" ht="15.75" thickBot="1" x14ac:dyDescent="0.3">
      <c r="C24" s="135" t="s">
        <v>213</v>
      </c>
      <c r="E24" s="142"/>
      <c r="F24" s="139" t="str">
        <f>IF(OR(I25="",I26=""),"",IF(I25&lt;I26,H25,H26))</f>
        <v/>
      </c>
      <c r="H24" s="135" t="s">
        <v>204</v>
      </c>
      <c r="K24" s="138" t="str">
        <f>IF(OR(I25="",I26=""),"",IF(I25&gt;I26,H25,H26))</f>
        <v/>
      </c>
      <c r="L24" s="144"/>
      <c r="N24" s="135" t="s">
        <v>211</v>
      </c>
    </row>
    <row r="25" spans="2:15" x14ac:dyDescent="0.25">
      <c r="B25" s="141"/>
      <c r="C25" s="137" t="str">
        <f>IF(OR(E23="",E24=""),"",IF(E23&gt;E24,F23,F24))</f>
        <v/>
      </c>
      <c r="H25" s="136"/>
      <c r="I25" s="143"/>
      <c r="N25" s="136" t="str">
        <f>IF(OR(L23="",L24=""),"",IF(L23&gt;L24,K23,K24))</f>
        <v/>
      </c>
      <c r="O25" s="143"/>
    </row>
    <row r="26" spans="2:15" ht="15.75" thickBot="1" x14ac:dyDescent="0.3">
      <c r="B26" s="142"/>
      <c r="C26" s="139" t="str">
        <f>IF(OR(E31="",E32=""),"",IF(E31&gt;E32,F31,F32))</f>
        <v/>
      </c>
      <c r="H26" s="138"/>
      <c r="I26" s="144"/>
      <c r="N26" s="138" t="str">
        <f>IF(OR(L31="",L32=""),"",IF(L31&gt;L32,K31,K32))</f>
        <v/>
      </c>
      <c r="O26" s="144"/>
    </row>
    <row r="27" spans="2:15" x14ac:dyDescent="0.25">
      <c r="C27" s="135" t="s">
        <v>200</v>
      </c>
      <c r="N27" s="135" t="s">
        <v>198</v>
      </c>
    </row>
    <row r="28" spans="2:15" ht="15.75" thickBot="1" x14ac:dyDescent="0.3">
      <c r="C28" s="135" t="s">
        <v>214</v>
      </c>
      <c r="H28" s="135" t="s">
        <v>205</v>
      </c>
      <c r="N28" s="135" t="s">
        <v>212</v>
      </c>
    </row>
    <row r="29" spans="2:15" x14ac:dyDescent="0.25">
      <c r="B29" s="141"/>
      <c r="C29" s="137" t="str">
        <f>IF(OR(E23="",E24=""),"",IF(E23&lt;E24,F23,F24))</f>
        <v/>
      </c>
      <c r="H29" s="136"/>
      <c r="I29" s="143"/>
      <c r="N29" s="136" t="str">
        <f>IF(OR(L23="",L24=""),"",IF(L23&lt;L24,K23,K24))</f>
        <v/>
      </c>
      <c r="O29" s="143"/>
    </row>
    <row r="30" spans="2:15" ht="15.75" thickBot="1" x14ac:dyDescent="0.3">
      <c r="B30" s="142"/>
      <c r="C30" s="139" t="str">
        <f>IF(OR(E31="",E32=""),"",IF(E31&lt;E32,F31,F32))</f>
        <v/>
      </c>
      <c r="F30" s="135" t="s">
        <v>196</v>
      </c>
      <c r="H30" s="138"/>
      <c r="I30" s="144"/>
      <c r="K30" s="135" t="s">
        <v>194</v>
      </c>
      <c r="N30" s="138" t="str">
        <f>IF(OR(L31="",L32=""),"",IF(L31&lt;L32,K31,K32))</f>
        <v/>
      </c>
      <c r="O30" s="144"/>
    </row>
    <row r="31" spans="2:15" x14ac:dyDescent="0.25">
      <c r="E31" s="141"/>
      <c r="F31" s="137" t="str">
        <f>IF(OR(I29="",I30=""),"",IF(I29&lt;I30,H29,H30))</f>
        <v/>
      </c>
      <c r="K31" s="136" t="str">
        <f>IF(OR(I29="",I30=""),"",IF(I29&gt;I30,H29,H30))</f>
        <v/>
      </c>
      <c r="L31" s="143"/>
    </row>
    <row r="32" spans="2:15" ht="15.75" thickBot="1" x14ac:dyDescent="0.3">
      <c r="E32" s="142"/>
      <c r="F32" s="139" t="str">
        <f>IF(OR(I33="",I34=""),"",IF(I33&lt;I34,H33,H34))</f>
        <v/>
      </c>
      <c r="H32" s="135" t="s">
        <v>193</v>
      </c>
      <c r="K32" s="138" t="str">
        <f>IF(OR(I33="",I34=""),"",IF(I33&gt;I34,H33,H34))</f>
        <v/>
      </c>
      <c r="L32" s="144"/>
    </row>
    <row r="33" spans="2:15" x14ac:dyDescent="0.25">
      <c r="H33" s="136"/>
      <c r="I33" s="143"/>
    </row>
    <row r="34" spans="2:15" ht="15.75" thickBot="1" x14ac:dyDescent="0.3">
      <c r="H34" s="138"/>
      <c r="I34" s="144"/>
    </row>
    <row r="36" spans="2:15" x14ac:dyDescent="0.25">
      <c r="H36" s="135" t="s">
        <v>202</v>
      </c>
    </row>
    <row r="37" spans="2:15" ht="15.75" thickBot="1" x14ac:dyDescent="0.3">
      <c r="H37" s="135" t="s">
        <v>194</v>
      </c>
    </row>
    <row r="38" spans="2:15" x14ac:dyDescent="0.25">
      <c r="H38" s="136"/>
      <c r="I38" s="143"/>
    </row>
    <row r="39" spans="2:15" ht="15.75" thickBot="1" x14ac:dyDescent="0.3">
      <c r="F39" s="135" t="s">
        <v>199</v>
      </c>
      <c r="H39" s="138"/>
      <c r="I39" s="144"/>
      <c r="K39" s="135" t="s">
        <v>198</v>
      </c>
    </row>
    <row r="40" spans="2:15" x14ac:dyDescent="0.25">
      <c r="C40" s="135" t="s">
        <v>203</v>
      </c>
      <c r="E40" s="141"/>
      <c r="F40" s="137" t="str">
        <f>IF(OR(I38="",I39=""),"",IF(I38&lt;I39,H38,H39))</f>
        <v/>
      </c>
      <c r="K40" s="136" t="str">
        <f>IF(OR(I38="",I39=""),"",IF(I38&gt;I39,H38,H39))</f>
        <v/>
      </c>
      <c r="L40" s="143"/>
      <c r="N40" s="135" t="s">
        <v>201</v>
      </c>
    </row>
    <row r="41" spans="2:15" ht="15.75" thickBot="1" x14ac:dyDescent="0.3">
      <c r="C41" s="135" t="s">
        <v>216</v>
      </c>
      <c r="E41" s="142"/>
      <c r="F41" s="139" t="str">
        <f>IF(OR(I42="",I43=""),"",IF(I42&lt;I43,H42,H43))</f>
        <v/>
      </c>
      <c r="H41" s="135" t="s">
        <v>195</v>
      </c>
      <c r="K41" s="138" t="str">
        <f>IF(OR(I42="",I43=""),"",IF(I42&gt;I43,H42,H43))</f>
        <v/>
      </c>
      <c r="L41" s="144"/>
      <c r="N41" s="135" t="s">
        <v>215</v>
      </c>
    </row>
    <row r="42" spans="2:15" x14ac:dyDescent="0.25">
      <c r="B42" s="141"/>
      <c r="C42" s="137" t="str">
        <f>IF(OR(E40="",E41=""),"",IF(E40&gt;E41,F40,F41))</f>
        <v/>
      </c>
      <c r="H42" s="136"/>
      <c r="I42" s="143"/>
      <c r="N42" s="136" t="str">
        <f>IF(OR(L40="",L41=""),"",IF(L40&gt;L41,K40,K41))</f>
        <v/>
      </c>
      <c r="O42" s="143"/>
    </row>
    <row r="43" spans="2:15" ht="15.75" thickBot="1" x14ac:dyDescent="0.3">
      <c r="B43" s="142"/>
      <c r="C43" s="139" t="str">
        <f>IF(OR(E48="",E49=""),"",IF(E48&gt;E49,F48,F49))</f>
        <v/>
      </c>
      <c r="H43" s="138"/>
      <c r="I43" s="144"/>
      <c r="N43" s="138" t="str">
        <f>IF(OR(L48="",L49=""),"",IF(L48&gt;L49,K48,K49))</f>
        <v/>
      </c>
      <c r="O43" s="144"/>
    </row>
    <row r="46" spans="2:15" x14ac:dyDescent="0.25">
      <c r="C46" s="135" t="str">
        <f>IF(OR(E40="",E41=""),"",IF(E40&lt;E41,F40,F41))</f>
        <v/>
      </c>
      <c r="N46" s="135" t="str">
        <f>IF(OR(L40="",L41=""),"",IF(L40&lt;L41,K40,K41))</f>
        <v/>
      </c>
    </row>
    <row r="47" spans="2:15" x14ac:dyDescent="0.25">
      <c r="C47" s="135" t="str">
        <f>IF(OR(E48="",E49=""),"",IF(E48&lt;E49,F48,F49))</f>
        <v/>
      </c>
      <c r="N47" s="135" t="str">
        <f>IF(OR(L48="",L49=""),"",IF(L48&lt;L49,K48,K49))</f>
        <v/>
      </c>
    </row>
    <row r="48" spans="2:15" x14ac:dyDescent="0.25">
      <c r="F48" s="135" t="str">
        <f>IF(OR(I46="",I47=""),"",IF(I46&lt;I47,H46,H47))</f>
        <v/>
      </c>
      <c r="K48" s="135" t="str">
        <f>IF(OR(I46="",I47=""),"",IF(I46&gt;I47,H46,H47))</f>
        <v/>
      </c>
    </row>
    <row r="49" spans="3:14" x14ac:dyDescent="0.25">
      <c r="F49" s="135" t="str">
        <f>IF(OR(I50="",I51=""),"",IF(I50&lt;I51,H50,H51))</f>
        <v/>
      </c>
      <c r="K49" s="135" t="str">
        <f>IF(OR(I50="",I51=""),"",IF(I50&gt;I51,H50,H51))</f>
        <v/>
      </c>
    </row>
    <row r="57" spans="3:14" x14ac:dyDescent="0.25">
      <c r="F57" s="135" t="str">
        <f>IF(OR(I55="",I56=""),"",IF(I55&lt;I56,H55,H56))</f>
        <v/>
      </c>
      <c r="K57" s="135" t="str">
        <f>IF(OR(I55="",I56=""),"",IF(I55&gt;I56,H55,H56))</f>
        <v/>
      </c>
    </row>
    <row r="58" spans="3:14" x14ac:dyDescent="0.25">
      <c r="F58" s="135" t="str">
        <f>IF(OR(I59="",I60=""),"",IF(I59&lt;I60,H59,H60))</f>
        <v/>
      </c>
      <c r="K58" s="135" t="str">
        <f>IF(OR(I59="",I60=""),"",IF(I59&gt;I60,H59,H60))</f>
        <v/>
      </c>
    </row>
    <row r="59" spans="3:14" x14ac:dyDescent="0.25">
      <c r="C59" s="135" t="str">
        <f>IF(OR(E57="",E58=""),"",IF(E57&gt;E58,F57,F58))</f>
        <v/>
      </c>
      <c r="N59" s="135" t="str">
        <f>IF(OR(L57="",L58=""),"",IF(L57&gt;L58,K57,K58))</f>
        <v/>
      </c>
    </row>
    <row r="60" spans="3:14" x14ac:dyDescent="0.25">
      <c r="C60" s="135" t="str">
        <f>IF(OR(E65="",E66=""),"",IF(E65&gt;E66,F65,F66))</f>
        <v/>
      </c>
      <c r="N60" s="135" t="str">
        <f>IF(OR(L65="",L66=""),"",IF(L65&gt;L66,K65,K66))</f>
        <v/>
      </c>
    </row>
    <row r="63" spans="3:14" x14ac:dyDescent="0.25">
      <c r="C63" s="135" t="str">
        <f>IF(OR(E57="",E58=""),"",IF(E57&lt;E58,F57,F58))</f>
        <v/>
      </c>
      <c r="N63" s="135" t="str">
        <f>IF(OR(L57="",L58=""),"",IF(L57&lt;L58,K57,K58))</f>
        <v/>
      </c>
    </row>
    <row r="64" spans="3:14" x14ac:dyDescent="0.25">
      <c r="C64" s="135" t="str">
        <f>IF(OR(E65="",E66=""),"",IF(E65&lt;E66,F65,F66))</f>
        <v/>
      </c>
      <c r="N64" s="135" t="str">
        <f>IF(OR(L65="",L66=""),"",IF(L65&lt;L66,K65,K66))</f>
        <v/>
      </c>
    </row>
    <row r="65" spans="3:14" x14ac:dyDescent="0.25">
      <c r="F65" s="135" t="str">
        <f>IF(OR(I63="",I64=""),"",IF(I63&lt;I64,H63,H64))</f>
        <v/>
      </c>
      <c r="K65" s="135" t="str">
        <f>IF(OR(I63="",I64=""),"",IF(I63&gt;I64,H63,H64))</f>
        <v/>
      </c>
    </row>
    <row r="66" spans="3:14" x14ac:dyDescent="0.25">
      <c r="F66" s="135" t="str">
        <f>IF(OR(I67="",I68=""),"",IF(I67&lt;I68,H67,H68))</f>
        <v/>
      </c>
      <c r="K66" s="135" t="str">
        <f>IF(OR(I67="",I68=""),"",IF(I67&gt;I68,H67,H68))</f>
        <v/>
      </c>
    </row>
    <row r="74" spans="3:14" x14ac:dyDescent="0.25">
      <c r="F74" s="135" t="str">
        <f>IF(OR(I72="",I73=""),"",IF(I72&lt;I73,H72,H73))</f>
        <v/>
      </c>
      <c r="K74" s="135" t="str">
        <f>IF(OR(I72="",I73=""),"",IF(I72&gt;I73,H72,H73))</f>
        <v/>
      </c>
    </row>
    <row r="75" spans="3:14" x14ac:dyDescent="0.25">
      <c r="F75" s="135" t="str">
        <f>IF(OR(I76="",I77=""),"",IF(I76&lt;I77,H76,H77))</f>
        <v/>
      </c>
      <c r="K75" s="135" t="str">
        <f>IF(OR(I76="",I77=""),"",IF(I76&gt;I77,H76,H77))</f>
        <v/>
      </c>
    </row>
    <row r="76" spans="3:14" x14ac:dyDescent="0.25">
      <c r="C76" s="135" t="str">
        <f>IF(OR(E74="",E75=""),"",IF(E74&gt;E75,F74,F75))</f>
        <v/>
      </c>
      <c r="N76" s="135" t="str">
        <f>IF(OR(L74="",L75=""),"",IF(L74&gt;L75,K74,K75))</f>
        <v/>
      </c>
    </row>
    <row r="77" spans="3:14" x14ac:dyDescent="0.25">
      <c r="C77" s="135" t="str">
        <f>IF(OR(E82="",E83=""),"",IF(E82&gt;E83,F82,F83))</f>
        <v/>
      </c>
      <c r="N77" s="135" t="str">
        <f>IF(OR(L82="",L83=""),"",IF(L82&gt;L83,K82,K83))</f>
        <v/>
      </c>
    </row>
    <row r="80" spans="3:14" x14ac:dyDescent="0.25">
      <c r="C80" s="135" t="str">
        <f>IF(OR(E74="",E75=""),"",IF(E74&lt;E75,F74,F75))</f>
        <v/>
      </c>
      <c r="N80" s="135" t="str">
        <f>IF(OR(L74="",L75=""),"",IF(L74&lt;L75,K74,K75))</f>
        <v/>
      </c>
    </row>
    <row r="81" spans="3:14" x14ac:dyDescent="0.25">
      <c r="C81" s="135" t="str">
        <f>IF(OR(E82="",E83=""),"",IF(E82&lt;E83,F82,F83))</f>
        <v/>
      </c>
      <c r="N81" s="135" t="str">
        <f>IF(OR(L82="",L83=""),"",IF(L82&lt;L83,K82,K83))</f>
        <v/>
      </c>
    </row>
    <row r="82" spans="3:14" x14ac:dyDescent="0.25">
      <c r="F82" s="135" t="str">
        <f>IF(OR(I80="",I81=""),"",IF(I80&lt;I81,H80,H81))</f>
        <v/>
      </c>
      <c r="K82" s="135" t="str">
        <f>IF(OR(I80="",I81=""),"",IF(I80&gt;I81,H80,H81))</f>
        <v/>
      </c>
    </row>
    <row r="83" spans="3:14" x14ac:dyDescent="0.25">
      <c r="F83" s="135" t="str">
        <f>IF(OR(I84="",I85=""),"",IF(I84&lt;I85,H84,H85))</f>
        <v/>
      </c>
      <c r="K83" s="135" t="str">
        <f>IF(OR(I84="",I85=""),"",IF(I84&gt;I85,H84,H85))</f>
        <v/>
      </c>
    </row>
    <row r="91" spans="3:14" x14ac:dyDescent="0.25">
      <c r="F91" s="135" t="str">
        <f>IF(OR(I89="",I90=""),"",IF(I89&lt;I90,H89,H90))</f>
        <v/>
      </c>
      <c r="K91" s="135" t="str">
        <f>IF(OR(I89="",I90=""),"",IF(I89&gt;I90,H89,H90))</f>
        <v/>
      </c>
    </row>
    <row r="92" spans="3:14" x14ac:dyDescent="0.25">
      <c r="F92" s="135" t="str">
        <f>IF(OR(I93="",I94=""),"",IF(I93&lt;I94,H93,H94))</f>
        <v/>
      </c>
      <c r="K92" s="135" t="str">
        <f>IF(OR(I93="",I94=""),"",IF(I93&gt;I94,H93,H94))</f>
        <v/>
      </c>
    </row>
    <row r="93" spans="3:14" x14ac:dyDescent="0.25">
      <c r="C93" s="135" t="str">
        <f>IF(OR(E91="",E92=""),"",IF(E91&gt;E92,F91,F92))</f>
        <v/>
      </c>
      <c r="N93" s="135" t="str">
        <f>IF(OR(L91="",L92=""),"",IF(L91&gt;L92,K91,K92))</f>
        <v/>
      </c>
    </row>
    <row r="94" spans="3:14" x14ac:dyDescent="0.25">
      <c r="C94" s="135" t="str">
        <f>IF(OR(E99="",E100=""),"",IF(E99&gt;E100,F99,F100))</f>
        <v/>
      </c>
      <c r="N94" s="135" t="str">
        <f>IF(OR(L99="",L100=""),"",IF(L99&gt;L100,K99,K100))</f>
        <v/>
      </c>
    </row>
    <row r="97" spans="3:14" x14ac:dyDescent="0.25">
      <c r="C97" s="135" t="str">
        <f>IF(OR(E91="",E92=""),"",IF(E91&lt;E92,F91,F92))</f>
        <v/>
      </c>
      <c r="N97" s="135" t="str">
        <f>IF(OR(L91="",L92=""),"",IF(L91&lt;L92,K91,K92))</f>
        <v/>
      </c>
    </row>
    <row r="98" spans="3:14" x14ac:dyDescent="0.25">
      <c r="C98" s="135" t="str">
        <f>IF(OR(E99="",E100=""),"",IF(E99&lt;E100,F99,F100))</f>
        <v/>
      </c>
      <c r="N98" s="135" t="str">
        <f>IF(OR(L99="",L100=""),"",IF(L99&lt;L100,K99,K100))</f>
        <v/>
      </c>
    </row>
    <row r="99" spans="3:14" x14ac:dyDescent="0.25">
      <c r="F99" s="135" t="str">
        <f>IF(OR(I97="",I98=""),"",IF(I97&lt;I98,H97,H98))</f>
        <v/>
      </c>
      <c r="K99" s="135" t="str">
        <f>IF(OR(I97="",I98=""),"",IF(I97&gt;I98,H97,H98))</f>
        <v/>
      </c>
    </row>
    <row r="100" spans="3:14" x14ac:dyDescent="0.25">
      <c r="F100" s="135" t="str">
        <f>IF(OR(I101="",I102=""),"",IF(I101&lt;I102,H101,H102))</f>
        <v/>
      </c>
      <c r="K100" s="135" t="str">
        <f>IF(OR(I101="",I102=""),"",IF(I101&gt;I102,H101,H102))</f>
        <v/>
      </c>
    </row>
    <row r="108" spans="3:14" x14ac:dyDescent="0.25">
      <c r="F108" s="135" t="str">
        <f>IF(OR(I106="",I107=""),"",IF(I106&lt;I107,H106,H107))</f>
        <v/>
      </c>
      <c r="K108" s="135" t="str">
        <f>IF(OR(I106="",I107=""),"",IF(I106&gt;I107,H106,H107))</f>
        <v/>
      </c>
    </row>
    <row r="109" spans="3:14" x14ac:dyDescent="0.25">
      <c r="F109" s="135" t="str">
        <f>IF(OR(I110="",I111=""),"",IF(I110&lt;I111,H110,H111))</f>
        <v/>
      </c>
      <c r="K109" s="135" t="str">
        <f>IF(OR(I110="",I111=""),"",IF(I110&gt;I111,H110,H111))</f>
        <v/>
      </c>
    </row>
    <row r="110" spans="3:14" x14ac:dyDescent="0.25">
      <c r="C110" s="135" t="str">
        <f>IF(OR(E108="",E109=""),"",IF(E108&gt;E109,F108,F109))</f>
        <v/>
      </c>
      <c r="N110" s="135" t="str">
        <f>IF(OR(L108="",L109=""),"",IF(L108&gt;L109,K108,K109))</f>
        <v/>
      </c>
    </row>
    <row r="111" spans="3:14" x14ac:dyDescent="0.25">
      <c r="C111" s="135" t="str">
        <f>IF(OR(E116="",E117=""),"",IF(E116&gt;E117,F116,F117))</f>
        <v/>
      </c>
      <c r="N111" s="135" t="str">
        <f>IF(OR(L116="",L117=""),"",IF(L116&gt;L117,K116,K117))</f>
        <v/>
      </c>
    </row>
    <row r="114" spans="3:14" x14ac:dyDescent="0.25">
      <c r="C114" s="135" t="str">
        <f>IF(OR(E108="",E109=""),"",IF(E108&lt;E109,F108,F109))</f>
        <v/>
      </c>
      <c r="N114" s="135" t="str">
        <f>IF(OR(L108="",L109=""),"",IF(L108&lt;L109,K108,K109))</f>
        <v/>
      </c>
    </row>
    <row r="115" spans="3:14" x14ac:dyDescent="0.25">
      <c r="C115" s="135" t="str">
        <f>IF(OR(E116="",E117=""),"",IF(E116&lt;E117,F116,F117))</f>
        <v/>
      </c>
      <c r="N115" s="135" t="str">
        <f>IF(OR(L116="",L117=""),"",IF(L116&lt;L117,K116,K117))</f>
        <v/>
      </c>
    </row>
    <row r="116" spans="3:14" x14ac:dyDescent="0.25">
      <c r="F116" s="135" t="str">
        <f>IF(OR(I114="",I115=""),"",IF(I114&lt;I115,H114,H115))</f>
        <v/>
      </c>
      <c r="K116" s="135" t="str">
        <f>IF(OR(I114="",I115=""),"",IF(I114&gt;I115,H114,H115))</f>
        <v/>
      </c>
    </row>
    <row r="117" spans="3:14" x14ac:dyDescent="0.25">
      <c r="F117" s="135" t="str">
        <f>IF(OR(I118="",I119=""),"",IF(I118&lt;I119,H118,H119))</f>
        <v/>
      </c>
      <c r="K117" s="135" t="str">
        <f>IF(OR(I118="",I119=""),"",IF(I118&gt;I119,H118,H119))</f>
        <v/>
      </c>
    </row>
    <row r="125" spans="3:14" x14ac:dyDescent="0.25">
      <c r="F125" s="135" t="str">
        <f>IF(OR(I123="",I124=""),"",IF(I123&lt;I124,H123,H124))</f>
        <v/>
      </c>
      <c r="K125" s="135" t="str">
        <f>IF(OR(I123="",I124=""),"",IF(I123&gt;I124,H123,H124))</f>
        <v/>
      </c>
    </row>
    <row r="126" spans="3:14" x14ac:dyDescent="0.25">
      <c r="F126" s="135" t="str">
        <f>IF(OR(I127="",I128=""),"",IF(I127&lt;I128,H127,H128))</f>
        <v/>
      </c>
      <c r="K126" s="135" t="str">
        <f>IF(OR(I127="",I128=""),"",IF(I127&gt;I128,H127,H128))</f>
        <v/>
      </c>
    </row>
    <row r="127" spans="3:14" x14ac:dyDescent="0.25">
      <c r="C127" s="135" t="str">
        <f>IF(OR(E125="",E126=""),"",IF(E125&gt;E126,F125,F126))</f>
        <v/>
      </c>
      <c r="N127" s="135" t="str">
        <f>IF(OR(L125="",L126=""),"",IF(L125&gt;L126,K125,K126))</f>
        <v/>
      </c>
    </row>
    <row r="128" spans="3:14" x14ac:dyDescent="0.25">
      <c r="C128" s="135" t="str">
        <f>IF(OR(E133="",E134=""),"",IF(E133&gt;E134,F133,F134))</f>
        <v/>
      </c>
      <c r="N128" s="135" t="str">
        <f>IF(OR(L133="",L134=""),"",IF(L133&gt;L134,K133,K134))</f>
        <v/>
      </c>
    </row>
    <row r="131" spans="3:14" x14ac:dyDescent="0.25">
      <c r="C131" s="135" t="str">
        <f>IF(OR(E125="",E126=""),"",IF(E125&lt;E126,F125,F126))</f>
        <v/>
      </c>
      <c r="N131" s="135" t="str">
        <f>IF(OR(L125="",L126=""),"",IF(L125&lt;L126,K125,K126))</f>
        <v/>
      </c>
    </row>
    <row r="132" spans="3:14" x14ac:dyDescent="0.25">
      <c r="C132" s="135" t="str">
        <f>IF(OR(E133="",E134=""),"",IF(E133&lt;E134,F133,F134))</f>
        <v/>
      </c>
      <c r="N132" s="135" t="str">
        <f>IF(OR(L133="",L134=""),"",IF(L133&lt;L134,K133,K134))</f>
        <v/>
      </c>
    </row>
    <row r="133" spans="3:14" x14ac:dyDescent="0.25">
      <c r="F133" s="135" t="str">
        <f>IF(OR(I131="",I132=""),"",IF(I131&lt;I132,H131,H132))</f>
        <v/>
      </c>
      <c r="K133" s="135" t="str">
        <f>IF(OR(I131="",I132=""),"",IF(I131&gt;I132,H131,H132))</f>
        <v/>
      </c>
    </row>
    <row r="134" spans="3:14" x14ac:dyDescent="0.25">
      <c r="F134" s="135" t="str">
        <f>IF(OR(I135="",I136=""),"",IF(I135&lt;I136,H135,H136))</f>
        <v/>
      </c>
      <c r="K134" s="135" t="str">
        <f>IF(OR(I135="",I136=""),"",IF(I135&gt;I136,H135,H136))</f>
        <v/>
      </c>
    </row>
    <row r="142" spans="3:14" x14ac:dyDescent="0.25">
      <c r="F142" s="135" t="str">
        <f>IF(OR(I140="",I141=""),"",IF(I140&lt;I141,H140,H141))</f>
        <v/>
      </c>
      <c r="K142" s="135" t="str">
        <f>IF(OR(I140="",I141=""),"",IF(I140&gt;I141,H140,H141))</f>
        <v/>
      </c>
    </row>
    <row r="143" spans="3:14" x14ac:dyDescent="0.25">
      <c r="F143" s="135" t="str">
        <f>IF(OR(I144="",I145=""),"",IF(I144&lt;I145,H144,H145))</f>
        <v/>
      </c>
      <c r="K143" s="135" t="str">
        <f>IF(OR(I144="",I145=""),"",IF(I144&gt;I145,H144,H145))</f>
        <v/>
      </c>
    </row>
    <row r="144" spans="3:14" x14ac:dyDescent="0.25">
      <c r="C144" s="135" t="str">
        <f>IF(OR(E142="",E143=""),"",IF(E142&gt;E143,F142,F143))</f>
        <v/>
      </c>
      <c r="N144" s="135" t="str">
        <f>IF(OR(L142="",L143=""),"",IF(L142&gt;L143,K142,K143))</f>
        <v/>
      </c>
    </row>
    <row r="145" spans="3:14" x14ac:dyDescent="0.25">
      <c r="C145" s="135" t="str">
        <f>IF(OR(E150="",E151=""),"",IF(E150&gt;E151,F150,F151))</f>
        <v/>
      </c>
      <c r="N145" s="135" t="str">
        <f>IF(OR(L150="",L151=""),"",IF(L150&gt;L151,K150,K151))</f>
        <v/>
      </c>
    </row>
    <row r="148" spans="3:14" x14ac:dyDescent="0.25">
      <c r="C148" s="135" t="str">
        <f>IF(OR(E142="",E143=""),"",IF(E142&lt;E143,F142,F143))</f>
        <v/>
      </c>
      <c r="N148" s="135" t="str">
        <f>IF(OR(L142="",L143=""),"",IF(L142&lt;L143,K142,K143))</f>
        <v/>
      </c>
    </row>
    <row r="149" spans="3:14" x14ac:dyDescent="0.25">
      <c r="C149" s="135" t="str">
        <f>IF(OR(E150="",E151=""),"",IF(E150&lt;E151,F150,F151))</f>
        <v/>
      </c>
      <c r="N149" s="135" t="str">
        <f>IF(OR(L150="",L151=""),"",IF(L150&lt;L151,K150,K151))</f>
        <v/>
      </c>
    </row>
    <row r="150" spans="3:14" x14ac:dyDescent="0.25">
      <c r="F150" s="135" t="str">
        <f>IF(OR(I148="",I149=""),"",IF(I148&lt;I149,H148,H149))</f>
        <v/>
      </c>
      <c r="K150" s="135" t="str">
        <f>IF(OR(I148="",I149=""),"",IF(I148&gt;I149,H148,H149))</f>
        <v/>
      </c>
    </row>
    <row r="151" spans="3:14" x14ac:dyDescent="0.25">
      <c r="F151" s="135" t="str">
        <f>IF(OR(I152="",I153=""),"",IF(I152&lt;I153,H152,H153))</f>
        <v/>
      </c>
      <c r="K151" s="135" t="str">
        <f>IF(OR(I152="",I153=""),"",IF(I152&gt;I153,H152,H153))</f>
        <v/>
      </c>
    </row>
    <row r="159" spans="3:14" x14ac:dyDescent="0.25">
      <c r="F159" s="135" t="str">
        <f>IF(OR(I157="",I158=""),"",IF(I157&lt;I158,H157,H158))</f>
        <v/>
      </c>
      <c r="K159" s="135" t="str">
        <f>IF(OR(I157="",I158=""),"",IF(I157&gt;I158,H157,H158))</f>
        <v/>
      </c>
    </row>
    <row r="160" spans="3:14" x14ac:dyDescent="0.25">
      <c r="F160" s="135" t="str">
        <f>IF(OR(I161="",I162=""),"",IF(I161&lt;I162,H161,H162))</f>
        <v/>
      </c>
      <c r="K160" s="135" t="str">
        <f>IF(OR(I161="",I162=""),"",IF(I161&gt;I162,H161,H162))</f>
        <v/>
      </c>
    </row>
    <row r="161" spans="3:14" x14ac:dyDescent="0.25">
      <c r="C161" s="135" t="str">
        <f>IF(OR(E159="",E160=""),"",IF(E159&gt;E160,F159,F160))</f>
        <v/>
      </c>
      <c r="N161" s="135" t="str">
        <f>IF(OR(L159="",L160=""),"",IF(L159&gt;L160,K159,K160))</f>
        <v/>
      </c>
    </row>
    <row r="162" spans="3:14" x14ac:dyDescent="0.25">
      <c r="C162" s="135" t="str">
        <f>IF(OR(E167="",E168=""),"",IF(E167&gt;E168,F167,F168))</f>
        <v/>
      </c>
      <c r="N162" s="135" t="str">
        <f>IF(OR(L167="",L168=""),"",IF(L167&gt;L168,K167,K168))</f>
        <v/>
      </c>
    </row>
    <row r="165" spans="3:14" x14ac:dyDescent="0.25">
      <c r="C165" s="135" t="str">
        <f>IF(OR(E159="",E160=""),"",IF(E159&lt;E160,F159,F160))</f>
        <v/>
      </c>
      <c r="N165" s="135" t="str">
        <f>IF(OR(L159="",L160=""),"",IF(L159&lt;L160,K159,K160))</f>
        <v/>
      </c>
    </row>
    <row r="166" spans="3:14" x14ac:dyDescent="0.25">
      <c r="C166" s="135" t="str">
        <f>IF(OR(E167="",E168=""),"",IF(E167&lt;E168,F167,F168))</f>
        <v/>
      </c>
      <c r="N166" s="135" t="str">
        <f>IF(OR(L167="",L168=""),"",IF(L167&lt;L168,K167,K168))</f>
        <v/>
      </c>
    </row>
    <row r="167" spans="3:14" x14ac:dyDescent="0.25">
      <c r="F167" s="135" t="str">
        <f>IF(OR(I165="",I166=""),"",IF(I165&lt;I166,H165,H166))</f>
        <v/>
      </c>
      <c r="K167" s="135" t="str">
        <f>IF(OR(I165="",I166=""),"",IF(I165&gt;I166,H165,H166))</f>
        <v/>
      </c>
    </row>
    <row r="168" spans="3:14" x14ac:dyDescent="0.25">
      <c r="F168" s="135" t="str">
        <f>IF(OR(I169="",I170=""),"",IF(I169&lt;I170,H169,H170))</f>
        <v/>
      </c>
      <c r="K168" s="135" t="str">
        <f>IF(OR(I169="",I170=""),"",IF(I169&gt;I170,H169,H170))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71693F5B-38C1-4D0F-84DD-6E9FC3F6EE38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3" name="C4PPph14">
              <controlPr defaultSize="0" print="0" autoFill="0" autoPict="0" macro="[0]!'copyimage &quot;B2:O51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C6872-B0CA-4975-B33E-1565E2FED1CB}">
  <dimension ref="A1:G349"/>
  <sheetViews>
    <sheetView tabSelected="1" topLeftCell="B1" workbookViewId="0"/>
  </sheetViews>
  <sheetFormatPr baseColWidth="10" defaultRowHeight="15" x14ac:dyDescent="0.25"/>
  <cols>
    <col min="1" max="1" width="0" style="72" hidden="1" customWidth="1"/>
    <col min="2" max="2" width="43.5703125" style="72" customWidth="1"/>
    <col min="3" max="3" width="6" style="115" customWidth="1"/>
    <col min="4" max="4" width="16.7109375" style="72" customWidth="1"/>
    <col min="5" max="5" width="6" style="115" customWidth="1"/>
    <col min="6" max="6" width="43.5703125" style="72" customWidth="1"/>
    <col min="7" max="7" width="6" style="72" hidden="1" customWidth="1"/>
    <col min="8" max="16384" width="11.42578125" style="72"/>
  </cols>
  <sheetData>
    <row r="1" spans="1:7" x14ac:dyDescent="0.25">
      <c r="A1" s="105"/>
      <c r="B1" s="105"/>
      <c r="C1" s="113"/>
      <c r="D1" s="106">
        <f>MATCHS!D241 + "00:20:00"</f>
        <v>1.1250000000000078</v>
      </c>
      <c r="E1" s="113"/>
      <c r="F1" s="105"/>
      <c r="G1" s="105"/>
    </row>
    <row r="2" spans="1:7" x14ac:dyDescent="0.25">
      <c r="A2" s="108"/>
      <c r="B2" s="108">
        <f>PHASE_FINAL_DM!H4</f>
        <v>0</v>
      </c>
      <c r="C2" s="114" t="str">
        <f>IF(PHASE_FINAL_DM!I4&lt;&gt;"",PHASE_FINAL_DM!I4,"")</f>
        <v/>
      </c>
      <c r="D2" s="107" t="s">
        <v>141</v>
      </c>
      <c r="E2" s="114" t="str">
        <f>IF(PHASE_FINAL_DM!I5&lt;&gt;"",PHASE_FINAL_DM!I5,"")</f>
        <v/>
      </c>
      <c r="F2" s="108">
        <f>PHASE_FINAL_DM!H5</f>
        <v>0</v>
      </c>
      <c r="G2" s="108"/>
    </row>
    <row r="3" spans="1:7" x14ac:dyDescent="0.25">
      <c r="A3" s="108"/>
      <c r="B3" s="108">
        <f>PHASE_FINAL_DM!H8</f>
        <v>0</v>
      </c>
      <c r="C3" s="114" t="str">
        <f>IF(PHASE_FINAL_DM!I8&lt;&gt;"",PHASE_FINAL_DM!I8,"")</f>
        <v/>
      </c>
      <c r="D3" s="107" t="s">
        <v>142</v>
      </c>
      <c r="E3" s="114" t="str">
        <f>IF(PHASE_FINAL_DM!I9&lt;&gt;"",PHASE_FINAL_DM!I9,"")</f>
        <v/>
      </c>
      <c r="F3" s="108">
        <f>PHASE_FINAL_DM!H9</f>
        <v>0</v>
      </c>
      <c r="G3" s="108"/>
    </row>
    <row r="4" spans="1:7" x14ac:dyDescent="0.25">
      <c r="A4" s="108"/>
      <c r="B4" s="108">
        <f>PHASE_FINAL_DM!H12</f>
        <v>0</v>
      </c>
      <c r="C4" s="114" t="str">
        <f>IF(PHASE_FINAL_DM!I12&lt;&gt;"",PHASE_FINAL_DM!I12,"")</f>
        <v/>
      </c>
      <c r="D4" s="107" t="s">
        <v>143</v>
      </c>
      <c r="E4" s="114" t="str">
        <f>IF(PHASE_FINAL_DM!I13&lt;&gt;"",PHASE_FINAL_DM!I13,"")</f>
        <v/>
      </c>
      <c r="F4" s="108">
        <f>PHASE_FINAL_DM!H13</f>
        <v>0</v>
      </c>
      <c r="G4" s="108"/>
    </row>
    <row r="5" spans="1:7" x14ac:dyDescent="0.25">
      <c r="A5" s="108"/>
      <c r="B5" s="108">
        <f>PHASE_FINAL_DM!H16</f>
        <v>0</v>
      </c>
      <c r="C5" s="114" t="str">
        <f>IF(PHASE_FINAL_DM!I16&lt;&gt;"",PHASE_FINAL_DM!I16,"")</f>
        <v/>
      </c>
      <c r="D5" s="107" t="s">
        <v>144</v>
      </c>
      <c r="E5" s="114" t="str">
        <f>IF(PHASE_FINAL_DM!I17&lt;&gt;"",PHASE_FINAL_DM!I17,"")</f>
        <v/>
      </c>
      <c r="F5" s="108">
        <f>PHASE_FINAL_DM!H17</f>
        <v>0</v>
      </c>
      <c r="G5" s="108"/>
    </row>
    <row r="6" spans="1:7" x14ac:dyDescent="0.25">
      <c r="A6" s="108"/>
      <c r="B6" s="108">
        <f>PHASE_FINAL_DM!H21</f>
        <v>0</v>
      </c>
      <c r="C6" s="114" t="str">
        <f>IF(PHASE_FINAL_DM!I21&lt;&gt;"",PHASE_FINAL_DM!I21,"")</f>
        <v/>
      </c>
      <c r="D6" s="107" t="s">
        <v>145</v>
      </c>
      <c r="E6" s="114" t="str">
        <f>IF(PHASE_FINAL_DM!I22&lt;&gt;"",PHASE_FINAL_DM!I22,"")</f>
        <v/>
      </c>
      <c r="F6" s="108">
        <f>PHASE_FINAL_DM!H22</f>
        <v>0</v>
      </c>
      <c r="G6" s="108"/>
    </row>
    <row r="7" spans="1:7" x14ac:dyDescent="0.25">
      <c r="A7" s="108"/>
      <c r="B7" s="108">
        <f>PHASE_FINAL_DM!H25</f>
        <v>0</v>
      </c>
      <c r="C7" s="114" t="str">
        <f>IF(PHASE_FINAL_DM!I25&lt;&gt;"",PHASE_FINAL_DM!I25,"")</f>
        <v/>
      </c>
      <c r="D7" s="107" t="s">
        <v>146</v>
      </c>
      <c r="E7" s="114" t="str">
        <f>IF(PHASE_FINAL_DM!I26&lt;&gt;"",PHASE_FINAL_DM!I26,"")</f>
        <v/>
      </c>
      <c r="F7" s="108">
        <f>PHASE_FINAL_DM!H26</f>
        <v>0</v>
      </c>
      <c r="G7" s="108"/>
    </row>
    <row r="8" spans="1:7" x14ac:dyDescent="0.25">
      <c r="A8" s="108"/>
      <c r="B8" s="108">
        <f>PHASE_FINAL_DM!H29</f>
        <v>0</v>
      </c>
      <c r="C8" s="114" t="str">
        <f>IF(PHASE_FINAL_DM!I29&lt;&gt;"",PHASE_FINAL_DM!I29,"")</f>
        <v/>
      </c>
      <c r="D8" s="107" t="s">
        <v>147</v>
      </c>
      <c r="E8" s="114" t="str">
        <f>IF(PHASE_FINAL_DM!I30&lt;&gt;"",PHASE_FINAL_DM!I30,"")</f>
        <v/>
      </c>
      <c r="F8" s="108">
        <f>PHASE_FINAL_DM!H30</f>
        <v>0</v>
      </c>
      <c r="G8" s="108"/>
    </row>
    <row r="9" spans="1:7" x14ac:dyDescent="0.25">
      <c r="A9" s="108"/>
      <c r="B9" s="108">
        <f>PHASE_FINAL_DM!H33</f>
        <v>0</v>
      </c>
      <c r="C9" s="114" t="str">
        <f>IF(PHASE_FINAL_DM!I33&lt;&gt;"",PHASE_FINAL_DM!I33,"")</f>
        <v/>
      </c>
      <c r="D9" s="107" t="s">
        <v>148</v>
      </c>
      <c r="E9" s="114" t="str">
        <f>IF(PHASE_FINAL_DM!I34&lt;&gt;"",PHASE_FINAL_DM!I34,"")</f>
        <v/>
      </c>
      <c r="F9" s="108">
        <f>PHASE_FINAL_DM!H34</f>
        <v>0</v>
      </c>
      <c r="G9" s="108"/>
    </row>
    <row r="10" spans="1:7" x14ac:dyDescent="0.25">
      <c r="A10" s="108"/>
      <c r="B10" s="108">
        <f>PHASE_FINAL_DM!H38</f>
        <v>0</v>
      </c>
      <c r="C10" s="114" t="str">
        <f>IF(PHASE_FINAL_DM!I38&lt;&gt;"",PHASE_FINAL_DM!I38,"")</f>
        <v/>
      </c>
      <c r="D10" s="107" t="s">
        <v>149</v>
      </c>
      <c r="E10" s="114" t="str">
        <f>IF(PHASE_FINAL_DM!I39&lt;&gt;"",PHASE_FINAL_DM!I39,"")</f>
        <v/>
      </c>
      <c r="F10" s="108">
        <f>PHASE_FINAL_DM!H39</f>
        <v>0</v>
      </c>
      <c r="G10" s="108"/>
    </row>
    <row r="11" spans="1:7" x14ac:dyDescent="0.25">
      <c r="A11" s="108"/>
      <c r="B11" s="108">
        <f>PHASE_FINAL_DM!H42</f>
        <v>0</v>
      </c>
      <c r="C11" s="114" t="str">
        <f>IF(PHASE_FINAL_DM!I42&lt;&gt;"",PHASE_FINAL_DM!I42,"")</f>
        <v/>
      </c>
      <c r="D11" s="107" t="s">
        <v>150</v>
      </c>
      <c r="E11" s="114" t="str">
        <f>IF(PHASE_FINAL_DM!I43&lt;&gt;"",PHASE_FINAL_DM!I43,"")</f>
        <v/>
      </c>
      <c r="F11" s="108">
        <f>PHASE_FINAL_DM!H43</f>
        <v>0</v>
      </c>
      <c r="G11" s="108"/>
    </row>
    <row r="12" spans="1:7" x14ac:dyDescent="0.25">
      <c r="A12" s="108"/>
      <c r="B12" s="108">
        <f>PHASE_FINAL_DM!H46</f>
        <v>0</v>
      </c>
      <c r="C12" s="114" t="str">
        <f>IF(PHASE_FINAL_DM!I46&lt;&gt;"",PHASE_FINAL_DM!I46,"")</f>
        <v/>
      </c>
      <c r="D12" s="107" t="s">
        <v>151</v>
      </c>
      <c r="E12" s="114" t="str">
        <f>IF(PHASE_FINAL_DM!I47&lt;&gt;"",PHASE_FINAL_DM!I47,"")</f>
        <v/>
      </c>
      <c r="F12" s="108">
        <f>PHASE_FINAL_DM!H47</f>
        <v>0</v>
      </c>
      <c r="G12" s="108"/>
    </row>
    <row r="13" spans="1:7" x14ac:dyDescent="0.25">
      <c r="A13" s="105"/>
      <c r="B13" s="105"/>
      <c r="C13" s="113"/>
      <c r="D13" s="106">
        <f>1.12500000000001 + "00:20:00"</f>
        <v>1.1388888888888988</v>
      </c>
      <c r="E13" s="113"/>
      <c r="F13" s="105"/>
      <c r="G13" s="105"/>
    </row>
    <row r="14" spans="1:7" x14ac:dyDescent="0.25">
      <c r="A14" s="108"/>
      <c r="B14" s="108">
        <f>PHASE_FINAL_DM!H50</f>
        <v>0</v>
      </c>
      <c r="C14" s="114" t="str">
        <f>IF(PHASE_FINAL_DM!I50&lt;&gt;"",PHASE_FINAL_DM!I50,"")</f>
        <v/>
      </c>
      <c r="D14" s="107" t="s">
        <v>141</v>
      </c>
      <c r="E14" s="114" t="str">
        <f>IF(PHASE_FINAL_DM!I51&lt;&gt;"",PHASE_FINAL_DM!I51,"")</f>
        <v/>
      </c>
      <c r="F14" s="108">
        <f>PHASE_FINAL_DM!H51</f>
        <v>0</v>
      </c>
      <c r="G14" s="108"/>
    </row>
    <row r="15" spans="1:7" x14ac:dyDescent="0.25">
      <c r="A15" s="108"/>
      <c r="B15" s="108">
        <f>PHASE_FINAL_DM!H55</f>
        <v>0</v>
      </c>
      <c r="C15" s="114" t="str">
        <f>IF(PHASE_FINAL_DM!I55&lt;&gt;"",PHASE_FINAL_DM!I55,"")</f>
        <v/>
      </c>
      <c r="D15" s="107" t="s">
        <v>142</v>
      </c>
      <c r="E15" s="114" t="str">
        <f>IF(PHASE_FINAL_DM!I56&lt;&gt;"",PHASE_FINAL_DM!I56,"")</f>
        <v/>
      </c>
      <c r="F15" s="108">
        <f>PHASE_FINAL_DM!H56</f>
        <v>0</v>
      </c>
      <c r="G15" s="108"/>
    </row>
    <row r="16" spans="1:7" x14ac:dyDescent="0.25">
      <c r="A16" s="108"/>
      <c r="B16" s="108">
        <f>PHASE_FINAL_DM!H59</f>
        <v>0</v>
      </c>
      <c r="C16" s="114" t="str">
        <f>IF(PHASE_FINAL_DM!I59&lt;&gt;"",PHASE_FINAL_DM!I59,"")</f>
        <v/>
      </c>
      <c r="D16" s="107" t="s">
        <v>143</v>
      </c>
      <c r="E16" s="114" t="str">
        <f>IF(PHASE_FINAL_DM!I60&lt;&gt;"",PHASE_FINAL_DM!I60,"")</f>
        <v/>
      </c>
      <c r="F16" s="108">
        <f>PHASE_FINAL_DM!H60</f>
        <v>0</v>
      </c>
      <c r="G16" s="108"/>
    </row>
    <row r="17" spans="1:7" x14ac:dyDescent="0.25">
      <c r="A17" s="108"/>
      <c r="B17" s="108">
        <f>PHASE_FINAL_DM!H63</f>
        <v>0</v>
      </c>
      <c r="C17" s="114" t="str">
        <f>IF(PHASE_FINAL_DM!I63&lt;&gt;"",PHASE_FINAL_DM!I63,"")</f>
        <v/>
      </c>
      <c r="D17" s="107" t="s">
        <v>144</v>
      </c>
      <c r="E17" s="114" t="str">
        <f>IF(PHASE_FINAL_DM!I64&lt;&gt;"",PHASE_FINAL_DM!I64,"")</f>
        <v/>
      </c>
      <c r="F17" s="108">
        <f>PHASE_FINAL_DM!H64</f>
        <v>0</v>
      </c>
      <c r="G17" s="108"/>
    </row>
    <row r="18" spans="1:7" x14ac:dyDescent="0.25">
      <c r="A18" s="108"/>
      <c r="B18" s="108">
        <f>PHASE_FINAL_DM!H67</f>
        <v>0</v>
      </c>
      <c r="C18" s="114" t="str">
        <f>IF(PHASE_FINAL_DM!I67&lt;&gt;"",PHASE_FINAL_DM!I67,"")</f>
        <v/>
      </c>
      <c r="D18" s="107" t="s">
        <v>145</v>
      </c>
      <c r="E18" s="114" t="str">
        <f>IF(PHASE_FINAL_DM!I68&lt;&gt;"",PHASE_FINAL_DM!I68,"")</f>
        <v/>
      </c>
      <c r="F18" s="108">
        <f>PHASE_FINAL_DM!H68</f>
        <v>0</v>
      </c>
      <c r="G18" s="108"/>
    </row>
    <row r="19" spans="1:7" x14ac:dyDescent="0.25">
      <c r="A19" s="108"/>
      <c r="B19" s="108">
        <f>PHASE_FINAL_DH!H4</f>
        <v>0</v>
      </c>
      <c r="C19" s="114" t="str">
        <f>IF(PHASE_FINAL_DH!I4&lt;&gt;"",PHASE_FINAL_DH!I4,"")</f>
        <v/>
      </c>
      <c r="D19" s="107" t="s">
        <v>152</v>
      </c>
      <c r="E19" s="114" t="str">
        <f>IF(PHASE_FINAL_DH!I5&lt;&gt;"",PHASE_FINAL_DH!I5,"")</f>
        <v/>
      </c>
      <c r="F19" s="108">
        <f>PHASE_FINAL_DH!H5</f>
        <v>0</v>
      </c>
      <c r="G19" s="108"/>
    </row>
    <row r="20" spans="1:7" x14ac:dyDescent="0.25">
      <c r="A20" s="108"/>
      <c r="B20" s="108">
        <f>PHASE_FINAL_DH!H8</f>
        <v>0</v>
      </c>
      <c r="C20" s="114" t="str">
        <f>IF(PHASE_FINAL_DH!I8&lt;&gt;"",PHASE_FINAL_DH!I8,"")</f>
        <v/>
      </c>
      <c r="D20" s="107" t="s">
        <v>153</v>
      </c>
      <c r="E20" s="114" t="str">
        <f>IF(PHASE_FINAL_DH!I9&lt;&gt;"",PHASE_FINAL_DH!I9,"")</f>
        <v/>
      </c>
      <c r="F20" s="108">
        <f>PHASE_FINAL_DH!H9</f>
        <v>0</v>
      </c>
      <c r="G20" s="108"/>
    </row>
    <row r="21" spans="1:7" x14ac:dyDescent="0.25">
      <c r="A21" s="108"/>
      <c r="B21" s="108">
        <f>PHASE_FINAL_DH!H12</f>
        <v>0</v>
      </c>
      <c r="C21" s="114" t="str">
        <f>IF(PHASE_FINAL_DH!I12&lt;&gt;"",PHASE_FINAL_DH!I12,"")</f>
        <v/>
      </c>
      <c r="D21" s="107" t="s">
        <v>154</v>
      </c>
      <c r="E21" s="114" t="str">
        <f>IF(PHASE_FINAL_DH!I13&lt;&gt;"",PHASE_FINAL_DH!I13,"")</f>
        <v/>
      </c>
      <c r="F21" s="108">
        <f>PHASE_FINAL_DH!H13</f>
        <v>0</v>
      </c>
      <c r="G21" s="108"/>
    </row>
    <row r="22" spans="1:7" x14ac:dyDescent="0.25">
      <c r="A22" s="108"/>
      <c r="B22" s="108">
        <f>PHASE_FINAL_DH!H16</f>
        <v>0</v>
      </c>
      <c r="C22" s="114" t="str">
        <f>IF(PHASE_FINAL_DH!I16&lt;&gt;"",PHASE_FINAL_DH!I16,"")</f>
        <v/>
      </c>
      <c r="D22" s="107" t="s">
        <v>155</v>
      </c>
      <c r="E22" s="114" t="str">
        <f>IF(PHASE_FINAL_DH!I17&lt;&gt;"",PHASE_FINAL_DH!I17,"")</f>
        <v/>
      </c>
      <c r="F22" s="108">
        <f>PHASE_FINAL_DH!H17</f>
        <v>0</v>
      </c>
      <c r="G22" s="108"/>
    </row>
    <row r="23" spans="1:7" x14ac:dyDescent="0.25">
      <c r="A23" s="108"/>
      <c r="B23" s="108">
        <f>PHASE_FINAL_DH!H21</f>
        <v>0</v>
      </c>
      <c r="C23" s="114" t="str">
        <f>IF(PHASE_FINAL_DH!I21&lt;&gt;"",PHASE_FINAL_DH!I21,"")</f>
        <v/>
      </c>
      <c r="D23" s="107" t="s">
        <v>156</v>
      </c>
      <c r="E23" s="114" t="str">
        <f>IF(PHASE_FINAL_DH!I22&lt;&gt;"",PHASE_FINAL_DH!I22,"")</f>
        <v/>
      </c>
      <c r="F23" s="108">
        <f>PHASE_FINAL_DH!H22</f>
        <v>0</v>
      </c>
      <c r="G23" s="108"/>
    </row>
    <row r="24" spans="1:7" x14ac:dyDescent="0.25">
      <c r="A24" s="108"/>
      <c r="B24" s="108">
        <f>PHASE_FINAL_DH!H25</f>
        <v>0</v>
      </c>
      <c r="C24" s="114" t="str">
        <f>IF(PHASE_FINAL_DH!I25&lt;&gt;"",PHASE_FINAL_DH!I25,"")</f>
        <v/>
      </c>
      <c r="D24" s="107" t="s">
        <v>157</v>
      </c>
      <c r="E24" s="114" t="str">
        <f>IF(PHASE_FINAL_DH!I26&lt;&gt;"",PHASE_FINAL_DH!I26,"")</f>
        <v/>
      </c>
      <c r="F24" s="108">
        <f>PHASE_FINAL_DH!H26</f>
        <v>0</v>
      </c>
      <c r="G24" s="108"/>
    </row>
    <row r="25" spans="1:7" x14ac:dyDescent="0.25">
      <c r="A25" s="105"/>
      <c r="B25" s="105"/>
      <c r="C25" s="113"/>
      <c r="D25" s="106">
        <f>1.1388888888889 + "00:20:00"</f>
        <v>1.1527777777777888</v>
      </c>
      <c r="E25" s="113"/>
      <c r="F25" s="105"/>
      <c r="G25" s="105"/>
    </row>
    <row r="26" spans="1:7" x14ac:dyDescent="0.25">
      <c r="A26" s="108"/>
      <c r="B26" s="108">
        <f>PHASE_FINAL_DH!H29</f>
        <v>0</v>
      </c>
      <c r="C26" s="114" t="str">
        <f>IF(PHASE_FINAL_DH!I29&lt;&gt;"",PHASE_FINAL_DH!I29,"")</f>
        <v/>
      </c>
      <c r="D26" s="107" t="s">
        <v>158</v>
      </c>
      <c r="E26" s="114" t="str">
        <f>IF(PHASE_FINAL_DH!I30&lt;&gt;"",PHASE_FINAL_DH!I30,"")</f>
        <v/>
      </c>
      <c r="F26" s="108">
        <f>PHASE_FINAL_DH!H30</f>
        <v>0</v>
      </c>
      <c r="G26" s="108"/>
    </row>
    <row r="27" spans="1:7" x14ac:dyDescent="0.25">
      <c r="A27" s="108"/>
      <c r="B27" s="108">
        <f>PHASE_FINAL_DH!H33</f>
        <v>0</v>
      </c>
      <c r="C27" s="114" t="str">
        <f>IF(PHASE_FINAL_DH!I33&lt;&gt;"",PHASE_FINAL_DH!I33,"")</f>
        <v/>
      </c>
      <c r="D27" s="107" t="s">
        <v>159</v>
      </c>
      <c r="E27" s="114" t="str">
        <f>IF(PHASE_FINAL_DH!I34&lt;&gt;"",PHASE_FINAL_DH!I34,"")</f>
        <v/>
      </c>
      <c r="F27" s="108">
        <f>PHASE_FINAL_DH!H34</f>
        <v>0</v>
      </c>
      <c r="G27" s="108"/>
    </row>
    <row r="28" spans="1:7" x14ac:dyDescent="0.25">
      <c r="A28" s="108"/>
      <c r="B28" s="108">
        <f>PHASE_FINAL_DH!H38</f>
        <v>0</v>
      </c>
      <c r="C28" s="114" t="str">
        <f>IF(PHASE_FINAL_DH!I38&lt;&gt;"",PHASE_FINAL_DH!I38,"")</f>
        <v/>
      </c>
      <c r="D28" s="107" t="s">
        <v>160</v>
      </c>
      <c r="E28" s="114" t="str">
        <f>IF(PHASE_FINAL_DH!I39&lt;&gt;"",PHASE_FINAL_DH!I39,"")</f>
        <v/>
      </c>
      <c r="F28" s="108">
        <f>PHASE_FINAL_DH!H39</f>
        <v>0</v>
      </c>
      <c r="G28" s="108"/>
    </row>
    <row r="29" spans="1:7" x14ac:dyDescent="0.25">
      <c r="A29" s="108"/>
      <c r="B29" s="108">
        <f>PHASE_FINAL_DH!H42</f>
        <v>0</v>
      </c>
      <c r="C29" s="114" t="str">
        <f>IF(PHASE_FINAL_DH!I42&lt;&gt;"",PHASE_FINAL_DH!I42,"")</f>
        <v/>
      </c>
      <c r="D29" s="107" t="s">
        <v>170</v>
      </c>
      <c r="E29" s="114" t="str">
        <f>IF(PHASE_FINAL_DH!I43&lt;&gt;"",PHASE_FINAL_DH!I43,"")</f>
        <v/>
      </c>
      <c r="F29" s="108">
        <f>PHASE_FINAL_DH!H43</f>
        <v>0</v>
      </c>
      <c r="G29" s="108"/>
    </row>
    <row r="30" spans="1:7" x14ac:dyDescent="0.25">
      <c r="A30" s="108"/>
      <c r="B30" s="108">
        <f>PHASE_FINAL_SH!H4</f>
        <v>0</v>
      </c>
      <c r="C30" s="114" t="str">
        <f>IF(PHASE_FINAL_SH!I4&lt;&gt;"",PHASE_FINAL_SH!I4,"")</f>
        <v/>
      </c>
      <c r="D30" s="107" t="s">
        <v>162</v>
      </c>
      <c r="E30" s="114" t="str">
        <f>IF(PHASE_FINAL_SH!I5&lt;&gt;"",PHASE_FINAL_SH!I5,"")</f>
        <v/>
      </c>
      <c r="F30" s="108">
        <f>PHASE_FINAL_SH!H5</f>
        <v>0</v>
      </c>
      <c r="G30" s="108"/>
    </row>
    <row r="31" spans="1:7" x14ac:dyDescent="0.25">
      <c r="A31" s="108"/>
      <c r="B31" s="108">
        <f>PHASE_FINAL_SH!H8</f>
        <v>0</v>
      </c>
      <c r="C31" s="114" t="str">
        <f>IF(PHASE_FINAL_SH!I8&lt;&gt;"",PHASE_FINAL_SH!I8,"")</f>
        <v/>
      </c>
      <c r="D31" s="107" t="s">
        <v>163</v>
      </c>
      <c r="E31" s="114" t="str">
        <f>IF(PHASE_FINAL_SH!I9&lt;&gt;"",PHASE_FINAL_SH!I9,"")</f>
        <v/>
      </c>
      <c r="F31" s="108">
        <f>PHASE_FINAL_SH!H9</f>
        <v>0</v>
      </c>
      <c r="G31" s="108"/>
    </row>
    <row r="32" spans="1:7" x14ac:dyDescent="0.25">
      <c r="A32" s="108"/>
      <c r="B32" s="108">
        <f>PHASE_FINAL_SH!H12</f>
        <v>0</v>
      </c>
      <c r="C32" s="114" t="str">
        <f>IF(PHASE_FINAL_SH!I12&lt;&gt;"",PHASE_FINAL_SH!I12,"")</f>
        <v/>
      </c>
      <c r="D32" s="107" t="s">
        <v>164</v>
      </c>
      <c r="E32" s="114" t="str">
        <f>IF(PHASE_FINAL_SH!I13&lt;&gt;"",PHASE_FINAL_SH!I13,"")</f>
        <v/>
      </c>
      <c r="F32" s="108">
        <f>PHASE_FINAL_SH!H13</f>
        <v>0</v>
      </c>
      <c r="G32" s="108"/>
    </row>
    <row r="33" spans="1:7" x14ac:dyDescent="0.25">
      <c r="A33" s="108"/>
      <c r="B33" s="108">
        <f>PHASE_FINAL_SH!H16</f>
        <v>0</v>
      </c>
      <c r="C33" s="114" t="str">
        <f>IF(PHASE_FINAL_SH!I16&lt;&gt;"",PHASE_FINAL_SH!I16,"")</f>
        <v/>
      </c>
      <c r="D33" s="107" t="s">
        <v>165</v>
      </c>
      <c r="E33" s="114" t="str">
        <f>IF(PHASE_FINAL_SH!I17&lt;&gt;"",PHASE_FINAL_SH!I17,"")</f>
        <v/>
      </c>
      <c r="F33" s="108">
        <f>PHASE_FINAL_SH!H17</f>
        <v>0</v>
      </c>
      <c r="G33" s="108"/>
    </row>
    <row r="34" spans="1:7" x14ac:dyDescent="0.25">
      <c r="A34" s="108"/>
      <c r="B34" s="108">
        <f>PHASE_FINAL_SH!H21</f>
        <v>0</v>
      </c>
      <c r="C34" s="114" t="str">
        <f>IF(PHASE_FINAL_SH!I21&lt;&gt;"",PHASE_FINAL_SH!I21,"")</f>
        <v/>
      </c>
      <c r="D34" s="107" t="s">
        <v>166</v>
      </c>
      <c r="E34" s="114" t="str">
        <f>IF(PHASE_FINAL_SH!I22&lt;&gt;"",PHASE_FINAL_SH!I22,"")</f>
        <v/>
      </c>
      <c r="F34" s="108">
        <f>PHASE_FINAL_SH!H22</f>
        <v>0</v>
      </c>
      <c r="G34" s="108"/>
    </row>
    <row r="35" spans="1:7" x14ac:dyDescent="0.25">
      <c r="A35" s="108"/>
      <c r="B35" s="108">
        <f>PHASE_FINAL_SH!H25</f>
        <v>0</v>
      </c>
      <c r="C35" s="114" t="str">
        <f>IF(PHASE_FINAL_SH!I25&lt;&gt;"",PHASE_FINAL_SH!I25,"")</f>
        <v/>
      </c>
      <c r="D35" s="107" t="s">
        <v>167</v>
      </c>
      <c r="E35" s="114" t="str">
        <f>IF(PHASE_FINAL_SH!I26&lt;&gt;"",PHASE_FINAL_SH!I26,"")</f>
        <v/>
      </c>
      <c r="F35" s="108">
        <f>PHASE_FINAL_SH!H26</f>
        <v>0</v>
      </c>
      <c r="G35" s="108"/>
    </row>
    <row r="36" spans="1:7" x14ac:dyDescent="0.25">
      <c r="A36" s="108"/>
      <c r="B36" s="108">
        <f>PHASE_FINAL_SH!H29</f>
        <v>0</v>
      </c>
      <c r="C36" s="114" t="str">
        <f>IF(PHASE_FINAL_SH!I29&lt;&gt;"",PHASE_FINAL_SH!I29,"")</f>
        <v/>
      </c>
      <c r="D36" s="107" t="s">
        <v>168</v>
      </c>
      <c r="E36" s="114" t="str">
        <f>IF(PHASE_FINAL_SH!I30&lt;&gt;"",PHASE_FINAL_SH!I30,"")</f>
        <v/>
      </c>
      <c r="F36" s="108">
        <f>PHASE_FINAL_SH!H30</f>
        <v>0</v>
      </c>
      <c r="G36" s="108"/>
    </row>
    <row r="37" spans="1:7" x14ac:dyDescent="0.25">
      <c r="A37" s="105"/>
      <c r="B37" s="105"/>
      <c r="C37" s="113"/>
      <c r="D37" s="106">
        <f>1.15277777777779 + "00:20:00"</f>
        <v>1.1666666666666787</v>
      </c>
      <c r="E37" s="113"/>
      <c r="F37" s="105"/>
      <c r="G37" s="105"/>
    </row>
    <row r="38" spans="1:7" x14ac:dyDescent="0.25">
      <c r="A38" s="108"/>
      <c r="B38" s="108">
        <f>PHASE_FINAL_SH!H33</f>
        <v>0</v>
      </c>
      <c r="C38" s="114" t="str">
        <f>IF(PHASE_FINAL_SH!I33&lt;&gt;"",PHASE_FINAL_SH!I33,"")</f>
        <v/>
      </c>
      <c r="D38" s="107" t="s">
        <v>169</v>
      </c>
      <c r="E38" s="114" t="str">
        <f>IF(PHASE_FINAL_SH!I34&lt;&gt;"",PHASE_FINAL_SH!I34,"")</f>
        <v/>
      </c>
      <c r="F38" s="108">
        <f>PHASE_FINAL_SH!H34</f>
        <v>0</v>
      </c>
      <c r="G38" s="108"/>
    </row>
    <row r="39" spans="1:7" x14ac:dyDescent="0.25">
      <c r="A39" s="108"/>
      <c r="B39" s="108">
        <f>PHASE_FINAL_SH!H38</f>
        <v>0</v>
      </c>
      <c r="C39" s="114" t="str">
        <f>IF(PHASE_FINAL_SH!I38&lt;&gt;"",PHASE_FINAL_SH!I38,"")</f>
        <v/>
      </c>
      <c r="D39" s="107" t="s">
        <v>171</v>
      </c>
      <c r="E39" s="114" t="str">
        <f>IF(PHASE_FINAL_SH!I39&lt;&gt;"",PHASE_FINAL_SH!I39,"")</f>
        <v/>
      </c>
      <c r="F39" s="108">
        <f>PHASE_FINAL_SH!H39</f>
        <v>0</v>
      </c>
      <c r="G39" s="108"/>
    </row>
    <row r="40" spans="1:7" x14ac:dyDescent="0.25">
      <c r="A40" s="108"/>
      <c r="B40" s="108">
        <f>PHASE_FINAL_SH!H42</f>
        <v>0</v>
      </c>
      <c r="C40" s="114" t="str">
        <f>IF(PHASE_FINAL_SH!I42&lt;&gt;"",PHASE_FINAL_SH!I42,"")</f>
        <v/>
      </c>
      <c r="D40" s="107" t="s">
        <v>173</v>
      </c>
      <c r="E40" s="114" t="str">
        <f>IF(PHASE_FINAL_SH!I43&lt;&gt;"",PHASE_FINAL_SH!I43,"")</f>
        <v/>
      </c>
      <c r="F40" s="108">
        <f>PHASE_FINAL_SH!H43</f>
        <v>0</v>
      </c>
      <c r="G40" s="108"/>
    </row>
    <row r="41" spans="1:7" x14ac:dyDescent="0.25">
      <c r="A41" s="108"/>
      <c r="B41" s="108" t="str">
        <f>PHASE_FINAL_DM!K6</f>
        <v/>
      </c>
      <c r="C41" s="114" t="str">
        <f>IF(PHASE_FINAL_DM!L6&lt;&gt;"",PHASE_FINAL_DM!L6,"")</f>
        <v/>
      </c>
      <c r="D41" s="107" t="s">
        <v>144</v>
      </c>
      <c r="E41" s="114" t="str">
        <f>IF(PHASE_FINAL_DM!L7&lt;&gt;"",PHASE_FINAL_DM!L7,"")</f>
        <v/>
      </c>
      <c r="F41" s="108" t="str">
        <f>PHASE_FINAL_DM!K7</f>
        <v/>
      </c>
      <c r="G41" s="108"/>
    </row>
    <row r="42" spans="1:7" x14ac:dyDescent="0.25">
      <c r="A42" s="108"/>
      <c r="B42" s="108" t="str">
        <f>PHASE_FINAL_DM!K14</f>
        <v/>
      </c>
      <c r="C42" s="114" t="str">
        <f>IF(PHASE_FINAL_DM!L14&lt;&gt;"",PHASE_FINAL_DM!L14,"")</f>
        <v/>
      </c>
      <c r="D42" s="107" t="s">
        <v>145</v>
      </c>
      <c r="E42" s="114" t="str">
        <f>IF(PHASE_FINAL_DM!L15&lt;&gt;"",PHASE_FINAL_DM!L15,"")</f>
        <v/>
      </c>
      <c r="F42" s="108" t="str">
        <f>PHASE_FINAL_DM!K15</f>
        <v/>
      </c>
      <c r="G42" s="108"/>
    </row>
    <row r="43" spans="1:7" x14ac:dyDescent="0.25">
      <c r="A43" s="109"/>
      <c r="B43" s="109" t="str">
        <f>PHASE_FINAL_DM!F6</f>
        <v/>
      </c>
      <c r="C43" s="114" t="str">
        <f>IF(PHASE_FINAL_DM!E6&lt;&gt;"",PHASE_FINAL_DM!E6,"")</f>
        <v/>
      </c>
      <c r="D43" s="107" t="s">
        <v>146</v>
      </c>
      <c r="E43" s="114" t="str">
        <f>IF(PHASE_FINAL_DM!E7&lt;&gt;"",PHASE_FINAL_DM!E7,"")</f>
        <v/>
      </c>
      <c r="F43" s="109" t="str">
        <f>PHASE_FINAL_DM!F7</f>
        <v/>
      </c>
      <c r="G43" s="109"/>
    </row>
    <row r="44" spans="1:7" x14ac:dyDescent="0.25">
      <c r="A44" s="109"/>
      <c r="B44" s="109" t="str">
        <f>PHASE_FINAL_DM!F14</f>
        <v/>
      </c>
      <c r="C44" s="114" t="str">
        <f>IF(PHASE_FINAL_DM!E14&lt;&gt;"",PHASE_FINAL_DM!E14,"")</f>
        <v/>
      </c>
      <c r="D44" s="107" t="s">
        <v>147</v>
      </c>
      <c r="E44" s="114" t="str">
        <f>IF(PHASE_FINAL_DM!E15&lt;&gt;"",PHASE_FINAL_DM!E15,"")</f>
        <v/>
      </c>
      <c r="F44" s="109" t="str">
        <f>PHASE_FINAL_DM!F15</f>
        <v/>
      </c>
      <c r="G44" s="109"/>
    </row>
    <row r="45" spans="1:7" x14ac:dyDescent="0.25">
      <c r="A45" s="109"/>
      <c r="B45" s="109" t="str">
        <f>PHASE_FINAL_DM!K23</f>
        <v/>
      </c>
      <c r="C45" s="114" t="str">
        <f>IF(PHASE_FINAL_DM!L23&lt;&gt;"",PHASE_FINAL_DM!L23,"")</f>
        <v/>
      </c>
      <c r="D45" s="107" t="s">
        <v>148</v>
      </c>
      <c r="E45" s="114" t="str">
        <f>IF(PHASE_FINAL_DM!L24&lt;&gt;"",PHASE_FINAL_DM!L24,"")</f>
        <v/>
      </c>
      <c r="F45" s="109" t="str">
        <f>PHASE_FINAL_DM!K24</f>
        <v/>
      </c>
      <c r="G45" s="109"/>
    </row>
    <row r="46" spans="1:7" x14ac:dyDescent="0.25">
      <c r="A46" s="109"/>
      <c r="B46" s="109" t="str">
        <f>PHASE_FINAL_DM!K31</f>
        <v/>
      </c>
      <c r="C46" s="114" t="str">
        <f>IF(PHASE_FINAL_DM!L31&lt;&gt;"",PHASE_FINAL_DM!L31,"")</f>
        <v/>
      </c>
      <c r="D46" s="107" t="s">
        <v>149</v>
      </c>
      <c r="E46" s="114" t="str">
        <f>IF(PHASE_FINAL_DM!L32&lt;&gt;"",PHASE_FINAL_DM!L32,"")</f>
        <v/>
      </c>
      <c r="F46" s="109" t="str">
        <f>PHASE_FINAL_DM!K32</f>
        <v/>
      </c>
      <c r="G46" s="109"/>
    </row>
    <row r="47" spans="1:7" x14ac:dyDescent="0.25">
      <c r="A47" s="109"/>
      <c r="B47" s="109" t="str">
        <f>PHASE_FINAL_DM!F23</f>
        <v/>
      </c>
      <c r="C47" s="114" t="str">
        <f>IF(PHASE_FINAL_DM!E23&lt;&gt;"",PHASE_FINAL_DM!E23,"")</f>
        <v/>
      </c>
      <c r="D47" s="107" t="s">
        <v>150</v>
      </c>
      <c r="E47" s="114" t="str">
        <f>IF(PHASE_FINAL_DM!E24&lt;&gt;"",PHASE_FINAL_DM!E24,"")</f>
        <v/>
      </c>
      <c r="F47" s="109" t="str">
        <f>PHASE_FINAL_DM!F24</f>
        <v/>
      </c>
      <c r="G47" s="109"/>
    </row>
    <row r="48" spans="1:7" x14ac:dyDescent="0.25">
      <c r="A48" s="109"/>
      <c r="B48" s="109" t="str">
        <f>PHASE_FINAL_DM!F31</f>
        <v/>
      </c>
      <c r="C48" s="114" t="str">
        <f>IF(PHASE_FINAL_DM!E31&lt;&gt;"",PHASE_FINAL_DM!E31,"")</f>
        <v/>
      </c>
      <c r="D48" s="107" t="s">
        <v>151</v>
      </c>
      <c r="E48" s="114" t="str">
        <f>IF(PHASE_FINAL_DM!E32&lt;&gt;"",PHASE_FINAL_DM!E32,"")</f>
        <v/>
      </c>
      <c r="F48" s="109" t="str">
        <f>PHASE_FINAL_DM!F32</f>
        <v/>
      </c>
      <c r="G48" s="109"/>
    </row>
    <row r="49" spans="1:7" x14ac:dyDescent="0.25">
      <c r="A49" s="105"/>
      <c r="B49" s="105"/>
      <c r="C49" s="113"/>
      <c r="D49" s="106">
        <f>1.16666666666668 + "00:20:00"</f>
        <v>1.1805555555555689</v>
      </c>
      <c r="E49" s="113"/>
      <c r="F49" s="105"/>
      <c r="G49" s="105"/>
    </row>
    <row r="50" spans="1:7" x14ac:dyDescent="0.25">
      <c r="A50" s="109"/>
      <c r="B50" s="109" t="str">
        <f>PHASE_FINAL_DM!K40</f>
        <v/>
      </c>
      <c r="C50" s="114" t="str">
        <f>IF(PHASE_FINAL_DM!L40&lt;&gt;"",PHASE_FINAL_DM!L40,"")</f>
        <v/>
      </c>
      <c r="D50" s="107" t="s">
        <v>141</v>
      </c>
      <c r="E50" s="114" t="str">
        <f>IF(PHASE_FINAL_DM!L41&lt;&gt;"",PHASE_FINAL_DM!L41,"")</f>
        <v/>
      </c>
      <c r="F50" s="109" t="str">
        <f>PHASE_FINAL_DM!K41</f>
        <v/>
      </c>
      <c r="G50" s="109"/>
    </row>
    <row r="51" spans="1:7" x14ac:dyDescent="0.25">
      <c r="A51" s="109"/>
      <c r="B51" s="109" t="str">
        <f>PHASE_FINAL_DM!K48</f>
        <v/>
      </c>
      <c r="C51" s="114" t="str">
        <f>IF(PHASE_FINAL_DM!L48&lt;&gt;"",PHASE_FINAL_DM!L48,"")</f>
        <v/>
      </c>
      <c r="D51" s="107" t="s">
        <v>142</v>
      </c>
      <c r="E51" s="114" t="str">
        <f>IF(PHASE_FINAL_DM!L49&lt;&gt;"",PHASE_FINAL_DM!L49,"")</f>
        <v/>
      </c>
      <c r="F51" s="109" t="str">
        <f>PHASE_FINAL_DM!K49</f>
        <v/>
      </c>
      <c r="G51" s="109"/>
    </row>
    <row r="52" spans="1:7" x14ac:dyDescent="0.25">
      <c r="A52" s="109"/>
      <c r="B52" s="109" t="str">
        <f>PHASE_FINAL_DM!F40</f>
        <v/>
      </c>
      <c r="C52" s="114" t="str">
        <f>IF(PHASE_FINAL_DM!E40&lt;&gt;"",PHASE_FINAL_DM!E40,"")</f>
        <v/>
      </c>
      <c r="D52" s="107" t="s">
        <v>143</v>
      </c>
      <c r="E52" s="114" t="str">
        <f>IF(PHASE_FINAL_DM!E41&lt;&gt;"",PHASE_FINAL_DM!E41,"")</f>
        <v/>
      </c>
      <c r="F52" s="109" t="str">
        <f>PHASE_FINAL_DM!F41</f>
        <v/>
      </c>
      <c r="G52" s="109"/>
    </row>
    <row r="53" spans="1:7" x14ac:dyDescent="0.25">
      <c r="A53" s="109"/>
      <c r="B53" s="109" t="str">
        <f>PHASE_FINAL_DM!F48</f>
        <v/>
      </c>
      <c r="C53" s="114" t="str">
        <f>IF(PHASE_FINAL_DM!E48&lt;&gt;"",PHASE_FINAL_DM!E48,"")</f>
        <v/>
      </c>
      <c r="D53" s="107" t="s">
        <v>144</v>
      </c>
      <c r="E53" s="114" t="str">
        <f>IF(PHASE_FINAL_DM!E49&lt;&gt;"",PHASE_FINAL_DM!E49,"")</f>
        <v/>
      </c>
      <c r="F53" s="109" t="str">
        <f>PHASE_FINAL_DM!F49</f>
        <v/>
      </c>
      <c r="G53" s="109"/>
    </row>
    <row r="54" spans="1:7" x14ac:dyDescent="0.25">
      <c r="A54" s="109"/>
      <c r="B54" s="109" t="str">
        <f>PHASE_FINAL_DM!K57</f>
        <v/>
      </c>
      <c r="C54" s="114" t="str">
        <f>IF(PHASE_FINAL_DM!L57&lt;&gt;"",PHASE_FINAL_DM!L57,"")</f>
        <v/>
      </c>
      <c r="D54" s="107" t="s">
        <v>145</v>
      </c>
      <c r="E54" s="114" t="str">
        <f>IF(PHASE_FINAL_DM!L58&lt;&gt;"",PHASE_FINAL_DM!L58,"")</f>
        <v/>
      </c>
      <c r="F54" s="109" t="str">
        <f>PHASE_FINAL_DM!K58</f>
        <v/>
      </c>
      <c r="G54" s="109"/>
    </row>
    <row r="55" spans="1:7" x14ac:dyDescent="0.25">
      <c r="A55" s="109"/>
      <c r="B55" s="109" t="str">
        <f>PHASE_FINAL_DM!K65</f>
        <v/>
      </c>
      <c r="C55" s="114" t="str">
        <f>IF(PHASE_FINAL_DM!L65&lt;&gt;"",PHASE_FINAL_DM!L65,"")</f>
        <v/>
      </c>
      <c r="D55" s="107" t="s">
        <v>146</v>
      </c>
      <c r="E55" s="114" t="str">
        <f>IF(PHASE_FINAL_DM!L66&lt;&gt;"",PHASE_FINAL_DM!L66,"")</f>
        <v/>
      </c>
      <c r="F55" s="109" t="str">
        <f>PHASE_FINAL_DM!K66</f>
        <v/>
      </c>
      <c r="G55" s="109"/>
    </row>
    <row r="56" spans="1:7" x14ac:dyDescent="0.25">
      <c r="A56" s="109"/>
      <c r="B56" s="109" t="str">
        <f>PHASE_FINAL_DM!F57</f>
        <v/>
      </c>
      <c r="C56" s="114" t="str">
        <f>IF(PHASE_FINAL_DM!E57&lt;&gt;"",PHASE_FINAL_DM!E57,"")</f>
        <v/>
      </c>
      <c r="D56" s="107" t="s">
        <v>147</v>
      </c>
      <c r="E56" s="114" t="str">
        <f>IF(PHASE_FINAL_DM!E58&lt;&gt;"",PHASE_FINAL_DM!E58,"")</f>
        <v/>
      </c>
      <c r="F56" s="109" t="str">
        <f>PHASE_FINAL_DM!F58</f>
        <v/>
      </c>
      <c r="G56" s="109"/>
    </row>
    <row r="57" spans="1:7" x14ac:dyDescent="0.25">
      <c r="A57" s="109"/>
      <c r="B57" s="109" t="str">
        <f>PHASE_FINAL_DM!F65</f>
        <v/>
      </c>
      <c r="C57" s="114" t="str">
        <f>IF(PHASE_FINAL_DM!E65&lt;&gt;"",PHASE_FINAL_DM!E65,"")</f>
        <v/>
      </c>
      <c r="D57" s="107" t="s">
        <v>148</v>
      </c>
      <c r="E57" s="114" t="str">
        <f>IF(PHASE_FINAL_DM!E66&lt;&gt;"",PHASE_FINAL_DM!E66,"")</f>
        <v/>
      </c>
      <c r="F57" s="109" t="str">
        <f>PHASE_FINAL_DM!F66</f>
        <v/>
      </c>
      <c r="G57" s="109"/>
    </row>
    <row r="58" spans="1:7" x14ac:dyDescent="0.25">
      <c r="A58" s="109"/>
      <c r="B58" s="109" t="str">
        <f>PHASE_FINAL_DH!K6</f>
        <v/>
      </c>
      <c r="C58" s="114" t="str">
        <f>IF(PHASE_FINAL_DH!L6&lt;&gt;"",PHASE_FINAL_DH!L6,"")</f>
        <v/>
      </c>
      <c r="D58" s="107" t="s">
        <v>155</v>
      </c>
      <c r="E58" s="114" t="str">
        <f>IF(PHASE_FINAL_DH!L7&lt;&gt;"",PHASE_FINAL_DH!L7,"")</f>
        <v/>
      </c>
      <c r="F58" s="109" t="str">
        <f>PHASE_FINAL_DH!K7</f>
        <v/>
      </c>
      <c r="G58" s="109"/>
    </row>
    <row r="59" spans="1:7" x14ac:dyDescent="0.25">
      <c r="A59" s="109"/>
      <c r="B59" s="109" t="str">
        <f>PHASE_FINAL_DH!K14</f>
        <v/>
      </c>
      <c r="C59" s="114" t="str">
        <f>IF(PHASE_FINAL_DH!L14&lt;&gt;"",PHASE_FINAL_DH!L14,"")</f>
        <v/>
      </c>
      <c r="D59" s="107" t="s">
        <v>156</v>
      </c>
      <c r="E59" s="114" t="str">
        <f>IF(PHASE_FINAL_DH!L15&lt;&gt;"",PHASE_FINAL_DH!L15,"")</f>
        <v/>
      </c>
      <c r="F59" s="109" t="str">
        <f>PHASE_FINAL_DH!K15</f>
        <v/>
      </c>
      <c r="G59" s="109"/>
    </row>
    <row r="60" spans="1:7" x14ac:dyDescent="0.25">
      <c r="A60" s="109"/>
      <c r="B60" s="109" t="str">
        <f>PHASE_FINAL_DH!F6</f>
        <v/>
      </c>
      <c r="C60" s="114" t="str">
        <f>IF(PHASE_FINAL_DH!E6&lt;&gt;"",PHASE_FINAL_DH!E6,"")</f>
        <v/>
      </c>
      <c r="D60" s="107" t="s">
        <v>157</v>
      </c>
      <c r="E60" s="114" t="str">
        <f>IF(PHASE_FINAL_DH!E7&lt;&gt;"",PHASE_FINAL_DH!E7,"")</f>
        <v/>
      </c>
      <c r="F60" s="109" t="str">
        <f>PHASE_FINAL_DH!F7</f>
        <v/>
      </c>
      <c r="G60" s="109"/>
    </row>
    <row r="61" spans="1:7" x14ac:dyDescent="0.25">
      <c r="A61" s="105"/>
      <c r="B61" s="105"/>
      <c r="C61" s="113"/>
      <c r="D61" s="106">
        <f>1.18055555555557 + "00:20:00"</f>
        <v>1.1944444444444589</v>
      </c>
      <c r="E61" s="113"/>
      <c r="F61" s="105"/>
      <c r="G61" s="105"/>
    </row>
    <row r="62" spans="1:7" x14ac:dyDescent="0.25">
      <c r="A62" s="109"/>
      <c r="B62" s="109" t="str">
        <f>PHASE_FINAL_DH!F14</f>
        <v/>
      </c>
      <c r="C62" s="114" t="str">
        <f>IF(PHASE_FINAL_DH!E14&lt;&gt;"",PHASE_FINAL_DH!E14,"")</f>
        <v/>
      </c>
      <c r="D62" s="107" t="s">
        <v>158</v>
      </c>
      <c r="E62" s="114" t="str">
        <f>IF(PHASE_FINAL_DH!E15&lt;&gt;"",PHASE_FINAL_DH!E15,"")</f>
        <v/>
      </c>
      <c r="F62" s="109" t="str">
        <f>PHASE_FINAL_DH!F15</f>
        <v/>
      </c>
      <c r="G62" s="109"/>
    </row>
    <row r="63" spans="1:7" x14ac:dyDescent="0.25">
      <c r="A63" s="109"/>
      <c r="B63" s="109" t="str">
        <f>PHASE_FINAL_DH!K23</f>
        <v/>
      </c>
      <c r="C63" s="114" t="str">
        <f>IF(PHASE_FINAL_DH!L23&lt;&gt;"",PHASE_FINAL_DH!L23,"")</f>
        <v/>
      </c>
      <c r="D63" s="107" t="s">
        <v>159</v>
      </c>
      <c r="E63" s="114" t="str">
        <f>IF(PHASE_FINAL_DH!L24&lt;&gt;"",PHASE_FINAL_DH!L24,"")</f>
        <v/>
      </c>
      <c r="F63" s="109" t="str">
        <f>PHASE_FINAL_DH!K24</f>
        <v/>
      </c>
      <c r="G63" s="109"/>
    </row>
    <row r="64" spans="1:7" x14ac:dyDescent="0.25">
      <c r="A64" s="109"/>
      <c r="B64" s="109" t="str">
        <f>PHASE_FINAL_DH!K31</f>
        <v/>
      </c>
      <c r="C64" s="114" t="str">
        <f>IF(PHASE_FINAL_DH!L31&lt;&gt;"",PHASE_FINAL_DH!L31,"")</f>
        <v/>
      </c>
      <c r="D64" s="107" t="s">
        <v>160</v>
      </c>
      <c r="E64" s="114" t="str">
        <f>IF(PHASE_FINAL_DH!L32&lt;&gt;"",PHASE_FINAL_DH!L32,"")</f>
        <v/>
      </c>
      <c r="F64" s="109" t="str">
        <f>PHASE_FINAL_DH!K32</f>
        <v/>
      </c>
      <c r="G64" s="109"/>
    </row>
    <row r="65" spans="1:7" x14ac:dyDescent="0.25">
      <c r="A65" s="109"/>
      <c r="B65" s="109" t="str">
        <f>PHASE_FINAL_DH!F23</f>
        <v/>
      </c>
      <c r="C65" s="114" t="str">
        <f>IF(PHASE_FINAL_DH!E23&lt;&gt;"",PHASE_FINAL_DH!E23,"")</f>
        <v/>
      </c>
      <c r="D65" s="107" t="s">
        <v>170</v>
      </c>
      <c r="E65" s="114" t="str">
        <f>IF(PHASE_FINAL_DH!E24&lt;&gt;"",PHASE_FINAL_DH!E24,"")</f>
        <v/>
      </c>
      <c r="F65" s="109" t="str">
        <f>PHASE_FINAL_DH!F24</f>
        <v/>
      </c>
      <c r="G65" s="109"/>
    </row>
    <row r="66" spans="1:7" x14ac:dyDescent="0.25">
      <c r="A66" s="109"/>
      <c r="B66" s="109" t="str">
        <f>PHASE_FINAL_DH!F31</f>
        <v/>
      </c>
      <c r="C66" s="114" t="str">
        <f>IF(PHASE_FINAL_DH!E31&lt;&gt;"",PHASE_FINAL_DH!E31,"")</f>
        <v/>
      </c>
      <c r="D66" s="107" t="s">
        <v>172</v>
      </c>
      <c r="E66" s="114" t="str">
        <f>IF(PHASE_FINAL_DH!E32&lt;&gt;"",PHASE_FINAL_DH!E32,"")</f>
        <v/>
      </c>
      <c r="F66" s="109" t="str">
        <f>PHASE_FINAL_DH!F32</f>
        <v/>
      </c>
      <c r="G66" s="109"/>
    </row>
    <row r="67" spans="1:7" x14ac:dyDescent="0.25">
      <c r="A67" s="109"/>
      <c r="B67" s="109" t="str">
        <f>PHASE_FINAL_DH!K40</f>
        <v/>
      </c>
      <c r="C67" s="114" t="str">
        <f>IF(PHASE_FINAL_DH!L40&lt;&gt;"",PHASE_FINAL_DH!L40,"")</f>
        <v/>
      </c>
      <c r="D67" s="107" t="s">
        <v>152</v>
      </c>
      <c r="E67" s="114" t="str">
        <f>IF(PHASE_FINAL_DH!L41&lt;&gt;"",PHASE_FINAL_DH!L41,"")</f>
        <v/>
      </c>
      <c r="F67" s="109" t="str">
        <f>PHASE_FINAL_DH!K41</f>
        <v/>
      </c>
      <c r="G67" s="109"/>
    </row>
    <row r="68" spans="1:7" x14ac:dyDescent="0.25">
      <c r="A68" s="109"/>
      <c r="B68" s="109" t="str">
        <f>PHASE_FINAL_DH!F40</f>
        <v/>
      </c>
      <c r="C68" s="114" t="str">
        <f>IF(PHASE_FINAL_DH!E40&lt;&gt;"",PHASE_FINAL_DH!E40,"")</f>
        <v/>
      </c>
      <c r="D68" s="107" t="s">
        <v>153</v>
      </c>
      <c r="E68" s="114" t="str">
        <f>IF(PHASE_FINAL_DH!E41&lt;&gt;"",PHASE_FINAL_DH!E41,"")</f>
        <v/>
      </c>
      <c r="F68" s="109" t="str">
        <f>PHASE_FINAL_DH!F41</f>
        <v/>
      </c>
      <c r="G68" s="109"/>
    </row>
    <row r="69" spans="1:7" x14ac:dyDescent="0.25">
      <c r="A69" s="109"/>
      <c r="B69" s="109" t="str">
        <f>PHASE_FINAL_SH!K6</f>
        <v/>
      </c>
      <c r="C69" s="114" t="str">
        <f>IF(PHASE_FINAL_SH!L6&lt;&gt;"",PHASE_FINAL_SH!L6,"")</f>
        <v/>
      </c>
      <c r="D69" s="107" t="s">
        <v>165</v>
      </c>
      <c r="E69" s="114" t="str">
        <f>IF(PHASE_FINAL_SH!L7&lt;&gt;"",PHASE_FINAL_SH!L7,"")</f>
        <v/>
      </c>
      <c r="F69" s="109" t="str">
        <f>PHASE_FINAL_SH!K7</f>
        <v/>
      </c>
      <c r="G69" s="109"/>
    </row>
    <row r="70" spans="1:7" x14ac:dyDescent="0.25">
      <c r="A70" s="109"/>
      <c r="B70" s="109" t="str">
        <f>PHASE_FINAL_SH!K14</f>
        <v/>
      </c>
      <c r="C70" s="114" t="str">
        <f>IF(PHASE_FINAL_SH!L14&lt;&gt;"",PHASE_FINAL_SH!L14,"")</f>
        <v/>
      </c>
      <c r="D70" s="107" t="s">
        <v>166</v>
      </c>
      <c r="E70" s="114" t="str">
        <f>IF(PHASE_FINAL_SH!L15&lt;&gt;"",PHASE_FINAL_SH!L15,"")</f>
        <v/>
      </c>
      <c r="F70" s="109" t="str">
        <f>PHASE_FINAL_SH!K15</f>
        <v/>
      </c>
      <c r="G70" s="109"/>
    </row>
    <row r="71" spans="1:7" x14ac:dyDescent="0.25">
      <c r="A71" s="109"/>
      <c r="B71" s="109" t="str">
        <f>PHASE_FINAL_SH!F6</f>
        <v/>
      </c>
      <c r="C71" s="114" t="str">
        <f>IF(PHASE_FINAL_SH!E6&lt;&gt;"",PHASE_FINAL_SH!E6,"")</f>
        <v/>
      </c>
      <c r="D71" s="107" t="s">
        <v>167</v>
      </c>
      <c r="E71" s="114" t="str">
        <f>IF(PHASE_FINAL_SH!E7&lt;&gt;"",PHASE_FINAL_SH!E7,"")</f>
        <v/>
      </c>
      <c r="F71" s="109" t="str">
        <f>PHASE_FINAL_SH!F7</f>
        <v/>
      </c>
      <c r="G71" s="109"/>
    </row>
    <row r="72" spans="1:7" x14ac:dyDescent="0.25">
      <c r="A72" s="109"/>
      <c r="B72" s="109" t="str">
        <f>PHASE_FINAL_SH!F14</f>
        <v/>
      </c>
      <c r="C72" s="114" t="str">
        <f>IF(PHASE_FINAL_SH!E14&lt;&gt;"",PHASE_FINAL_SH!E14,"")</f>
        <v/>
      </c>
      <c r="D72" s="107" t="s">
        <v>168</v>
      </c>
      <c r="E72" s="114" t="str">
        <f>IF(PHASE_FINAL_SH!E15&lt;&gt;"",PHASE_FINAL_SH!E15,"")</f>
        <v/>
      </c>
      <c r="F72" s="109" t="str">
        <f>PHASE_FINAL_SH!F15</f>
        <v/>
      </c>
      <c r="G72" s="109"/>
    </row>
    <row r="73" spans="1:7" x14ac:dyDescent="0.25">
      <c r="A73" s="105"/>
      <c r="B73" s="105"/>
      <c r="C73" s="113"/>
      <c r="D73" s="106">
        <f>1.19444444444446 + "00:20:00"</f>
        <v>1.2083333333333488</v>
      </c>
      <c r="E73" s="113"/>
      <c r="F73" s="105"/>
      <c r="G73" s="105"/>
    </row>
    <row r="74" spans="1:7" x14ac:dyDescent="0.25">
      <c r="A74" s="109"/>
      <c r="B74" s="109" t="str">
        <f>PHASE_FINAL_SH!K23</f>
        <v/>
      </c>
      <c r="C74" s="114" t="str">
        <f>IF(PHASE_FINAL_SH!L23&lt;&gt;"",PHASE_FINAL_SH!L23,"")</f>
        <v/>
      </c>
      <c r="D74" s="107" t="s">
        <v>169</v>
      </c>
      <c r="E74" s="114" t="str">
        <f>IF(PHASE_FINAL_SH!L24&lt;&gt;"",PHASE_FINAL_SH!L24,"")</f>
        <v/>
      </c>
      <c r="F74" s="109" t="str">
        <f>PHASE_FINAL_SH!K24</f>
        <v/>
      </c>
      <c r="G74" s="109"/>
    </row>
    <row r="75" spans="1:7" x14ac:dyDescent="0.25">
      <c r="A75" s="109"/>
      <c r="B75" s="109" t="str">
        <f>PHASE_FINAL_SH!K31</f>
        <v/>
      </c>
      <c r="C75" s="114" t="str">
        <f>IF(PHASE_FINAL_SH!L31&lt;&gt;"",PHASE_FINAL_SH!L31,"")</f>
        <v/>
      </c>
      <c r="D75" s="107" t="s">
        <v>171</v>
      </c>
      <c r="E75" s="114" t="str">
        <f>IF(PHASE_FINAL_SH!L32&lt;&gt;"",PHASE_FINAL_SH!L32,"")</f>
        <v/>
      </c>
      <c r="F75" s="109" t="str">
        <f>PHASE_FINAL_SH!K32</f>
        <v/>
      </c>
      <c r="G75" s="109"/>
    </row>
    <row r="76" spans="1:7" x14ac:dyDescent="0.25">
      <c r="A76" s="109"/>
      <c r="B76" s="109" t="str">
        <f>PHASE_FINAL_SH!F23</f>
        <v/>
      </c>
      <c r="C76" s="114" t="str">
        <f>IF(PHASE_FINAL_SH!E23&lt;&gt;"",PHASE_FINAL_SH!E23,"")</f>
        <v/>
      </c>
      <c r="D76" s="107" t="s">
        <v>173</v>
      </c>
      <c r="E76" s="114" t="str">
        <f>IF(PHASE_FINAL_SH!E24&lt;&gt;"",PHASE_FINAL_SH!E24,"")</f>
        <v/>
      </c>
      <c r="F76" s="109" t="str">
        <f>PHASE_FINAL_SH!F24</f>
        <v/>
      </c>
      <c r="G76" s="109"/>
    </row>
    <row r="77" spans="1:7" x14ac:dyDescent="0.25">
      <c r="A77" s="109"/>
      <c r="B77" s="109" t="str">
        <f>PHASE_FINAL_SH!F31</f>
        <v/>
      </c>
      <c r="C77" s="114" t="str">
        <f>IF(PHASE_FINAL_SH!E31&lt;&gt;"",PHASE_FINAL_SH!E31,"")</f>
        <v/>
      </c>
      <c r="D77" s="107" t="s">
        <v>161</v>
      </c>
      <c r="E77" s="114" t="str">
        <f>IF(PHASE_FINAL_SH!E32&lt;&gt;"",PHASE_FINAL_SH!E32,"")</f>
        <v/>
      </c>
      <c r="F77" s="109" t="str">
        <f>PHASE_FINAL_SH!F32</f>
        <v/>
      </c>
      <c r="G77" s="109"/>
    </row>
    <row r="78" spans="1:7" x14ac:dyDescent="0.25">
      <c r="A78" s="109"/>
      <c r="B78" s="109" t="str">
        <f>PHASE_FINAL_SH!K40</f>
        <v/>
      </c>
      <c r="C78" s="114" t="str">
        <f>IF(PHASE_FINAL_SH!L40&lt;&gt;"",PHASE_FINAL_SH!L40,"")</f>
        <v/>
      </c>
      <c r="D78" s="107" t="s">
        <v>162</v>
      </c>
      <c r="E78" s="114" t="str">
        <f>IF(PHASE_FINAL_SH!L41&lt;&gt;"",PHASE_FINAL_SH!L41,"")</f>
        <v/>
      </c>
      <c r="F78" s="109" t="str">
        <f>PHASE_FINAL_SH!K41</f>
        <v/>
      </c>
      <c r="G78" s="109"/>
    </row>
    <row r="79" spans="1:7" x14ac:dyDescent="0.25">
      <c r="A79" s="109"/>
      <c r="B79" s="109" t="str">
        <f>PHASE_FINAL_SH!F40</f>
        <v/>
      </c>
      <c r="C79" s="114" t="str">
        <f>IF(PHASE_FINAL_SH!E40&lt;&gt;"",PHASE_FINAL_SH!E40,"")</f>
        <v/>
      </c>
      <c r="D79" s="107" t="s">
        <v>163</v>
      </c>
      <c r="E79" s="114" t="str">
        <f>IF(PHASE_FINAL_SH!E41&lt;&gt;"",PHASE_FINAL_SH!E41,"")</f>
        <v/>
      </c>
      <c r="F79" s="109" t="str">
        <f>PHASE_FINAL_SH!F41</f>
        <v/>
      </c>
      <c r="G79" s="109"/>
    </row>
    <row r="80" spans="1:7" x14ac:dyDescent="0.25">
      <c r="A80" s="109"/>
      <c r="B80" s="109" t="str">
        <f>PHASE_FINAL_DM!N8</f>
        <v/>
      </c>
      <c r="C80" s="114" t="str">
        <f>IF(PHASE_FINAL_DM!O8&lt;&gt;"",PHASE_FINAL_DM!O8,"")</f>
        <v/>
      </c>
      <c r="D80" s="107" t="s">
        <v>147</v>
      </c>
      <c r="E80" s="114" t="str">
        <f>IF(PHASE_FINAL_DM!O9&lt;&gt;"",PHASE_FINAL_DM!O9,"")</f>
        <v/>
      </c>
      <c r="F80" s="109" t="str">
        <f>PHASE_FINAL_DM!N9</f>
        <v/>
      </c>
      <c r="G80" s="109"/>
    </row>
    <row r="81" spans="1:7" x14ac:dyDescent="0.25">
      <c r="A81" s="109"/>
      <c r="B81" s="109" t="str">
        <f>PHASE_FINAL_DM!N12</f>
        <v/>
      </c>
      <c r="C81" s="114" t="str">
        <f>IF(PHASE_FINAL_DM!O12&lt;&gt;"",PHASE_FINAL_DM!O12,"")</f>
        <v/>
      </c>
      <c r="D81" s="107" t="s">
        <v>148</v>
      </c>
      <c r="E81" s="114" t="str">
        <f>IF(PHASE_FINAL_DM!O13&lt;&gt;"",PHASE_FINAL_DM!O13,"")</f>
        <v/>
      </c>
      <c r="F81" s="109" t="str">
        <f>PHASE_FINAL_DM!N13</f>
        <v/>
      </c>
      <c r="G81" s="109"/>
    </row>
    <row r="82" spans="1:7" x14ac:dyDescent="0.25">
      <c r="A82" s="109"/>
      <c r="B82" s="109" t="str">
        <f>PHASE_FINAL_DM!C8</f>
        <v/>
      </c>
      <c r="C82" s="114" t="str">
        <f>IF(PHASE_FINAL_DM!B8&lt;&gt;"",PHASE_FINAL_DM!B8,"")</f>
        <v/>
      </c>
      <c r="D82" s="107" t="s">
        <v>149</v>
      </c>
      <c r="E82" s="114" t="str">
        <f>IF(PHASE_FINAL_DM!B9&lt;&gt;"",PHASE_FINAL_DM!B9,"")</f>
        <v/>
      </c>
      <c r="F82" s="109" t="str">
        <f>PHASE_FINAL_DM!C9</f>
        <v/>
      </c>
      <c r="G82" s="109"/>
    </row>
    <row r="83" spans="1:7" x14ac:dyDescent="0.25">
      <c r="A83" s="109"/>
      <c r="B83" s="109" t="str">
        <f>PHASE_FINAL_DM!C12</f>
        <v/>
      </c>
      <c r="C83" s="114" t="str">
        <f>IF(PHASE_FINAL_DM!B12&lt;&gt;"",PHASE_FINAL_DM!B12,"")</f>
        <v/>
      </c>
      <c r="D83" s="107" t="s">
        <v>150</v>
      </c>
      <c r="E83" s="114" t="str">
        <f>IF(PHASE_FINAL_DM!B13&lt;&gt;"",PHASE_FINAL_DM!B13,"")</f>
        <v/>
      </c>
      <c r="F83" s="109" t="str">
        <f>PHASE_FINAL_DM!C13</f>
        <v/>
      </c>
      <c r="G83" s="109"/>
    </row>
    <row r="84" spans="1:7" x14ac:dyDescent="0.25">
      <c r="A84" s="110"/>
      <c r="B84" s="110" t="str">
        <f>PHASE_FINAL_DM!N25</f>
        <v/>
      </c>
      <c r="C84" s="114" t="str">
        <f>IF(PHASE_FINAL_DM!O25&lt;&gt;"",PHASE_FINAL_DM!O25,"")</f>
        <v/>
      </c>
      <c r="D84" s="107" t="s">
        <v>151</v>
      </c>
      <c r="E84" s="114" t="str">
        <f>IF(PHASE_FINAL_DM!O26&lt;&gt;"",PHASE_FINAL_DM!O26,"")</f>
        <v/>
      </c>
      <c r="F84" s="110" t="str">
        <f>PHASE_FINAL_DM!N26</f>
        <v/>
      </c>
      <c r="G84" s="110"/>
    </row>
    <row r="85" spans="1:7" x14ac:dyDescent="0.25">
      <c r="A85" s="105"/>
      <c r="B85" s="105"/>
      <c r="C85" s="113"/>
      <c r="D85" s="106">
        <f>1.20833333333335 + "00:20:00"</f>
        <v>1.2222222222222388</v>
      </c>
      <c r="E85" s="113"/>
      <c r="F85" s="105"/>
      <c r="G85" s="105"/>
    </row>
    <row r="86" spans="1:7" x14ac:dyDescent="0.25">
      <c r="A86" s="110"/>
      <c r="B86" s="110" t="str">
        <f>PHASE_FINAL_DM!N29</f>
        <v/>
      </c>
      <c r="C86" s="114" t="str">
        <f>IF(PHASE_FINAL_DM!O29&lt;&gt;"",PHASE_FINAL_DM!O29,"")</f>
        <v/>
      </c>
      <c r="D86" s="107" t="s">
        <v>141</v>
      </c>
      <c r="E86" s="114" t="str">
        <f>IF(PHASE_FINAL_DM!O30&lt;&gt;"",PHASE_FINAL_DM!O30,"")</f>
        <v/>
      </c>
      <c r="F86" s="110" t="str">
        <f>PHASE_FINAL_DM!N30</f>
        <v/>
      </c>
      <c r="G86" s="110"/>
    </row>
    <row r="87" spans="1:7" x14ac:dyDescent="0.25">
      <c r="A87" s="110"/>
      <c r="B87" s="110" t="str">
        <f>PHASE_FINAL_DM!C25</f>
        <v/>
      </c>
      <c r="C87" s="114" t="str">
        <f>IF(PHASE_FINAL_DM!B25&lt;&gt;"",PHASE_FINAL_DM!B25,"")</f>
        <v/>
      </c>
      <c r="D87" s="107" t="s">
        <v>142</v>
      </c>
      <c r="E87" s="114" t="str">
        <f>IF(PHASE_FINAL_DM!B26&lt;&gt;"",PHASE_FINAL_DM!B26,"")</f>
        <v/>
      </c>
      <c r="F87" s="110" t="str">
        <f>PHASE_FINAL_DM!C26</f>
        <v/>
      </c>
      <c r="G87" s="110"/>
    </row>
    <row r="88" spans="1:7" x14ac:dyDescent="0.25">
      <c r="A88" s="110"/>
      <c r="B88" s="110" t="str">
        <f>PHASE_FINAL_DM!C29</f>
        <v/>
      </c>
      <c r="C88" s="114" t="str">
        <f>IF(PHASE_FINAL_DM!B29&lt;&gt;"",PHASE_FINAL_DM!B29,"")</f>
        <v/>
      </c>
      <c r="D88" s="107" t="s">
        <v>143</v>
      </c>
      <c r="E88" s="114" t="str">
        <f>IF(PHASE_FINAL_DM!B30&lt;&gt;"",PHASE_FINAL_DM!B30,"")</f>
        <v/>
      </c>
      <c r="F88" s="110" t="str">
        <f>PHASE_FINAL_DM!C30</f>
        <v/>
      </c>
      <c r="G88" s="110"/>
    </row>
    <row r="89" spans="1:7" x14ac:dyDescent="0.25">
      <c r="A89" s="110"/>
      <c r="B89" s="110" t="str">
        <f>PHASE_FINAL_DM!N42</f>
        <v/>
      </c>
      <c r="C89" s="114" t="str">
        <f>IF(PHASE_FINAL_DM!O42&lt;&gt;"",PHASE_FINAL_DM!O42,"")</f>
        <v/>
      </c>
      <c r="D89" s="107" t="s">
        <v>144</v>
      </c>
      <c r="E89" s="114" t="str">
        <f>IF(PHASE_FINAL_DM!O43&lt;&gt;"",PHASE_FINAL_DM!O43,"")</f>
        <v/>
      </c>
      <c r="F89" s="110" t="str">
        <f>PHASE_FINAL_DM!N43</f>
        <v/>
      </c>
      <c r="G89" s="110"/>
    </row>
    <row r="90" spans="1:7" x14ac:dyDescent="0.25">
      <c r="A90" s="110"/>
      <c r="B90" s="110" t="str">
        <f>PHASE_FINAL_DM!N46</f>
        <v/>
      </c>
      <c r="C90" s="114" t="str">
        <f>IF(PHASE_FINAL_DM!O46&lt;&gt;"",PHASE_FINAL_DM!O46,"")</f>
        <v/>
      </c>
      <c r="D90" s="107" t="s">
        <v>145</v>
      </c>
      <c r="E90" s="114" t="str">
        <f>IF(PHASE_FINAL_DM!O47&lt;&gt;"",PHASE_FINAL_DM!O47,"")</f>
        <v/>
      </c>
      <c r="F90" s="110" t="str">
        <f>PHASE_FINAL_DM!N47</f>
        <v/>
      </c>
      <c r="G90" s="110"/>
    </row>
    <row r="91" spans="1:7" x14ac:dyDescent="0.25">
      <c r="A91" s="110"/>
      <c r="B91" s="110" t="str">
        <f>PHASE_FINAL_DM!C42</f>
        <v/>
      </c>
      <c r="C91" s="114" t="str">
        <f>IF(PHASE_FINAL_DM!B42&lt;&gt;"",PHASE_FINAL_DM!B42,"")</f>
        <v/>
      </c>
      <c r="D91" s="107" t="s">
        <v>146</v>
      </c>
      <c r="E91" s="114" t="str">
        <f>IF(PHASE_FINAL_DM!B43&lt;&gt;"",PHASE_FINAL_DM!B43,"")</f>
        <v/>
      </c>
      <c r="F91" s="110" t="str">
        <f>PHASE_FINAL_DM!C43</f>
        <v/>
      </c>
      <c r="G91" s="110"/>
    </row>
    <row r="92" spans="1:7" x14ac:dyDescent="0.25">
      <c r="A92" s="110"/>
      <c r="B92" s="110" t="str">
        <f>PHASE_FINAL_DM!C46</f>
        <v/>
      </c>
      <c r="C92" s="114" t="str">
        <f>IF(PHASE_FINAL_DM!B46&lt;&gt;"",PHASE_FINAL_DM!B46,"")</f>
        <v/>
      </c>
      <c r="D92" s="107" t="s">
        <v>147</v>
      </c>
      <c r="E92" s="114" t="str">
        <f>IF(PHASE_FINAL_DM!B47&lt;&gt;"",PHASE_FINAL_DM!B47,"")</f>
        <v/>
      </c>
      <c r="F92" s="110" t="str">
        <f>PHASE_FINAL_DM!C47</f>
        <v/>
      </c>
      <c r="G92" s="110"/>
    </row>
    <row r="93" spans="1:7" x14ac:dyDescent="0.25">
      <c r="A93" s="110"/>
      <c r="B93" s="110" t="str">
        <f>PHASE_FINAL_DM!N59</f>
        <v/>
      </c>
      <c r="C93" s="114" t="str">
        <f>IF(PHASE_FINAL_DM!O59&lt;&gt;"",PHASE_FINAL_DM!O59,"")</f>
        <v/>
      </c>
      <c r="D93" s="107" t="s">
        <v>148</v>
      </c>
      <c r="E93" s="114" t="str">
        <f>IF(PHASE_FINAL_DM!O60&lt;&gt;"",PHASE_FINAL_DM!O60,"")</f>
        <v/>
      </c>
      <c r="F93" s="110" t="str">
        <f>PHASE_FINAL_DM!N60</f>
        <v/>
      </c>
      <c r="G93" s="110"/>
    </row>
    <row r="94" spans="1:7" x14ac:dyDescent="0.25">
      <c r="A94" s="110"/>
      <c r="B94" s="110" t="str">
        <f>PHASE_FINAL_DM!N63</f>
        <v/>
      </c>
      <c r="C94" s="114" t="str">
        <f>IF(PHASE_FINAL_DM!O63&lt;&gt;"",PHASE_FINAL_DM!O63,"")</f>
        <v/>
      </c>
      <c r="D94" s="107" t="s">
        <v>149</v>
      </c>
      <c r="E94" s="114" t="str">
        <f>IF(PHASE_FINAL_DM!O64&lt;&gt;"",PHASE_FINAL_DM!O64,"")</f>
        <v/>
      </c>
      <c r="F94" s="110" t="str">
        <f>PHASE_FINAL_DM!N64</f>
        <v/>
      </c>
      <c r="G94" s="110"/>
    </row>
    <row r="95" spans="1:7" x14ac:dyDescent="0.25">
      <c r="A95" s="110"/>
      <c r="B95" s="110" t="str">
        <f>PHASE_FINAL_DM!C59</f>
        <v/>
      </c>
      <c r="C95" s="114" t="str">
        <f>IF(PHASE_FINAL_DM!B59&lt;&gt;"",PHASE_FINAL_DM!B59,"")</f>
        <v/>
      </c>
      <c r="D95" s="107" t="s">
        <v>150</v>
      </c>
      <c r="E95" s="114" t="str">
        <f>IF(PHASE_FINAL_DM!B60&lt;&gt;"",PHASE_FINAL_DM!B60,"")</f>
        <v/>
      </c>
      <c r="F95" s="110" t="str">
        <f>PHASE_FINAL_DM!C60</f>
        <v/>
      </c>
      <c r="G95" s="110"/>
    </row>
    <row r="96" spans="1:7" x14ac:dyDescent="0.25">
      <c r="A96" s="110"/>
      <c r="B96" s="110" t="str">
        <f>PHASE_FINAL_DM!C63</f>
        <v/>
      </c>
      <c r="C96" s="114" t="str">
        <f>IF(PHASE_FINAL_DM!B63&lt;&gt;"",PHASE_FINAL_DM!B63,"")</f>
        <v/>
      </c>
      <c r="D96" s="107" t="s">
        <v>151</v>
      </c>
      <c r="E96" s="114" t="str">
        <f>IF(PHASE_FINAL_DM!B64&lt;&gt;"",PHASE_FINAL_DM!B64,"")</f>
        <v/>
      </c>
      <c r="F96" s="110" t="str">
        <f>PHASE_FINAL_DM!C64</f>
        <v/>
      </c>
      <c r="G96" s="110"/>
    </row>
    <row r="97" spans="1:7" x14ac:dyDescent="0.25">
      <c r="A97" s="105"/>
      <c r="B97" s="105"/>
      <c r="C97" s="113"/>
      <c r="D97" s="106">
        <f>1.22222222222224 + "00:20:00"</f>
        <v>1.2361111111111289</v>
      </c>
      <c r="E97" s="113"/>
      <c r="F97" s="105"/>
      <c r="G97" s="105"/>
    </row>
    <row r="98" spans="1:7" x14ac:dyDescent="0.25">
      <c r="A98" s="110"/>
      <c r="B98" s="110" t="str">
        <f>PHASE_FINAL_DH!N8</f>
        <v/>
      </c>
      <c r="C98" s="114" t="str">
        <f>IF(PHASE_FINAL_DH!O8&lt;&gt;"",PHASE_FINAL_DH!O8,"")</f>
        <v/>
      </c>
      <c r="D98" s="107" t="s">
        <v>158</v>
      </c>
      <c r="E98" s="114" t="str">
        <f>IF(PHASE_FINAL_DH!O9&lt;&gt;"",PHASE_FINAL_DH!O9,"")</f>
        <v/>
      </c>
      <c r="F98" s="110" t="str">
        <f>PHASE_FINAL_DH!N9</f>
        <v/>
      </c>
      <c r="G98" s="110"/>
    </row>
    <row r="99" spans="1:7" x14ac:dyDescent="0.25">
      <c r="A99" s="110"/>
      <c r="B99" s="110" t="str">
        <f>PHASE_FINAL_DH!N12</f>
        <v/>
      </c>
      <c r="C99" s="114" t="str">
        <f>IF(PHASE_FINAL_DH!O12&lt;&gt;"",PHASE_FINAL_DH!O12,"")</f>
        <v/>
      </c>
      <c r="D99" s="107" t="s">
        <v>159</v>
      </c>
      <c r="E99" s="114" t="str">
        <f>IF(PHASE_FINAL_DH!O13&lt;&gt;"",PHASE_FINAL_DH!O13,"")</f>
        <v/>
      </c>
      <c r="F99" s="110" t="str">
        <f>PHASE_FINAL_DH!N13</f>
        <v/>
      </c>
      <c r="G99" s="110"/>
    </row>
    <row r="100" spans="1:7" x14ac:dyDescent="0.25">
      <c r="A100" s="110"/>
      <c r="B100" s="110" t="str">
        <f>PHASE_FINAL_DH!C8</f>
        <v/>
      </c>
      <c r="C100" s="114" t="str">
        <f>IF(PHASE_FINAL_DH!B8&lt;&gt;"",PHASE_FINAL_DH!B8,"")</f>
        <v/>
      </c>
      <c r="D100" s="107" t="s">
        <v>160</v>
      </c>
      <c r="E100" s="114" t="str">
        <f>IF(PHASE_FINAL_DH!B9&lt;&gt;"",PHASE_FINAL_DH!B9,"")</f>
        <v/>
      </c>
      <c r="F100" s="110" t="str">
        <f>PHASE_FINAL_DH!C9</f>
        <v/>
      </c>
      <c r="G100" s="110"/>
    </row>
    <row r="101" spans="1:7" x14ac:dyDescent="0.25">
      <c r="A101" s="110"/>
      <c r="B101" s="110" t="str">
        <f>PHASE_FINAL_DH!C12</f>
        <v/>
      </c>
      <c r="C101" s="114" t="str">
        <f>IF(PHASE_FINAL_DH!B12&lt;&gt;"",PHASE_FINAL_DH!B12,"")</f>
        <v/>
      </c>
      <c r="D101" s="107" t="s">
        <v>170</v>
      </c>
      <c r="E101" s="114" t="str">
        <f>IF(PHASE_FINAL_DH!B13&lt;&gt;"",PHASE_FINAL_DH!B13,"")</f>
        <v/>
      </c>
      <c r="F101" s="110" t="str">
        <f>PHASE_FINAL_DH!C13</f>
        <v/>
      </c>
      <c r="G101" s="110"/>
    </row>
    <row r="102" spans="1:7" x14ac:dyDescent="0.25">
      <c r="A102" s="110"/>
      <c r="B102" s="110" t="str">
        <f>PHASE_FINAL_DH!N25</f>
        <v/>
      </c>
      <c r="C102" s="114" t="str">
        <f>IF(PHASE_FINAL_DH!O25&lt;&gt;"",PHASE_FINAL_DH!O25,"")</f>
        <v/>
      </c>
      <c r="D102" s="107" t="s">
        <v>172</v>
      </c>
      <c r="E102" s="114" t="str">
        <f>IF(PHASE_FINAL_DH!O26&lt;&gt;"",PHASE_FINAL_DH!O26,"")</f>
        <v/>
      </c>
      <c r="F102" s="110" t="str">
        <f>PHASE_FINAL_DH!N26</f>
        <v/>
      </c>
      <c r="G102" s="110"/>
    </row>
    <row r="103" spans="1:7" x14ac:dyDescent="0.25">
      <c r="A103" s="110"/>
      <c r="B103" s="110" t="str">
        <f>PHASE_FINAL_DH!N29</f>
        <v/>
      </c>
      <c r="C103" s="114" t="str">
        <f>IF(PHASE_FINAL_DH!O29&lt;&gt;"",PHASE_FINAL_DH!O29,"")</f>
        <v/>
      </c>
      <c r="D103" s="107" t="s">
        <v>152</v>
      </c>
      <c r="E103" s="114" t="str">
        <f>IF(PHASE_FINAL_DH!O30&lt;&gt;"",PHASE_FINAL_DH!O30,"")</f>
        <v/>
      </c>
      <c r="F103" s="110" t="str">
        <f>PHASE_FINAL_DH!N30</f>
        <v/>
      </c>
      <c r="G103" s="110"/>
    </row>
    <row r="104" spans="1:7" x14ac:dyDescent="0.25">
      <c r="A104" s="110"/>
      <c r="B104" s="110" t="str">
        <f>PHASE_FINAL_DH!C25</f>
        <v/>
      </c>
      <c r="C104" s="114" t="str">
        <f>IF(PHASE_FINAL_DH!B25&lt;&gt;"",PHASE_FINAL_DH!B25,"")</f>
        <v/>
      </c>
      <c r="D104" s="107" t="s">
        <v>153</v>
      </c>
      <c r="E104" s="114" t="str">
        <f>IF(PHASE_FINAL_DH!B26&lt;&gt;"",PHASE_FINAL_DH!B26,"")</f>
        <v/>
      </c>
      <c r="F104" s="110" t="str">
        <f>PHASE_FINAL_DH!C26</f>
        <v/>
      </c>
      <c r="G104" s="110"/>
    </row>
    <row r="105" spans="1:7" x14ac:dyDescent="0.25">
      <c r="A105" s="110"/>
      <c r="B105" s="110" t="str">
        <f>PHASE_FINAL_DH!C29</f>
        <v/>
      </c>
      <c r="C105" s="114" t="str">
        <f>IF(PHASE_FINAL_DH!B29&lt;&gt;"",PHASE_FINAL_DH!B29,"")</f>
        <v/>
      </c>
      <c r="D105" s="107" t="s">
        <v>154</v>
      </c>
      <c r="E105" s="114" t="str">
        <f>IF(PHASE_FINAL_DH!B30&lt;&gt;"",PHASE_FINAL_DH!B30,"")</f>
        <v/>
      </c>
      <c r="F105" s="110" t="str">
        <f>PHASE_FINAL_DH!C30</f>
        <v/>
      </c>
      <c r="G105" s="110"/>
    </row>
    <row r="106" spans="1:7" x14ac:dyDescent="0.25">
      <c r="A106" s="110"/>
      <c r="B106" s="110" t="str">
        <f>PHASE_FINAL_DH!N42</f>
        <v/>
      </c>
      <c r="C106" s="114" t="str">
        <f>IF(PHASE_FINAL_DH!O42&lt;&gt;"",PHASE_FINAL_DH!O42,"")</f>
        <v/>
      </c>
      <c r="D106" s="107" t="s">
        <v>155</v>
      </c>
      <c r="E106" s="114" t="str">
        <f>IF(PHASE_FINAL_DH!O43&lt;&gt;"",PHASE_FINAL_DH!O43,"")</f>
        <v/>
      </c>
      <c r="F106" s="110" t="str">
        <f>PHASE_FINAL_DH!N43</f>
        <v/>
      </c>
      <c r="G106" s="110"/>
    </row>
    <row r="107" spans="1:7" x14ac:dyDescent="0.25">
      <c r="A107" s="110"/>
      <c r="B107" s="110" t="str">
        <f>PHASE_FINAL_DH!C42</f>
        <v/>
      </c>
      <c r="C107" s="114" t="str">
        <f>IF(PHASE_FINAL_DH!B42&lt;&gt;"",PHASE_FINAL_DH!B42,"")</f>
        <v/>
      </c>
      <c r="D107" s="107" t="s">
        <v>156</v>
      </c>
      <c r="E107" s="114" t="str">
        <f>IF(PHASE_FINAL_DH!B43&lt;&gt;"",PHASE_FINAL_DH!B43,"")</f>
        <v/>
      </c>
      <c r="F107" s="110" t="str">
        <f>PHASE_FINAL_DH!C43</f>
        <v/>
      </c>
      <c r="G107" s="110"/>
    </row>
    <row r="108" spans="1:7" x14ac:dyDescent="0.25">
      <c r="A108" s="110"/>
      <c r="B108" s="110" t="str">
        <f>PHASE_FINAL_SH!N8</f>
        <v/>
      </c>
      <c r="C108" s="114" t="str">
        <f>IF(PHASE_FINAL_SH!O8&lt;&gt;"",PHASE_FINAL_SH!O8,"")</f>
        <v/>
      </c>
      <c r="D108" s="107" t="s">
        <v>168</v>
      </c>
      <c r="E108" s="114" t="str">
        <f>IF(PHASE_FINAL_SH!O9&lt;&gt;"",PHASE_FINAL_SH!O9,"")</f>
        <v/>
      </c>
      <c r="F108" s="110" t="str">
        <f>PHASE_FINAL_SH!N9</f>
        <v/>
      </c>
      <c r="G108" s="110"/>
    </row>
    <row r="109" spans="1:7" x14ac:dyDescent="0.25">
      <c r="A109" s="105"/>
      <c r="B109" s="105"/>
      <c r="C109" s="113"/>
      <c r="D109" s="106">
        <f>1.23611111111113 + "00:20:00"</f>
        <v>1.2500000000000189</v>
      </c>
      <c r="E109" s="113"/>
      <c r="F109" s="105"/>
      <c r="G109" s="105"/>
    </row>
    <row r="110" spans="1:7" x14ac:dyDescent="0.25">
      <c r="A110" s="110"/>
      <c r="B110" s="110" t="str">
        <f>PHASE_FINAL_SH!N12</f>
        <v/>
      </c>
      <c r="C110" s="114" t="str">
        <f>IF(PHASE_FINAL_SH!O12&lt;&gt;"",PHASE_FINAL_SH!O12,"")</f>
        <v/>
      </c>
      <c r="D110" s="107" t="s">
        <v>169</v>
      </c>
      <c r="E110" s="114" t="str">
        <f>IF(PHASE_FINAL_SH!O13&lt;&gt;"",PHASE_FINAL_SH!O13,"")</f>
        <v/>
      </c>
      <c r="F110" s="110" t="str">
        <f>PHASE_FINAL_SH!N13</f>
        <v/>
      </c>
      <c r="G110" s="110"/>
    </row>
    <row r="111" spans="1:7" x14ac:dyDescent="0.25">
      <c r="A111" s="110"/>
      <c r="B111" s="110" t="str">
        <f>PHASE_FINAL_SH!C8</f>
        <v/>
      </c>
      <c r="C111" s="114" t="str">
        <f>IF(PHASE_FINAL_SH!B8&lt;&gt;"",PHASE_FINAL_SH!B8,"")</f>
        <v/>
      </c>
      <c r="D111" s="107" t="s">
        <v>171</v>
      </c>
      <c r="E111" s="114" t="str">
        <f>IF(PHASE_FINAL_SH!B9&lt;&gt;"",PHASE_FINAL_SH!B9,"")</f>
        <v/>
      </c>
      <c r="F111" s="110" t="str">
        <f>PHASE_FINAL_SH!C9</f>
        <v/>
      </c>
      <c r="G111" s="110"/>
    </row>
    <row r="112" spans="1:7" x14ac:dyDescent="0.25">
      <c r="A112" s="110"/>
      <c r="B112" s="110" t="str">
        <f>PHASE_FINAL_SH!C12</f>
        <v/>
      </c>
      <c r="C112" s="114" t="str">
        <f>IF(PHASE_FINAL_SH!B12&lt;&gt;"",PHASE_FINAL_SH!B12,"")</f>
        <v/>
      </c>
      <c r="D112" s="107" t="s">
        <v>173</v>
      </c>
      <c r="E112" s="114" t="str">
        <f>IF(PHASE_FINAL_SH!B13&lt;&gt;"",PHASE_FINAL_SH!B13,"")</f>
        <v/>
      </c>
      <c r="F112" s="110" t="str">
        <f>PHASE_FINAL_SH!C13</f>
        <v/>
      </c>
      <c r="G112" s="110"/>
    </row>
    <row r="113" spans="1:7" x14ac:dyDescent="0.25">
      <c r="A113" s="110"/>
      <c r="B113" s="110" t="str">
        <f>PHASE_FINAL_SH!N25</f>
        <v/>
      </c>
      <c r="C113" s="114" t="str">
        <f>IF(PHASE_FINAL_SH!O25&lt;&gt;"",PHASE_FINAL_SH!O25,"")</f>
        <v/>
      </c>
      <c r="D113" s="107" t="s">
        <v>161</v>
      </c>
      <c r="E113" s="114" t="str">
        <f>IF(PHASE_FINAL_SH!O26&lt;&gt;"",PHASE_FINAL_SH!O26,"")</f>
        <v/>
      </c>
      <c r="F113" s="110" t="str">
        <f>PHASE_FINAL_SH!N26</f>
        <v/>
      </c>
      <c r="G113" s="110"/>
    </row>
    <row r="114" spans="1:7" x14ac:dyDescent="0.25">
      <c r="A114" s="110"/>
      <c r="B114" s="110" t="str">
        <f>PHASE_FINAL_SH!N29</f>
        <v/>
      </c>
      <c r="C114" s="114" t="str">
        <f>IF(PHASE_FINAL_SH!O29&lt;&gt;"",PHASE_FINAL_SH!O29,"")</f>
        <v/>
      </c>
      <c r="D114" s="107" t="s">
        <v>162</v>
      </c>
      <c r="E114" s="114" t="str">
        <f>IF(PHASE_FINAL_SH!O30&lt;&gt;"",PHASE_FINAL_SH!O30,"")</f>
        <v/>
      </c>
      <c r="F114" s="110" t="str">
        <f>PHASE_FINAL_SH!N30</f>
        <v/>
      </c>
      <c r="G114" s="110"/>
    </row>
    <row r="115" spans="1:7" x14ac:dyDescent="0.25">
      <c r="A115" s="110"/>
      <c r="B115" s="110" t="str">
        <f>PHASE_FINAL_SH!C25</f>
        <v/>
      </c>
      <c r="C115" s="114" t="str">
        <f>IF(PHASE_FINAL_SH!B25&lt;&gt;"",PHASE_FINAL_SH!B25,"")</f>
        <v/>
      </c>
      <c r="D115" s="107" t="s">
        <v>163</v>
      </c>
      <c r="E115" s="114" t="str">
        <f>IF(PHASE_FINAL_SH!B26&lt;&gt;"",PHASE_FINAL_SH!B26,"")</f>
        <v/>
      </c>
      <c r="F115" s="110" t="str">
        <f>PHASE_FINAL_SH!C26</f>
        <v/>
      </c>
      <c r="G115" s="110"/>
    </row>
    <row r="116" spans="1:7" x14ac:dyDescent="0.25">
      <c r="A116" s="110"/>
      <c r="B116" s="110" t="str">
        <f>PHASE_FINAL_SH!C29</f>
        <v/>
      </c>
      <c r="C116" s="114" t="str">
        <f>IF(PHASE_FINAL_SH!B29&lt;&gt;"",PHASE_FINAL_SH!B29,"")</f>
        <v/>
      </c>
      <c r="D116" s="107" t="s">
        <v>164</v>
      </c>
      <c r="E116" s="114" t="str">
        <f>IF(PHASE_FINAL_SH!B30&lt;&gt;"",PHASE_FINAL_SH!B30,"")</f>
        <v/>
      </c>
      <c r="F116" s="110" t="str">
        <f>PHASE_FINAL_SH!C30</f>
        <v/>
      </c>
      <c r="G116" s="110"/>
    </row>
    <row r="117" spans="1:7" x14ac:dyDescent="0.25">
      <c r="A117" s="110"/>
      <c r="B117" s="110" t="str">
        <f>PHASE_FINAL_SH!N42</f>
        <v/>
      </c>
      <c r="C117" s="114" t="str">
        <f>IF(PHASE_FINAL_SH!O42&lt;&gt;"",PHASE_FINAL_SH!O42,"")</f>
        <v/>
      </c>
      <c r="D117" s="107" t="s">
        <v>165</v>
      </c>
      <c r="E117" s="114" t="str">
        <f>IF(PHASE_FINAL_SH!O43&lt;&gt;"",PHASE_FINAL_SH!O43,"")</f>
        <v/>
      </c>
      <c r="F117" s="110" t="str">
        <f>PHASE_FINAL_SH!N43</f>
        <v/>
      </c>
      <c r="G117" s="110"/>
    </row>
    <row r="118" spans="1:7" x14ac:dyDescent="0.25">
      <c r="A118" s="110"/>
      <c r="B118" s="110" t="str">
        <f>PHASE_FINAL_SH!C42</f>
        <v/>
      </c>
      <c r="C118" s="114" t="str">
        <f>IF(PHASE_FINAL_SH!B42&lt;&gt;"",PHASE_FINAL_SH!B42,"")</f>
        <v/>
      </c>
      <c r="D118" s="107" t="s">
        <v>166</v>
      </c>
      <c r="E118" s="114" t="str">
        <f>IF(PHASE_FINAL_SH!B43&lt;&gt;"",PHASE_FINAL_SH!B43,"")</f>
        <v/>
      </c>
      <c r="F118" s="110" t="str">
        <f>PHASE_FINAL_SH!C43</f>
        <v/>
      </c>
      <c r="G118" s="110"/>
    </row>
    <row r="121" spans="1:7" x14ac:dyDescent="0.25">
      <c r="D121" s="72">
        <f>1.25000000000002 + "00:20:00"</f>
        <v>1.2638888888889088</v>
      </c>
    </row>
    <row r="133" spans="4:4" x14ac:dyDescent="0.25">
      <c r="D133" s="72">
        <f>1.26388888888891 + "00:20:00"</f>
        <v>1.2777777777777988</v>
      </c>
    </row>
    <row r="145" spans="4:4" x14ac:dyDescent="0.25">
      <c r="D145" s="72">
        <f>1.2777777777778 + "00:20:00"</f>
        <v>1.2916666666666889</v>
      </c>
    </row>
    <row r="157" spans="4:4" x14ac:dyDescent="0.25">
      <c r="D157" s="72">
        <f>1.29166666666669 + "00:20:00"</f>
        <v>1.3055555555555789</v>
      </c>
    </row>
    <row r="169" spans="4:4" x14ac:dyDescent="0.25">
      <c r="D169" s="72">
        <f>1.30555555555558 + "00:20:00"</f>
        <v>1.3194444444444688</v>
      </c>
    </row>
    <row r="181" spans="4:4" x14ac:dyDescent="0.25">
      <c r="D181" s="72">
        <f>1.31944444444447 + "00:20:00"</f>
        <v>1.3333333333333588</v>
      </c>
    </row>
    <row r="193" spans="4:4" x14ac:dyDescent="0.25">
      <c r="D193" s="72">
        <f>1.33333333333336 + "00:20:00"</f>
        <v>1.3472222222222487</v>
      </c>
    </row>
    <row r="205" spans="4:4" x14ac:dyDescent="0.25">
      <c r="D205" s="72">
        <f>1.34722222222225 + "00:20:00"</f>
        <v>1.3611111111111389</v>
      </c>
    </row>
    <row r="217" spans="4:4" x14ac:dyDescent="0.25">
      <c r="D217" s="72">
        <f>1.36111111111114 + "00:20:00"</f>
        <v>1.3750000000000289</v>
      </c>
    </row>
    <row r="229" spans="4:4" x14ac:dyDescent="0.25">
      <c r="D229" s="72">
        <f>1.37500000000003 + "00:20:00"</f>
        <v>1.3888888888889188</v>
      </c>
    </row>
    <row r="241" spans="4:4" x14ac:dyDescent="0.25">
      <c r="D241" s="72">
        <f>1.38888888888892 + "00:20:00"</f>
        <v>1.4027777777778088</v>
      </c>
    </row>
    <row r="253" spans="4:4" x14ac:dyDescent="0.25">
      <c r="D253" s="72">
        <f>1.40277777777781 + "00:20:00"</f>
        <v>1.4166666666666989</v>
      </c>
    </row>
    <row r="265" spans="4:4" x14ac:dyDescent="0.25">
      <c r="D265" s="72">
        <f>1.4166666666667 + "00:20:00"</f>
        <v>1.4305555555555889</v>
      </c>
    </row>
    <row r="277" spans="4:4" x14ac:dyDescent="0.25">
      <c r="D277" s="72">
        <f>1.43055555555559 + "00:20:00"</f>
        <v>1.4444444444444788</v>
      </c>
    </row>
    <row r="289" spans="4:4" x14ac:dyDescent="0.25">
      <c r="D289" s="72">
        <f>1.44444444444448 + "00:20:00"</f>
        <v>1.4583333333333688</v>
      </c>
    </row>
    <row r="301" spans="4:4" x14ac:dyDescent="0.25">
      <c r="D301" s="72">
        <f>1.45833333333337 + "00:20:00"</f>
        <v>1.4722222222222587</v>
      </c>
    </row>
    <row r="313" spans="4:4" x14ac:dyDescent="0.25">
      <c r="D313" s="72">
        <f>1.47222222222226 + "00:20:00"</f>
        <v>1.4861111111111489</v>
      </c>
    </row>
    <row r="325" spans="4:4" x14ac:dyDescent="0.25">
      <c r="D325" s="72">
        <f>1.48611111111115 + "00:20:00"</f>
        <v>1.5000000000000389</v>
      </c>
    </row>
    <row r="337" spans="4:4" x14ac:dyDescent="0.25">
      <c r="D337" s="72">
        <f>1.50000000000004 + "00:20:00"</f>
        <v>1.5138888888889288</v>
      </c>
    </row>
    <row r="349" spans="4:4" x14ac:dyDescent="0.25">
      <c r="D349" s="72">
        <f>1.51388888888893 + "00:20:00"</f>
        <v>1.5277777777778188</v>
      </c>
    </row>
  </sheetData>
  <conditionalFormatting sqref="C2">
    <cfRule type="expression" dxfId="431" priority="432">
      <formula>$C2&gt;$E2</formula>
    </cfRule>
    <cfRule type="expression" dxfId="430" priority="431">
      <formula>$C2&lt;$E2</formula>
    </cfRule>
  </conditionalFormatting>
  <conditionalFormatting sqref="E2">
    <cfRule type="expression" dxfId="429" priority="430">
      <formula>$C2&lt;$E2</formula>
    </cfRule>
    <cfRule type="expression" dxfId="428" priority="429">
      <formula>$C2&gt;$E2</formula>
    </cfRule>
  </conditionalFormatting>
  <conditionalFormatting sqref="C3">
    <cfRule type="expression" dxfId="427" priority="428">
      <formula>$C3&gt;$E3</formula>
    </cfRule>
    <cfRule type="expression" dxfId="426" priority="427">
      <formula>$C3&lt;$E3</formula>
    </cfRule>
  </conditionalFormatting>
  <conditionalFormatting sqref="E3">
    <cfRule type="expression" dxfId="425" priority="426">
      <formula>$C3&lt;$E3</formula>
    </cfRule>
    <cfRule type="expression" dxfId="424" priority="425">
      <formula>$C3&gt;$E3</formula>
    </cfRule>
  </conditionalFormatting>
  <conditionalFormatting sqref="C4">
    <cfRule type="expression" dxfId="423" priority="424">
      <formula>$C4&gt;$E4</formula>
    </cfRule>
    <cfRule type="expression" dxfId="422" priority="423">
      <formula>$C4&lt;$E4</formula>
    </cfRule>
  </conditionalFormatting>
  <conditionalFormatting sqref="E4">
    <cfRule type="expression" dxfId="421" priority="422">
      <formula>$C4&lt;$E4</formula>
    </cfRule>
    <cfRule type="expression" dxfId="420" priority="421">
      <formula>$C4&gt;$E4</formula>
    </cfRule>
  </conditionalFormatting>
  <conditionalFormatting sqref="C5">
    <cfRule type="expression" dxfId="419" priority="420">
      <formula>$C5&gt;$E5</formula>
    </cfRule>
    <cfRule type="expression" dxfId="418" priority="419">
      <formula>$C5&lt;$E5</formula>
    </cfRule>
  </conditionalFormatting>
  <conditionalFormatting sqref="E5">
    <cfRule type="expression" dxfId="417" priority="418">
      <formula>$C5&lt;$E5</formula>
    </cfRule>
    <cfRule type="expression" dxfId="416" priority="417">
      <formula>$C5&gt;$E5</formula>
    </cfRule>
  </conditionalFormatting>
  <conditionalFormatting sqref="C6">
    <cfRule type="expression" dxfId="415" priority="416">
      <formula>$C6&gt;$E6</formula>
    </cfRule>
    <cfRule type="expression" dxfId="414" priority="415">
      <formula>$C6&lt;$E6</formula>
    </cfRule>
  </conditionalFormatting>
  <conditionalFormatting sqref="E6">
    <cfRule type="expression" dxfId="413" priority="414">
      <formula>$C6&lt;$E6</formula>
    </cfRule>
    <cfRule type="expression" dxfId="412" priority="413">
      <formula>$C6&gt;$E6</formula>
    </cfRule>
  </conditionalFormatting>
  <conditionalFormatting sqref="C7">
    <cfRule type="expression" dxfId="411" priority="412">
      <formula>$C7&gt;$E7</formula>
    </cfRule>
    <cfRule type="expression" dxfId="410" priority="411">
      <formula>$C7&lt;$E7</formula>
    </cfRule>
  </conditionalFormatting>
  <conditionalFormatting sqref="E7">
    <cfRule type="expression" dxfId="409" priority="410">
      <formula>$C7&lt;$E7</formula>
    </cfRule>
    <cfRule type="expression" dxfId="408" priority="409">
      <formula>$C7&gt;$E7</formula>
    </cfRule>
  </conditionalFormatting>
  <conditionalFormatting sqref="C8">
    <cfRule type="expression" dxfId="407" priority="408">
      <formula>$C8&gt;$E8</formula>
    </cfRule>
    <cfRule type="expression" dxfId="406" priority="407">
      <formula>$C8&lt;$E8</formula>
    </cfRule>
  </conditionalFormatting>
  <conditionalFormatting sqref="E8">
    <cfRule type="expression" dxfId="405" priority="406">
      <formula>$C8&lt;$E8</formula>
    </cfRule>
    <cfRule type="expression" dxfId="404" priority="405">
      <formula>$C8&gt;$E8</formula>
    </cfRule>
  </conditionalFormatting>
  <conditionalFormatting sqref="C9">
    <cfRule type="expression" dxfId="403" priority="404">
      <formula>$C9&gt;$E9</formula>
    </cfRule>
    <cfRule type="expression" dxfId="402" priority="403">
      <formula>$C9&lt;$E9</formula>
    </cfRule>
  </conditionalFormatting>
  <conditionalFormatting sqref="E9">
    <cfRule type="expression" dxfId="401" priority="402">
      <formula>$C9&lt;$E9</formula>
    </cfRule>
    <cfRule type="expression" dxfId="400" priority="401">
      <formula>$C9&gt;$E9</formula>
    </cfRule>
  </conditionalFormatting>
  <conditionalFormatting sqref="C10">
    <cfRule type="expression" dxfId="399" priority="400">
      <formula>$C10&gt;$E10</formula>
    </cfRule>
    <cfRule type="expression" dxfId="398" priority="399">
      <formula>$C10&lt;$E10</formula>
    </cfRule>
  </conditionalFormatting>
  <conditionalFormatting sqref="E10">
    <cfRule type="expression" dxfId="397" priority="398">
      <formula>$C10&lt;$E10</formula>
    </cfRule>
    <cfRule type="expression" dxfId="396" priority="397">
      <formula>$C10&gt;$E10</formula>
    </cfRule>
  </conditionalFormatting>
  <conditionalFormatting sqref="C11">
    <cfRule type="expression" dxfId="395" priority="396">
      <formula>$C11&gt;$E11</formula>
    </cfRule>
    <cfRule type="expression" dxfId="394" priority="395">
      <formula>$C11&lt;$E11</formula>
    </cfRule>
  </conditionalFormatting>
  <conditionalFormatting sqref="E11">
    <cfRule type="expression" dxfId="393" priority="394">
      <formula>$C11&lt;$E11</formula>
    </cfRule>
    <cfRule type="expression" dxfId="392" priority="393">
      <formula>$C11&gt;$E11</formula>
    </cfRule>
  </conditionalFormatting>
  <conditionalFormatting sqref="C12">
    <cfRule type="expression" dxfId="391" priority="392">
      <formula>$C12&gt;$E12</formula>
    </cfRule>
  </conditionalFormatting>
  <conditionalFormatting sqref="C12">
    <cfRule type="expression" dxfId="390" priority="391">
      <formula>$C12&lt;$E12</formula>
    </cfRule>
  </conditionalFormatting>
  <conditionalFormatting sqref="E12">
    <cfRule type="expression" dxfId="389" priority="390">
      <formula>$C12&lt;$E12</formula>
    </cfRule>
  </conditionalFormatting>
  <conditionalFormatting sqref="E12">
    <cfRule type="expression" dxfId="388" priority="389">
      <formula>$C12&gt;$E12</formula>
    </cfRule>
  </conditionalFormatting>
  <conditionalFormatting sqref="C14">
    <cfRule type="expression" dxfId="387" priority="388">
      <formula>$C14&gt;$E14</formula>
    </cfRule>
  </conditionalFormatting>
  <conditionalFormatting sqref="C14">
    <cfRule type="expression" dxfId="386" priority="387">
      <formula>$C14&lt;$E14</formula>
    </cfRule>
  </conditionalFormatting>
  <conditionalFormatting sqref="E14">
    <cfRule type="expression" dxfId="385" priority="386">
      <formula>$C14&lt;$E14</formula>
    </cfRule>
  </conditionalFormatting>
  <conditionalFormatting sqref="E14">
    <cfRule type="expression" dxfId="384" priority="385">
      <formula>$C14&gt;$E14</formula>
    </cfRule>
  </conditionalFormatting>
  <conditionalFormatting sqref="C15">
    <cfRule type="expression" dxfId="383" priority="384">
      <formula>$C15&gt;$E15</formula>
    </cfRule>
  </conditionalFormatting>
  <conditionalFormatting sqref="C15">
    <cfRule type="expression" dxfId="382" priority="383">
      <formula>$C15&lt;$E15</formula>
    </cfRule>
  </conditionalFormatting>
  <conditionalFormatting sqref="E15">
    <cfRule type="expression" dxfId="381" priority="382">
      <formula>$C15&lt;$E15</formula>
    </cfRule>
  </conditionalFormatting>
  <conditionalFormatting sqref="E15">
    <cfRule type="expression" dxfId="380" priority="381">
      <formula>$C15&gt;$E15</formula>
    </cfRule>
  </conditionalFormatting>
  <conditionalFormatting sqref="C16">
    <cfRule type="expression" dxfId="379" priority="380">
      <formula>$C16&gt;$E16</formula>
    </cfRule>
  </conditionalFormatting>
  <conditionalFormatting sqref="C16">
    <cfRule type="expression" dxfId="378" priority="379">
      <formula>$C16&lt;$E16</formula>
    </cfRule>
  </conditionalFormatting>
  <conditionalFormatting sqref="E16">
    <cfRule type="expression" dxfId="377" priority="378">
      <formula>$C16&lt;$E16</formula>
    </cfRule>
  </conditionalFormatting>
  <conditionalFormatting sqref="E16">
    <cfRule type="expression" dxfId="376" priority="377">
      <formula>$C16&gt;$E16</formula>
    </cfRule>
  </conditionalFormatting>
  <conditionalFormatting sqref="C17">
    <cfRule type="expression" dxfId="375" priority="376">
      <formula>$C17&gt;$E17</formula>
    </cfRule>
  </conditionalFormatting>
  <conditionalFormatting sqref="C17">
    <cfRule type="expression" dxfId="374" priority="375">
      <formula>$C17&lt;$E17</formula>
    </cfRule>
  </conditionalFormatting>
  <conditionalFormatting sqref="E17">
    <cfRule type="expression" dxfId="373" priority="374">
      <formula>$C17&lt;$E17</formula>
    </cfRule>
  </conditionalFormatting>
  <conditionalFormatting sqref="E17">
    <cfRule type="expression" dxfId="372" priority="373">
      <formula>$C17&gt;$E17</formula>
    </cfRule>
  </conditionalFormatting>
  <conditionalFormatting sqref="C18">
    <cfRule type="expression" dxfId="371" priority="372">
      <formula>$C18&gt;$E18</formula>
    </cfRule>
  </conditionalFormatting>
  <conditionalFormatting sqref="C18">
    <cfRule type="expression" dxfId="370" priority="371">
      <formula>$C18&lt;$E18</formula>
    </cfRule>
  </conditionalFormatting>
  <conditionalFormatting sqref="E18">
    <cfRule type="expression" dxfId="369" priority="370">
      <formula>$C18&lt;$E18</formula>
    </cfRule>
  </conditionalFormatting>
  <conditionalFormatting sqref="E18">
    <cfRule type="expression" dxfId="368" priority="369">
      <formula>$C18&gt;$E18</formula>
    </cfRule>
  </conditionalFormatting>
  <conditionalFormatting sqref="C19">
    <cfRule type="expression" dxfId="367" priority="368">
      <formula>$C19&gt;$E19</formula>
    </cfRule>
  </conditionalFormatting>
  <conditionalFormatting sqref="C19">
    <cfRule type="expression" dxfId="366" priority="367">
      <formula>$C19&lt;$E19</formula>
    </cfRule>
  </conditionalFormatting>
  <conditionalFormatting sqref="E19">
    <cfRule type="expression" dxfId="365" priority="366">
      <formula>$C19&lt;$E19</formula>
    </cfRule>
  </conditionalFormatting>
  <conditionalFormatting sqref="E19">
    <cfRule type="expression" dxfId="364" priority="365">
      <formula>$C19&gt;$E19</formula>
    </cfRule>
  </conditionalFormatting>
  <conditionalFormatting sqref="C20">
    <cfRule type="expression" dxfId="363" priority="364">
      <formula>$C20&gt;$E20</formula>
    </cfRule>
  </conditionalFormatting>
  <conditionalFormatting sqref="C20">
    <cfRule type="expression" dxfId="362" priority="363">
      <formula>$C20&lt;$E20</formula>
    </cfRule>
  </conditionalFormatting>
  <conditionalFormatting sqref="E20">
    <cfRule type="expression" dxfId="361" priority="362">
      <formula>$C20&lt;$E20</formula>
    </cfRule>
  </conditionalFormatting>
  <conditionalFormatting sqref="E20">
    <cfRule type="expression" dxfId="360" priority="361">
      <formula>$C20&gt;$E20</formula>
    </cfRule>
  </conditionalFormatting>
  <conditionalFormatting sqref="C21">
    <cfRule type="expression" dxfId="359" priority="360">
      <formula>$C21&gt;$E21</formula>
    </cfRule>
  </conditionalFormatting>
  <conditionalFormatting sqref="C21">
    <cfRule type="expression" dxfId="358" priority="359">
      <formula>$C21&lt;$E21</formula>
    </cfRule>
  </conditionalFormatting>
  <conditionalFormatting sqref="E21">
    <cfRule type="expression" dxfId="357" priority="358">
      <formula>$C21&lt;$E21</formula>
    </cfRule>
  </conditionalFormatting>
  <conditionalFormatting sqref="E21">
    <cfRule type="expression" dxfId="356" priority="357">
      <formula>$C21&gt;$E21</formula>
    </cfRule>
  </conditionalFormatting>
  <conditionalFormatting sqref="C22">
    <cfRule type="expression" dxfId="355" priority="356">
      <formula>$C22&gt;$E22</formula>
    </cfRule>
  </conditionalFormatting>
  <conditionalFormatting sqref="C22">
    <cfRule type="expression" dxfId="354" priority="355">
      <formula>$C22&lt;$E22</formula>
    </cfRule>
  </conditionalFormatting>
  <conditionalFormatting sqref="E22">
    <cfRule type="expression" dxfId="353" priority="354">
      <formula>$C22&lt;$E22</formula>
    </cfRule>
  </conditionalFormatting>
  <conditionalFormatting sqref="E22">
    <cfRule type="expression" dxfId="352" priority="353">
      <formula>$C22&gt;$E22</formula>
    </cfRule>
  </conditionalFormatting>
  <conditionalFormatting sqref="C23">
    <cfRule type="expression" dxfId="351" priority="352">
      <formula>$C23&gt;$E23</formula>
    </cfRule>
  </conditionalFormatting>
  <conditionalFormatting sqref="C23">
    <cfRule type="expression" dxfId="350" priority="351">
      <formula>$C23&lt;$E23</formula>
    </cfRule>
  </conditionalFormatting>
  <conditionalFormatting sqref="E23">
    <cfRule type="expression" dxfId="349" priority="350">
      <formula>$C23&lt;$E23</formula>
    </cfRule>
  </conditionalFormatting>
  <conditionalFormatting sqref="E23">
    <cfRule type="expression" dxfId="348" priority="349">
      <formula>$C23&gt;$E23</formula>
    </cfRule>
  </conditionalFormatting>
  <conditionalFormatting sqref="C24">
    <cfRule type="expression" dxfId="347" priority="348">
      <formula>$C24&gt;$E24</formula>
    </cfRule>
  </conditionalFormatting>
  <conditionalFormatting sqref="C24">
    <cfRule type="expression" dxfId="346" priority="347">
      <formula>$C24&lt;$E24</formula>
    </cfRule>
  </conditionalFormatting>
  <conditionalFormatting sqref="E24">
    <cfRule type="expression" dxfId="345" priority="346">
      <formula>$C24&lt;$E24</formula>
    </cfRule>
  </conditionalFormatting>
  <conditionalFormatting sqref="E24">
    <cfRule type="expression" dxfId="344" priority="345">
      <formula>$C24&gt;$E24</formula>
    </cfRule>
  </conditionalFormatting>
  <conditionalFormatting sqref="C26">
    <cfRule type="expression" dxfId="343" priority="344">
      <formula>$C26&gt;$E26</formula>
    </cfRule>
  </conditionalFormatting>
  <conditionalFormatting sqref="C26">
    <cfRule type="expression" dxfId="342" priority="343">
      <formula>$C26&lt;$E26</formula>
    </cfRule>
  </conditionalFormatting>
  <conditionalFormatting sqref="E26">
    <cfRule type="expression" dxfId="341" priority="342">
      <formula>$C26&lt;$E26</formula>
    </cfRule>
  </conditionalFormatting>
  <conditionalFormatting sqref="E26">
    <cfRule type="expression" dxfId="340" priority="341">
      <formula>$C26&gt;$E26</formula>
    </cfRule>
  </conditionalFormatting>
  <conditionalFormatting sqref="C27">
    <cfRule type="expression" dxfId="339" priority="340">
      <formula>$C27&gt;$E27</formula>
    </cfRule>
  </conditionalFormatting>
  <conditionalFormatting sqref="C27">
    <cfRule type="expression" dxfId="338" priority="339">
      <formula>$C27&lt;$E27</formula>
    </cfRule>
  </conditionalFormatting>
  <conditionalFormatting sqref="E27">
    <cfRule type="expression" dxfId="337" priority="338">
      <formula>$C27&lt;$E27</formula>
    </cfRule>
  </conditionalFormatting>
  <conditionalFormatting sqref="E27">
    <cfRule type="expression" dxfId="336" priority="337">
      <formula>$C27&gt;$E27</formula>
    </cfRule>
  </conditionalFormatting>
  <conditionalFormatting sqref="C28">
    <cfRule type="expression" dxfId="335" priority="336">
      <formula>$C28&gt;$E28</formula>
    </cfRule>
  </conditionalFormatting>
  <conditionalFormatting sqref="C28">
    <cfRule type="expression" dxfId="334" priority="335">
      <formula>$C28&lt;$E28</formula>
    </cfRule>
  </conditionalFormatting>
  <conditionalFormatting sqref="E28">
    <cfRule type="expression" dxfId="333" priority="334">
      <formula>$C28&lt;$E28</formula>
    </cfRule>
  </conditionalFormatting>
  <conditionalFormatting sqref="E28">
    <cfRule type="expression" dxfId="332" priority="333">
      <formula>$C28&gt;$E28</formula>
    </cfRule>
  </conditionalFormatting>
  <conditionalFormatting sqref="C29">
    <cfRule type="expression" dxfId="331" priority="332">
      <formula>$C29&gt;$E29</formula>
    </cfRule>
  </conditionalFormatting>
  <conditionalFormatting sqref="C29">
    <cfRule type="expression" dxfId="330" priority="331">
      <formula>$C29&lt;$E29</formula>
    </cfRule>
  </conditionalFormatting>
  <conditionalFormatting sqref="E29">
    <cfRule type="expression" dxfId="329" priority="330">
      <formula>$C29&lt;$E29</formula>
    </cfRule>
  </conditionalFormatting>
  <conditionalFormatting sqref="E29">
    <cfRule type="expression" dxfId="328" priority="329">
      <formula>$C29&gt;$E29</formula>
    </cfRule>
  </conditionalFormatting>
  <conditionalFormatting sqref="C30">
    <cfRule type="expression" dxfId="327" priority="328">
      <formula>$C30&gt;$E30</formula>
    </cfRule>
  </conditionalFormatting>
  <conditionalFormatting sqref="C30">
    <cfRule type="expression" dxfId="326" priority="327">
      <formula>$C30&lt;$E30</formula>
    </cfRule>
  </conditionalFormatting>
  <conditionalFormatting sqref="E30">
    <cfRule type="expression" dxfId="325" priority="326">
      <formula>$C30&lt;$E30</formula>
    </cfRule>
  </conditionalFormatting>
  <conditionalFormatting sqref="E30">
    <cfRule type="expression" dxfId="324" priority="325">
      <formula>$C30&gt;$E30</formula>
    </cfRule>
  </conditionalFormatting>
  <conditionalFormatting sqref="C31">
    <cfRule type="expression" dxfId="323" priority="324">
      <formula>$C31&gt;$E31</formula>
    </cfRule>
  </conditionalFormatting>
  <conditionalFormatting sqref="C31">
    <cfRule type="expression" dxfId="322" priority="323">
      <formula>$C31&lt;$E31</formula>
    </cfRule>
  </conditionalFormatting>
  <conditionalFormatting sqref="E31">
    <cfRule type="expression" dxfId="321" priority="322">
      <formula>$C31&lt;$E31</formula>
    </cfRule>
  </conditionalFormatting>
  <conditionalFormatting sqref="E31">
    <cfRule type="expression" dxfId="320" priority="321">
      <formula>$C31&gt;$E31</formula>
    </cfRule>
  </conditionalFormatting>
  <conditionalFormatting sqref="C32">
    <cfRule type="expression" dxfId="319" priority="320">
      <formula>$C32&gt;$E32</formula>
    </cfRule>
  </conditionalFormatting>
  <conditionalFormatting sqref="C32">
    <cfRule type="expression" dxfId="318" priority="319">
      <formula>$C32&lt;$E32</formula>
    </cfRule>
  </conditionalFormatting>
  <conditionalFormatting sqref="E32">
    <cfRule type="expression" dxfId="317" priority="318">
      <formula>$C32&lt;$E32</formula>
    </cfRule>
  </conditionalFormatting>
  <conditionalFormatting sqref="E32">
    <cfRule type="expression" dxfId="316" priority="317">
      <formula>$C32&gt;$E32</formula>
    </cfRule>
  </conditionalFormatting>
  <conditionalFormatting sqref="C33">
    <cfRule type="expression" dxfId="315" priority="316">
      <formula>$C33&gt;$E33</formula>
    </cfRule>
  </conditionalFormatting>
  <conditionalFormatting sqref="C33">
    <cfRule type="expression" dxfId="314" priority="315">
      <formula>$C33&lt;$E33</formula>
    </cfRule>
  </conditionalFormatting>
  <conditionalFormatting sqref="E33">
    <cfRule type="expression" dxfId="313" priority="314">
      <formula>$C33&lt;$E33</formula>
    </cfRule>
  </conditionalFormatting>
  <conditionalFormatting sqref="E33">
    <cfRule type="expression" dxfId="312" priority="313">
      <formula>$C33&gt;$E33</formula>
    </cfRule>
  </conditionalFormatting>
  <conditionalFormatting sqref="C34">
    <cfRule type="expression" dxfId="311" priority="312">
      <formula>$C34&gt;$E34</formula>
    </cfRule>
  </conditionalFormatting>
  <conditionalFormatting sqref="C34">
    <cfRule type="expression" dxfId="310" priority="311">
      <formula>$C34&lt;$E34</formula>
    </cfRule>
  </conditionalFormatting>
  <conditionalFormatting sqref="E34">
    <cfRule type="expression" dxfId="309" priority="310">
      <formula>$C34&lt;$E34</formula>
    </cfRule>
  </conditionalFormatting>
  <conditionalFormatting sqref="E34">
    <cfRule type="expression" dxfId="308" priority="309">
      <formula>$C34&gt;$E34</formula>
    </cfRule>
  </conditionalFormatting>
  <conditionalFormatting sqref="C35">
    <cfRule type="expression" dxfId="307" priority="308">
      <formula>$C35&gt;$E35</formula>
    </cfRule>
  </conditionalFormatting>
  <conditionalFormatting sqref="C35">
    <cfRule type="expression" dxfId="306" priority="307">
      <formula>$C35&lt;$E35</formula>
    </cfRule>
  </conditionalFormatting>
  <conditionalFormatting sqref="E35">
    <cfRule type="expression" dxfId="305" priority="306">
      <formula>$C35&lt;$E35</formula>
    </cfRule>
  </conditionalFormatting>
  <conditionalFormatting sqref="E35">
    <cfRule type="expression" dxfId="304" priority="305">
      <formula>$C35&gt;$E35</formula>
    </cfRule>
  </conditionalFormatting>
  <conditionalFormatting sqref="C36">
    <cfRule type="expression" dxfId="303" priority="304">
      <formula>$C36&gt;$E36</formula>
    </cfRule>
  </conditionalFormatting>
  <conditionalFormatting sqref="C36">
    <cfRule type="expression" dxfId="302" priority="303">
      <formula>$C36&lt;$E36</formula>
    </cfRule>
  </conditionalFormatting>
  <conditionalFormatting sqref="E36">
    <cfRule type="expression" dxfId="301" priority="302">
      <formula>$C36&lt;$E36</formula>
    </cfRule>
  </conditionalFormatting>
  <conditionalFormatting sqref="E36">
    <cfRule type="expression" dxfId="300" priority="301">
      <formula>$C36&gt;$E36</formula>
    </cfRule>
  </conditionalFormatting>
  <conditionalFormatting sqref="C38">
    <cfRule type="expression" dxfId="299" priority="300">
      <formula>$C38&gt;$E38</formula>
    </cfRule>
  </conditionalFormatting>
  <conditionalFormatting sqref="C38">
    <cfRule type="expression" dxfId="298" priority="299">
      <formula>$C38&lt;$E38</formula>
    </cfRule>
  </conditionalFormatting>
  <conditionalFormatting sqref="E38">
    <cfRule type="expression" dxfId="297" priority="298">
      <formula>$C38&lt;$E38</formula>
    </cfRule>
  </conditionalFormatting>
  <conditionalFormatting sqref="E38">
    <cfRule type="expression" dxfId="296" priority="297">
      <formula>$C38&gt;$E38</formula>
    </cfRule>
  </conditionalFormatting>
  <conditionalFormatting sqref="C39">
    <cfRule type="expression" dxfId="295" priority="296">
      <formula>$C39&gt;$E39</formula>
    </cfRule>
  </conditionalFormatting>
  <conditionalFormatting sqref="C39">
    <cfRule type="expression" dxfId="294" priority="295">
      <formula>$C39&lt;$E39</formula>
    </cfRule>
  </conditionalFormatting>
  <conditionalFormatting sqref="E39">
    <cfRule type="expression" dxfId="293" priority="294">
      <formula>$C39&lt;$E39</formula>
    </cfRule>
  </conditionalFormatting>
  <conditionalFormatting sqref="E39">
    <cfRule type="expression" dxfId="292" priority="293">
      <formula>$C39&gt;$E39</formula>
    </cfRule>
  </conditionalFormatting>
  <conditionalFormatting sqref="C40">
    <cfRule type="expression" dxfId="291" priority="292">
      <formula>$C40&gt;$E40</formula>
    </cfRule>
  </conditionalFormatting>
  <conditionalFormatting sqref="C40">
    <cfRule type="expression" dxfId="290" priority="291">
      <formula>$C40&lt;$E40</formula>
    </cfRule>
  </conditionalFormatting>
  <conditionalFormatting sqref="E40">
    <cfRule type="expression" dxfId="289" priority="290">
      <formula>$C40&lt;$E40</formula>
    </cfRule>
  </conditionalFormatting>
  <conditionalFormatting sqref="E40">
    <cfRule type="expression" dxfId="288" priority="289">
      <formula>$C40&gt;$E40</formula>
    </cfRule>
  </conditionalFormatting>
  <conditionalFormatting sqref="C41">
    <cfRule type="expression" dxfId="287" priority="288">
      <formula>$C41&gt;$E41</formula>
    </cfRule>
  </conditionalFormatting>
  <conditionalFormatting sqref="C41">
    <cfRule type="expression" dxfId="286" priority="287">
      <formula>$C41&lt;$E41</formula>
    </cfRule>
  </conditionalFormatting>
  <conditionalFormatting sqref="E41">
    <cfRule type="expression" dxfId="285" priority="286">
      <formula>$C41&lt;$E41</formula>
    </cfRule>
  </conditionalFormatting>
  <conditionalFormatting sqref="E41">
    <cfRule type="expression" dxfId="284" priority="285">
      <formula>$C41&gt;$E41</formula>
    </cfRule>
  </conditionalFormatting>
  <conditionalFormatting sqref="C42">
    <cfRule type="expression" dxfId="283" priority="284">
      <formula>$C42&gt;$E42</formula>
    </cfRule>
  </conditionalFormatting>
  <conditionalFormatting sqref="C42">
    <cfRule type="expression" dxfId="282" priority="283">
      <formula>$C42&lt;$E42</formula>
    </cfRule>
  </conditionalFormatting>
  <conditionalFormatting sqref="E42">
    <cfRule type="expression" dxfId="281" priority="282">
      <formula>$C42&lt;$E42</formula>
    </cfRule>
  </conditionalFormatting>
  <conditionalFormatting sqref="E42">
    <cfRule type="expression" dxfId="280" priority="281">
      <formula>$C42&gt;$E42</formula>
    </cfRule>
  </conditionalFormatting>
  <conditionalFormatting sqref="C43">
    <cfRule type="expression" dxfId="279" priority="280">
      <formula>$C43&gt;$E43</formula>
    </cfRule>
  </conditionalFormatting>
  <conditionalFormatting sqref="C43">
    <cfRule type="expression" dxfId="278" priority="279">
      <formula>$C43&lt;$E43</formula>
    </cfRule>
  </conditionalFormatting>
  <conditionalFormatting sqref="E43">
    <cfRule type="expression" dxfId="277" priority="278">
      <formula>$C43&lt;$E43</formula>
    </cfRule>
  </conditionalFormatting>
  <conditionalFormatting sqref="E43">
    <cfRule type="expression" dxfId="276" priority="277">
      <formula>$C43&gt;$E43</formula>
    </cfRule>
  </conditionalFormatting>
  <conditionalFormatting sqref="C44">
    <cfRule type="expression" dxfId="275" priority="276">
      <formula>$C44&gt;$E44</formula>
    </cfRule>
  </conditionalFormatting>
  <conditionalFormatting sqref="C44">
    <cfRule type="expression" dxfId="274" priority="275">
      <formula>$C44&lt;$E44</formula>
    </cfRule>
  </conditionalFormatting>
  <conditionalFormatting sqref="E44">
    <cfRule type="expression" dxfId="273" priority="274">
      <formula>$C44&lt;$E44</formula>
    </cfRule>
  </conditionalFormatting>
  <conditionalFormatting sqref="E44">
    <cfRule type="expression" dxfId="272" priority="273">
      <formula>$C44&gt;$E44</formula>
    </cfRule>
  </conditionalFormatting>
  <conditionalFormatting sqref="C45">
    <cfRule type="expression" dxfId="271" priority="272">
      <formula>$C45&gt;$E45</formula>
    </cfRule>
  </conditionalFormatting>
  <conditionalFormatting sqref="C45">
    <cfRule type="expression" dxfId="270" priority="271">
      <formula>$C45&lt;$E45</formula>
    </cfRule>
  </conditionalFormatting>
  <conditionalFormatting sqref="E45">
    <cfRule type="expression" dxfId="269" priority="270">
      <formula>$C45&lt;$E45</formula>
    </cfRule>
  </conditionalFormatting>
  <conditionalFormatting sqref="E45">
    <cfRule type="expression" dxfId="268" priority="269">
      <formula>$C45&gt;$E45</formula>
    </cfRule>
  </conditionalFormatting>
  <conditionalFormatting sqref="C46">
    <cfRule type="expression" dxfId="267" priority="268">
      <formula>$C46&gt;$E46</formula>
    </cfRule>
  </conditionalFormatting>
  <conditionalFormatting sqref="C46">
    <cfRule type="expression" dxfId="266" priority="267">
      <formula>$C46&lt;$E46</formula>
    </cfRule>
  </conditionalFormatting>
  <conditionalFormatting sqref="E46">
    <cfRule type="expression" dxfId="265" priority="266">
      <formula>$C46&lt;$E46</formula>
    </cfRule>
  </conditionalFormatting>
  <conditionalFormatting sqref="E46">
    <cfRule type="expression" dxfId="264" priority="265">
      <formula>$C46&gt;$E46</formula>
    </cfRule>
  </conditionalFormatting>
  <conditionalFormatting sqref="C47">
    <cfRule type="expression" dxfId="263" priority="264">
      <formula>$C47&gt;$E47</formula>
    </cfRule>
  </conditionalFormatting>
  <conditionalFormatting sqref="C47">
    <cfRule type="expression" dxfId="262" priority="263">
      <formula>$C47&lt;$E47</formula>
    </cfRule>
  </conditionalFormatting>
  <conditionalFormatting sqref="E47">
    <cfRule type="expression" dxfId="261" priority="262">
      <formula>$C47&lt;$E47</formula>
    </cfRule>
  </conditionalFormatting>
  <conditionalFormatting sqref="E47">
    <cfRule type="expression" dxfId="260" priority="261">
      <formula>$C47&gt;$E47</formula>
    </cfRule>
  </conditionalFormatting>
  <conditionalFormatting sqref="C48">
    <cfRule type="expression" dxfId="259" priority="260">
      <formula>$C48&gt;$E48</formula>
    </cfRule>
  </conditionalFormatting>
  <conditionalFormatting sqref="C48">
    <cfRule type="expression" dxfId="258" priority="259">
      <formula>$C48&lt;$E48</formula>
    </cfRule>
  </conditionalFormatting>
  <conditionalFormatting sqref="E48">
    <cfRule type="expression" dxfId="257" priority="258">
      <formula>$C48&lt;$E48</formula>
    </cfRule>
  </conditionalFormatting>
  <conditionalFormatting sqref="E48">
    <cfRule type="expression" dxfId="256" priority="257">
      <formula>$C48&gt;$E48</formula>
    </cfRule>
  </conditionalFormatting>
  <conditionalFormatting sqref="C50">
    <cfRule type="expression" dxfId="255" priority="256">
      <formula>$C50&gt;$E50</formula>
    </cfRule>
  </conditionalFormatting>
  <conditionalFormatting sqref="C50">
    <cfRule type="expression" dxfId="254" priority="255">
      <formula>$C50&lt;$E50</formula>
    </cfRule>
  </conditionalFormatting>
  <conditionalFormatting sqref="E50">
    <cfRule type="expression" dxfId="253" priority="254">
      <formula>$C50&lt;$E50</formula>
    </cfRule>
  </conditionalFormatting>
  <conditionalFormatting sqref="E50">
    <cfRule type="expression" dxfId="252" priority="253">
      <formula>$C50&gt;$E50</formula>
    </cfRule>
  </conditionalFormatting>
  <conditionalFormatting sqref="C51">
    <cfRule type="expression" dxfId="251" priority="252">
      <formula>$C51&gt;$E51</formula>
    </cfRule>
  </conditionalFormatting>
  <conditionalFormatting sqref="C51">
    <cfRule type="expression" dxfId="250" priority="251">
      <formula>$C51&lt;$E51</formula>
    </cfRule>
  </conditionalFormatting>
  <conditionalFormatting sqref="E51">
    <cfRule type="expression" dxfId="249" priority="250">
      <formula>$C51&lt;$E51</formula>
    </cfRule>
  </conditionalFormatting>
  <conditionalFormatting sqref="E51">
    <cfRule type="expression" dxfId="248" priority="249">
      <formula>$C51&gt;$E51</formula>
    </cfRule>
  </conditionalFormatting>
  <conditionalFormatting sqref="C52">
    <cfRule type="expression" dxfId="247" priority="248">
      <formula>$C52&gt;$E52</formula>
    </cfRule>
  </conditionalFormatting>
  <conditionalFormatting sqref="C52">
    <cfRule type="expression" dxfId="246" priority="247">
      <formula>$C52&lt;$E52</formula>
    </cfRule>
  </conditionalFormatting>
  <conditionalFormatting sqref="E52">
    <cfRule type="expression" dxfId="245" priority="246">
      <formula>$C52&lt;$E52</formula>
    </cfRule>
  </conditionalFormatting>
  <conditionalFormatting sqref="E52">
    <cfRule type="expression" dxfId="244" priority="245">
      <formula>$C52&gt;$E52</formula>
    </cfRule>
  </conditionalFormatting>
  <conditionalFormatting sqref="C53">
    <cfRule type="expression" dxfId="243" priority="244">
      <formula>$C53&gt;$E53</formula>
    </cfRule>
  </conditionalFormatting>
  <conditionalFormatting sqref="C53">
    <cfRule type="expression" dxfId="242" priority="243">
      <formula>$C53&lt;$E53</formula>
    </cfRule>
  </conditionalFormatting>
  <conditionalFormatting sqref="E53">
    <cfRule type="expression" dxfId="241" priority="242">
      <formula>$C53&lt;$E53</formula>
    </cfRule>
  </conditionalFormatting>
  <conditionalFormatting sqref="E53">
    <cfRule type="expression" dxfId="240" priority="241">
      <formula>$C53&gt;$E53</formula>
    </cfRule>
  </conditionalFormatting>
  <conditionalFormatting sqref="C54">
    <cfRule type="expression" dxfId="239" priority="240">
      <formula>$C54&gt;$E54</formula>
    </cfRule>
  </conditionalFormatting>
  <conditionalFormatting sqref="C54">
    <cfRule type="expression" dxfId="238" priority="239">
      <formula>$C54&lt;$E54</formula>
    </cfRule>
  </conditionalFormatting>
  <conditionalFormatting sqref="E54">
    <cfRule type="expression" dxfId="237" priority="238">
      <formula>$C54&lt;$E54</formula>
    </cfRule>
  </conditionalFormatting>
  <conditionalFormatting sqref="E54">
    <cfRule type="expression" dxfId="236" priority="237">
      <formula>$C54&gt;$E54</formula>
    </cfRule>
  </conditionalFormatting>
  <conditionalFormatting sqref="C55">
    <cfRule type="expression" dxfId="235" priority="236">
      <formula>$C55&gt;$E55</formula>
    </cfRule>
  </conditionalFormatting>
  <conditionalFormatting sqref="C55">
    <cfRule type="expression" dxfId="234" priority="235">
      <formula>$C55&lt;$E55</formula>
    </cfRule>
  </conditionalFormatting>
  <conditionalFormatting sqref="E55">
    <cfRule type="expression" dxfId="233" priority="234">
      <formula>$C55&lt;$E55</formula>
    </cfRule>
  </conditionalFormatting>
  <conditionalFormatting sqref="E55">
    <cfRule type="expression" dxfId="232" priority="233">
      <formula>$C55&gt;$E55</formula>
    </cfRule>
  </conditionalFormatting>
  <conditionalFormatting sqref="C56">
    <cfRule type="expression" dxfId="231" priority="232">
      <formula>$C56&gt;$E56</formula>
    </cfRule>
  </conditionalFormatting>
  <conditionalFormatting sqref="C56">
    <cfRule type="expression" dxfId="230" priority="231">
      <formula>$C56&lt;$E56</formula>
    </cfRule>
  </conditionalFormatting>
  <conditionalFormatting sqref="E56">
    <cfRule type="expression" dxfId="229" priority="230">
      <formula>$C56&lt;$E56</formula>
    </cfRule>
  </conditionalFormatting>
  <conditionalFormatting sqref="E56">
    <cfRule type="expression" dxfId="228" priority="229">
      <formula>$C56&gt;$E56</formula>
    </cfRule>
  </conditionalFormatting>
  <conditionalFormatting sqref="C57">
    <cfRule type="expression" dxfId="227" priority="228">
      <formula>$C57&gt;$E57</formula>
    </cfRule>
  </conditionalFormatting>
  <conditionalFormatting sqref="C57">
    <cfRule type="expression" dxfId="226" priority="227">
      <formula>$C57&lt;$E57</formula>
    </cfRule>
  </conditionalFormatting>
  <conditionalFormatting sqref="E57">
    <cfRule type="expression" dxfId="225" priority="226">
      <formula>$C57&lt;$E57</formula>
    </cfRule>
  </conditionalFormatting>
  <conditionalFormatting sqref="E57">
    <cfRule type="expression" dxfId="224" priority="225">
      <formula>$C57&gt;$E57</formula>
    </cfRule>
  </conditionalFormatting>
  <conditionalFormatting sqref="C58">
    <cfRule type="expression" dxfId="223" priority="224">
      <formula>$C58&gt;$E58</formula>
    </cfRule>
  </conditionalFormatting>
  <conditionalFormatting sqref="C58">
    <cfRule type="expression" dxfId="222" priority="223">
      <formula>$C58&lt;$E58</formula>
    </cfRule>
  </conditionalFormatting>
  <conditionalFormatting sqref="E58">
    <cfRule type="expression" dxfId="221" priority="222">
      <formula>$C58&lt;$E58</formula>
    </cfRule>
  </conditionalFormatting>
  <conditionalFormatting sqref="E58">
    <cfRule type="expression" dxfId="220" priority="221">
      <formula>$C58&gt;$E58</formula>
    </cfRule>
  </conditionalFormatting>
  <conditionalFormatting sqref="C59">
    <cfRule type="expression" dxfId="219" priority="220">
      <formula>$C59&gt;$E59</formula>
    </cfRule>
  </conditionalFormatting>
  <conditionalFormatting sqref="C59">
    <cfRule type="expression" dxfId="218" priority="219">
      <formula>$C59&lt;$E59</formula>
    </cfRule>
  </conditionalFormatting>
  <conditionalFormatting sqref="E59">
    <cfRule type="expression" dxfId="217" priority="218">
      <formula>$C59&lt;$E59</formula>
    </cfRule>
  </conditionalFormatting>
  <conditionalFormatting sqref="E59">
    <cfRule type="expression" dxfId="216" priority="217">
      <formula>$C59&gt;$E59</formula>
    </cfRule>
  </conditionalFormatting>
  <conditionalFormatting sqref="C60">
    <cfRule type="expression" dxfId="215" priority="216">
      <formula>$C60&gt;$E60</formula>
    </cfRule>
  </conditionalFormatting>
  <conditionalFormatting sqref="C60">
    <cfRule type="expression" dxfId="214" priority="215">
      <formula>$C60&lt;$E60</formula>
    </cfRule>
  </conditionalFormatting>
  <conditionalFormatting sqref="E60">
    <cfRule type="expression" dxfId="213" priority="214">
      <formula>$C60&lt;$E60</formula>
    </cfRule>
  </conditionalFormatting>
  <conditionalFormatting sqref="E60">
    <cfRule type="expression" dxfId="212" priority="213">
      <formula>$C60&gt;$E60</formula>
    </cfRule>
  </conditionalFormatting>
  <conditionalFormatting sqref="C62">
    <cfRule type="expression" dxfId="211" priority="212">
      <formula>$C62&gt;$E62</formula>
    </cfRule>
  </conditionalFormatting>
  <conditionalFormatting sqref="C62">
    <cfRule type="expression" dxfId="210" priority="211">
      <formula>$C62&lt;$E62</formula>
    </cfRule>
  </conditionalFormatting>
  <conditionalFormatting sqref="E62">
    <cfRule type="expression" dxfId="209" priority="210">
      <formula>$C62&lt;$E62</formula>
    </cfRule>
  </conditionalFormatting>
  <conditionalFormatting sqref="E62">
    <cfRule type="expression" dxfId="208" priority="209">
      <formula>$C62&gt;$E62</formula>
    </cfRule>
  </conditionalFormatting>
  <conditionalFormatting sqref="C63">
    <cfRule type="expression" dxfId="207" priority="208">
      <formula>$C63&gt;$E63</formula>
    </cfRule>
  </conditionalFormatting>
  <conditionalFormatting sqref="C63">
    <cfRule type="expression" dxfId="206" priority="207">
      <formula>$C63&lt;$E63</formula>
    </cfRule>
  </conditionalFormatting>
  <conditionalFormatting sqref="E63">
    <cfRule type="expression" dxfId="205" priority="206">
      <formula>$C63&lt;$E63</formula>
    </cfRule>
  </conditionalFormatting>
  <conditionalFormatting sqref="E63">
    <cfRule type="expression" dxfId="204" priority="205">
      <formula>$C63&gt;$E63</formula>
    </cfRule>
  </conditionalFormatting>
  <conditionalFormatting sqref="C64">
    <cfRule type="expression" dxfId="203" priority="204">
      <formula>$C64&gt;$E64</formula>
    </cfRule>
  </conditionalFormatting>
  <conditionalFormatting sqref="C64">
    <cfRule type="expression" dxfId="202" priority="203">
      <formula>$C64&lt;$E64</formula>
    </cfRule>
  </conditionalFormatting>
  <conditionalFormatting sqref="E64">
    <cfRule type="expression" dxfId="201" priority="202">
      <formula>$C64&lt;$E64</formula>
    </cfRule>
  </conditionalFormatting>
  <conditionalFormatting sqref="E64">
    <cfRule type="expression" dxfId="200" priority="201">
      <formula>$C64&gt;$E64</formula>
    </cfRule>
  </conditionalFormatting>
  <conditionalFormatting sqref="C65">
    <cfRule type="expression" dxfId="199" priority="200">
      <formula>$C65&gt;$E65</formula>
    </cfRule>
  </conditionalFormatting>
  <conditionalFormatting sqref="C65">
    <cfRule type="expression" dxfId="198" priority="199">
      <formula>$C65&lt;$E65</formula>
    </cfRule>
  </conditionalFormatting>
  <conditionalFormatting sqref="E65">
    <cfRule type="expression" dxfId="197" priority="198">
      <formula>$C65&lt;$E65</formula>
    </cfRule>
  </conditionalFormatting>
  <conditionalFormatting sqref="E65">
    <cfRule type="expression" dxfId="196" priority="197">
      <formula>$C65&gt;$E65</formula>
    </cfRule>
  </conditionalFormatting>
  <conditionalFormatting sqref="C66">
    <cfRule type="expression" dxfId="195" priority="196">
      <formula>$C66&gt;$E66</formula>
    </cfRule>
  </conditionalFormatting>
  <conditionalFormatting sqref="C66">
    <cfRule type="expression" dxfId="194" priority="195">
      <formula>$C66&lt;$E66</formula>
    </cfRule>
  </conditionalFormatting>
  <conditionalFormatting sqref="E66">
    <cfRule type="expression" dxfId="193" priority="194">
      <formula>$C66&lt;$E66</formula>
    </cfRule>
  </conditionalFormatting>
  <conditionalFormatting sqref="E66">
    <cfRule type="expression" dxfId="192" priority="193">
      <formula>$C66&gt;$E66</formula>
    </cfRule>
  </conditionalFormatting>
  <conditionalFormatting sqref="C67">
    <cfRule type="expression" dxfId="191" priority="192">
      <formula>$C67&gt;$E67</formula>
    </cfRule>
  </conditionalFormatting>
  <conditionalFormatting sqref="C67">
    <cfRule type="expression" dxfId="190" priority="191">
      <formula>$C67&lt;$E67</formula>
    </cfRule>
  </conditionalFormatting>
  <conditionalFormatting sqref="E67">
    <cfRule type="expression" dxfId="189" priority="190">
      <formula>$C67&lt;$E67</formula>
    </cfRule>
  </conditionalFormatting>
  <conditionalFormatting sqref="E67">
    <cfRule type="expression" dxfId="188" priority="189">
      <formula>$C67&gt;$E67</formula>
    </cfRule>
  </conditionalFormatting>
  <conditionalFormatting sqref="C68">
    <cfRule type="expression" dxfId="187" priority="188">
      <formula>$C68&gt;$E68</formula>
    </cfRule>
  </conditionalFormatting>
  <conditionalFormatting sqref="C68">
    <cfRule type="expression" dxfId="186" priority="187">
      <formula>$C68&lt;$E68</formula>
    </cfRule>
  </conditionalFormatting>
  <conditionalFormatting sqref="E68">
    <cfRule type="expression" dxfId="185" priority="186">
      <formula>$C68&lt;$E68</formula>
    </cfRule>
  </conditionalFormatting>
  <conditionalFormatting sqref="E68">
    <cfRule type="expression" dxfId="184" priority="185">
      <formula>$C68&gt;$E68</formula>
    </cfRule>
  </conditionalFormatting>
  <conditionalFormatting sqref="C69">
    <cfRule type="expression" dxfId="183" priority="184">
      <formula>$C69&gt;$E69</formula>
    </cfRule>
  </conditionalFormatting>
  <conditionalFormatting sqref="C69">
    <cfRule type="expression" dxfId="182" priority="183">
      <formula>$C69&lt;$E69</formula>
    </cfRule>
  </conditionalFormatting>
  <conditionalFormatting sqref="E69">
    <cfRule type="expression" dxfId="181" priority="182">
      <formula>$C69&lt;$E69</formula>
    </cfRule>
  </conditionalFormatting>
  <conditionalFormatting sqref="E69">
    <cfRule type="expression" dxfId="180" priority="181">
      <formula>$C69&gt;$E69</formula>
    </cfRule>
  </conditionalFormatting>
  <conditionalFormatting sqref="C70">
    <cfRule type="expression" dxfId="179" priority="180">
      <formula>$C70&gt;$E70</formula>
    </cfRule>
  </conditionalFormatting>
  <conditionalFormatting sqref="C70">
    <cfRule type="expression" dxfId="178" priority="179">
      <formula>$C70&lt;$E70</formula>
    </cfRule>
  </conditionalFormatting>
  <conditionalFormatting sqref="E70">
    <cfRule type="expression" dxfId="177" priority="178">
      <formula>$C70&lt;$E70</formula>
    </cfRule>
  </conditionalFormatting>
  <conditionalFormatting sqref="E70">
    <cfRule type="expression" dxfId="176" priority="177">
      <formula>$C70&gt;$E70</formula>
    </cfRule>
  </conditionalFormatting>
  <conditionalFormatting sqref="C71">
    <cfRule type="expression" dxfId="175" priority="176">
      <formula>$C71&gt;$E71</formula>
    </cfRule>
  </conditionalFormatting>
  <conditionalFormatting sqref="C71">
    <cfRule type="expression" dxfId="174" priority="175">
      <formula>$C71&lt;$E71</formula>
    </cfRule>
  </conditionalFormatting>
  <conditionalFormatting sqref="E71">
    <cfRule type="expression" dxfId="173" priority="174">
      <formula>$C71&lt;$E71</formula>
    </cfRule>
  </conditionalFormatting>
  <conditionalFormatting sqref="E71">
    <cfRule type="expression" dxfId="172" priority="173">
      <formula>$C71&gt;$E71</formula>
    </cfRule>
  </conditionalFormatting>
  <conditionalFormatting sqref="C72">
    <cfRule type="expression" dxfId="171" priority="172">
      <formula>$C72&gt;$E72</formula>
    </cfRule>
  </conditionalFormatting>
  <conditionalFormatting sqref="C72">
    <cfRule type="expression" dxfId="170" priority="171">
      <formula>$C72&lt;$E72</formula>
    </cfRule>
  </conditionalFormatting>
  <conditionalFormatting sqref="E72">
    <cfRule type="expression" dxfId="169" priority="170">
      <formula>$C72&lt;$E72</formula>
    </cfRule>
  </conditionalFormatting>
  <conditionalFormatting sqref="E72">
    <cfRule type="expression" dxfId="168" priority="169">
      <formula>$C72&gt;$E72</formula>
    </cfRule>
  </conditionalFormatting>
  <conditionalFormatting sqref="C74">
    <cfRule type="expression" dxfId="167" priority="168">
      <formula>$C74&gt;$E74</formula>
    </cfRule>
  </conditionalFormatting>
  <conditionalFormatting sqref="C74">
    <cfRule type="expression" dxfId="166" priority="167">
      <formula>$C74&lt;$E74</formula>
    </cfRule>
  </conditionalFormatting>
  <conditionalFormatting sqref="E74">
    <cfRule type="expression" dxfId="165" priority="166">
      <formula>$C74&lt;$E74</formula>
    </cfRule>
  </conditionalFormatting>
  <conditionalFormatting sqref="E74">
    <cfRule type="expression" dxfId="164" priority="165">
      <formula>$C74&gt;$E74</formula>
    </cfRule>
  </conditionalFormatting>
  <conditionalFormatting sqref="C75">
    <cfRule type="expression" dxfId="163" priority="164">
      <formula>$C75&gt;$E75</formula>
    </cfRule>
  </conditionalFormatting>
  <conditionalFormatting sqref="C75">
    <cfRule type="expression" dxfId="162" priority="163">
      <formula>$C75&lt;$E75</formula>
    </cfRule>
  </conditionalFormatting>
  <conditionalFormatting sqref="E75">
    <cfRule type="expression" dxfId="161" priority="162">
      <formula>$C75&lt;$E75</formula>
    </cfRule>
  </conditionalFormatting>
  <conditionalFormatting sqref="E75">
    <cfRule type="expression" dxfId="160" priority="161">
      <formula>$C75&gt;$E75</formula>
    </cfRule>
  </conditionalFormatting>
  <conditionalFormatting sqref="C76">
    <cfRule type="expression" dxfId="159" priority="160">
      <formula>$C76&gt;$E76</formula>
    </cfRule>
  </conditionalFormatting>
  <conditionalFormatting sqref="C76">
    <cfRule type="expression" dxfId="158" priority="159">
      <formula>$C76&lt;$E76</formula>
    </cfRule>
  </conditionalFormatting>
  <conditionalFormatting sqref="E76">
    <cfRule type="expression" dxfId="157" priority="158">
      <formula>$C76&lt;$E76</formula>
    </cfRule>
  </conditionalFormatting>
  <conditionalFormatting sqref="E76">
    <cfRule type="expression" dxfId="156" priority="157">
      <formula>$C76&gt;$E76</formula>
    </cfRule>
  </conditionalFormatting>
  <conditionalFormatting sqref="C77">
    <cfRule type="expression" dxfId="155" priority="156">
      <formula>$C77&gt;$E77</formula>
    </cfRule>
  </conditionalFormatting>
  <conditionalFormatting sqref="C77">
    <cfRule type="expression" dxfId="154" priority="155">
      <formula>$C77&lt;$E77</formula>
    </cfRule>
  </conditionalFormatting>
  <conditionalFormatting sqref="E77">
    <cfRule type="expression" dxfId="153" priority="154">
      <formula>$C77&lt;$E77</formula>
    </cfRule>
  </conditionalFormatting>
  <conditionalFormatting sqref="E77">
    <cfRule type="expression" dxfId="152" priority="153">
      <formula>$C77&gt;$E77</formula>
    </cfRule>
  </conditionalFormatting>
  <conditionalFormatting sqref="C78">
    <cfRule type="expression" dxfId="151" priority="152">
      <formula>$C78&gt;$E78</formula>
    </cfRule>
  </conditionalFormatting>
  <conditionalFormatting sqref="C78">
    <cfRule type="expression" dxfId="150" priority="151">
      <formula>$C78&lt;$E78</formula>
    </cfRule>
  </conditionalFormatting>
  <conditionalFormatting sqref="E78">
    <cfRule type="expression" dxfId="149" priority="150">
      <formula>$C78&lt;$E78</formula>
    </cfRule>
  </conditionalFormatting>
  <conditionalFormatting sqref="E78">
    <cfRule type="expression" dxfId="148" priority="149">
      <formula>$C78&gt;$E78</formula>
    </cfRule>
  </conditionalFormatting>
  <conditionalFormatting sqref="C79">
    <cfRule type="expression" dxfId="147" priority="148">
      <formula>$C79&gt;$E79</formula>
    </cfRule>
  </conditionalFormatting>
  <conditionalFormatting sqref="C79">
    <cfRule type="expression" dxfId="146" priority="147">
      <formula>$C79&lt;$E79</formula>
    </cfRule>
  </conditionalFormatting>
  <conditionalFormatting sqref="E79">
    <cfRule type="expression" dxfId="145" priority="146">
      <formula>$C79&lt;$E79</formula>
    </cfRule>
  </conditionalFormatting>
  <conditionalFormatting sqref="E79">
    <cfRule type="expression" dxfId="144" priority="145">
      <formula>$C79&gt;$E79</formula>
    </cfRule>
  </conditionalFormatting>
  <conditionalFormatting sqref="C80">
    <cfRule type="expression" dxfId="143" priority="144">
      <formula>$C80&gt;$E80</formula>
    </cfRule>
  </conditionalFormatting>
  <conditionalFormatting sqref="C80">
    <cfRule type="expression" dxfId="142" priority="143">
      <formula>$C80&lt;$E80</formula>
    </cfRule>
  </conditionalFormatting>
  <conditionalFormatting sqref="E80">
    <cfRule type="expression" dxfId="141" priority="142">
      <formula>$C80&lt;$E80</formula>
    </cfRule>
  </conditionalFormatting>
  <conditionalFormatting sqref="E80">
    <cfRule type="expression" dxfId="140" priority="141">
      <formula>$C80&gt;$E80</formula>
    </cfRule>
  </conditionalFormatting>
  <conditionalFormatting sqref="C81">
    <cfRule type="expression" dxfId="139" priority="140">
      <formula>$C81&gt;$E81</formula>
    </cfRule>
  </conditionalFormatting>
  <conditionalFormatting sqref="C81">
    <cfRule type="expression" dxfId="138" priority="139">
      <formula>$C81&lt;$E81</formula>
    </cfRule>
  </conditionalFormatting>
  <conditionalFormatting sqref="E81">
    <cfRule type="expression" dxfId="137" priority="138">
      <formula>$C81&lt;$E81</formula>
    </cfRule>
  </conditionalFormatting>
  <conditionalFormatting sqref="E81">
    <cfRule type="expression" dxfId="136" priority="137">
      <formula>$C81&gt;$E81</formula>
    </cfRule>
  </conditionalFormatting>
  <conditionalFormatting sqref="C82">
    <cfRule type="expression" dxfId="135" priority="136">
      <formula>$C82&gt;$E82</formula>
    </cfRule>
  </conditionalFormatting>
  <conditionalFormatting sqref="C82">
    <cfRule type="expression" dxfId="134" priority="135">
      <formula>$C82&lt;$E82</formula>
    </cfRule>
  </conditionalFormatting>
  <conditionalFormatting sqref="E82">
    <cfRule type="expression" dxfId="133" priority="134">
      <formula>$C82&lt;$E82</formula>
    </cfRule>
  </conditionalFormatting>
  <conditionalFormatting sqref="E82">
    <cfRule type="expression" dxfId="132" priority="133">
      <formula>$C82&gt;$E82</formula>
    </cfRule>
  </conditionalFormatting>
  <conditionalFormatting sqref="C83">
    <cfRule type="expression" dxfId="131" priority="132">
      <formula>$C83&gt;$E83</formula>
    </cfRule>
  </conditionalFormatting>
  <conditionalFormatting sqref="C83">
    <cfRule type="expression" dxfId="130" priority="131">
      <formula>$C83&lt;$E83</formula>
    </cfRule>
  </conditionalFormatting>
  <conditionalFormatting sqref="E83">
    <cfRule type="expression" dxfId="129" priority="130">
      <formula>$C83&lt;$E83</formula>
    </cfRule>
  </conditionalFormatting>
  <conditionalFormatting sqref="E83">
    <cfRule type="expression" dxfId="128" priority="129">
      <formula>$C83&gt;$E83</formula>
    </cfRule>
  </conditionalFormatting>
  <conditionalFormatting sqref="C84">
    <cfRule type="expression" dxfId="127" priority="128">
      <formula>$C84&gt;$E84</formula>
    </cfRule>
  </conditionalFormatting>
  <conditionalFormatting sqref="C84">
    <cfRule type="expression" dxfId="126" priority="127">
      <formula>$C84&lt;$E84</formula>
    </cfRule>
  </conditionalFormatting>
  <conditionalFormatting sqref="E84">
    <cfRule type="expression" dxfId="125" priority="126">
      <formula>$C84&lt;$E84</formula>
    </cfRule>
  </conditionalFormatting>
  <conditionalFormatting sqref="E84">
    <cfRule type="expression" dxfId="124" priority="125">
      <formula>$C84&gt;$E84</formula>
    </cfRule>
  </conditionalFormatting>
  <conditionalFormatting sqref="C86">
    <cfRule type="expression" dxfId="123" priority="124">
      <formula>$C86&gt;$E86</formula>
    </cfRule>
  </conditionalFormatting>
  <conditionalFormatting sqref="C86">
    <cfRule type="expression" dxfId="122" priority="123">
      <formula>$C86&lt;$E86</formula>
    </cfRule>
  </conditionalFormatting>
  <conditionalFormatting sqref="E86">
    <cfRule type="expression" dxfId="121" priority="122">
      <formula>$C86&lt;$E86</formula>
    </cfRule>
  </conditionalFormatting>
  <conditionalFormatting sqref="E86">
    <cfRule type="expression" dxfId="120" priority="121">
      <formula>$C86&gt;$E86</formula>
    </cfRule>
  </conditionalFormatting>
  <conditionalFormatting sqref="C87">
    <cfRule type="expression" dxfId="119" priority="120">
      <formula>$C87&gt;$E87</formula>
    </cfRule>
  </conditionalFormatting>
  <conditionalFormatting sqref="C87">
    <cfRule type="expression" dxfId="118" priority="119">
      <formula>$C87&lt;$E87</formula>
    </cfRule>
  </conditionalFormatting>
  <conditionalFormatting sqref="E87">
    <cfRule type="expression" dxfId="117" priority="118">
      <formula>$C87&lt;$E87</formula>
    </cfRule>
  </conditionalFormatting>
  <conditionalFormatting sqref="E87">
    <cfRule type="expression" dxfId="116" priority="117">
      <formula>$C87&gt;$E87</formula>
    </cfRule>
  </conditionalFormatting>
  <conditionalFormatting sqref="C88">
    <cfRule type="expression" dxfId="115" priority="116">
      <formula>$C88&gt;$E88</formula>
    </cfRule>
  </conditionalFormatting>
  <conditionalFormatting sqref="C88">
    <cfRule type="expression" dxfId="114" priority="115">
      <formula>$C88&lt;$E88</formula>
    </cfRule>
  </conditionalFormatting>
  <conditionalFormatting sqref="E88">
    <cfRule type="expression" dxfId="113" priority="114">
      <formula>$C88&lt;$E88</formula>
    </cfRule>
  </conditionalFormatting>
  <conditionalFormatting sqref="E88">
    <cfRule type="expression" dxfId="112" priority="113">
      <formula>$C88&gt;$E88</formula>
    </cfRule>
  </conditionalFormatting>
  <conditionalFormatting sqref="C89">
    <cfRule type="expression" dxfId="111" priority="112">
      <formula>$C89&gt;$E89</formula>
    </cfRule>
  </conditionalFormatting>
  <conditionalFormatting sqref="C89">
    <cfRule type="expression" dxfId="110" priority="111">
      <formula>$C89&lt;$E89</formula>
    </cfRule>
  </conditionalFormatting>
  <conditionalFormatting sqref="E89">
    <cfRule type="expression" dxfId="109" priority="110">
      <formula>$C89&lt;$E89</formula>
    </cfRule>
  </conditionalFormatting>
  <conditionalFormatting sqref="E89">
    <cfRule type="expression" dxfId="108" priority="109">
      <formula>$C89&gt;$E89</formula>
    </cfRule>
  </conditionalFormatting>
  <conditionalFormatting sqref="C90">
    <cfRule type="expression" dxfId="107" priority="108">
      <formula>$C90&gt;$E90</formula>
    </cfRule>
  </conditionalFormatting>
  <conditionalFormatting sqref="C90">
    <cfRule type="expression" dxfId="106" priority="107">
      <formula>$C90&lt;$E90</formula>
    </cfRule>
  </conditionalFormatting>
  <conditionalFormatting sqref="E90">
    <cfRule type="expression" dxfId="105" priority="106">
      <formula>$C90&lt;$E90</formula>
    </cfRule>
  </conditionalFormatting>
  <conditionalFormatting sqref="E90">
    <cfRule type="expression" dxfId="104" priority="105">
      <formula>$C90&gt;$E90</formula>
    </cfRule>
  </conditionalFormatting>
  <conditionalFormatting sqref="C91">
    <cfRule type="expression" dxfId="103" priority="104">
      <formula>$C91&gt;$E91</formula>
    </cfRule>
  </conditionalFormatting>
  <conditionalFormatting sqref="C91">
    <cfRule type="expression" dxfId="102" priority="103">
      <formula>$C91&lt;$E91</formula>
    </cfRule>
  </conditionalFormatting>
  <conditionalFormatting sqref="E91">
    <cfRule type="expression" dxfId="101" priority="102">
      <formula>$C91&lt;$E91</formula>
    </cfRule>
  </conditionalFormatting>
  <conditionalFormatting sqref="E91">
    <cfRule type="expression" dxfId="100" priority="101">
      <formula>$C91&gt;$E91</formula>
    </cfRule>
  </conditionalFormatting>
  <conditionalFormatting sqref="C92">
    <cfRule type="expression" dxfId="99" priority="100">
      <formula>$C92&gt;$E92</formula>
    </cfRule>
  </conditionalFormatting>
  <conditionalFormatting sqref="C92">
    <cfRule type="expression" dxfId="98" priority="99">
      <formula>$C92&lt;$E92</formula>
    </cfRule>
  </conditionalFormatting>
  <conditionalFormatting sqref="E92">
    <cfRule type="expression" dxfId="97" priority="98">
      <formula>$C92&lt;$E92</formula>
    </cfRule>
  </conditionalFormatting>
  <conditionalFormatting sqref="E92">
    <cfRule type="expression" dxfId="96" priority="97">
      <formula>$C92&gt;$E92</formula>
    </cfRule>
  </conditionalFormatting>
  <conditionalFormatting sqref="C93">
    <cfRule type="expression" dxfId="95" priority="96">
      <formula>$C93&gt;$E93</formula>
    </cfRule>
  </conditionalFormatting>
  <conditionalFormatting sqref="C93">
    <cfRule type="expression" dxfId="94" priority="95">
      <formula>$C93&lt;$E93</formula>
    </cfRule>
  </conditionalFormatting>
  <conditionalFormatting sqref="E93">
    <cfRule type="expression" dxfId="93" priority="94">
      <formula>$C93&lt;$E93</formula>
    </cfRule>
  </conditionalFormatting>
  <conditionalFormatting sqref="E93">
    <cfRule type="expression" dxfId="92" priority="93">
      <formula>$C93&gt;$E93</formula>
    </cfRule>
  </conditionalFormatting>
  <conditionalFormatting sqref="C94">
    <cfRule type="expression" dxfId="91" priority="92">
      <formula>$C94&gt;$E94</formula>
    </cfRule>
  </conditionalFormatting>
  <conditionalFormatting sqref="C94">
    <cfRule type="expression" dxfId="90" priority="91">
      <formula>$C94&lt;$E94</formula>
    </cfRule>
  </conditionalFormatting>
  <conditionalFormatting sqref="E94">
    <cfRule type="expression" dxfId="89" priority="90">
      <formula>$C94&lt;$E94</formula>
    </cfRule>
  </conditionalFormatting>
  <conditionalFormatting sqref="E94">
    <cfRule type="expression" dxfId="88" priority="89">
      <formula>$C94&gt;$E94</formula>
    </cfRule>
  </conditionalFormatting>
  <conditionalFormatting sqref="C95">
    <cfRule type="expression" dxfId="87" priority="88">
      <formula>$C95&gt;$E95</formula>
    </cfRule>
  </conditionalFormatting>
  <conditionalFormatting sqref="C95">
    <cfRule type="expression" dxfId="86" priority="87">
      <formula>$C95&lt;$E95</formula>
    </cfRule>
  </conditionalFormatting>
  <conditionalFormatting sqref="E95">
    <cfRule type="expression" dxfId="85" priority="86">
      <formula>$C95&lt;$E95</formula>
    </cfRule>
  </conditionalFormatting>
  <conditionalFormatting sqref="E95">
    <cfRule type="expression" dxfId="84" priority="85">
      <formula>$C95&gt;$E95</formula>
    </cfRule>
  </conditionalFormatting>
  <conditionalFormatting sqref="C96">
    <cfRule type="expression" dxfId="83" priority="84">
      <formula>$C96&gt;$E96</formula>
    </cfRule>
  </conditionalFormatting>
  <conditionalFormatting sqref="C96">
    <cfRule type="expression" dxfId="82" priority="83">
      <formula>$C96&lt;$E96</formula>
    </cfRule>
  </conditionalFormatting>
  <conditionalFormatting sqref="E96">
    <cfRule type="expression" dxfId="81" priority="82">
      <formula>$C96&lt;$E96</formula>
    </cfRule>
  </conditionalFormatting>
  <conditionalFormatting sqref="E96">
    <cfRule type="expression" dxfId="80" priority="81">
      <formula>$C96&gt;$E96</formula>
    </cfRule>
  </conditionalFormatting>
  <conditionalFormatting sqref="C98">
    <cfRule type="expression" dxfId="79" priority="80">
      <formula>$C98&gt;$E98</formula>
    </cfRule>
  </conditionalFormatting>
  <conditionalFormatting sqref="C98">
    <cfRule type="expression" dxfId="78" priority="79">
      <formula>$C98&lt;$E98</formula>
    </cfRule>
  </conditionalFormatting>
  <conditionalFormatting sqref="E98">
    <cfRule type="expression" dxfId="77" priority="78">
      <formula>$C98&lt;$E98</formula>
    </cfRule>
  </conditionalFormatting>
  <conditionalFormatting sqref="E98">
    <cfRule type="expression" dxfId="76" priority="77">
      <formula>$C98&gt;$E98</formula>
    </cfRule>
  </conditionalFormatting>
  <conditionalFormatting sqref="C99">
    <cfRule type="expression" dxfId="75" priority="76">
      <formula>$C99&gt;$E99</formula>
    </cfRule>
  </conditionalFormatting>
  <conditionalFormatting sqref="C99">
    <cfRule type="expression" dxfId="74" priority="75">
      <formula>$C99&lt;$E99</formula>
    </cfRule>
  </conditionalFormatting>
  <conditionalFormatting sqref="E99">
    <cfRule type="expression" dxfId="73" priority="74">
      <formula>$C99&lt;$E99</formula>
    </cfRule>
  </conditionalFormatting>
  <conditionalFormatting sqref="E99">
    <cfRule type="expression" dxfId="72" priority="73">
      <formula>$C99&gt;$E99</formula>
    </cfRule>
  </conditionalFormatting>
  <conditionalFormatting sqref="C100">
    <cfRule type="expression" dxfId="71" priority="72">
      <formula>$C100&gt;$E100</formula>
    </cfRule>
  </conditionalFormatting>
  <conditionalFormatting sqref="C100">
    <cfRule type="expression" dxfId="70" priority="71">
      <formula>$C100&lt;$E100</formula>
    </cfRule>
  </conditionalFormatting>
  <conditionalFormatting sqref="E100">
    <cfRule type="expression" dxfId="69" priority="70">
      <formula>$C100&lt;$E100</formula>
    </cfRule>
  </conditionalFormatting>
  <conditionalFormatting sqref="E100">
    <cfRule type="expression" dxfId="68" priority="69">
      <formula>$C100&gt;$E100</formula>
    </cfRule>
  </conditionalFormatting>
  <conditionalFormatting sqref="C101">
    <cfRule type="expression" dxfId="67" priority="68">
      <formula>$C101&gt;$E101</formula>
    </cfRule>
  </conditionalFormatting>
  <conditionalFormatting sqref="C101">
    <cfRule type="expression" dxfId="66" priority="67">
      <formula>$C101&lt;$E101</formula>
    </cfRule>
  </conditionalFormatting>
  <conditionalFormatting sqref="E101">
    <cfRule type="expression" dxfId="65" priority="66">
      <formula>$C101&lt;$E101</formula>
    </cfRule>
  </conditionalFormatting>
  <conditionalFormatting sqref="E101">
    <cfRule type="expression" dxfId="64" priority="65">
      <formula>$C101&gt;$E101</formula>
    </cfRule>
  </conditionalFormatting>
  <conditionalFormatting sqref="C102">
    <cfRule type="expression" dxfId="63" priority="64">
      <formula>$C102&gt;$E102</formula>
    </cfRule>
  </conditionalFormatting>
  <conditionalFormatting sqref="C102">
    <cfRule type="expression" dxfId="62" priority="63">
      <formula>$C102&lt;$E102</formula>
    </cfRule>
  </conditionalFormatting>
  <conditionalFormatting sqref="E102">
    <cfRule type="expression" dxfId="61" priority="62">
      <formula>$C102&lt;$E102</formula>
    </cfRule>
  </conditionalFormatting>
  <conditionalFormatting sqref="E102">
    <cfRule type="expression" dxfId="60" priority="61">
      <formula>$C102&gt;$E102</formula>
    </cfRule>
  </conditionalFormatting>
  <conditionalFormatting sqref="C103">
    <cfRule type="expression" dxfId="59" priority="60">
      <formula>$C103&gt;$E103</formula>
    </cfRule>
  </conditionalFormatting>
  <conditionalFormatting sqref="C103">
    <cfRule type="expression" dxfId="58" priority="59">
      <formula>$C103&lt;$E103</formula>
    </cfRule>
  </conditionalFormatting>
  <conditionalFormatting sqref="E103">
    <cfRule type="expression" dxfId="57" priority="58">
      <formula>$C103&lt;$E103</formula>
    </cfRule>
  </conditionalFormatting>
  <conditionalFormatting sqref="E103">
    <cfRule type="expression" dxfId="56" priority="57">
      <formula>$C103&gt;$E103</formula>
    </cfRule>
  </conditionalFormatting>
  <conditionalFormatting sqref="C104">
    <cfRule type="expression" dxfId="55" priority="56">
      <formula>$C104&gt;$E104</formula>
    </cfRule>
  </conditionalFormatting>
  <conditionalFormatting sqref="C104">
    <cfRule type="expression" dxfId="54" priority="55">
      <formula>$C104&lt;$E104</formula>
    </cfRule>
  </conditionalFormatting>
  <conditionalFormatting sqref="E104">
    <cfRule type="expression" dxfId="53" priority="54">
      <formula>$C104&lt;$E104</formula>
    </cfRule>
  </conditionalFormatting>
  <conditionalFormatting sqref="E104">
    <cfRule type="expression" dxfId="52" priority="53">
      <formula>$C104&gt;$E104</formula>
    </cfRule>
  </conditionalFormatting>
  <conditionalFormatting sqref="C105">
    <cfRule type="expression" dxfId="51" priority="52">
      <formula>$C105&gt;$E105</formula>
    </cfRule>
  </conditionalFormatting>
  <conditionalFormatting sqref="C105">
    <cfRule type="expression" dxfId="50" priority="51">
      <formula>$C105&lt;$E105</formula>
    </cfRule>
  </conditionalFormatting>
  <conditionalFormatting sqref="E105">
    <cfRule type="expression" dxfId="49" priority="50">
      <formula>$C105&lt;$E105</formula>
    </cfRule>
  </conditionalFormatting>
  <conditionalFormatting sqref="E105">
    <cfRule type="expression" dxfId="48" priority="49">
      <formula>$C105&gt;$E105</formula>
    </cfRule>
  </conditionalFormatting>
  <conditionalFormatting sqref="C106">
    <cfRule type="expression" dxfId="47" priority="48">
      <formula>$C106&gt;$E106</formula>
    </cfRule>
  </conditionalFormatting>
  <conditionalFormatting sqref="C106">
    <cfRule type="expression" dxfId="46" priority="47">
      <formula>$C106&lt;$E106</formula>
    </cfRule>
  </conditionalFormatting>
  <conditionalFormatting sqref="E106">
    <cfRule type="expression" dxfId="45" priority="46">
      <formula>$C106&lt;$E106</formula>
    </cfRule>
  </conditionalFormatting>
  <conditionalFormatting sqref="E106">
    <cfRule type="expression" dxfId="44" priority="45">
      <formula>$C106&gt;$E106</formula>
    </cfRule>
  </conditionalFormatting>
  <conditionalFormatting sqref="C107">
    <cfRule type="expression" dxfId="43" priority="44">
      <formula>$C107&gt;$E107</formula>
    </cfRule>
  </conditionalFormatting>
  <conditionalFormatting sqref="C107">
    <cfRule type="expression" dxfId="42" priority="43">
      <formula>$C107&lt;$E107</formula>
    </cfRule>
  </conditionalFormatting>
  <conditionalFormatting sqref="E107">
    <cfRule type="expression" dxfId="41" priority="42">
      <formula>$C107&lt;$E107</formula>
    </cfRule>
  </conditionalFormatting>
  <conditionalFormatting sqref="E107">
    <cfRule type="expression" dxfId="40" priority="41">
      <formula>$C107&gt;$E107</formula>
    </cfRule>
  </conditionalFormatting>
  <conditionalFormatting sqref="C108">
    <cfRule type="expression" dxfId="39" priority="40">
      <formula>$C108&gt;$E108</formula>
    </cfRule>
  </conditionalFormatting>
  <conditionalFormatting sqref="C108">
    <cfRule type="expression" dxfId="38" priority="39">
      <formula>$C108&lt;$E108</formula>
    </cfRule>
  </conditionalFormatting>
  <conditionalFormatting sqref="E108">
    <cfRule type="expression" dxfId="37" priority="38">
      <formula>$C108&lt;$E108</formula>
    </cfRule>
  </conditionalFormatting>
  <conditionalFormatting sqref="E108">
    <cfRule type="expression" dxfId="36" priority="37">
      <formula>$C108&gt;$E108</formula>
    </cfRule>
  </conditionalFormatting>
  <conditionalFormatting sqref="C110">
    <cfRule type="expression" dxfId="35" priority="36">
      <formula>$C110&gt;$E110</formula>
    </cfRule>
  </conditionalFormatting>
  <conditionalFormatting sqref="C110">
    <cfRule type="expression" dxfId="34" priority="35">
      <formula>$C110&lt;$E110</formula>
    </cfRule>
  </conditionalFormatting>
  <conditionalFormatting sqref="E110">
    <cfRule type="expression" dxfId="33" priority="34">
      <formula>$C110&lt;$E110</formula>
    </cfRule>
  </conditionalFormatting>
  <conditionalFormatting sqref="E110">
    <cfRule type="expression" dxfId="32" priority="33">
      <formula>$C110&gt;$E110</formula>
    </cfRule>
  </conditionalFormatting>
  <conditionalFormatting sqref="C111">
    <cfRule type="expression" dxfId="31" priority="32">
      <formula>$C111&gt;$E111</formula>
    </cfRule>
  </conditionalFormatting>
  <conditionalFormatting sqref="C111">
    <cfRule type="expression" dxfId="30" priority="31">
      <formula>$C111&lt;$E111</formula>
    </cfRule>
  </conditionalFormatting>
  <conditionalFormatting sqref="E111">
    <cfRule type="expression" dxfId="29" priority="30">
      <formula>$C111&lt;$E111</formula>
    </cfRule>
  </conditionalFormatting>
  <conditionalFormatting sqref="E111">
    <cfRule type="expression" dxfId="28" priority="29">
      <formula>$C111&gt;$E111</formula>
    </cfRule>
  </conditionalFormatting>
  <conditionalFormatting sqref="C112">
    <cfRule type="expression" dxfId="27" priority="28">
      <formula>$C112&gt;$E112</formula>
    </cfRule>
  </conditionalFormatting>
  <conditionalFormatting sqref="C112">
    <cfRule type="expression" dxfId="26" priority="27">
      <formula>$C112&lt;$E112</formula>
    </cfRule>
  </conditionalFormatting>
  <conditionalFormatting sqref="E112">
    <cfRule type="expression" dxfId="25" priority="26">
      <formula>$C112&lt;$E112</formula>
    </cfRule>
  </conditionalFormatting>
  <conditionalFormatting sqref="E112">
    <cfRule type="expression" dxfId="24" priority="25">
      <formula>$C112&gt;$E112</formula>
    </cfRule>
  </conditionalFormatting>
  <conditionalFormatting sqref="C113">
    <cfRule type="expression" dxfId="23" priority="24">
      <formula>$C113&gt;$E113</formula>
    </cfRule>
  </conditionalFormatting>
  <conditionalFormatting sqref="C113">
    <cfRule type="expression" dxfId="22" priority="23">
      <formula>$C113&lt;$E113</formula>
    </cfRule>
  </conditionalFormatting>
  <conditionalFormatting sqref="E113">
    <cfRule type="expression" dxfId="21" priority="22">
      <formula>$C113&lt;$E113</formula>
    </cfRule>
  </conditionalFormatting>
  <conditionalFormatting sqref="E113">
    <cfRule type="expression" dxfId="20" priority="21">
      <formula>$C113&gt;$E113</formula>
    </cfRule>
  </conditionalFormatting>
  <conditionalFormatting sqref="C114">
    <cfRule type="expression" dxfId="19" priority="20">
      <formula>$C114&gt;$E114</formula>
    </cfRule>
  </conditionalFormatting>
  <conditionalFormatting sqref="C114">
    <cfRule type="expression" dxfId="18" priority="19">
      <formula>$C114&lt;$E114</formula>
    </cfRule>
  </conditionalFormatting>
  <conditionalFormatting sqref="E114">
    <cfRule type="expression" dxfId="17" priority="18">
      <formula>$C114&lt;$E114</formula>
    </cfRule>
  </conditionalFormatting>
  <conditionalFormatting sqref="E114">
    <cfRule type="expression" dxfId="16" priority="17">
      <formula>$C114&gt;$E114</formula>
    </cfRule>
  </conditionalFormatting>
  <conditionalFormatting sqref="C115">
    <cfRule type="expression" dxfId="15" priority="16">
      <formula>$C115&gt;$E115</formula>
    </cfRule>
  </conditionalFormatting>
  <conditionalFormatting sqref="C115">
    <cfRule type="expression" dxfId="14" priority="15">
      <formula>$C115&lt;$E115</formula>
    </cfRule>
  </conditionalFormatting>
  <conditionalFormatting sqref="E115">
    <cfRule type="expression" dxfId="13" priority="14">
      <formula>$C115&lt;$E115</formula>
    </cfRule>
  </conditionalFormatting>
  <conditionalFormatting sqref="E115">
    <cfRule type="expression" dxfId="12" priority="13">
      <formula>$C115&gt;$E115</formula>
    </cfRule>
  </conditionalFormatting>
  <conditionalFormatting sqref="C116">
    <cfRule type="expression" dxfId="11" priority="12">
      <formula>$C116&gt;$E116</formula>
    </cfRule>
  </conditionalFormatting>
  <conditionalFormatting sqref="C116">
    <cfRule type="expression" dxfId="10" priority="11">
      <formula>$C116&lt;$E116</formula>
    </cfRule>
  </conditionalFormatting>
  <conditionalFormatting sqref="E116">
    <cfRule type="expression" dxfId="9" priority="10">
      <formula>$C116&lt;$E116</formula>
    </cfRule>
  </conditionalFormatting>
  <conditionalFormatting sqref="E116">
    <cfRule type="expression" dxfId="8" priority="9">
      <formula>$C116&gt;$E116</formula>
    </cfRule>
  </conditionalFormatting>
  <conditionalFormatting sqref="C117">
    <cfRule type="expression" dxfId="7" priority="8">
      <formula>$C117&gt;$E117</formula>
    </cfRule>
  </conditionalFormatting>
  <conditionalFormatting sqref="C117">
    <cfRule type="expression" dxfId="6" priority="7">
      <formula>$C117&lt;$E117</formula>
    </cfRule>
  </conditionalFormatting>
  <conditionalFormatting sqref="E117">
    <cfRule type="expression" dxfId="5" priority="6">
      <formula>$C117&lt;$E117</formula>
    </cfRule>
  </conditionalFormatting>
  <conditionalFormatting sqref="E117">
    <cfRule type="expression" dxfId="4" priority="5">
      <formula>$C117&gt;$E117</formula>
    </cfRule>
  </conditionalFormatting>
  <conditionalFormatting sqref="C118">
    <cfRule type="expression" dxfId="3" priority="4">
      <formula>$C118&gt;$E118</formula>
    </cfRule>
  </conditionalFormatting>
  <conditionalFormatting sqref="C118">
    <cfRule type="expression" dxfId="2" priority="3">
      <formula>$C118&lt;$E118</formula>
    </cfRule>
  </conditionalFormatting>
  <conditionalFormatting sqref="E118">
    <cfRule type="expression" dxfId="1" priority="2">
      <formula>$C118&lt;$E118</formula>
    </cfRule>
  </conditionalFormatting>
  <conditionalFormatting sqref="E118">
    <cfRule type="expression" dxfId="0" priority="1">
      <formula>$C118&gt;$E118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E67D3EB1-5597-443D-8FF3-A0F1436883E0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4" name="C4PPMatchph">
              <controlPr defaultSize="0" print="0" autoFill="0" autoPict="0" macro="[0]!'copyimage &quot;A2:F108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0564-8762-47AA-A9F0-168F1E38AB65}">
  <dimension ref="A2:L42"/>
  <sheetViews>
    <sheetView workbookViewId="0"/>
  </sheetViews>
  <sheetFormatPr baseColWidth="10" defaultRowHeight="15" x14ac:dyDescent="0.25"/>
  <cols>
    <col min="1" max="1" width="30.7109375" style="135" customWidth="1"/>
    <col min="2" max="2" width="6.7109375" style="135" customWidth="1"/>
    <col min="3" max="16384" width="11.42578125" style="135"/>
  </cols>
  <sheetData>
    <row r="2" spans="1:12" ht="15.75" thickBot="1" x14ac:dyDescent="0.3">
      <c r="A2" s="135" t="s">
        <v>223</v>
      </c>
    </row>
    <row r="3" spans="1:12" x14ac:dyDescent="0.25">
      <c r="A3" s="136" t="str">
        <f>IF(OR(PHASE_FINAL_DM!O8="",PHASE_FINAL_DM!O9=""),"",IF(PHASE_FINAL_DM!O8&gt;PHASE_FINAL_DM!O9,PHASE_FINAL_DM!N8,PHASE_FINAL_DM!N9))</f>
        <v/>
      </c>
      <c r="B3" s="137">
        <v>1</v>
      </c>
    </row>
    <row r="4" spans="1:12" x14ac:dyDescent="0.25">
      <c r="A4" s="145" t="str">
        <f>IF(OR(PHASE_FINAL_DM!O8="",PHASE_FINAL_DM!O9=""),"",IF(PHASE_FINAL_DM!O8&lt;PHASE_FINAL_DM!O9,PHASE_FINAL_DM!N8,PHASE_FINAL_DM!N9))</f>
        <v/>
      </c>
      <c r="B4" s="146">
        <v>2</v>
      </c>
    </row>
    <row r="5" spans="1:12" x14ac:dyDescent="0.25">
      <c r="A5" s="145" t="str">
        <f>IF(OR(PHASE_FINAL_DM!O12="",PHASE_FINAL_DM!O13=""),"",IF(PHASE_FINAL_DM!O12&gt;PHASE_FINAL_DM!O13,PHASE_FINAL_DM!N12,PHASE_FINAL_DM!N13))</f>
        <v/>
      </c>
      <c r="B5" s="146">
        <v>3</v>
      </c>
    </row>
    <row r="6" spans="1:12" x14ac:dyDescent="0.25">
      <c r="A6" s="145" t="str">
        <f>IF(OR(PHASE_FINAL_DM!O12="",PHASE_FINAL_DM!O13=""),"",IF(PHASE_FINAL_DM!O12&lt;PHASE_FINAL_DM!O13,PHASE_FINAL_DM!N12,PHASE_FINAL_DM!N13))</f>
        <v/>
      </c>
      <c r="B6" s="146">
        <v>4</v>
      </c>
    </row>
    <row r="7" spans="1:12" x14ac:dyDescent="0.25">
      <c r="A7" s="145" t="str">
        <f>IF(OR(PHASE_FINAL_DM!B8="",PHASE_FINAL_DM!B9=""),"",IF(PHASE_FINAL_DM!B8&gt;PHASE_FINAL_DM!B9,PHASE_FINAL_DM!C8,PHASE_FINAL_DM!C9))</f>
        <v/>
      </c>
      <c r="B7" s="146">
        <v>5</v>
      </c>
      <c r="D7" s="147"/>
      <c r="E7" s="147"/>
      <c r="F7" s="147"/>
      <c r="G7" s="156" t="str">
        <f>A3</f>
        <v/>
      </c>
      <c r="H7" s="156"/>
      <c r="I7" s="156"/>
      <c r="J7" s="147"/>
      <c r="K7" s="147"/>
      <c r="L7" s="147"/>
    </row>
    <row r="8" spans="1:12" x14ac:dyDescent="0.25">
      <c r="A8" s="145" t="str">
        <f>IF(OR(PHASE_FINAL_DM!B8="",PHASE_FINAL_DM!B9=""),"",IF(PHASE_FINAL_DM!B8&lt;PHASE_FINAL_DM!B9,PHASE_FINAL_DM!C8,PHASE_FINAL_DM!C9))</f>
        <v/>
      </c>
      <c r="B8" s="146">
        <v>6</v>
      </c>
      <c r="D8" s="156" t="str">
        <f>A4</f>
        <v/>
      </c>
      <c r="E8" s="156"/>
      <c r="F8" s="156"/>
      <c r="G8" s="157"/>
      <c r="H8" s="157"/>
      <c r="I8" s="157"/>
      <c r="J8" s="147"/>
      <c r="K8" s="147"/>
      <c r="L8" s="147"/>
    </row>
    <row r="9" spans="1:12" x14ac:dyDescent="0.25">
      <c r="A9" s="145" t="str">
        <f>IF(OR(PHASE_FINAL_DM!B12="",PHASE_FINAL_DM!B13=""),"",IF(PHASE_FINAL_DM!B12&gt;PHASE_FINAL_DM!B13,PHASE_FINAL_DM!C12,PHASE_FINAL_DM!C13))</f>
        <v/>
      </c>
      <c r="B9" s="146">
        <v>7</v>
      </c>
      <c r="D9" s="157"/>
      <c r="E9" s="157"/>
      <c r="F9" s="157"/>
      <c r="G9" s="150"/>
      <c r="H9" s="148"/>
      <c r="I9" s="148"/>
      <c r="J9" s="158" t="str">
        <f>A5</f>
        <v/>
      </c>
      <c r="K9" s="156"/>
      <c r="L9" s="156"/>
    </row>
    <row r="10" spans="1:12" x14ac:dyDescent="0.25">
      <c r="A10" s="145" t="str">
        <f>IF(OR(PHASE_FINAL_DM!B12="",PHASE_FINAL_DM!B13=""),"",IF(PHASE_FINAL_DM!B12&lt;PHASE_FINAL_DM!B13,PHASE_FINAL_DM!C12,PHASE_FINAL_DM!C13))</f>
        <v/>
      </c>
      <c r="B10" s="146">
        <v>8</v>
      </c>
      <c r="D10" s="148"/>
      <c r="E10" s="148"/>
      <c r="F10" s="148"/>
      <c r="G10" s="148"/>
      <c r="H10" s="151">
        <v>1</v>
      </c>
      <c r="I10" s="148"/>
      <c r="J10" s="159"/>
      <c r="K10" s="157"/>
      <c r="L10" s="157"/>
    </row>
    <row r="11" spans="1:12" x14ac:dyDescent="0.25">
      <c r="A11" s="145" t="str">
        <f>IF(OR(PHASE_FINAL_DM!O25="",PHASE_FINAL_DM!O26=""),"",IF(PHASE_FINAL_DM!O25&gt;PHASE_FINAL_DM!O26,PHASE_FINAL_DM!N25,PHASE_FINAL_DM!N26))</f>
        <v/>
      </c>
      <c r="B11" s="146">
        <v>9</v>
      </c>
      <c r="D11" s="148"/>
      <c r="E11" s="152">
        <v>2</v>
      </c>
      <c r="F11" s="148"/>
      <c r="G11" s="148"/>
      <c r="H11" s="151"/>
      <c r="I11" s="148"/>
      <c r="J11" s="148"/>
      <c r="K11" s="154">
        <v>3</v>
      </c>
      <c r="L11" s="148"/>
    </row>
    <row r="12" spans="1:12" x14ac:dyDescent="0.25">
      <c r="A12" s="145" t="str">
        <f>IF(OR(PHASE_FINAL_DM!O25="",PHASE_FINAL_DM!O26=""),"",IF(PHASE_FINAL_DM!O25&lt;PHASE_FINAL_DM!O26,PHASE_FINAL_DM!N25,PHASE_FINAL_DM!N26))</f>
        <v/>
      </c>
      <c r="B12" s="146">
        <v>10</v>
      </c>
      <c r="D12" s="149"/>
      <c r="E12" s="153"/>
      <c r="F12" s="149"/>
      <c r="G12" s="149"/>
      <c r="H12" s="149"/>
      <c r="I12" s="149"/>
      <c r="J12" s="149"/>
      <c r="K12" s="155"/>
      <c r="L12" s="149"/>
    </row>
    <row r="13" spans="1:12" x14ac:dyDescent="0.25">
      <c r="A13" s="145" t="str">
        <f>IF(OR(PHASE_FINAL_DM!O29="",PHASE_FINAL_DM!O30=""),"",IF(PHASE_FINAL_DM!O29&gt;PHASE_FINAL_DM!O30,PHASE_FINAL_DM!N29,PHASE_FINAL_DM!N30))</f>
        <v/>
      </c>
      <c r="B13" s="146">
        <v>11</v>
      </c>
    </row>
    <row r="14" spans="1:12" x14ac:dyDescent="0.25">
      <c r="A14" s="145" t="str">
        <f>IF(OR(PHASE_FINAL_DM!O29="",PHASE_FINAL_DM!O30=""),"",IF(PHASE_FINAL_DM!O29&lt;PHASE_FINAL_DM!O30,PHASE_FINAL_DM!N29,PHASE_FINAL_DM!N30))</f>
        <v/>
      </c>
      <c r="B14" s="146">
        <v>12</v>
      </c>
    </row>
    <row r="15" spans="1:12" x14ac:dyDescent="0.25">
      <c r="A15" s="145" t="str">
        <f>IF(OR(PHASE_FINAL_DM!B25="",PHASE_FINAL_DM!B26=""),"",IF(PHASE_FINAL_DM!B25&gt;PHASE_FINAL_DM!B26,PHASE_FINAL_DM!C25,PHASE_FINAL_DM!C26))</f>
        <v/>
      </c>
      <c r="B15" s="146">
        <v>13</v>
      </c>
    </row>
    <row r="16" spans="1:12" x14ac:dyDescent="0.25">
      <c r="A16" s="145" t="str">
        <f>IF(OR(PHASE_FINAL_DM!B25="",PHASE_FINAL_DM!B26=""),"",IF(PHASE_FINAL_DM!B25&lt;PHASE_FINAL_DM!B26,PHASE_FINAL_DM!C25,PHASE_FINAL_DM!C26))</f>
        <v/>
      </c>
      <c r="B16" s="146">
        <v>14</v>
      </c>
    </row>
    <row r="17" spans="1:2" x14ac:dyDescent="0.25">
      <c r="A17" s="145" t="str">
        <f>IF(OR(PHASE_FINAL_DM!B29="",PHASE_FINAL_DM!B30=""),"",IF(PHASE_FINAL_DM!B29&gt;PHASE_FINAL_DM!B30,PHASE_FINAL_DM!C29,PHASE_FINAL_DM!C30))</f>
        <v/>
      </c>
      <c r="B17" s="146">
        <v>15</v>
      </c>
    </row>
    <row r="18" spans="1:2" x14ac:dyDescent="0.25">
      <c r="A18" s="145" t="str">
        <f>IF(OR(PHASE_FINAL_DM!B29="",PHASE_FINAL_DM!B30=""),"",IF(PHASE_FINAL_DM!B29&lt;PHASE_FINAL_DM!B30,PHASE_FINAL_DM!C29,PHASE_FINAL_DM!C30))</f>
        <v/>
      </c>
      <c r="B18" s="146">
        <v>16</v>
      </c>
    </row>
    <row r="19" spans="1:2" x14ac:dyDescent="0.25">
      <c r="A19" s="145" t="str">
        <f>IF(OR(PHASE_FINAL_DM!O42="",PHASE_FINAL_DM!O43=""),"",IF(PHASE_FINAL_DM!O42&gt;PHASE_FINAL_DM!O43,PHASE_FINAL_DM!N42,PHASE_FINAL_DM!N43))</f>
        <v/>
      </c>
      <c r="B19" s="146">
        <v>17</v>
      </c>
    </row>
    <row r="20" spans="1:2" x14ac:dyDescent="0.25">
      <c r="A20" s="145" t="str">
        <f>IF(OR(PHASE_FINAL_DM!O42="",PHASE_FINAL_DM!O43=""),"",IF(PHASE_FINAL_DM!O42&lt;PHASE_FINAL_DM!O43,PHASE_FINAL_DM!N42,PHASE_FINAL_DM!N43))</f>
        <v/>
      </c>
      <c r="B20" s="146">
        <v>18</v>
      </c>
    </row>
    <row r="21" spans="1:2" x14ac:dyDescent="0.25">
      <c r="A21" s="145" t="str">
        <f>IF(OR(PHASE_FINAL_DM!O46="",PHASE_FINAL_DM!O47=""),"",IF(PHASE_FINAL_DM!O46&gt;PHASE_FINAL_DM!O47,PHASE_FINAL_DM!N46,PHASE_FINAL_DM!N47))</f>
        <v/>
      </c>
      <c r="B21" s="146">
        <v>19</v>
      </c>
    </row>
    <row r="22" spans="1:2" x14ac:dyDescent="0.25">
      <c r="A22" s="145" t="str">
        <f>IF(OR(PHASE_FINAL_DM!O46="",PHASE_FINAL_DM!O47=""),"",IF(PHASE_FINAL_DM!O46&lt;PHASE_FINAL_DM!O47,PHASE_FINAL_DM!N46,PHASE_FINAL_DM!N47))</f>
        <v/>
      </c>
      <c r="B22" s="146">
        <v>20</v>
      </c>
    </row>
    <row r="23" spans="1:2" x14ac:dyDescent="0.25">
      <c r="A23" s="145" t="str">
        <f>IF(OR(PHASE_FINAL_DM!B42="",PHASE_FINAL_DM!B43=""),"",IF(PHASE_FINAL_DM!B42&gt;PHASE_FINAL_DM!B43,PHASE_FINAL_DM!C42,PHASE_FINAL_DM!C43))</f>
        <v/>
      </c>
      <c r="B23" s="146">
        <v>21</v>
      </c>
    </row>
    <row r="24" spans="1:2" x14ac:dyDescent="0.25">
      <c r="A24" s="145" t="str">
        <f>IF(OR(PHASE_FINAL_DM!B42="",PHASE_FINAL_DM!B43=""),"",IF(PHASE_FINAL_DM!B42&lt;PHASE_FINAL_DM!B43,PHASE_FINAL_DM!C42,PHASE_FINAL_DM!C43))</f>
        <v/>
      </c>
      <c r="B24" s="146">
        <v>22</v>
      </c>
    </row>
    <row r="25" spans="1:2" x14ac:dyDescent="0.25">
      <c r="A25" s="145" t="str">
        <f>IF(OR(PHASE_FINAL_DM!B46="",PHASE_FINAL_DM!B47=""),"",IF(PHASE_FINAL_DM!B46&gt;PHASE_FINAL_DM!B47,PHASE_FINAL_DM!C46,PHASE_FINAL_DM!C47))</f>
        <v/>
      </c>
      <c r="B25" s="146">
        <v>23</v>
      </c>
    </row>
    <row r="26" spans="1:2" x14ac:dyDescent="0.25">
      <c r="A26" s="145" t="str">
        <f>IF(OR(PHASE_FINAL_DM!B46="",PHASE_FINAL_DM!B47=""),"",IF(PHASE_FINAL_DM!B46&lt;PHASE_FINAL_DM!B47,PHASE_FINAL_DM!C46,PHASE_FINAL_DM!C47))</f>
        <v/>
      </c>
      <c r="B26" s="146">
        <v>24</v>
      </c>
    </row>
    <row r="27" spans="1:2" x14ac:dyDescent="0.25">
      <c r="A27" s="145" t="str">
        <f>IF(OR(PHASE_FINAL_DM!O59="",PHASE_FINAL_DM!O60=""),"",IF(PHASE_FINAL_DM!O59&gt;PHASE_FINAL_DM!O60,PHASE_FINAL_DM!N59,PHASE_FINAL_DM!N60))</f>
        <v/>
      </c>
      <c r="B27" s="146">
        <v>25</v>
      </c>
    </row>
    <row r="28" spans="1:2" x14ac:dyDescent="0.25">
      <c r="A28" s="145"/>
      <c r="B28" s="146">
        <v>26</v>
      </c>
    </row>
    <row r="29" spans="1:2" x14ac:dyDescent="0.25">
      <c r="A29" s="145"/>
      <c r="B29" s="146">
        <v>27</v>
      </c>
    </row>
    <row r="30" spans="1:2" x14ac:dyDescent="0.25">
      <c r="A30" s="145"/>
      <c r="B30" s="146">
        <v>28</v>
      </c>
    </row>
    <row r="31" spans="1:2" x14ac:dyDescent="0.25">
      <c r="A31" s="145"/>
      <c r="B31" s="146">
        <v>29</v>
      </c>
    </row>
    <row r="32" spans="1:2" x14ac:dyDescent="0.25">
      <c r="A32" s="145"/>
      <c r="B32" s="146">
        <v>30</v>
      </c>
    </row>
    <row r="33" spans="1:2" x14ac:dyDescent="0.25">
      <c r="A33" s="145"/>
      <c r="B33" s="146">
        <v>31</v>
      </c>
    </row>
    <row r="34" spans="1:2" ht="15.75" thickBot="1" x14ac:dyDescent="0.3">
      <c r="A34" s="138"/>
      <c r="B34" s="139">
        <v>32</v>
      </c>
    </row>
    <row r="35" spans="1:2" x14ac:dyDescent="0.25">
      <c r="A35" s="135" t="str">
        <f>IF(OR(PHASE_FINAL_DM!O76="",PHASE_FINAL_DM!O77=""),"",IF(PHASE_FINAL_DM!O76&gt;PHASE_FINAL_DM!O77,PHASE_FINAL_DM!N76,PHASE_FINAL_DM!N77))</f>
        <v/>
      </c>
    </row>
    <row r="36" spans="1:2" x14ac:dyDescent="0.25">
      <c r="A36" s="135" t="str">
        <f>IF(OR(PHASE_FINAL_DM!O76="",PHASE_FINAL_DM!O77=""),"",IF(PHASE_FINAL_DM!O76&lt;PHASE_FINAL_DM!O77,PHASE_FINAL_DM!N76,PHASE_FINAL_DM!N77))</f>
        <v/>
      </c>
    </row>
    <row r="37" spans="1:2" x14ac:dyDescent="0.25">
      <c r="A37" s="135" t="str">
        <f>IF(OR(PHASE_FINAL_DM!O80="",PHASE_FINAL_DM!O81=""),"",IF(PHASE_FINAL_DM!O80&gt;PHASE_FINAL_DM!O81,PHASE_FINAL_DM!N80,PHASE_FINAL_DM!N81))</f>
        <v/>
      </c>
    </row>
    <row r="38" spans="1:2" x14ac:dyDescent="0.25">
      <c r="A38" s="135" t="str">
        <f>IF(OR(PHASE_FINAL_DM!O80="",PHASE_FINAL_DM!O81=""),"",IF(PHASE_FINAL_DM!O80&lt;PHASE_FINAL_DM!O81,PHASE_FINAL_DM!N80,PHASE_FINAL_DM!N81))</f>
        <v/>
      </c>
    </row>
    <row r="39" spans="1:2" x14ac:dyDescent="0.25">
      <c r="A39" s="135" t="str">
        <f>IF(OR(PHASE_FINAL_DM!B76="",PHASE_FINAL_DM!B77=""),"",IF(PHASE_FINAL_DM!B76&gt;PHASE_FINAL_DM!B77,PHASE_FINAL_DM!C76,PHASE_FINAL_DM!C77))</f>
        <v/>
      </c>
    </row>
    <row r="40" spans="1:2" x14ac:dyDescent="0.25">
      <c r="A40" s="135" t="str">
        <f>IF(OR(PHASE_FINAL_DM!B76="",PHASE_FINAL_DM!B77=""),"",IF(PHASE_FINAL_DM!B76&lt;PHASE_FINAL_DM!B77,PHASE_FINAL_DM!C76,PHASE_FINAL_DM!C77))</f>
        <v/>
      </c>
    </row>
    <row r="41" spans="1:2" x14ac:dyDescent="0.25">
      <c r="A41" s="135" t="str">
        <f>IF(OR(PHASE_FINAL_DM!B80="",PHASE_FINAL_DM!B81=""),"",IF(PHASE_FINAL_DM!B80&gt;PHASE_FINAL_DM!B81,PHASE_FINAL_DM!C80,PHASE_FINAL_DM!C81))</f>
        <v/>
      </c>
    </row>
    <row r="42" spans="1:2" x14ac:dyDescent="0.25">
      <c r="A42" s="135" t="str">
        <f>IF(OR(PHASE_FINAL_DM!B80="",PHASE_FINAL_DM!B81=""),"",IF(PHASE_FINAL_DM!B80&lt;PHASE_FINAL_DM!B81,PHASE_FINAL_DM!C80,PHASE_FINAL_DM!C81))</f>
        <v/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3" name="C4PPphfinalh">
              <controlPr defaultSize="0" print="0" autoFill="0" autoPict="0" macro="[0]!'copyimage &quot;A2:L74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F521C-6C13-43CF-9569-8BBB9C465491}">
  <dimension ref="A2:L27"/>
  <sheetViews>
    <sheetView workbookViewId="0"/>
  </sheetViews>
  <sheetFormatPr baseColWidth="10" defaultRowHeight="15" x14ac:dyDescent="0.25"/>
  <cols>
    <col min="1" max="1" width="30.7109375" style="135" customWidth="1"/>
    <col min="2" max="2" width="6.7109375" style="135" customWidth="1"/>
    <col min="3" max="16384" width="11.42578125" style="135"/>
  </cols>
  <sheetData>
    <row r="2" spans="1:12" ht="15.75" thickBot="1" x14ac:dyDescent="0.3">
      <c r="A2" s="135" t="s">
        <v>224</v>
      </c>
    </row>
    <row r="3" spans="1:12" x14ac:dyDescent="0.25">
      <c r="A3" s="136" t="str">
        <f>IF(OR(PHASE_FINAL_DH!O8="",PHASE_FINAL_DH!O9=""),"",IF(PHASE_FINAL_DH!O8&gt;PHASE_FINAL_DH!O9,PHASE_FINAL_DH!N8,PHASE_FINAL_DH!N9))</f>
        <v/>
      </c>
      <c r="B3" s="137">
        <v>1</v>
      </c>
    </row>
    <row r="4" spans="1:12" x14ac:dyDescent="0.25">
      <c r="A4" s="145" t="str">
        <f>IF(OR(PHASE_FINAL_DH!O8="",PHASE_FINAL_DH!O9=""),"",IF(PHASE_FINAL_DH!O8&lt;PHASE_FINAL_DH!O9,PHASE_FINAL_DH!N8,PHASE_FINAL_DH!N9))</f>
        <v/>
      </c>
      <c r="B4" s="146">
        <v>2</v>
      </c>
    </row>
    <row r="5" spans="1:12" x14ac:dyDescent="0.25">
      <c r="A5" s="145" t="str">
        <f>IF(OR(PHASE_FINAL_DH!O12="",PHASE_FINAL_DH!O13=""),"",IF(PHASE_FINAL_DH!O12&gt;PHASE_FINAL_DH!O13,PHASE_FINAL_DH!N12,PHASE_FINAL_DH!N13))</f>
        <v/>
      </c>
      <c r="B5" s="146">
        <v>3</v>
      </c>
    </row>
    <row r="6" spans="1:12" x14ac:dyDescent="0.25">
      <c r="A6" s="145" t="str">
        <f>IF(OR(PHASE_FINAL_DH!O12="",PHASE_FINAL_DH!O13=""),"",IF(PHASE_FINAL_DH!O12&lt;PHASE_FINAL_DH!O13,PHASE_FINAL_DH!N12,PHASE_FINAL_DH!N13))</f>
        <v/>
      </c>
      <c r="B6" s="146">
        <v>4</v>
      </c>
    </row>
    <row r="7" spans="1:12" x14ac:dyDescent="0.25">
      <c r="A7" s="145" t="str">
        <f>IF(OR(PHASE_FINAL_DH!B8="",PHASE_FINAL_DH!B9=""),"",IF(PHASE_FINAL_DH!B8&gt;PHASE_FINAL_DH!B9,PHASE_FINAL_DH!C8,PHASE_FINAL_DH!C9))</f>
        <v/>
      </c>
      <c r="B7" s="146">
        <v>5</v>
      </c>
      <c r="D7" s="147"/>
      <c r="E7" s="147"/>
      <c r="F7" s="147"/>
      <c r="G7" s="156" t="str">
        <f>A3</f>
        <v/>
      </c>
      <c r="H7" s="156"/>
      <c r="I7" s="156"/>
      <c r="J7" s="147"/>
      <c r="K7" s="147"/>
      <c r="L7" s="147"/>
    </row>
    <row r="8" spans="1:12" x14ac:dyDescent="0.25">
      <c r="A8" s="145" t="str">
        <f>IF(OR(PHASE_FINAL_DH!B8="",PHASE_FINAL_DH!B9=""),"",IF(PHASE_FINAL_DH!B8&lt;PHASE_FINAL_DH!B9,PHASE_FINAL_DH!C8,PHASE_FINAL_DH!C9))</f>
        <v/>
      </c>
      <c r="B8" s="146">
        <v>6</v>
      </c>
      <c r="D8" s="156" t="str">
        <f>A4</f>
        <v/>
      </c>
      <c r="E8" s="156"/>
      <c r="F8" s="156"/>
      <c r="G8" s="157"/>
      <c r="H8" s="157"/>
      <c r="I8" s="157"/>
      <c r="J8" s="147"/>
      <c r="K8" s="147"/>
      <c r="L8" s="147"/>
    </row>
    <row r="9" spans="1:12" x14ac:dyDescent="0.25">
      <c r="A9" s="145" t="str">
        <f>IF(OR(PHASE_FINAL_DH!B12="",PHASE_FINAL_DH!B13=""),"",IF(PHASE_FINAL_DH!B12&gt;PHASE_FINAL_DH!B13,PHASE_FINAL_DH!C12,PHASE_FINAL_DH!C13))</f>
        <v/>
      </c>
      <c r="B9" s="146">
        <v>7</v>
      </c>
      <c r="D9" s="157"/>
      <c r="E9" s="157"/>
      <c r="F9" s="157"/>
      <c r="G9" s="150"/>
      <c r="H9" s="148"/>
      <c r="I9" s="148"/>
      <c r="J9" s="158" t="str">
        <f>A5</f>
        <v/>
      </c>
      <c r="K9" s="156"/>
      <c r="L9" s="156"/>
    </row>
    <row r="10" spans="1:12" x14ac:dyDescent="0.25">
      <c r="A10" s="145" t="str">
        <f>IF(OR(PHASE_FINAL_DH!B12="",PHASE_FINAL_DH!B13=""),"",IF(PHASE_FINAL_DH!B12&lt;PHASE_FINAL_DH!B13,PHASE_FINAL_DH!C12,PHASE_FINAL_DH!C13))</f>
        <v/>
      </c>
      <c r="B10" s="146">
        <v>8</v>
      </c>
      <c r="D10" s="148"/>
      <c r="E10" s="148"/>
      <c r="F10" s="148"/>
      <c r="G10" s="148"/>
      <c r="H10" s="151">
        <v>1</v>
      </c>
      <c r="I10" s="148"/>
      <c r="J10" s="159"/>
      <c r="K10" s="157"/>
      <c r="L10" s="157"/>
    </row>
    <row r="11" spans="1:12" x14ac:dyDescent="0.25">
      <c r="A11" s="145" t="str">
        <f>IF(OR(PHASE_FINAL_DH!O25="",PHASE_FINAL_DH!O26=""),"",IF(PHASE_FINAL_DH!O25&gt;PHASE_FINAL_DH!O26,PHASE_FINAL_DH!N25,PHASE_FINAL_DH!N26))</f>
        <v/>
      </c>
      <c r="B11" s="146">
        <v>9</v>
      </c>
      <c r="D11" s="148"/>
      <c r="E11" s="152">
        <v>2</v>
      </c>
      <c r="F11" s="148"/>
      <c r="G11" s="148"/>
      <c r="H11" s="151"/>
      <c r="I11" s="148"/>
      <c r="J11" s="148"/>
      <c r="K11" s="154">
        <v>3</v>
      </c>
      <c r="L11" s="148"/>
    </row>
    <row r="12" spans="1:12" x14ac:dyDescent="0.25">
      <c r="A12" s="145" t="str">
        <f>IF(OR(PHASE_FINAL_DH!O25="",PHASE_FINAL_DH!O26=""),"",IF(PHASE_FINAL_DH!O25&lt;PHASE_FINAL_DH!O26,PHASE_FINAL_DH!N25,PHASE_FINAL_DH!N26))</f>
        <v/>
      </c>
      <c r="B12" s="146">
        <v>10</v>
      </c>
      <c r="D12" s="149"/>
      <c r="E12" s="153"/>
      <c r="F12" s="149"/>
      <c r="G12" s="149"/>
      <c r="H12" s="149"/>
      <c r="I12" s="149"/>
      <c r="J12" s="149"/>
      <c r="K12" s="155"/>
      <c r="L12" s="149"/>
    </row>
    <row r="13" spans="1:12" x14ac:dyDescent="0.25">
      <c r="A13" s="145" t="str">
        <f>IF(OR(PHASE_FINAL_DH!O29="",PHASE_FINAL_DH!O30=""),"",IF(PHASE_FINAL_DH!O29&gt;PHASE_FINAL_DH!O30,PHASE_FINAL_DH!N29,PHASE_FINAL_DH!N30))</f>
        <v/>
      </c>
      <c r="B13" s="146">
        <v>11</v>
      </c>
    </row>
    <row r="14" spans="1:12" x14ac:dyDescent="0.25">
      <c r="A14" s="145" t="str">
        <f>IF(OR(PHASE_FINAL_DH!O29="",PHASE_FINAL_DH!O30=""),"",IF(PHASE_FINAL_DH!O29&lt;PHASE_FINAL_DH!O30,PHASE_FINAL_DH!N29,PHASE_FINAL_DH!N30))</f>
        <v/>
      </c>
      <c r="B14" s="146">
        <v>12</v>
      </c>
    </row>
    <row r="15" spans="1:12" x14ac:dyDescent="0.25">
      <c r="A15" s="145" t="str">
        <f>IF(OR(PHASE_FINAL_DH!B25="",PHASE_FINAL_DH!B26=""),"",IF(PHASE_FINAL_DH!B25&gt;PHASE_FINAL_DH!B26,PHASE_FINAL_DH!C25,PHASE_FINAL_DH!C26))</f>
        <v/>
      </c>
      <c r="B15" s="146">
        <v>13</v>
      </c>
    </row>
    <row r="16" spans="1:12" x14ac:dyDescent="0.25">
      <c r="A16" s="145" t="str">
        <f>IF(OR(PHASE_FINAL_DH!B25="",PHASE_FINAL_DH!B26=""),"",IF(PHASE_FINAL_DH!B25&lt;PHASE_FINAL_DH!B26,PHASE_FINAL_DH!C25,PHASE_FINAL_DH!C26))</f>
        <v/>
      </c>
      <c r="B16" s="146">
        <v>14</v>
      </c>
    </row>
    <row r="17" spans="1:2" x14ac:dyDescent="0.25">
      <c r="A17" s="145" t="str">
        <f>IF(OR(PHASE_FINAL_DH!B29="",PHASE_FINAL_DH!B30=""),"",IF(PHASE_FINAL_DH!B29&gt;PHASE_FINAL_DH!B30,PHASE_FINAL_DH!C29,PHASE_FINAL_DH!C30))</f>
        <v/>
      </c>
      <c r="B17" s="146">
        <v>15</v>
      </c>
    </row>
    <row r="18" spans="1:2" x14ac:dyDescent="0.25">
      <c r="A18" s="145" t="str">
        <f>IF(OR(PHASE_FINAL_DH!B29="",PHASE_FINAL_DH!B30=""),"",IF(PHASE_FINAL_DH!B29&lt;PHASE_FINAL_DH!B30,PHASE_FINAL_DH!C29,PHASE_FINAL_DH!C30))</f>
        <v/>
      </c>
      <c r="B18" s="146">
        <v>16</v>
      </c>
    </row>
    <row r="19" spans="1:2" x14ac:dyDescent="0.25">
      <c r="A19" s="145" t="str">
        <f>IF(OR(PHASE_FINAL_DH!O42="",PHASE_FINAL_DH!O43=""),"",IF(PHASE_FINAL_DH!O42&gt;PHASE_FINAL_DH!O43,PHASE_FINAL_DH!N42,PHASE_FINAL_DH!N43))</f>
        <v/>
      </c>
      <c r="B19" s="146">
        <v>17</v>
      </c>
    </row>
    <row r="20" spans="1:2" x14ac:dyDescent="0.25">
      <c r="A20" s="145" t="str">
        <f>IF(OR(PHASE_FINAL_DH!O42="",PHASE_FINAL_DH!O43=""),"",IF(PHASE_FINAL_DH!O42&lt;PHASE_FINAL_DH!O43,PHASE_FINAL_DH!N42,PHASE_FINAL_DH!N43))</f>
        <v/>
      </c>
      <c r="B20" s="146">
        <v>18</v>
      </c>
    </row>
    <row r="21" spans="1:2" x14ac:dyDescent="0.25">
      <c r="A21" s="145" t="str">
        <f>IF(OR(PHASE_FINAL_DH!O46="",PHASE_FINAL_DH!O47=""),"",IF(PHASE_FINAL_DH!O46&gt;PHASE_FINAL_DH!O47,PHASE_FINAL_DH!N46,PHASE_FINAL_DH!N47))</f>
        <v/>
      </c>
      <c r="B21" s="146">
        <v>19</v>
      </c>
    </row>
    <row r="22" spans="1:2" ht="15.75" thickBot="1" x14ac:dyDescent="0.3">
      <c r="A22" s="138" t="str">
        <f>IF(OR(PHASE_FINAL_DH!O46="",PHASE_FINAL_DH!O47=""),"",IF(PHASE_FINAL_DH!O46&lt;PHASE_FINAL_DH!O47,PHASE_FINAL_DH!N46,PHASE_FINAL_DH!N47))</f>
        <v/>
      </c>
      <c r="B22" s="139">
        <v>20</v>
      </c>
    </row>
    <row r="23" spans="1:2" x14ac:dyDescent="0.25">
      <c r="A23" s="135" t="str">
        <f>IF(OR(PHASE_FINAL_DH!B42="",PHASE_FINAL_DH!B43=""),"",IF(PHASE_FINAL_DH!B42&gt;PHASE_FINAL_DH!B43,PHASE_FINAL_DH!C42,PHASE_FINAL_DH!C43))</f>
        <v/>
      </c>
    </row>
    <row r="24" spans="1:2" x14ac:dyDescent="0.25">
      <c r="A24" s="135" t="str">
        <f>IF(OR(PHASE_FINAL_DH!B42="",PHASE_FINAL_DH!B43=""),"",IF(PHASE_FINAL_DH!B42&lt;PHASE_FINAL_DH!B43,PHASE_FINAL_DH!C42,PHASE_FINAL_DH!C43))</f>
        <v/>
      </c>
    </row>
    <row r="25" spans="1:2" x14ac:dyDescent="0.25">
      <c r="A25" s="135" t="str">
        <f>IF(OR(PHASE_FINAL_DH!B46="",PHASE_FINAL_DH!B47=""),"",IF(PHASE_FINAL_DH!B46&gt;PHASE_FINAL_DH!B47,PHASE_FINAL_DH!C46,PHASE_FINAL_DH!C47))</f>
        <v/>
      </c>
    </row>
    <row r="26" spans="1:2" x14ac:dyDescent="0.25">
      <c r="A26" s="135" t="str">
        <f>IF(OR(PHASE_FINAL_DH!B46="",PHASE_FINAL_DH!B47=""),"",IF(PHASE_FINAL_DH!B46&lt;PHASE_FINAL_DH!B47,PHASE_FINAL_DH!C46,PHASE_FINAL_DH!C47))</f>
        <v/>
      </c>
    </row>
    <row r="27" spans="1:2" x14ac:dyDescent="0.25">
      <c r="A27" s="135" t="str">
        <f>IF(OR(PHASE_FINAL_DH!O59="",PHASE_FINAL_DH!O60=""),"",IF(PHASE_FINAL_DH!O59&gt;PHASE_FINAL_DH!O60,PHASE_FINAL_DH!N59,PHASE_FINAL_DH!N60))</f>
        <v/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3" name="C4PPphfinalh">
              <controlPr defaultSize="0" print="0" autoFill="0" autoPict="0" macro="[0]!'copyimage &quot;A2:L74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571CA-6547-49B3-ADDA-CCFB368E2E8F}">
  <dimension ref="A2:L27"/>
  <sheetViews>
    <sheetView workbookViewId="0"/>
  </sheetViews>
  <sheetFormatPr baseColWidth="10" defaultRowHeight="15" x14ac:dyDescent="0.25"/>
  <cols>
    <col min="1" max="1" width="30.7109375" style="135" customWidth="1"/>
    <col min="2" max="2" width="6.7109375" style="135" customWidth="1"/>
    <col min="3" max="16384" width="11.42578125" style="135"/>
  </cols>
  <sheetData>
    <row r="2" spans="1:12" ht="15.75" thickBot="1" x14ac:dyDescent="0.3">
      <c r="A2" s="135" t="s">
        <v>225</v>
      </c>
    </row>
    <row r="3" spans="1:12" x14ac:dyDescent="0.25">
      <c r="A3" s="136" t="str">
        <f>IF(OR(PHASE_FINAL_SH!O8="",PHASE_FINAL_SH!O9=""),"",IF(PHASE_FINAL_SH!O8&gt;PHASE_FINAL_SH!O9,PHASE_FINAL_SH!N8,PHASE_FINAL_SH!N9))</f>
        <v/>
      </c>
      <c r="B3" s="137">
        <v>1</v>
      </c>
    </row>
    <row r="4" spans="1:12" x14ac:dyDescent="0.25">
      <c r="A4" s="145" t="str">
        <f>IF(OR(PHASE_FINAL_SH!O8="",PHASE_FINAL_SH!O9=""),"",IF(PHASE_FINAL_SH!O8&lt;PHASE_FINAL_SH!O9,PHASE_FINAL_SH!N8,PHASE_FINAL_SH!N9))</f>
        <v/>
      </c>
      <c r="B4" s="146">
        <v>2</v>
      </c>
    </row>
    <row r="5" spans="1:12" x14ac:dyDescent="0.25">
      <c r="A5" s="145" t="str">
        <f>IF(OR(PHASE_FINAL_SH!O12="",PHASE_FINAL_SH!O13=""),"",IF(PHASE_FINAL_SH!O12&gt;PHASE_FINAL_SH!O13,PHASE_FINAL_SH!N12,PHASE_FINAL_SH!N13))</f>
        <v/>
      </c>
      <c r="B5" s="146">
        <v>3</v>
      </c>
    </row>
    <row r="6" spans="1:12" x14ac:dyDescent="0.25">
      <c r="A6" s="145" t="str">
        <f>IF(OR(PHASE_FINAL_SH!O12="",PHASE_FINAL_SH!O13=""),"",IF(PHASE_FINAL_SH!O12&lt;PHASE_FINAL_SH!O13,PHASE_FINAL_SH!N12,PHASE_FINAL_SH!N13))</f>
        <v/>
      </c>
      <c r="B6" s="146">
        <v>4</v>
      </c>
    </row>
    <row r="7" spans="1:12" x14ac:dyDescent="0.25">
      <c r="A7" s="145" t="str">
        <f>IF(OR(PHASE_FINAL_SH!B8="",PHASE_FINAL_SH!B9=""),"",IF(PHASE_FINAL_SH!B8&gt;PHASE_FINAL_SH!B9,PHASE_FINAL_SH!C8,PHASE_FINAL_SH!C9))</f>
        <v/>
      </c>
      <c r="B7" s="146">
        <v>5</v>
      </c>
      <c r="D7" s="147"/>
      <c r="E7" s="147"/>
      <c r="F7" s="147"/>
      <c r="G7" s="156" t="str">
        <f>A3</f>
        <v/>
      </c>
      <c r="H7" s="156"/>
      <c r="I7" s="156"/>
      <c r="J7" s="147"/>
      <c r="K7" s="147"/>
      <c r="L7" s="147"/>
    </row>
    <row r="8" spans="1:12" x14ac:dyDescent="0.25">
      <c r="A8" s="145" t="str">
        <f>IF(OR(PHASE_FINAL_SH!B8="",PHASE_FINAL_SH!B9=""),"",IF(PHASE_FINAL_SH!B8&lt;PHASE_FINAL_SH!B9,PHASE_FINAL_SH!C8,PHASE_FINAL_SH!C9))</f>
        <v/>
      </c>
      <c r="B8" s="146">
        <v>6</v>
      </c>
      <c r="D8" s="156" t="str">
        <f>A4</f>
        <v/>
      </c>
      <c r="E8" s="156"/>
      <c r="F8" s="156"/>
      <c r="G8" s="157"/>
      <c r="H8" s="157"/>
      <c r="I8" s="157"/>
      <c r="J8" s="147"/>
      <c r="K8" s="147"/>
      <c r="L8" s="147"/>
    </row>
    <row r="9" spans="1:12" x14ac:dyDescent="0.25">
      <c r="A9" s="145" t="str">
        <f>IF(OR(PHASE_FINAL_SH!B12="",PHASE_FINAL_SH!B13=""),"",IF(PHASE_FINAL_SH!B12&gt;PHASE_FINAL_SH!B13,PHASE_FINAL_SH!C12,PHASE_FINAL_SH!C13))</f>
        <v/>
      </c>
      <c r="B9" s="146">
        <v>7</v>
      </c>
      <c r="D9" s="157"/>
      <c r="E9" s="157"/>
      <c r="F9" s="157"/>
      <c r="G9" s="150"/>
      <c r="H9" s="148"/>
      <c r="I9" s="148"/>
      <c r="J9" s="158" t="str">
        <f>A5</f>
        <v/>
      </c>
      <c r="K9" s="156"/>
      <c r="L9" s="156"/>
    </row>
    <row r="10" spans="1:12" x14ac:dyDescent="0.25">
      <c r="A10" s="145" t="str">
        <f>IF(OR(PHASE_FINAL_SH!B12="",PHASE_FINAL_SH!B13=""),"",IF(PHASE_FINAL_SH!B12&lt;PHASE_FINAL_SH!B13,PHASE_FINAL_SH!C12,PHASE_FINAL_SH!C13))</f>
        <v/>
      </c>
      <c r="B10" s="146">
        <v>8</v>
      </c>
      <c r="D10" s="148"/>
      <c r="E10" s="148"/>
      <c r="F10" s="148"/>
      <c r="G10" s="148"/>
      <c r="H10" s="151">
        <v>1</v>
      </c>
      <c r="I10" s="148"/>
      <c r="J10" s="159"/>
      <c r="K10" s="157"/>
      <c r="L10" s="157"/>
    </row>
    <row r="11" spans="1:12" x14ac:dyDescent="0.25">
      <c r="A11" s="145" t="str">
        <f>IF(OR(PHASE_FINAL_SH!O25="",PHASE_FINAL_SH!O26=""),"",IF(PHASE_FINAL_SH!O25&gt;PHASE_FINAL_SH!O26,PHASE_FINAL_SH!N25,PHASE_FINAL_SH!N26))</f>
        <v/>
      </c>
      <c r="B11" s="146">
        <v>9</v>
      </c>
      <c r="D11" s="148"/>
      <c r="E11" s="152">
        <v>2</v>
      </c>
      <c r="F11" s="148"/>
      <c r="G11" s="148"/>
      <c r="H11" s="151"/>
      <c r="I11" s="148"/>
      <c r="J11" s="148"/>
      <c r="K11" s="154">
        <v>3</v>
      </c>
      <c r="L11" s="148"/>
    </row>
    <row r="12" spans="1:12" x14ac:dyDescent="0.25">
      <c r="A12" s="145" t="str">
        <f>IF(OR(PHASE_FINAL_SH!O25="",PHASE_FINAL_SH!O26=""),"",IF(PHASE_FINAL_SH!O25&lt;PHASE_FINAL_SH!O26,PHASE_FINAL_SH!N25,PHASE_FINAL_SH!N26))</f>
        <v/>
      </c>
      <c r="B12" s="146">
        <v>10</v>
      </c>
      <c r="D12" s="149"/>
      <c r="E12" s="153"/>
      <c r="F12" s="149"/>
      <c r="G12" s="149"/>
      <c r="H12" s="149"/>
      <c r="I12" s="149"/>
      <c r="J12" s="149"/>
      <c r="K12" s="155"/>
      <c r="L12" s="149"/>
    </row>
    <row r="13" spans="1:12" x14ac:dyDescent="0.25">
      <c r="A13" s="145" t="str">
        <f>IF(OR(PHASE_FINAL_SH!O29="",PHASE_FINAL_SH!O30=""),"",IF(PHASE_FINAL_SH!O29&gt;PHASE_FINAL_SH!O30,PHASE_FINAL_SH!N29,PHASE_FINAL_SH!N30))</f>
        <v/>
      </c>
      <c r="B13" s="146">
        <v>11</v>
      </c>
    </row>
    <row r="14" spans="1:12" x14ac:dyDescent="0.25">
      <c r="A14" s="145" t="str">
        <f>IF(OR(PHASE_FINAL_SH!O29="",PHASE_FINAL_SH!O30=""),"",IF(PHASE_FINAL_SH!O29&lt;PHASE_FINAL_SH!O30,PHASE_FINAL_SH!N29,PHASE_FINAL_SH!N30))</f>
        <v/>
      </c>
      <c r="B14" s="146">
        <v>12</v>
      </c>
    </row>
    <row r="15" spans="1:12" x14ac:dyDescent="0.25">
      <c r="A15" s="145" t="str">
        <f>IF(OR(PHASE_FINAL_SH!B25="",PHASE_FINAL_SH!B26=""),"",IF(PHASE_FINAL_SH!B25&gt;PHASE_FINAL_SH!B26,PHASE_FINAL_SH!C25,PHASE_FINAL_SH!C26))</f>
        <v/>
      </c>
      <c r="B15" s="146">
        <v>13</v>
      </c>
    </row>
    <row r="16" spans="1:12" x14ac:dyDescent="0.25">
      <c r="A16" s="145" t="str">
        <f>IF(OR(PHASE_FINAL_SH!B25="",PHASE_FINAL_SH!B26=""),"",IF(PHASE_FINAL_SH!B25&lt;PHASE_FINAL_SH!B26,PHASE_FINAL_SH!C25,PHASE_FINAL_SH!C26))</f>
        <v/>
      </c>
      <c r="B16" s="146">
        <v>14</v>
      </c>
    </row>
    <row r="17" spans="1:2" x14ac:dyDescent="0.25">
      <c r="A17" s="145" t="str">
        <f>IF(OR(PHASE_FINAL_SH!B29="",PHASE_FINAL_SH!B30=""),"",IF(PHASE_FINAL_SH!B29&gt;PHASE_FINAL_SH!B30,PHASE_FINAL_SH!C29,PHASE_FINAL_SH!C30))</f>
        <v/>
      </c>
      <c r="B17" s="146">
        <v>15</v>
      </c>
    </row>
    <row r="18" spans="1:2" x14ac:dyDescent="0.25">
      <c r="A18" s="145" t="str">
        <f>IF(OR(PHASE_FINAL_SH!B29="",PHASE_FINAL_SH!B30=""),"",IF(PHASE_FINAL_SH!B29&lt;PHASE_FINAL_SH!B30,PHASE_FINAL_SH!C29,PHASE_FINAL_SH!C30))</f>
        <v/>
      </c>
      <c r="B18" s="146">
        <v>16</v>
      </c>
    </row>
    <row r="19" spans="1:2" x14ac:dyDescent="0.25">
      <c r="A19" s="145" t="str">
        <f>IF(OR(PHASE_FINAL_SH!O42="",PHASE_FINAL_SH!O43=""),"",IF(PHASE_FINAL_SH!O42&gt;PHASE_FINAL_SH!O43,PHASE_FINAL_SH!N42,PHASE_FINAL_SH!N43))</f>
        <v/>
      </c>
      <c r="B19" s="146">
        <v>17</v>
      </c>
    </row>
    <row r="20" spans="1:2" x14ac:dyDescent="0.25">
      <c r="A20" s="145" t="str">
        <f>IF(OR(PHASE_FINAL_SH!O42="",PHASE_FINAL_SH!O43=""),"",IF(PHASE_FINAL_SH!O42&lt;PHASE_FINAL_SH!O43,PHASE_FINAL_SH!N42,PHASE_FINAL_SH!N43))</f>
        <v/>
      </c>
      <c r="B20" s="146">
        <v>18</v>
      </c>
    </row>
    <row r="21" spans="1:2" x14ac:dyDescent="0.25">
      <c r="A21" s="145" t="str">
        <f>IF(OR(PHASE_FINAL_SH!O46="",PHASE_FINAL_SH!O47=""),"",IF(PHASE_FINAL_SH!O46&gt;PHASE_FINAL_SH!O47,PHASE_FINAL_SH!N46,PHASE_FINAL_SH!N47))</f>
        <v/>
      </c>
      <c r="B21" s="146">
        <v>19</v>
      </c>
    </row>
    <row r="22" spans="1:2" ht="15.75" thickBot="1" x14ac:dyDescent="0.3">
      <c r="A22" s="138" t="str">
        <f>IF(OR(PHASE_FINAL_SH!O46="",PHASE_FINAL_SH!O47=""),"",IF(PHASE_FINAL_SH!O46&lt;PHASE_FINAL_SH!O47,PHASE_FINAL_SH!N46,PHASE_FINAL_SH!N47))</f>
        <v/>
      </c>
      <c r="B22" s="139">
        <v>20</v>
      </c>
    </row>
    <row r="23" spans="1:2" x14ac:dyDescent="0.25">
      <c r="A23" s="135" t="str">
        <f>IF(OR(PHASE_FINAL_SH!B42="",PHASE_FINAL_SH!B43=""),"",IF(PHASE_FINAL_SH!B42&gt;PHASE_FINAL_SH!B43,PHASE_FINAL_SH!C42,PHASE_FINAL_SH!C43))</f>
        <v/>
      </c>
    </row>
    <row r="24" spans="1:2" x14ac:dyDescent="0.25">
      <c r="A24" s="135" t="str">
        <f>IF(OR(PHASE_FINAL_SH!B42="",PHASE_FINAL_SH!B43=""),"",IF(PHASE_FINAL_SH!B42&lt;PHASE_FINAL_SH!B43,PHASE_FINAL_SH!C42,PHASE_FINAL_SH!C43))</f>
        <v/>
      </c>
    </row>
    <row r="25" spans="1:2" x14ac:dyDescent="0.25">
      <c r="A25" s="135" t="str">
        <f>IF(OR(PHASE_FINAL_SH!B46="",PHASE_FINAL_SH!B47=""),"",IF(PHASE_FINAL_SH!B46&gt;PHASE_FINAL_SH!B47,PHASE_FINAL_SH!C46,PHASE_FINAL_SH!C47))</f>
        <v/>
      </c>
    </row>
    <row r="26" spans="1:2" x14ac:dyDescent="0.25">
      <c r="A26" s="135" t="str">
        <f>IF(OR(PHASE_FINAL_SH!B46="",PHASE_FINAL_SH!B47=""),"",IF(PHASE_FINAL_SH!B46&lt;PHASE_FINAL_SH!B47,PHASE_FINAL_SH!C46,PHASE_FINAL_SH!C47))</f>
        <v/>
      </c>
    </row>
    <row r="27" spans="1:2" x14ac:dyDescent="0.25">
      <c r="A27" s="135" t="str">
        <f>IF(OR(PHASE_FINAL_SH!O59="",PHASE_FINAL_SH!O60=""),"",IF(PHASE_FINAL_SH!O59&gt;PHASE_FINAL_SH!O60,PHASE_FINAL_SH!N59,PHASE_FINAL_SH!N60))</f>
        <v/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C4PPphfinalh">
              <controlPr defaultSize="0" print="0" autoFill="0" autoPict="0" macro="[0]!'copyimage &quot;A2:L74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Accueil</vt:lpstr>
      <vt:lpstr>Parametres</vt:lpstr>
      <vt:lpstr>NOTES</vt:lpstr>
      <vt:lpstr>OMPN</vt:lpstr>
      <vt:lpstr>INSCRIPTS</vt:lpstr>
      <vt:lpstr>MATCHS</vt:lpstr>
      <vt:lpstr>CLASSEMENTS</vt:lpstr>
      <vt:lpstr>PHASE_FINAL_DM</vt:lpstr>
      <vt:lpstr>PHASE_FINAL_DH</vt:lpstr>
      <vt:lpstr>PHASE_FINAL_SH</vt:lpstr>
      <vt:lpstr>FINAL_MATCHS</vt:lpstr>
      <vt:lpstr>PLACE_FINAL_DM</vt:lpstr>
      <vt:lpstr>PLACE_FINAL_DH</vt:lpstr>
      <vt:lpstr>PLACE_FINAL_SH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2023-06-05T22:41:22Z</dcterms:modified>
</cp:coreProperties>
</file>