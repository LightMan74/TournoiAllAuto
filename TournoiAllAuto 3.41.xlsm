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XVBA\"/>
    </mc:Choice>
  </mc:AlternateContent>
  <xr:revisionPtr revIDLastSave="0" documentId="13_ncr:1_{546E3E7F-2649-44BD-8979-55C555A54E88}" xr6:coauthVersionLast="47" xr6:coauthVersionMax="47" xr10:uidLastSave="{00000000-0000-0000-0000-000000000000}"/>
  <bookViews>
    <workbookView xWindow="2868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  <sheet name="INSCRITS" sheetId="198" r:id="rId9"/>
    <sheet name="MATCHS" sheetId="199" r:id="rId10"/>
    <sheet name="CLASSEMENTS" sheetId="200" r:id="rId11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D23" i="200"/>
  <c r="D22" i="200"/>
  <c r="D21" i="200"/>
  <c r="D20" i="200"/>
  <c r="D19" i="200"/>
  <c r="D18" i="200"/>
  <c r="D17" i="200"/>
  <c r="D16" i="200"/>
  <c r="D15" i="200"/>
  <c r="D14" i="200"/>
  <c r="D13" i="200"/>
  <c r="D12" i="200"/>
  <c r="D11" i="200"/>
  <c r="D10" i="200"/>
  <c r="D9" i="200"/>
  <c r="D8" i="200"/>
  <c r="D7" i="200"/>
  <c r="D6" i="200"/>
  <c r="D5" i="200"/>
  <c r="D4" i="200"/>
  <c r="B72" i="199"/>
  <c r="F66" i="199"/>
  <c r="F60" i="199"/>
  <c r="B54" i="199"/>
  <c r="F47" i="199"/>
  <c r="B41" i="199"/>
  <c r="F34" i="199"/>
  <c r="B28" i="199"/>
  <c r="F21" i="199"/>
  <c r="B15" i="199"/>
  <c r="F8" i="199"/>
  <c r="B2" i="199"/>
  <c r="F72" i="199"/>
  <c r="B60" i="199"/>
  <c r="F53" i="199"/>
  <c r="B47" i="199"/>
  <c r="F40" i="199"/>
  <c r="B34" i="199"/>
  <c r="F27" i="199"/>
  <c r="B21" i="199"/>
  <c r="F14" i="199"/>
  <c r="B8" i="199"/>
  <c r="F2" i="199"/>
  <c r="B66" i="199"/>
  <c r="F59" i="199"/>
  <c r="B53" i="199"/>
  <c r="F46" i="199"/>
  <c r="B40" i="199"/>
  <c r="F33" i="199"/>
  <c r="B27" i="199"/>
  <c r="F20" i="199"/>
  <c r="B14" i="199"/>
  <c r="B3" i="199"/>
  <c r="F65" i="199"/>
  <c r="B59" i="199"/>
  <c r="F52" i="199"/>
  <c r="B46" i="199"/>
  <c r="F39" i="199"/>
  <c r="B33" i="199"/>
  <c r="F26" i="199"/>
  <c r="B20" i="199"/>
  <c r="B9" i="199"/>
  <c r="F3" i="199"/>
  <c r="F71" i="199"/>
  <c r="B65" i="199"/>
  <c r="F58" i="199"/>
  <c r="B52" i="199"/>
  <c r="F45" i="199"/>
  <c r="B39" i="199"/>
  <c r="F32" i="199"/>
  <c r="B26" i="199"/>
  <c r="F9" i="199"/>
  <c r="B4" i="199"/>
  <c r="B71" i="199"/>
  <c r="F64" i="199"/>
  <c r="B58" i="199"/>
  <c r="F51" i="199"/>
  <c r="B45" i="199"/>
  <c r="F38" i="199"/>
  <c r="B32" i="199"/>
  <c r="F15" i="199"/>
  <c r="B10" i="199"/>
  <c r="F4" i="199"/>
  <c r="F70" i="199"/>
  <c r="B64" i="199"/>
  <c r="F57" i="199"/>
  <c r="B51" i="199"/>
  <c r="F44" i="199"/>
  <c r="B38" i="199"/>
  <c r="B16" i="199"/>
  <c r="F10" i="199"/>
  <c r="B5" i="199"/>
  <c r="F76" i="199"/>
  <c r="B70" i="199"/>
  <c r="F63" i="199"/>
  <c r="B57" i="199"/>
  <c r="F50" i="199"/>
  <c r="B44" i="199"/>
  <c r="B22" i="199"/>
  <c r="F16" i="199"/>
  <c r="B11" i="199"/>
  <c r="F5" i="199"/>
  <c r="B76" i="199"/>
  <c r="F69" i="199"/>
  <c r="B63" i="199"/>
  <c r="F56" i="199"/>
  <c r="B50" i="199"/>
  <c r="F22" i="199"/>
  <c r="B17" i="199"/>
  <c r="F11" i="199"/>
  <c r="B6" i="199"/>
  <c r="F75" i="199"/>
  <c r="B69" i="199"/>
  <c r="F62" i="199"/>
  <c r="B56" i="199"/>
  <c r="F28" i="199"/>
  <c r="B23" i="199"/>
  <c r="F17" i="199"/>
  <c r="B12" i="199"/>
  <c r="F6" i="199"/>
  <c r="B75" i="199"/>
  <c r="F68" i="199"/>
  <c r="B62" i="199"/>
  <c r="B29" i="199"/>
  <c r="F23" i="199"/>
  <c r="B18" i="199"/>
  <c r="F12" i="199"/>
  <c r="F74" i="199"/>
  <c r="B68" i="199"/>
  <c r="B35" i="199"/>
  <c r="F29" i="199"/>
  <c r="B24" i="199"/>
  <c r="F18" i="199"/>
  <c r="B74" i="199"/>
  <c r="F35" i="199"/>
  <c r="B30" i="199"/>
  <c r="F24" i="199"/>
  <c r="F41" i="199"/>
  <c r="B36" i="199"/>
  <c r="F30" i="199"/>
  <c r="B42" i="199"/>
  <c r="F36" i="199"/>
  <c r="B48" i="199"/>
  <c r="F42" i="199"/>
  <c r="F48" i="199"/>
  <c r="F54" i="199"/>
  <c r="D1135" i="199"/>
  <c r="D1129" i="199"/>
  <c r="D1123" i="199"/>
  <c r="D1117" i="199"/>
  <c r="D1111" i="199"/>
  <c r="D1105" i="199"/>
  <c r="D1099" i="199"/>
  <c r="D1093" i="199"/>
  <c r="D1087" i="199"/>
  <c r="D1081" i="199"/>
  <c r="D1075" i="199"/>
  <c r="D1069" i="199"/>
  <c r="D1063" i="199"/>
  <c r="D1057" i="199"/>
  <c r="D1051" i="199"/>
  <c r="D1045" i="199"/>
  <c r="D1039" i="199"/>
  <c r="D1033" i="199"/>
  <c r="D1027" i="199"/>
  <c r="D1021" i="199"/>
  <c r="D1015" i="199"/>
  <c r="D1009" i="199"/>
  <c r="D1003" i="199"/>
  <c r="D997" i="199"/>
  <c r="D991" i="199"/>
  <c r="D985" i="199"/>
  <c r="D979" i="199"/>
  <c r="D973" i="199"/>
  <c r="D967" i="199"/>
  <c r="D961" i="199"/>
  <c r="D955" i="199"/>
  <c r="D949" i="199"/>
  <c r="D943" i="199"/>
  <c r="D937" i="199"/>
  <c r="D931" i="199"/>
  <c r="D925" i="199"/>
  <c r="D919" i="199"/>
  <c r="D913" i="199"/>
  <c r="D907" i="199"/>
  <c r="D901" i="199"/>
  <c r="D895" i="199"/>
  <c r="D889" i="199"/>
  <c r="D883" i="199"/>
  <c r="D877" i="199"/>
  <c r="D871" i="199"/>
  <c r="D865" i="199"/>
  <c r="D859" i="199"/>
  <c r="D853" i="199"/>
  <c r="D847" i="199"/>
  <c r="D841" i="199"/>
  <c r="D835" i="199"/>
  <c r="D829" i="199"/>
  <c r="D823" i="199"/>
  <c r="D817" i="199"/>
  <c r="D811" i="199"/>
  <c r="D805" i="199"/>
  <c r="D799" i="199"/>
  <c r="D793" i="199"/>
  <c r="D787" i="199"/>
  <c r="D781" i="199"/>
  <c r="D775" i="199"/>
  <c r="D769" i="199"/>
  <c r="D763" i="199"/>
  <c r="D757" i="199"/>
  <c r="D751" i="199"/>
  <c r="D745" i="199"/>
  <c r="D739" i="199"/>
  <c r="D733" i="199"/>
  <c r="D727" i="199"/>
  <c r="D721" i="199"/>
  <c r="D715" i="199"/>
  <c r="D709" i="199"/>
  <c r="D703" i="199"/>
  <c r="D697" i="199"/>
  <c r="D691" i="199"/>
  <c r="D685" i="199"/>
  <c r="D679" i="199"/>
  <c r="D673" i="199"/>
  <c r="D667" i="199"/>
  <c r="D661" i="199"/>
  <c r="D655" i="199"/>
  <c r="D649" i="199"/>
  <c r="D643" i="199"/>
  <c r="D637" i="199"/>
  <c r="D631" i="199"/>
  <c r="D625" i="199"/>
  <c r="D619" i="199"/>
  <c r="D613" i="199"/>
  <c r="D607" i="199"/>
  <c r="D601" i="199"/>
  <c r="D595" i="199"/>
  <c r="D589" i="199"/>
  <c r="D583" i="199"/>
  <c r="D577" i="199"/>
  <c r="D571" i="199"/>
  <c r="D565" i="199"/>
  <c r="D559" i="199"/>
  <c r="D553" i="199"/>
  <c r="D547" i="199"/>
  <c r="D541" i="199"/>
  <c r="D535" i="199"/>
  <c r="D529" i="199"/>
  <c r="D523" i="199"/>
  <c r="D517" i="199"/>
  <c r="D511" i="199"/>
  <c r="D505" i="199"/>
  <c r="D499" i="199"/>
  <c r="D493" i="199"/>
  <c r="D487" i="199"/>
  <c r="D481" i="199"/>
  <c r="D475" i="199"/>
  <c r="D469" i="199"/>
  <c r="D463" i="199"/>
  <c r="D457" i="199"/>
  <c r="D451" i="199"/>
  <c r="D445" i="199"/>
  <c r="D439" i="199"/>
  <c r="D433" i="199"/>
  <c r="D427" i="199"/>
  <c r="D421" i="199"/>
  <c r="D415" i="199"/>
  <c r="D409" i="199"/>
  <c r="D403" i="199"/>
  <c r="D397" i="199"/>
  <c r="D391" i="199"/>
  <c r="D385" i="199"/>
  <c r="D379" i="199"/>
  <c r="D373" i="199"/>
  <c r="D367" i="199"/>
  <c r="D361" i="199"/>
  <c r="D355" i="199"/>
  <c r="D349" i="199"/>
  <c r="D343" i="199"/>
  <c r="D337" i="199"/>
  <c r="D331" i="199"/>
  <c r="D325" i="199"/>
  <c r="D319" i="199"/>
  <c r="D313" i="199"/>
  <c r="D307" i="199"/>
  <c r="D301" i="199"/>
  <c r="D295" i="199"/>
  <c r="D289" i="199"/>
  <c r="D283" i="199"/>
  <c r="D277" i="199"/>
  <c r="D271" i="199"/>
  <c r="D265" i="199"/>
  <c r="D259" i="199"/>
  <c r="D253" i="199"/>
  <c r="D247" i="199"/>
  <c r="D241" i="199"/>
  <c r="D235" i="199"/>
  <c r="D229" i="199"/>
  <c r="D223" i="199"/>
  <c r="D217" i="199"/>
  <c r="D211" i="199"/>
  <c r="D205" i="199"/>
  <c r="D199" i="199"/>
  <c r="D193" i="199"/>
  <c r="D187" i="199"/>
  <c r="D181" i="199"/>
  <c r="D175" i="199"/>
  <c r="D169" i="199"/>
  <c r="D163" i="199"/>
  <c r="D157" i="199"/>
  <c r="D151" i="199"/>
  <c r="D145" i="199"/>
  <c r="D139" i="199"/>
  <c r="D133" i="199"/>
  <c r="D127" i="199"/>
  <c r="D121" i="199"/>
  <c r="D115" i="199"/>
  <c r="D109" i="199"/>
  <c r="D103" i="199"/>
  <c r="D97" i="199"/>
  <c r="D91" i="199"/>
  <c r="D85" i="199"/>
  <c r="D79" i="199"/>
  <c r="D73" i="199"/>
  <c r="D67" i="199"/>
  <c r="D61" i="199"/>
  <c r="D55" i="199"/>
  <c r="D49" i="199"/>
  <c r="D43" i="199"/>
  <c r="D37" i="199"/>
  <c r="D31" i="199"/>
  <c r="D25" i="199"/>
  <c r="D19" i="199"/>
  <c r="D13" i="199"/>
  <c r="D7" i="199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I23" i="200"/>
  <c r="H23" i="200"/>
  <c r="F23" i="200"/>
  <c r="E23" i="200"/>
  <c r="I22" i="200"/>
  <c r="H22" i="200"/>
  <c r="F22" i="200"/>
  <c r="E22" i="200"/>
  <c r="I21" i="200"/>
  <c r="H21" i="200"/>
  <c r="F21" i="200"/>
  <c r="E21" i="200"/>
  <c r="I20" i="200"/>
  <c r="H20" i="200"/>
  <c r="F20" i="200"/>
  <c r="E20" i="200"/>
  <c r="I19" i="200"/>
  <c r="H19" i="200"/>
  <c r="F19" i="200"/>
  <c r="E19" i="200"/>
  <c r="I18" i="200"/>
  <c r="H18" i="200"/>
  <c r="F18" i="200"/>
  <c r="E18" i="200"/>
  <c r="I17" i="200"/>
  <c r="H17" i="200"/>
  <c r="F17" i="200"/>
  <c r="E17" i="200"/>
  <c r="I16" i="200"/>
  <c r="H16" i="200"/>
  <c r="F16" i="200"/>
  <c r="E16" i="200"/>
  <c r="I15" i="200"/>
  <c r="H15" i="200"/>
  <c r="F15" i="200"/>
  <c r="E15" i="200"/>
  <c r="I14" i="200"/>
  <c r="H14" i="200"/>
  <c r="F14" i="200"/>
  <c r="E14" i="200"/>
  <c r="I13" i="200"/>
  <c r="H13" i="200"/>
  <c r="F13" i="200"/>
  <c r="E13" i="200"/>
  <c r="I12" i="200"/>
  <c r="H12" i="200"/>
  <c r="F12" i="200"/>
  <c r="E12" i="200"/>
  <c r="I11" i="200"/>
  <c r="H11" i="200"/>
  <c r="F11" i="200"/>
  <c r="E11" i="200"/>
  <c r="I10" i="200"/>
  <c r="H10" i="200"/>
  <c r="F10" i="200"/>
  <c r="E10" i="200"/>
  <c r="I9" i="200"/>
  <c r="H9" i="200"/>
  <c r="F9" i="200"/>
  <c r="E9" i="200"/>
  <c r="I8" i="200"/>
  <c r="H8" i="200"/>
  <c r="F8" i="200"/>
  <c r="E8" i="200"/>
  <c r="I7" i="200"/>
  <c r="H7" i="200"/>
  <c r="F7" i="200"/>
  <c r="E7" i="200"/>
  <c r="I6" i="200"/>
  <c r="H6" i="200"/>
  <c r="F6" i="200"/>
  <c r="E6" i="200"/>
  <c r="I5" i="200"/>
  <c r="H5" i="200"/>
  <c r="F5" i="200"/>
  <c r="E5" i="200"/>
  <c r="I4" i="200"/>
  <c r="H4" i="200"/>
  <c r="F4" i="200"/>
  <c r="E4" i="200"/>
  <c r="J23" i="200" l="1"/>
  <c r="J22" i="200"/>
  <c r="J21" i="200"/>
  <c r="J20" i="200"/>
  <c r="J19" i="200"/>
  <c r="J18" i="200"/>
  <c r="J17" i="200"/>
  <c r="J16" i="200"/>
  <c r="J15" i="200"/>
  <c r="J14" i="200"/>
  <c r="J13" i="200"/>
  <c r="J12" i="200"/>
  <c r="J11" i="200"/>
  <c r="J10" i="200"/>
  <c r="J9" i="200"/>
  <c r="J8" i="200"/>
  <c r="J7" i="200"/>
  <c r="J6" i="200"/>
  <c r="J5" i="200"/>
  <c r="J4" i="200"/>
  <c r="E34" i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<sst xmlns="http://schemas.openxmlformats.org/spreadsheetml/2006/main" count="4765" uniqueCount="308">
  <si>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</si>
  <si>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</si>
  <si>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</si>
  <si>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</si>
  <si>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</si>
  <si>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</si>
  <si>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</si>
  <si>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</si>
  <si>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</si>
  <si>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</si>
  <si>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</si>
  <si>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</si>
  <si>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</si>
  <si>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</si>
  <si>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</si>
  <si>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</si>
  <si>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</si>
  <si>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</si>
  <si>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</si>
  <si>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</si>
  <si>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</si>
  <si>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</si>
  <si>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</si>
  <si>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</si>
  <si>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</si>
  <si>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</si>
  <si>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</si>
  <si>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</si>
  <si>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</si>
  <si>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</si>
  <si>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</si>
  <si>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</si>
  <si>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</si>
  <si>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</si>
  <si>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</si>
  <si>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</si>
  <si>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</si>
  <si>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</si>
  <si>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</si>
  <si>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</si>
  <si>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</si>
  <si>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</si>
  <si>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</si>
  <si>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</si>
  <si>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</si>
  <si>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</si>
  <si>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</si>
  <si>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</si>
  <si>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</si>
  <si>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</si>
  <si>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</si>
  <si>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</si>
  <si>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</si>
  <si>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</si>
  <si>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</si>
  <si>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</si>
  <si>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</si>
  <si>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</si>
  <si>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</si>
  <si>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</si>
  <si>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</si>
  <si>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</si>
  <si>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</si>
  <si>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</si>
  <si>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</si>
  <si>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</si>
  <si>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</si>
  <si>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</si>
  <si>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</si>
  <si>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</si>
  <si>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</si>
  <si>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</si>
  <si>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</si>
  <si>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</si>
  <si>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</si>
  <si>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</si>
  <si>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</si>
  <si>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</si>
  <si>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</si>
  <si>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</si>
  <si>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</si>
  <si>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</si>
  <si>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</si>
  <si>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</si>
  <si>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</si>
  <si>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</si>
  <si>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</si>
  <si>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</si>
  <si>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</si>
  <si>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</si>
  <si>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</si>
  <si>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</si>
  <si>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</si>
  <si>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</si>
  <si>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</si>
  <si>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</si>
  <si>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</si>
  <si>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</si>
  <si>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</si>
  <si>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</si>
  <si>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</si>
  <si>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</si>
  <si>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</si>
  <si>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</si>
  <si>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</si>
  <si>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</si>
  <si>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</si>
  <si>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</si>
  <si>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</si>
  <si>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</si>
  <si>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</si>
  <si>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</si>
  <si>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</si>
  <si>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</si>
  <si>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</si>
  <si>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</si>
  <si>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</si>
  <si>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</si>
  <si>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</si>
  <si>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</si>
  <si>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</si>
  <si>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</si>
  <si>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</si>
  <si>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</si>
  <si>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</si>
  <si>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</si>
  <si>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</si>
  <si>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</si>
  <si>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</si>
  <si>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</si>
  <si>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</si>
  <si>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</si>
  <si>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</si>
  <si>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</si>
  <si>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</si>
  <si>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</si>
  <si>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</si>
  <si>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</si>
  <si>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</si>
  <si>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</si>
  <si>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</si>
  <si>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</si>
  <si>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</si>
  <si>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</si>
  <si>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</si>
  <si>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</si>
  <si>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</si>
  <si>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</si>
  <si>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</si>
  <si>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Salade</t>
  </si>
  <si>
    <t>Libre</t>
  </si>
  <si>
    <t/>
  </si>
  <si>
    <t>A</t>
  </si>
  <si>
    <t>5A</t>
  </si>
  <si>
    <t>6A</t>
  </si>
  <si>
    <t>7A</t>
  </si>
  <si>
    <t>8A</t>
  </si>
  <si>
    <t>9A</t>
  </si>
  <si>
    <t>10A</t>
  </si>
  <si>
    <t>11A</t>
  </si>
  <si>
    <t>12A</t>
  </si>
  <si>
    <t>13A</t>
  </si>
  <si>
    <t>14A</t>
  </si>
  <si>
    <t>15A</t>
  </si>
  <si>
    <t>16A</t>
  </si>
  <si>
    <t>17A</t>
  </si>
  <si>
    <t>18A</t>
  </si>
  <si>
    <t>19A</t>
  </si>
  <si>
    <t>20A</t>
  </si>
  <si>
    <t>5 TERRAIN 5</t>
  </si>
  <si>
    <t>Lettre</t>
  </si>
  <si>
    <t>Equipe</t>
  </si>
  <si>
    <t>Gagnes</t>
  </si>
  <si>
    <t>Perdus</t>
  </si>
  <si>
    <t>Set Gagnes</t>
  </si>
  <si>
    <t>Marques</t>
  </si>
  <si>
    <t>Encaisses</t>
  </si>
  <si>
    <t>Difference</t>
  </si>
  <si>
    <t>Confrontation Directe</t>
  </si>
  <si>
    <t>Ordre Inscrip</t>
  </si>
  <si>
    <t>Ordre Ph</t>
  </si>
  <si>
    <t>1A - 20A</t>
  </si>
  <si>
    <t>2A - 19A</t>
  </si>
  <si>
    <t>3A - 18A</t>
  </si>
  <si>
    <t>4A - 17A</t>
  </si>
  <si>
    <t>5A - 16A</t>
  </si>
  <si>
    <t>6A - 15A</t>
  </si>
  <si>
    <t>7A - 14A</t>
  </si>
  <si>
    <t>8A - 13A</t>
  </si>
  <si>
    <t>9A - 12A</t>
  </si>
  <si>
    <t>10A - 11A</t>
  </si>
  <si>
    <t>1A - 19A</t>
  </si>
  <si>
    <t>20A - 18A</t>
  </si>
  <si>
    <t>2A - 17A</t>
  </si>
  <si>
    <t>3A - 16A</t>
  </si>
  <si>
    <t>4A - 15A</t>
  </si>
  <si>
    <t>5A - 14A</t>
  </si>
  <si>
    <t>6A - 13A</t>
  </si>
  <si>
    <t>7A - 12A</t>
  </si>
  <si>
    <t>8A - 11A</t>
  </si>
  <si>
    <t>9A - 10A</t>
  </si>
  <si>
    <t>1A - 18A</t>
  </si>
  <si>
    <t>19A - 17A</t>
  </si>
  <si>
    <t>20A - 16A</t>
  </si>
  <si>
    <t>2A - 15A</t>
  </si>
  <si>
    <t>3A - 14A</t>
  </si>
  <si>
    <t>4A - 13A</t>
  </si>
  <si>
    <t>5A - 12A</t>
  </si>
  <si>
    <t>6A - 11A</t>
  </si>
  <si>
    <t>7A - 10A</t>
  </si>
  <si>
    <t>8A - 9A</t>
  </si>
  <si>
    <t>1A - 17A</t>
  </si>
  <si>
    <t>18A - 16A</t>
  </si>
  <si>
    <t>19A - 15A</t>
  </si>
  <si>
    <t>20A - 14A</t>
  </si>
  <si>
    <t>2A - 13A</t>
  </si>
  <si>
    <t>3A - 12A</t>
  </si>
  <si>
    <t>4A - 11A</t>
  </si>
  <si>
    <t>5A - 10A</t>
  </si>
  <si>
    <t>6A - 9A</t>
  </si>
  <si>
    <t>7A - 8A</t>
  </si>
  <si>
    <t>1A - 16A</t>
  </si>
  <si>
    <t>17A - 15A</t>
  </si>
  <si>
    <t>18A - 14A</t>
  </si>
  <si>
    <t>19A - 13A</t>
  </si>
  <si>
    <t>20A - 12A</t>
  </si>
  <si>
    <t>2A - 11A</t>
  </si>
  <si>
    <t>3A - 10A</t>
  </si>
  <si>
    <t>4A - 9A</t>
  </si>
  <si>
    <t>5A - 8A</t>
  </si>
  <si>
    <t>6A - 7A</t>
  </si>
  <si>
    <t>1A - 15A</t>
  </si>
  <si>
    <t>16A - 14A</t>
  </si>
  <si>
    <t>17A - 13A</t>
  </si>
  <si>
    <t>18A - 12A</t>
  </si>
  <si>
    <t>19A - 11A</t>
  </si>
  <si>
    <t>20A - 10A</t>
  </si>
  <si>
    <t>2A - 9A</t>
  </si>
  <si>
    <t>3A - 8A</t>
  </si>
  <si>
    <t>4A - 7A</t>
  </si>
  <si>
    <t>5A - 6A</t>
  </si>
  <si>
    <t>1A - 14A</t>
  </si>
  <si>
    <t>15A - 13A</t>
  </si>
  <si>
    <t>16A - 12A</t>
  </si>
  <si>
    <t>17A - 11A</t>
  </si>
  <si>
    <t>18A - 10A</t>
  </si>
  <si>
    <t>19A - 9A</t>
  </si>
  <si>
    <t>20A - 8A</t>
  </si>
  <si>
    <t>2A - 7A</t>
  </si>
  <si>
    <t>3A - 6A</t>
  </si>
  <si>
    <t>4A - 5A</t>
  </si>
  <si>
    <t>1A - 13A</t>
  </si>
  <si>
    <t>14A - 12A</t>
  </si>
  <si>
    <t>15A - 11A</t>
  </si>
  <si>
    <t>16A - 10A</t>
  </si>
  <si>
    <t>17A - 9A</t>
  </si>
  <si>
    <t>18A - 8A</t>
  </si>
  <si>
    <t>19A - 7A</t>
  </si>
  <si>
    <t>20A - 6A</t>
  </si>
  <si>
    <t>2A - 5A</t>
  </si>
  <si>
    <t>3A - 4A</t>
  </si>
  <si>
    <t>1A - 12A</t>
  </si>
  <si>
    <t>13A - 11A</t>
  </si>
  <si>
    <t>14A - 10A</t>
  </si>
  <si>
    <t>15A - 9A</t>
  </si>
  <si>
    <t>16A - 8A</t>
  </si>
  <si>
    <t>17A - 7A</t>
  </si>
  <si>
    <t>18A - 6A</t>
  </si>
  <si>
    <t>19A - 5A</t>
  </si>
  <si>
    <t>20A - 4A</t>
  </si>
  <si>
    <t>2A - 3A</t>
  </si>
  <si>
    <t>1A - 11A</t>
  </si>
  <si>
    <t>12A - 10A</t>
  </si>
  <si>
    <t>13A - 9A</t>
  </si>
  <si>
    <t>14A - 8A</t>
  </si>
  <si>
    <t>15A - 7A</t>
  </si>
  <si>
    <t>16A - 6A</t>
  </si>
  <si>
    <t>17A - 5A</t>
  </si>
  <si>
    <t>18A - 4A</t>
  </si>
  <si>
    <t>19A - 3A</t>
  </si>
  <si>
    <t>20A - 2A</t>
  </si>
  <si>
    <t>1A - 10A</t>
  </si>
  <si>
    <t>11A - 9A</t>
  </si>
  <si>
    <t>12A - 8A</t>
  </si>
  <si>
    <t>13A - 7A</t>
  </si>
  <si>
    <t>14A - 6A</t>
  </si>
  <si>
    <t>15A - 5A</t>
  </si>
  <si>
    <t>16A - 4A</t>
  </si>
  <si>
    <t>17A - 3A</t>
  </si>
  <si>
    <t>18A - 2A</t>
  </si>
  <si>
    <t>19A - 20A</t>
  </si>
  <si>
    <t>1A - 9A</t>
  </si>
  <si>
    <t>10A - 8A</t>
  </si>
  <si>
    <t>11A - 7A</t>
  </si>
  <si>
    <t>12A - 6A</t>
  </si>
  <si>
    <t>13A - 5A</t>
  </si>
  <si>
    <t>14A - 4A</t>
  </si>
  <si>
    <t>15A - 3A</t>
  </si>
  <si>
    <t>16A - 2A</t>
  </si>
  <si>
    <t>17A - 20A</t>
  </si>
  <si>
    <t>18A - 19A</t>
  </si>
  <si>
    <t>1A - 8A</t>
  </si>
  <si>
    <t>9A - 7A</t>
  </si>
  <si>
    <t>10A - 6A</t>
  </si>
  <si>
    <t>11A - 5A</t>
  </si>
  <si>
    <t>12A - 4A</t>
  </si>
  <si>
    <t>13A - 3A</t>
  </si>
  <si>
    <t>Version 3.41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</si>
</sst>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" fillId="2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13" borderId="0" xfId="0" applyFill="1"/>
    <xf numFmtId="0" fontId="21" fillId="14" borderId="69" xfId="0" applyFont="1" applyFill="1" applyBorder="1" applyAlignment="1">
      <alignment horizontal="center" vertical="center"/>
    </xf>
    <xf numFmtId="0" fontId="21" fillId="14" borderId="70" xfId="0" applyFont="1" applyFill="1" applyBorder="1" applyAlignment="1">
      <alignment horizontal="center" vertical="center"/>
    </xf>
    <xf numFmtId="0" fontId="21" fillId="14" borderId="71" xfId="0" applyFont="1" applyFill="1" applyBorder="1" applyAlignment="1">
      <alignment horizontal="center" vertical="center"/>
    </xf>
    <xf numFmtId="0" fontId="22" fillId="14" borderId="72" xfId="0" applyFont="1" applyFill="1" applyBorder="1" applyAlignment="1" applyProtection="1">
      <alignment horizontal="center" vertical="center"/>
      <protection locked="0"/>
    </xf>
    <xf numFmtId="0" fontId="22" fillId="14" borderId="73" xfId="0" applyFont="1" applyFill="1" applyBorder="1" applyAlignment="1" applyProtection="1">
      <alignment horizontal="center" vertical="center"/>
      <protection locked="0"/>
    </xf>
    <xf numFmtId="0" fontId="22" fillId="14" borderId="74" xfId="0" applyFont="1" applyFill="1" applyBorder="1" applyAlignment="1" applyProtection="1">
      <alignment horizontal="center" vertical="center"/>
      <protection locked="0"/>
    </xf>
    <xf numFmtId="0" fontId="23" fillId="15" borderId="0" xfId="0" applyFont="1" applyFill="1" applyAlignment="1">
      <alignment horizontal="center" vertical="center"/>
    </xf>
    <xf numFmtId="166" fontId="23" fillId="15" borderId="0" xfId="0" applyNumberFormat="1" applyFont="1" applyFill="1" applyAlignment="1">
      <alignment horizontal="center" vertical="center"/>
    </xf>
    <xf numFmtId="0" fontId="23" fillId="15" borderId="35" xfId="0" applyFont="1" applyFill="1" applyBorder="1" applyAlignment="1">
      <alignment horizontal="center" vertical="center"/>
    </xf>
    <xf numFmtId="0" fontId="23" fillId="15" borderId="0" xfId="0" applyFont="1" applyFill="1" applyAlignment="1" applyProtection="1">
      <alignment horizontal="center" vertical="center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0" fillId="13" borderId="0" xfId="0" applyFill="1" applyProtection="1">
      <protection locked="0"/>
    </xf>
    <xf numFmtId="0" fontId="24" fillId="16" borderId="75" xfId="0" applyFont="1" applyFill="1" applyBorder="1" applyAlignment="1">
      <alignment horizontal="center" vertical="center"/>
    </xf>
    <xf numFmtId="0" fontId="25" fillId="16" borderId="75" xfId="0" applyFont="1" applyFill="1" applyBorder="1" applyAlignment="1">
      <alignment horizontal="center" vertical="center" wrapText="1"/>
    </xf>
    <xf numFmtId="0" fontId="21" fillId="14" borderId="0" xfId="0" applyFont="1" applyFill="1" applyBorder="1" applyAlignment="1">
      <alignment horizontal="center" vertical="center"/>
    </xf>
    <xf numFmtId="0" fontId="22" fillId="14" borderId="37" xfId="0" applyFont="1" applyFill="1" applyBorder="1" applyAlignment="1" applyProtection="1">
      <alignment horizontal="center" vertical="center"/>
      <protection locked="0"/>
    </xf>
    <xf numFmtId="1" fontId="0" fillId="13" borderId="0" xfId="0" applyNumberFormat="1" applyFill="1"/>
    <xf numFmtId="1" fontId="24" fillId="16" borderId="75" xfId="0" applyNumberFormat="1" applyFont="1" applyFill="1" applyBorder="1" applyAlignment="1">
      <alignment horizontal="center" vertical="center"/>
    </xf>
    <xf numFmtId="1" fontId="22" fillId="14" borderId="37" xfId="0" applyNumberFormat="1" applyFont="1" applyFill="1" applyBorder="1" applyAlignment="1" applyProtection="1">
      <alignment horizontal="center" vertical="center"/>
      <protection locked="0"/>
    </xf>
    <xf numFmtId="0" fontId="20" fillId="14" borderId="37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274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17761" name="C4PPinscript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1F9C6736-D9C6-408D-BDFD-D62BA7069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78</xdr:row>
          <xdr:rowOff>0</xdr:rowOff>
        </xdr:to>
        <xdr:sp macro="" textlink="">
          <xdr:nvSpPr>
            <xdr:cNvPr id="118785" name="MAJHEUREB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150F784-1181-F371-B0A0-2CA7D64EA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78</xdr:row>
          <xdr:rowOff>0</xdr:rowOff>
        </xdr:to>
        <xdr:sp macro="" textlink="">
          <xdr:nvSpPr>
            <xdr:cNvPr id="118786" name="C4PPMatch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DCAE2634-DA21-C7EB-61AE-F45CF3894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78</xdr:row>
          <xdr:rowOff>0</xdr:rowOff>
        </xdr:to>
        <xdr:sp macro="" textlink="">
          <xdr:nvSpPr>
            <xdr:cNvPr id="118787" name="C4IMPMatch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FC19F40F-779A-AE8E-3A82-C072EC5B1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C4IMP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19809" name="TRIPOULE" hidden="1">
              <a:extLst>
                <a:ext uri="{63B3BB69-23CF-44E3-9099-C40C66FF867C}">
                  <a14:compatExt spid="_x0000_s119809"/>
                </a:ext>
                <a:ext uri="{FF2B5EF4-FFF2-40B4-BE49-F238E27FC236}">
                  <a16:creationId xmlns:a16="http://schemas.microsoft.com/office/drawing/2014/main" id="{3DA63176-1A5A-B49D-87E6-3E8C3545A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19810" name="ValiderOrdrePhaseFinale" hidden="1">
              <a:extLst>
                <a:ext uri="{63B3BB69-23CF-44E3-9099-C40C66FF867C}">
                  <a14:compatExt spid="_x0000_s119810"/>
                </a:ext>
                <a:ext uri="{FF2B5EF4-FFF2-40B4-BE49-F238E27FC236}">
                  <a16:creationId xmlns:a16="http://schemas.microsoft.com/office/drawing/2014/main" id="{0EC509AE-0032-69AE-6A4F-C80384298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9811" name="C4PPClassement" hidden="1">
              <a:extLst>
                <a:ext uri="{63B3BB69-23CF-44E3-9099-C40C66FF867C}">
                  <a14:compatExt spid="_x0000_s119811"/>
                </a:ext>
                <a:ext uri="{FF2B5EF4-FFF2-40B4-BE49-F238E27FC236}">
                  <a16:creationId xmlns:a16="http://schemas.microsoft.com/office/drawing/2014/main" id="{BA3A7D0E-3F65-CD55-E66B-C2FCFDDF2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8" t="s">
        <v>13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5" customHeight="1" x14ac:dyDescent="0.25">
      <c r="A2" s="101"/>
      <c r="B2" s="102"/>
      <c r="C2" s="102"/>
      <c r="D2" s="102"/>
      <c r="E2" s="102"/>
      <c r="F2" s="102"/>
      <c r="G2" s="102"/>
      <c r="H2" s="102"/>
      <c r="I2" s="102"/>
      <c r="J2" s="102"/>
      <c r="K2" s="103"/>
    </row>
    <row r="3" spans="1:11" ht="15" customHeight="1" x14ac:dyDescent="0.25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3"/>
    </row>
    <row r="4" spans="1:11" ht="15" customHeight="1" x14ac:dyDescent="0.25">
      <c r="A4" s="101"/>
      <c r="B4" s="102"/>
      <c r="C4" s="102"/>
      <c r="D4" s="102"/>
      <c r="E4" s="102"/>
      <c r="F4" s="102"/>
      <c r="G4" s="102"/>
      <c r="H4" s="102"/>
      <c r="I4" s="102"/>
      <c r="J4" s="102"/>
      <c r="K4" s="103"/>
    </row>
    <row r="5" spans="1:11" ht="15" customHeight="1" x14ac:dyDescent="0.25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3"/>
    </row>
    <row r="6" spans="1:11" ht="15" customHeight="1" x14ac:dyDescent="0.25">
      <c r="A6" s="101"/>
      <c r="B6" s="102"/>
      <c r="C6" s="102"/>
      <c r="D6" s="102"/>
      <c r="E6" s="102"/>
      <c r="F6" s="102"/>
      <c r="G6" s="102"/>
      <c r="H6" s="102"/>
      <c r="I6" s="102"/>
      <c r="J6" s="102"/>
      <c r="K6" s="103"/>
    </row>
    <row r="7" spans="1:11" ht="15" customHeight="1" x14ac:dyDescent="0.25">
      <c r="A7" s="101"/>
      <c r="B7" s="102"/>
      <c r="C7" s="102"/>
      <c r="D7" s="102"/>
      <c r="E7" s="102"/>
      <c r="F7" s="102"/>
      <c r="G7" s="102"/>
      <c r="H7" s="102"/>
      <c r="I7" s="102"/>
      <c r="J7" s="102"/>
      <c r="K7" s="103"/>
    </row>
    <row r="8" spans="1:11" ht="15" customHeight="1" x14ac:dyDescent="0.25">
      <c r="A8" s="101"/>
      <c r="B8" s="102"/>
      <c r="C8" s="102"/>
      <c r="D8" s="102"/>
      <c r="E8" s="102"/>
      <c r="F8" s="102"/>
      <c r="G8" s="102"/>
      <c r="H8" s="102"/>
      <c r="I8" s="102"/>
      <c r="J8" s="102"/>
      <c r="K8" s="103"/>
    </row>
    <row r="9" spans="1:11" ht="15" customHeight="1" x14ac:dyDescent="0.25">
      <c r="A9" s="101"/>
      <c r="B9" s="102"/>
      <c r="C9" s="102"/>
      <c r="D9" s="102"/>
      <c r="E9" s="102"/>
      <c r="F9" s="102"/>
      <c r="G9" s="102"/>
      <c r="H9" s="102"/>
      <c r="I9" s="102"/>
      <c r="J9" s="102"/>
      <c r="K9" s="103"/>
    </row>
    <row r="10" spans="1:11" ht="15" customHeight="1" x14ac:dyDescent="0.25">
      <c r="A10" s="101"/>
      <c r="B10" s="102"/>
      <c r="C10" s="102"/>
      <c r="D10" s="102"/>
      <c r="E10" s="102"/>
      <c r="F10" s="102"/>
      <c r="G10" s="102"/>
      <c r="H10" s="102"/>
      <c r="I10" s="102"/>
      <c r="J10" s="102"/>
      <c r="K10" s="103"/>
    </row>
    <row r="11" spans="1:11" ht="15" customHeight="1" x14ac:dyDescent="0.25">
      <c r="A11" s="101"/>
      <c r="B11" s="102"/>
      <c r="C11" s="102"/>
      <c r="D11" s="102"/>
      <c r="E11" s="102"/>
      <c r="F11" s="102"/>
      <c r="G11" s="102"/>
      <c r="H11" s="102"/>
      <c r="I11" s="102"/>
      <c r="J11" s="102"/>
      <c r="K11" s="103"/>
    </row>
    <row r="12" spans="1:11" ht="15" customHeight="1" x14ac:dyDescent="0.25">
      <c r="A12" s="101"/>
      <c r="B12" s="102"/>
      <c r="C12" s="102"/>
      <c r="D12" s="102"/>
      <c r="E12" s="102"/>
      <c r="F12" s="102"/>
      <c r="G12" s="102"/>
      <c r="H12" s="102"/>
      <c r="I12" s="102"/>
      <c r="J12" s="102"/>
      <c r="K12" s="103"/>
    </row>
    <row r="13" spans="1:11" ht="15" customHeight="1" x14ac:dyDescent="0.25">
      <c r="A13" s="101"/>
      <c r="B13" s="102"/>
      <c r="C13" s="102"/>
      <c r="D13" s="102"/>
      <c r="E13" s="102"/>
      <c r="F13" s="102"/>
      <c r="G13" s="102"/>
      <c r="H13" s="102"/>
      <c r="I13" s="102"/>
      <c r="J13" s="102"/>
      <c r="K13" s="103"/>
    </row>
    <row r="14" spans="1:11" ht="15" customHeight="1" x14ac:dyDescent="0.25">
      <c r="A14" s="101"/>
      <c r="B14" s="102"/>
      <c r="C14" s="102"/>
      <c r="D14" s="102"/>
      <c r="E14" s="102"/>
      <c r="F14" s="102"/>
      <c r="G14" s="102"/>
      <c r="H14" s="102"/>
      <c r="I14" s="102"/>
      <c r="J14" s="102"/>
      <c r="K14" s="103"/>
    </row>
    <row r="15" spans="1:11" ht="15" customHeight="1" x14ac:dyDescent="0.25">
      <c r="A15" s="101"/>
      <c r="B15" s="102"/>
      <c r="C15" s="102"/>
      <c r="D15" s="102"/>
      <c r="E15" s="102"/>
      <c r="F15" s="102"/>
      <c r="G15" s="102"/>
      <c r="H15" s="102"/>
      <c r="I15" s="102"/>
      <c r="J15" s="102"/>
      <c r="K15" s="103"/>
    </row>
    <row r="16" spans="1:11" ht="15" customHeight="1" x14ac:dyDescent="0.25">
      <c r="A16" s="101"/>
      <c r="B16" s="102"/>
      <c r="C16" s="102"/>
      <c r="D16" s="102"/>
      <c r="E16" s="102"/>
      <c r="F16" s="102"/>
      <c r="G16" s="102"/>
      <c r="H16" s="102"/>
      <c r="I16" s="102"/>
      <c r="J16" s="102"/>
      <c r="K16" s="103"/>
    </row>
    <row r="17" spans="1:11" ht="15" customHeight="1" x14ac:dyDescent="0.25">
      <c r="A17" s="101"/>
      <c r="B17" s="102"/>
      <c r="C17" s="102"/>
      <c r="D17" s="102"/>
      <c r="E17" s="102"/>
      <c r="F17" s="102"/>
      <c r="G17" s="102"/>
      <c r="H17" s="102"/>
      <c r="I17" s="102"/>
      <c r="J17" s="102"/>
      <c r="K17" s="103"/>
    </row>
    <row r="18" spans="1:11" ht="15" customHeight="1" x14ac:dyDescent="0.25">
      <c r="A18" s="101"/>
      <c r="B18" s="102"/>
      <c r="C18" s="102"/>
      <c r="D18" s="102"/>
      <c r="E18" s="102"/>
      <c r="F18" s="102"/>
      <c r="G18" s="102"/>
      <c r="H18" s="102"/>
      <c r="I18" s="102"/>
      <c r="J18" s="102"/>
      <c r="K18" s="103"/>
    </row>
    <row r="19" spans="1:11" ht="15" customHeight="1" x14ac:dyDescent="0.25">
      <c r="A19" s="101"/>
      <c r="B19" s="102"/>
      <c r="C19" s="102"/>
      <c r="D19" s="102"/>
      <c r="E19" s="102"/>
      <c r="F19" s="102"/>
      <c r="G19" s="102"/>
      <c r="H19" s="102"/>
      <c r="I19" s="102"/>
      <c r="J19" s="102"/>
      <c r="K19" s="103"/>
    </row>
    <row r="20" spans="1:11" ht="15" customHeight="1" x14ac:dyDescent="0.25">
      <c r="A20" s="101"/>
      <c r="B20" s="102"/>
      <c r="C20" s="102"/>
      <c r="D20" s="102"/>
      <c r="E20" s="102"/>
      <c r="F20" s="102"/>
      <c r="G20" s="102"/>
      <c r="H20" s="102"/>
      <c r="I20" s="102"/>
      <c r="J20" s="102"/>
      <c r="K20" s="103"/>
    </row>
    <row r="21" spans="1:11" ht="15" customHeight="1" x14ac:dyDescent="0.25">
      <c r="A21" s="101"/>
      <c r="B21" s="102"/>
      <c r="C21" s="102"/>
      <c r="D21" s="102"/>
      <c r="E21" s="102"/>
      <c r="F21" s="102"/>
      <c r="G21" s="102"/>
      <c r="H21" s="102"/>
      <c r="I21" s="102"/>
      <c r="J21" s="102"/>
      <c r="K21" s="103"/>
    </row>
    <row r="22" spans="1:11" ht="15" customHeight="1" x14ac:dyDescent="0.25">
      <c r="A22" s="101"/>
      <c r="B22" s="102"/>
      <c r="C22" s="102"/>
      <c r="D22" s="102"/>
      <c r="E22" s="102"/>
      <c r="F22" s="102"/>
      <c r="G22" s="102"/>
      <c r="H22" s="102"/>
      <c r="I22" s="102"/>
      <c r="J22" s="102"/>
      <c r="K22" s="103"/>
    </row>
    <row r="23" spans="1:11" ht="15" customHeight="1" x14ac:dyDescent="0.25">
      <c r="A23" s="95" t="s">
        <v>15</v>
      </c>
      <c r="B23" s="96"/>
      <c r="C23" s="96"/>
      <c r="D23" s="96"/>
      <c r="E23" s="96"/>
      <c r="F23" s="96"/>
      <c r="G23" s="96"/>
      <c r="H23" s="96"/>
      <c r="I23" s="96"/>
      <c r="J23" s="96"/>
      <c r="K23" s="97"/>
    </row>
    <row r="24" spans="1:11" ht="15" customHeight="1" x14ac:dyDescent="0.25">
      <c r="A24" s="95"/>
      <c r="B24" s="96"/>
      <c r="C24" s="96"/>
      <c r="D24" s="96"/>
      <c r="E24" s="96"/>
      <c r="F24" s="96"/>
      <c r="G24" s="96"/>
      <c r="H24" s="96"/>
      <c r="I24" s="96"/>
      <c r="J24" s="96"/>
      <c r="K24" s="97"/>
    </row>
    <row r="25" spans="1:11" ht="15" customHeight="1" x14ac:dyDescent="0.25">
      <c r="A25" s="95"/>
      <c r="B25" s="96"/>
      <c r="C25" s="96"/>
      <c r="D25" s="96"/>
      <c r="E25" s="96"/>
      <c r="F25" s="96"/>
      <c r="G25" s="96"/>
      <c r="H25" s="96"/>
      <c r="I25" s="96"/>
      <c r="J25" s="96"/>
      <c r="K25" s="97"/>
    </row>
    <row r="26" spans="1:11" ht="1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7"/>
    </row>
    <row r="27" spans="1:11" ht="15" customHeight="1" x14ac:dyDescent="0.25">
      <c r="A27" s="80"/>
      <c r="B27" s="81"/>
      <c r="C27" s="81"/>
      <c r="D27" s="81"/>
      <c r="E27" s="81"/>
      <c r="F27" s="81"/>
      <c r="G27" s="81"/>
      <c r="H27" s="81"/>
      <c r="I27" s="81"/>
      <c r="J27" s="81"/>
      <c r="K27" s="82"/>
    </row>
    <row r="28" spans="1:11" ht="15" customHeight="1" thickBot="1" x14ac:dyDescent="0.3">
      <c r="A28" s="83"/>
      <c r="B28" s="84"/>
      <c r="C28" s="84"/>
      <c r="D28" s="84"/>
      <c r="E28" s="84"/>
      <c r="F28" s="84"/>
      <c r="G28" s="84"/>
      <c r="H28" s="84"/>
      <c r="I28" s="84"/>
      <c r="J28" s="84"/>
      <c r="K28" s="85"/>
    </row>
    <row r="29" spans="1:11" ht="15" customHeight="1" x14ac:dyDescent="0.25">
      <c r="A29" s="86" t="s">
        <v>14</v>
      </c>
      <c r="B29" s="87"/>
      <c r="C29" s="87"/>
      <c r="D29" s="87"/>
      <c r="E29" s="87"/>
      <c r="F29" s="87"/>
      <c r="G29" s="87"/>
      <c r="H29" s="87"/>
      <c r="I29" s="87"/>
      <c r="J29" s="87"/>
      <c r="K29" s="88"/>
    </row>
    <row r="30" spans="1:11" ht="15" customHeight="1" x14ac:dyDescent="0.25">
      <c r="A30" s="89"/>
      <c r="B30" s="90"/>
      <c r="C30" s="90"/>
      <c r="D30" s="90"/>
      <c r="E30" s="90"/>
      <c r="F30" s="90"/>
      <c r="G30" s="90"/>
      <c r="H30" s="90"/>
      <c r="I30" s="90"/>
      <c r="J30" s="90"/>
      <c r="K30" s="91"/>
    </row>
    <row r="31" spans="1:11" ht="15" customHeight="1" thickBot="1" x14ac:dyDescent="0.3">
      <c r="A31" s="92"/>
      <c r="B31" s="93"/>
      <c r="C31" s="93"/>
      <c r="D31" s="93"/>
      <c r="E31" s="93"/>
      <c r="F31" s="93"/>
      <c r="G31" s="93"/>
      <c r="H31" s="93"/>
      <c r="I31" s="93"/>
      <c r="J31" s="93"/>
      <c r="K31" s="94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I25" sqref="I25"/>
    </sheetView>
  </sheetViews>
  <sheetFormatPr baseColWidth="10" defaultRowHeight="15" x14ac:dyDescent="0.25"/>
  <sheetData>
    <row r="1" spans="1:17" x14ac:dyDescent="0.25">
      <c r="A1" s="104" t="s">
        <v>36</v>
      </c>
      <c r="B1" s="104"/>
      <c r="C1" s="104"/>
      <c r="D1" s="104"/>
      <c r="E1" s="104"/>
      <c r="F1" s="104"/>
      <c r="G1" s="104"/>
      <c r="H1" s="104"/>
    </row>
    <row r="2" spans="1:17" x14ac:dyDescent="0.25">
      <c r="A2" s="104"/>
      <c r="B2" s="104"/>
      <c r="C2" s="104"/>
      <c r="D2" s="104"/>
      <c r="E2" s="104"/>
      <c r="F2" s="104"/>
      <c r="G2" s="104"/>
      <c r="H2" s="104"/>
    </row>
    <row r="3" spans="1:17" x14ac:dyDescent="0.25">
      <c r="A3" s="104"/>
      <c r="B3" s="104"/>
      <c r="C3" s="104"/>
      <c r="D3" s="104"/>
      <c r="E3" s="104"/>
      <c r="F3" s="104"/>
      <c r="G3" s="104"/>
      <c r="H3" s="104"/>
    </row>
    <row r="4" spans="1:17" x14ac:dyDescent="0.25">
      <c r="A4" s="105" t="str">
        <f>Parametres!F16</f>
        <v>Version 3.41</v>
      </c>
      <c r="B4" s="105"/>
      <c r="C4" s="105"/>
      <c r="D4" s="105"/>
      <c r="E4" s="105"/>
      <c r="F4" s="105"/>
      <c r="G4" s="105"/>
      <c r="H4" s="105"/>
    </row>
    <row r="6" spans="1:17" x14ac:dyDescent="0.25">
      <c r="K6" s="106" t="s">
        <v>58</v>
      </c>
      <c r="L6" s="107"/>
      <c r="M6" s="107"/>
      <c r="N6" s="107"/>
      <c r="O6" s="107"/>
      <c r="P6" s="107"/>
      <c r="Q6" s="107"/>
    </row>
    <row r="7" spans="1:17" x14ac:dyDescent="0.25">
      <c r="K7" s="107"/>
      <c r="L7" s="107"/>
      <c r="M7" s="107"/>
      <c r="N7" s="107"/>
      <c r="O7" s="107"/>
      <c r="P7" s="107"/>
      <c r="Q7" s="107"/>
    </row>
    <row r="8" spans="1:17" x14ac:dyDescent="0.25">
      <c r="K8" s="107"/>
      <c r="L8" s="107"/>
      <c r="M8" s="107"/>
      <c r="N8" s="107"/>
      <c r="O8" s="107"/>
      <c r="P8" s="107"/>
      <c r="Q8" s="107"/>
    </row>
    <row r="9" spans="1:17" x14ac:dyDescent="0.25">
      <c r="K9" s="107"/>
      <c r="L9" s="107"/>
      <c r="M9" s="107"/>
      <c r="N9" s="107"/>
      <c r="O9" s="107"/>
      <c r="P9" s="107"/>
      <c r="Q9" s="107"/>
    </row>
    <row r="10" spans="1:17" x14ac:dyDescent="0.25">
      <c r="K10" s="107"/>
      <c r="L10" s="107"/>
      <c r="M10" s="107"/>
      <c r="N10" s="107"/>
      <c r="O10" s="107"/>
      <c r="P10" s="107"/>
      <c r="Q10" s="107"/>
    </row>
    <row r="11" spans="1:17" x14ac:dyDescent="0.25">
      <c r="K11" s="107"/>
      <c r="L11" s="107"/>
      <c r="M11" s="107"/>
      <c r="N11" s="107"/>
      <c r="O11" s="107"/>
      <c r="P11" s="107"/>
      <c r="Q11" s="107"/>
    </row>
    <row r="12" spans="1:17" x14ac:dyDescent="0.25">
      <c r="K12" s="107"/>
      <c r="L12" s="107"/>
      <c r="M12" s="107"/>
      <c r="N12" s="107"/>
      <c r="O12" s="107"/>
      <c r="P12" s="107"/>
      <c r="Q12" s="107"/>
    </row>
    <row r="13" spans="1:17" x14ac:dyDescent="0.25">
      <c r="K13" s="107"/>
      <c r="L13" s="107"/>
      <c r="M13" s="107"/>
      <c r="N13" s="107"/>
      <c r="O13" s="107"/>
      <c r="P13" s="107"/>
      <c r="Q13" s="107"/>
    </row>
    <row r="14" spans="1:17" x14ac:dyDescent="0.25">
      <c r="K14" s="107"/>
      <c r="L14" s="107"/>
      <c r="M14" s="107"/>
      <c r="N14" s="107"/>
      <c r="O14" s="107"/>
      <c r="P14" s="107"/>
      <c r="Q14" s="107"/>
    </row>
    <row r="15" spans="1:17" x14ac:dyDescent="0.25">
      <c r="K15" s="107"/>
      <c r="L15" s="107"/>
      <c r="M15" s="107"/>
      <c r="N15" s="107"/>
      <c r="O15" s="107"/>
      <c r="P15" s="107"/>
      <c r="Q15" s="107"/>
    </row>
    <row r="16" spans="1:17" x14ac:dyDescent="0.25">
      <c r="K16" s="107"/>
      <c r="L16" s="107"/>
      <c r="M16" s="107"/>
      <c r="N16" s="107"/>
      <c r="O16" s="107"/>
      <c r="P16" s="107"/>
      <c r="Q16" s="107"/>
    </row>
    <row r="17" spans="11:17" x14ac:dyDescent="0.25">
      <c r="K17" s="107"/>
      <c r="L17" s="107"/>
      <c r="M17" s="107"/>
      <c r="N17" s="107"/>
      <c r="O17" s="107"/>
      <c r="P17" s="107"/>
      <c r="Q17" s="107"/>
    </row>
    <row r="18" spans="11:17" x14ac:dyDescent="0.25">
      <c r="K18" s="107"/>
      <c r="L18" s="107"/>
      <c r="M18" s="107"/>
      <c r="N18" s="107"/>
      <c r="O18" s="107"/>
      <c r="P18" s="107"/>
      <c r="Q18" s="107"/>
    </row>
    <row r="19" spans="11:17" x14ac:dyDescent="0.25">
      <c r="K19" s="107"/>
      <c r="L19" s="107"/>
      <c r="M19" s="107"/>
      <c r="N19" s="107"/>
      <c r="O19" s="107"/>
      <c r="P19" s="107"/>
      <c r="Q19" s="107"/>
    </row>
    <row r="20" spans="11:17" x14ac:dyDescent="0.25">
      <c r="K20" s="107"/>
      <c r="L20" s="107"/>
      <c r="M20" s="107"/>
      <c r="N20" s="107"/>
      <c r="O20" s="107"/>
      <c r="P20" s="107"/>
      <c r="Q20" s="107"/>
    </row>
    <row r="21" spans="11:17" x14ac:dyDescent="0.25">
      <c r="K21" s="107"/>
      <c r="L21" s="107"/>
      <c r="M21" s="107"/>
      <c r="N21" s="107"/>
      <c r="O21" s="107"/>
      <c r="P21" s="107"/>
      <c r="Q21" s="107"/>
    </row>
    <row r="22" spans="11:17" x14ac:dyDescent="0.25">
      <c r="K22" s="107"/>
      <c r="L22" s="107"/>
      <c r="M22" s="107"/>
      <c r="N22" s="107"/>
      <c r="O22" s="107"/>
      <c r="P22" s="107"/>
      <c r="Q22" s="107"/>
    </row>
    <row r="23" spans="11:17" x14ac:dyDescent="0.25">
      <c r="K23" s="107"/>
      <c r="L23" s="107"/>
      <c r="M23" s="107"/>
      <c r="N23" s="107"/>
      <c r="O23" s="107"/>
      <c r="P23" s="107"/>
      <c r="Q23" s="107"/>
    </row>
    <row r="24" spans="11:17" x14ac:dyDescent="0.25">
      <c r="K24" s="107"/>
      <c r="L24" s="107"/>
      <c r="M24" s="107"/>
      <c r="N24" s="107"/>
      <c r="O24" s="107"/>
      <c r="P24" s="107"/>
      <c r="Q24" s="107"/>
    </row>
    <row r="25" spans="11:17" x14ac:dyDescent="0.25">
      <c r="K25" s="107"/>
      <c r="L25" s="107"/>
      <c r="M25" s="107"/>
      <c r="N25" s="107"/>
      <c r="O25" s="107"/>
      <c r="P25" s="107"/>
      <c r="Q25" s="107"/>
    </row>
    <row r="26" spans="11:17" x14ac:dyDescent="0.25">
      <c r="K26" s="108" t="s">
        <v>120</v>
      </c>
      <c r="L26" s="108"/>
      <c r="M26" s="108"/>
      <c r="N26" s="108"/>
      <c r="O26" s="108"/>
      <c r="P26" s="108"/>
      <c r="Q26" s="108"/>
    </row>
    <row r="27" spans="11:17" x14ac:dyDescent="0.25">
      <c r="K27" s="108"/>
      <c r="L27" s="108"/>
      <c r="M27" s="108"/>
      <c r="N27" s="108"/>
      <c r="O27" s="108"/>
      <c r="P27" s="108"/>
      <c r="Q27" s="108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7"/>
  <sheetViews>
    <sheetView tabSelected="1" zoomScale="85" zoomScaleNormal="85" workbookViewId="0">
      <selection activeCell="F4" sqref="F4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9" width="11.42578125" style="79"/>
    <col min="10" max="10" width="11.42578125" style="13"/>
    <col min="11" max="12" width="11.42578125" style="2"/>
    <col min="13" max="15" width="11.42578125" style="78"/>
    <col min="16" max="16384" width="11.42578125" style="2"/>
  </cols>
  <sheetData>
    <row r="1" spans="1:27" ht="15.75" thickBot="1" x14ac:dyDescent="0.3">
      <c r="A1" s="3" t="s">
        <v>41</v>
      </c>
      <c r="B1" s="1"/>
      <c r="C1" s="110"/>
      <c r="D1" s="21" t="s">
        <v>37</v>
      </c>
      <c r="E1" s="36" t="s">
        <v>38</v>
      </c>
      <c r="F1" s="3" t="s">
        <v>39</v>
      </c>
      <c r="H1" s="79" t="s">
        <v>181</v>
      </c>
      <c r="I1" s="79" t="s">
        <v>182</v>
      </c>
    </row>
    <row r="2" spans="1:27" ht="15.75" thickBot="1" x14ac:dyDescent="0.3">
      <c r="A2" s="37" t="s">
        <v>59</v>
      </c>
      <c r="C2" s="110"/>
      <c r="D2" s="25">
        <v>1</v>
      </c>
      <c r="E2" s="26">
        <v>5</v>
      </c>
      <c r="F2" s="20">
        <v>2</v>
      </c>
      <c r="H2" s="79" t="s">
        <v>183</v>
      </c>
      <c r="I2" s="79" t="s">
        <v>184</v>
      </c>
      <c r="M2" s="78" t="s">
        <v>151</v>
      </c>
      <c r="N2" s="78" t="s">
        <v>151</v>
      </c>
      <c r="O2" s="78" t="s">
        <v>151</v>
      </c>
    </row>
    <row r="3" spans="1:27" ht="15.75" thickBot="1" x14ac:dyDescent="0.3">
      <c r="A3" s="44">
        <v>0</v>
      </c>
      <c r="C3" s="111"/>
      <c r="D3" s="4" t="s">
        <v>148</v>
      </c>
      <c r="E3" s="34" t="str">
        <f>"Nbre de Catégories : " &amp; B30</f>
        <v>Nbre de Catégories : 1</v>
      </c>
      <c r="H3" s="79" t="s">
        <v>185</v>
      </c>
      <c r="I3" s="79" t="s">
        <v>186</v>
      </c>
      <c r="M3" s="78" t="s">
        <v>151</v>
      </c>
      <c r="N3" s="78" t="s">
        <v>151</v>
      </c>
      <c r="O3" s="78" t="s">
        <v>151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20</v>
      </c>
      <c r="E4" s="6"/>
      <c r="H4" s="79" t="s">
        <v>187</v>
      </c>
      <c r="I4" s="79" t="s">
        <v>188</v>
      </c>
      <c r="M4" s="78" t="s">
        <v>151</v>
      </c>
      <c r="N4" s="78" t="s">
        <v>151</v>
      </c>
      <c r="O4" s="78" t="s">
        <v>151</v>
      </c>
    </row>
    <row r="5" spans="1:27" ht="15.75" thickBot="1" x14ac:dyDescent="0.3">
      <c r="A5" s="20">
        <f>ROUNDUP(SUM(D4:D29)/8,0)</f>
        <v>3</v>
      </c>
      <c r="B5" s="2">
        <v>2</v>
      </c>
      <c r="C5" s="23" t="str">
        <f t="shared" si="0"/>
        <v/>
      </c>
      <c r="D5" s="27"/>
      <c r="E5" s="6"/>
      <c r="H5" s="79" t="s">
        <v>189</v>
      </c>
      <c r="I5" s="79" t="s">
        <v>190</v>
      </c>
      <c r="M5" s="78" t="s">
        <v>151</v>
      </c>
      <c r="N5" s="78" t="s">
        <v>151</v>
      </c>
      <c r="O5" s="78" t="s">
        <v>151</v>
      </c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M6" s="78" t="s">
        <v>151</v>
      </c>
      <c r="N6" s="78" t="s">
        <v>151</v>
      </c>
      <c r="O6" s="78" t="s">
        <v>151</v>
      </c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H7" s="79" t="s">
        <v>191</v>
      </c>
      <c r="I7" s="79" t="s">
        <v>192</v>
      </c>
      <c r="M7" s="78" t="s">
        <v>151</v>
      </c>
      <c r="N7" s="78" t="s">
        <v>151</v>
      </c>
      <c r="O7" s="78" t="s">
        <v>151</v>
      </c>
      <c r="AA7"/>
    </row>
    <row r="8" spans="1:27" ht="15.75" thickBot="1" x14ac:dyDescent="0.3">
      <c r="A8" s="5">
        <f>ROUNDUP(SUM(D4:D29)/16,0)</f>
        <v>2</v>
      </c>
      <c r="B8" s="2">
        <v>5</v>
      </c>
      <c r="C8" s="23" t="str">
        <f t="shared" si="0"/>
        <v/>
      </c>
      <c r="D8" s="27"/>
      <c r="E8" s="6"/>
      <c r="H8" s="79" t="s">
        <v>193</v>
      </c>
      <c r="I8" s="79" t="s">
        <v>194</v>
      </c>
      <c r="M8" s="78" t="s">
        <v>151</v>
      </c>
      <c r="N8" s="78" t="s">
        <v>151</v>
      </c>
      <c r="O8" s="78" t="s">
        <v>151</v>
      </c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H9" s="79" t="s">
        <v>195</v>
      </c>
      <c r="I9" s="79" t="s">
        <v>196</v>
      </c>
      <c r="M9" s="78" t="s">
        <v>151</v>
      </c>
      <c r="N9" s="78" t="s">
        <v>151</v>
      </c>
      <c r="O9" s="78" t="s">
        <v>151</v>
      </c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H10" s="79" t="s">
        <v>197</v>
      </c>
      <c r="I10" s="79" t="s">
        <v>198</v>
      </c>
      <c r="M10" s="78" t="s">
        <v>151</v>
      </c>
      <c r="N10" s="78" t="s">
        <v>151</v>
      </c>
      <c r="O10" s="78" t="s">
        <v>151</v>
      </c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79" t="s">
        <v>199</v>
      </c>
      <c r="I11" s="79" t="s">
        <v>200</v>
      </c>
      <c r="M11" s="78" t="s">
        <v>151</v>
      </c>
      <c r="N11" s="78" t="s">
        <v>151</v>
      </c>
      <c r="O11" s="78" t="s">
        <v>151</v>
      </c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M12" s="78" t="s">
        <v>151</v>
      </c>
      <c r="N12" s="78" t="s">
        <v>151</v>
      </c>
      <c r="O12" s="78" t="s">
        <v>151</v>
      </c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H13" s="79" t="s">
        <v>201</v>
      </c>
      <c r="I13" s="79" t="s">
        <v>202</v>
      </c>
      <c r="M13" s="78" t="s">
        <v>151</v>
      </c>
      <c r="N13" s="78" t="s">
        <v>151</v>
      </c>
      <c r="O13" s="78" t="s">
        <v>151</v>
      </c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H14" s="79" t="s">
        <v>203</v>
      </c>
      <c r="I14" s="79" t="s">
        <v>204</v>
      </c>
      <c r="M14" s="78" t="s">
        <v>151</v>
      </c>
      <c r="N14" s="78" t="s">
        <v>151</v>
      </c>
      <c r="O14" s="78" t="s">
        <v>151</v>
      </c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H15" s="79" t="s">
        <v>205</v>
      </c>
      <c r="I15" s="79" t="s">
        <v>206</v>
      </c>
      <c r="M15" s="78" t="s">
        <v>151</v>
      </c>
      <c r="N15" s="78" t="s">
        <v>151</v>
      </c>
      <c r="O15" s="78" t="s">
        <v>151</v>
      </c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307</v>
      </c>
      <c r="H16" s="79" t="s">
        <v>207</v>
      </c>
      <c r="I16" s="79" t="s">
        <v>208</v>
      </c>
      <c r="M16" s="78" t="s">
        <v>151</v>
      </c>
      <c r="N16" s="78" t="s">
        <v>151</v>
      </c>
      <c r="O16" s="78" t="s">
        <v>151</v>
      </c>
      <c r="AA16"/>
    </row>
    <row r="17" spans="1:27" x14ac:dyDescent="0.25">
      <c r="A17" s="43">
        <f>(counttour()/E2*(A2+A3)) + (ROUNDUP(IF(B31=TRUE,12*A5,12*A5*B30)/E2,0)*(A2+A3))</f>
        <v>0.63888888888888884</v>
      </c>
      <c r="B17" s="2">
        <v>14</v>
      </c>
      <c r="C17" s="23" t="str">
        <f t="shared" si="0"/>
        <v/>
      </c>
      <c r="D17" s="27"/>
      <c r="E17" s="6"/>
      <c r="H17" s="79" t="s">
        <v>209</v>
      </c>
      <c r="I17" s="79" t="s">
        <v>210</v>
      </c>
      <c r="M17" s="78" t="s">
        <v>151</v>
      </c>
      <c r="N17" s="78" t="s">
        <v>151</v>
      </c>
      <c r="O17" s="78" t="s">
        <v>151</v>
      </c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9" t="s">
        <v>40</v>
      </c>
      <c r="M18" s="78" t="s">
        <v>151</v>
      </c>
      <c r="N18" s="78" t="s">
        <v>151</v>
      </c>
      <c r="O18" s="78" t="s">
        <v>151</v>
      </c>
      <c r="AA18"/>
    </row>
    <row r="19" spans="1:27" x14ac:dyDescent="0.25">
      <c r="A19" s="42">
        <f>A15+A17+A21</f>
        <v>1.4722222222222223</v>
      </c>
      <c r="B19" s="2">
        <v>16</v>
      </c>
      <c r="C19" s="23" t="str">
        <f t="shared" si="0"/>
        <v/>
      </c>
      <c r="D19" s="27"/>
      <c r="E19" s="6"/>
      <c r="F19" s="109"/>
      <c r="H19" s="79" t="s">
        <v>211</v>
      </c>
      <c r="I19" s="79" t="s">
        <v>212</v>
      </c>
      <c r="M19" s="78" t="s">
        <v>151</v>
      </c>
      <c r="N19" s="78" t="s">
        <v>151</v>
      </c>
      <c r="O19" s="78" t="s">
        <v>151</v>
      </c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9"/>
      <c r="H20" s="79" t="s">
        <v>213</v>
      </c>
      <c r="I20" s="79" t="s">
        <v>214</v>
      </c>
      <c r="M20" s="78" t="s">
        <v>151</v>
      </c>
      <c r="N20" s="78" t="s">
        <v>151</v>
      </c>
      <c r="O20" s="78" t="s">
        <v>151</v>
      </c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9"/>
      <c r="H21" s="79" t="s">
        <v>215</v>
      </c>
      <c r="I21" s="79" t="s">
        <v>216</v>
      </c>
      <c r="M21" s="78" t="s">
        <v>151</v>
      </c>
      <c r="N21" s="78" t="s">
        <v>151</v>
      </c>
      <c r="O21" s="78" t="s">
        <v>151</v>
      </c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H22" s="79" t="s">
        <v>217</v>
      </c>
      <c r="I22" s="79" t="s">
        <v>218</v>
      </c>
      <c r="M22" s="78" t="s">
        <v>151</v>
      </c>
      <c r="N22" s="78" t="s">
        <v>151</v>
      </c>
      <c r="O22" s="78" t="s">
        <v>151</v>
      </c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H23" s="79" t="s">
        <v>219</v>
      </c>
      <c r="I23" s="79" t="s">
        <v>220</v>
      </c>
      <c r="M23" s="78" t="s">
        <v>151</v>
      </c>
      <c r="N23" s="78" t="s">
        <v>151</v>
      </c>
      <c r="O23" s="78" t="s">
        <v>151</v>
      </c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M24" s="78" t="s">
        <v>151</v>
      </c>
      <c r="N24" s="78" t="s">
        <v>151</v>
      </c>
      <c r="O24" s="78" t="s">
        <v>151</v>
      </c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H25" s="79" t="s">
        <v>221</v>
      </c>
      <c r="I25" s="79" t="s">
        <v>222</v>
      </c>
      <c r="M25" s="78" t="s">
        <v>151</v>
      </c>
      <c r="N25" s="78" t="s">
        <v>151</v>
      </c>
      <c r="O25" s="78" t="s">
        <v>151</v>
      </c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H26" s="79" t="s">
        <v>223</v>
      </c>
      <c r="I26" s="79" t="s">
        <v>224</v>
      </c>
      <c r="M26" s="78" t="s">
        <v>151</v>
      </c>
      <c r="N26" s="78" t="s">
        <v>151</v>
      </c>
      <c r="O26" s="78" t="s">
        <v>151</v>
      </c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H27" s="79" t="s">
        <v>225</v>
      </c>
      <c r="I27" s="79" t="s">
        <v>226</v>
      </c>
      <c r="M27" s="78" t="s">
        <v>151</v>
      </c>
      <c r="N27" s="78" t="s">
        <v>151</v>
      </c>
      <c r="O27" s="78" t="s">
        <v>151</v>
      </c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H28" s="79" t="s">
        <v>227</v>
      </c>
      <c r="I28" s="79" t="s">
        <v>228</v>
      </c>
      <c r="M28" s="78" t="s">
        <v>151</v>
      </c>
      <c r="N28" s="78" t="s">
        <v>151</v>
      </c>
      <c r="O28" s="78" t="s">
        <v>151</v>
      </c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H29" s="79" t="s">
        <v>229</v>
      </c>
      <c r="I29" s="79" t="s">
        <v>230</v>
      </c>
      <c r="M29" s="78" t="s">
        <v>151</v>
      </c>
      <c r="N29" s="78" t="s">
        <v>151</v>
      </c>
      <c r="O29" s="78" t="s">
        <v>151</v>
      </c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  <c r="M30" s="78" t="s">
        <v>151</v>
      </c>
      <c r="N30" s="78" t="s">
        <v>151</v>
      </c>
      <c r="O30" s="78" t="s">
        <v>151</v>
      </c>
    </row>
    <row r="31" spans="1:27" x14ac:dyDescent="0.25">
      <c r="A31" s="9" t="s">
        <v>44</v>
      </c>
      <c r="B31" s="33" t="b">
        <v>0</v>
      </c>
      <c r="D31" s="9" t="s">
        <v>33</v>
      </c>
      <c r="F31" s="65"/>
      <c r="H31" s="79" t="s">
        <v>231</v>
      </c>
      <c r="I31" s="79" t="s">
        <v>232</v>
      </c>
      <c r="M31" s="78" t="s">
        <v>151</v>
      </c>
      <c r="N31" s="78" t="s">
        <v>151</v>
      </c>
      <c r="O31" s="78" t="s">
        <v>151</v>
      </c>
    </row>
    <row r="32" spans="1:27" x14ac:dyDescent="0.25">
      <c r="A32" s="37">
        <v>0.79166666666666663</v>
      </c>
      <c r="B32" s="33" t="b">
        <v>1</v>
      </c>
      <c r="D32" s="26">
        <v>0</v>
      </c>
      <c r="H32" s="79" t="s">
        <v>233</v>
      </c>
      <c r="I32" s="79" t="s">
        <v>234</v>
      </c>
      <c r="M32" s="78" t="s">
        <v>151</v>
      </c>
      <c r="N32" s="78" t="s">
        <v>151</v>
      </c>
      <c r="O32" s="78" t="s">
        <v>151</v>
      </c>
    </row>
    <row r="33" spans="1:15" x14ac:dyDescent="0.25">
      <c r="A33" s="9" t="s">
        <v>46</v>
      </c>
      <c r="B33" s="33" t="b">
        <v>0</v>
      </c>
      <c r="D33" s="9" t="s">
        <v>34</v>
      </c>
      <c r="F33" s="29"/>
      <c r="H33" s="79" t="s">
        <v>235</v>
      </c>
      <c r="I33" s="79" t="s">
        <v>236</v>
      </c>
      <c r="M33" s="78" t="s">
        <v>151</v>
      </c>
      <c r="N33" s="78" t="s">
        <v>151</v>
      </c>
      <c r="O33" s="78" t="s">
        <v>151</v>
      </c>
    </row>
    <row r="34" spans="1:15" x14ac:dyDescent="0.25">
      <c r="A34" s="35">
        <f>(counttour()/E2*(A2+A3))+A32</f>
        <v>1.3194444444444444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  <c r="H34" s="79" t="s">
        <v>237</v>
      </c>
      <c r="I34" s="79" t="s">
        <v>238</v>
      </c>
      <c r="M34" s="78" t="s">
        <v>151</v>
      </c>
      <c r="N34" s="78" t="s">
        <v>151</v>
      </c>
      <c r="O34" s="78" t="s">
        <v>151</v>
      </c>
    </row>
    <row r="35" spans="1:15" x14ac:dyDescent="0.25">
      <c r="A35" s="9" t="s">
        <v>47</v>
      </c>
      <c r="D35" s="9" t="s">
        <v>49</v>
      </c>
      <c r="H35" s="79" t="s">
        <v>239</v>
      </c>
      <c r="I35" s="79" t="s">
        <v>240</v>
      </c>
      <c r="M35" s="78" t="s">
        <v>151</v>
      </c>
      <c r="N35" s="78" t="s">
        <v>151</v>
      </c>
      <c r="O35" s="78" t="s">
        <v>151</v>
      </c>
    </row>
    <row r="36" spans="1:15" x14ac:dyDescent="0.25">
      <c r="A36" s="37" t="s">
        <v>57</v>
      </c>
      <c r="D36" s="26" t="b">
        <v>0</v>
      </c>
      <c r="E36" s="2" t="s">
        <v>35</v>
      </c>
      <c r="M36" s="78" t="s">
        <v>151</v>
      </c>
      <c r="N36" s="78" t="s">
        <v>151</v>
      </c>
      <c r="O36" s="78" t="s">
        <v>151</v>
      </c>
    </row>
    <row r="37" spans="1:15" x14ac:dyDescent="0.25">
      <c r="A37" s="9" t="s">
        <v>32</v>
      </c>
      <c r="D37" s="9" t="s">
        <v>149</v>
      </c>
      <c r="H37" s="79" t="s">
        <v>241</v>
      </c>
      <c r="I37" s="79" t="s">
        <v>242</v>
      </c>
      <c r="M37" s="78" t="s">
        <v>151</v>
      </c>
      <c r="N37" s="78" t="s">
        <v>151</v>
      </c>
      <c r="O37" s="78" t="s">
        <v>151</v>
      </c>
    </row>
    <row r="38" spans="1:15" x14ac:dyDescent="0.25">
      <c r="A38" s="35">
        <f>A36+(ROUNDUP(IF(B31=TRUE,12*A5,12*A5*B30)/E2,0)*(A2+A3))</f>
        <v>0.1111111111111111</v>
      </c>
      <c r="D38" s="26" t="b">
        <v>1</v>
      </c>
      <c r="H38" s="79" t="s">
        <v>243</v>
      </c>
      <c r="I38" s="79" t="s">
        <v>244</v>
      </c>
      <c r="M38" s="78" t="s">
        <v>151</v>
      </c>
      <c r="N38" s="78" t="s">
        <v>151</v>
      </c>
      <c r="O38" s="78" t="s">
        <v>151</v>
      </c>
    </row>
    <row r="39" spans="1:15" ht="16.5" thickBot="1" x14ac:dyDescent="0.3">
      <c r="A39" s="11"/>
      <c r="H39" s="79" t="s">
        <v>245</v>
      </c>
      <c r="I39" s="79" t="s">
        <v>246</v>
      </c>
      <c r="M39" s="78" t="s">
        <v>151</v>
      </c>
      <c r="N39" s="78" t="s">
        <v>151</v>
      </c>
      <c r="O39" s="78" t="s">
        <v>151</v>
      </c>
    </row>
    <row r="40" spans="1:15" x14ac:dyDescent="0.25">
      <c r="A40" s="3" t="s">
        <v>48</v>
      </c>
      <c r="H40" s="79" t="s">
        <v>247</v>
      </c>
      <c r="I40" s="79" t="s">
        <v>248</v>
      </c>
      <c r="M40" s="78" t="s">
        <v>151</v>
      </c>
      <c r="N40" s="78" t="s">
        <v>151</v>
      </c>
      <c r="O40" s="78" t="s">
        <v>151</v>
      </c>
    </row>
    <row r="41" spans="1:15" x14ac:dyDescent="0.25">
      <c r="A41" s="26">
        <v>4</v>
      </c>
      <c r="H41" s="79" t="s">
        <v>249</v>
      </c>
      <c r="I41" s="79" t="s">
        <v>250</v>
      </c>
      <c r="M41" s="78" t="s">
        <v>151</v>
      </c>
      <c r="N41" s="78" t="s">
        <v>151</v>
      </c>
      <c r="O41" s="78" t="s">
        <v>151</v>
      </c>
    </row>
    <row r="42" spans="1:15" ht="15.75" x14ac:dyDescent="0.25">
      <c r="A42" s="11"/>
      <c r="M42" s="78" t="s">
        <v>151</v>
      </c>
      <c r="N42" s="78" t="s">
        <v>151</v>
      </c>
      <c r="O42" s="78" t="s">
        <v>151</v>
      </c>
    </row>
    <row r="43" spans="1:15" ht="15.75" x14ac:dyDescent="0.25">
      <c r="A43" s="11"/>
      <c r="H43" s="79" t="s">
        <v>251</v>
      </c>
      <c r="I43" s="79" t="s">
        <v>252</v>
      </c>
      <c r="M43" s="78" t="s">
        <v>151</v>
      </c>
      <c r="N43" s="78" t="s">
        <v>151</v>
      </c>
      <c r="O43" s="78" t="s">
        <v>151</v>
      </c>
    </row>
    <row r="44" spans="1:15" x14ac:dyDescent="0.25">
      <c r="A44" s="15"/>
      <c r="H44" s="79" t="s">
        <v>253</v>
      </c>
      <c r="I44" s="79" t="s">
        <v>254</v>
      </c>
      <c r="M44" s="78" t="s">
        <v>151</v>
      </c>
      <c r="N44" s="78" t="s">
        <v>151</v>
      </c>
      <c r="O44" s="78" t="s">
        <v>151</v>
      </c>
    </row>
    <row r="45" spans="1:15" x14ac:dyDescent="0.25">
      <c r="A45" s="15"/>
      <c r="H45" s="79" t="s">
        <v>255</v>
      </c>
      <c r="I45" s="79" t="s">
        <v>256</v>
      </c>
      <c r="M45" s="78" t="s">
        <v>151</v>
      </c>
      <c r="N45" s="78" t="s">
        <v>151</v>
      </c>
      <c r="O45" s="78" t="s">
        <v>151</v>
      </c>
    </row>
    <row r="46" spans="1:15" x14ac:dyDescent="0.25">
      <c r="A46" s="14"/>
      <c r="H46" s="79" t="s">
        <v>257</v>
      </c>
      <c r="I46" s="79" t="s">
        <v>258</v>
      </c>
      <c r="M46" s="78" t="s">
        <v>151</v>
      </c>
      <c r="N46" s="78" t="s">
        <v>151</v>
      </c>
      <c r="O46" s="78" t="s">
        <v>151</v>
      </c>
    </row>
    <row r="47" spans="1:15" x14ac:dyDescent="0.25">
      <c r="A47" s="10"/>
      <c r="H47" s="79" t="s">
        <v>259</v>
      </c>
      <c r="I47" s="79" t="s">
        <v>260</v>
      </c>
      <c r="M47" s="78" t="s">
        <v>151</v>
      </c>
      <c r="N47" s="78" t="s">
        <v>151</v>
      </c>
      <c r="O47" s="78" t="s">
        <v>151</v>
      </c>
    </row>
    <row r="48" spans="1:15" ht="15.75" x14ac:dyDescent="0.25">
      <c r="A48" s="11"/>
      <c r="M48" s="78" t="s">
        <v>151</v>
      </c>
      <c r="N48" s="78" t="s">
        <v>151</v>
      </c>
      <c r="O48" s="78" t="s">
        <v>151</v>
      </c>
    </row>
    <row r="49" spans="1:15" ht="15.75" x14ac:dyDescent="0.25">
      <c r="A49" s="11"/>
      <c r="H49" s="79" t="s">
        <v>261</v>
      </c>
      <c r="I49" s="79" t="s">
        <v>262</v>
      </c>
      <c r="M49" s="78" t="s">
        <v>151</v>
      </c>
      <c r="N49" s="78" t="s">
        <v>151</v>
      </c>
      <c r="O49" s="78" t="s">
        <v>151</v>
      </c>
    </row>
    <row r="50" spans="1:15" ht="15.75" x14ac:dyDescent="0.25">
      <c r="A50" s="11"/>
      <c r="H50" s="79" t="s">
        <v>263</v>
      </c>
      <c r="I50" s="79" t="s">
        <v>264</v>
      </c>
      <c r="M50" s="78" t="s">
        <v>151</v>
      </c>
      <c r="N50" s="78" t="s">
        <v>151</v>
      </c>
      <c r="O50" s="78" t="s">
        <v>151</v>
      </c>
    </row>
    <row r="51" spans="1:15" ht="15.75" x14ac:dyDescent="0.25">
      <c r="A51" s="11"/>
      <c r="H51" s="79" t="s">
        <v>265</v>
      </c>
      <c r="I51" s="79" t="s">
        <v>266</v>
      </c>
      <c r="M51" s="78" t="s">
        <v>151</v>
      </c>
      <c r="N51" s="78" t="s">
        <v>151</v>
      </c>
      <c r="O51" s="78" t="s">
        <v>151</v>
      </c>
    </row>
    <row r="52" spans="1:15" ht="15.75" x14ac:dyDescent="0.25">
      <c r="A52" s="11"/>
      <c r="H52" s="79" t="s">
        <v>267</v>
      </c>
      <c r="I52" s="79" t="s">
        <v>268</v>
      </c>
      <c r="M52" s="78" t="s">
        <v>151</v>
      </c>
      <c r="N52" s="78" t="s">
        <v>151</v>
      </c>
      <c r="O52" s="78" t="s">
        <v>151</v>
      </c>
    </row>
    <row r="53" spans="1:15" ht="15.75" x14ac:dyDescent="0.25">
      <c r="A53" s="11"/>
      <c r="H53" s="79" t="s">
        <v>269</v>
      </c>
      <c r="I53" s="79" t="s">
        <v>270</v>
      </c>
      <c r="M53" s="78" t="s">
        <v>151</v>
      </c>
      <c r="N53" s="78" t="s">
        <v>151</v>
      </c>
      <c r="O53" s="78" t="s">
        <v>151</v>
      </c>
    </row>
    <row r="54" spans="1:15" ht="15.75" x14ac:dyDescent="0.25">
      <c r="A54" s="11"/>
      <c r="M54" s="78" t="s">
        <v>151</v>
      </c>
      <c r="N54" s="78" t="s">
        <v>151</v>
      </c>
      <c r="O54" s="78" t="s">
        <v>151</v>
      </c>
    </row>
    <row r="55" spans="1:15" ht="15.75" x14ac:dyDescent="0.25">
      <c r="A55" s="11"/>
      <c r="H55" s="79" t="s">
        <v>271</v>
      </c>
      <c r="I55" s="79" t="s">
        <v>272</v>
      </c>
      <c r="M55" s="78" t="s">
        <v>151</v>
      </c>
      <c r="N55" s="78" t="s">
        <v>151</v>
      </c>
      <c r="O55" s="78" t="s">
        <v>151</v>
      </c>
    </row>
    <row r="56" spans="1:15" x14ac:dyDescent="0.25">
      <c r="A56" s="10"/>
      <c r="H56" s="79" t="s">
        <v>273</v>
      </c>
      <c r="I56" s="79" t="s">
        <v>274</v>
      </c>
      <c r="M56" s="78" t="s">
        <v>151</v>
      </c>
      <c r="N56" s="78" t="s">
        <v>151</v>
      </c>
      <c r="O56" s="78" t="s">
        <v>151</v>
      </c>
    </row>
    <row r="57" spans="1:15" x14ac:dyDescent="0.25">
      <c r="A57" s="14"/>
      <c r="H57" s="79" t="s">
        <v>275</v>
      </c>
      <c r="I57" s="79" t="s">
        <v>276</v>
      </c>
      <c r="M57" s="78" t="s">
        <v>151</v>
      </c>
      <c r="N57" s="78" t="s">
        <v>151</v>
      </c>
      <c r="O57" s="78" t="s">
        <v>151</v>
      </c>
    </row>
    <row r="58" spans="1:15" x14ac:dyDescent="0.25">
      <c r="A58" s="10"/>
      <c r="H58" s="79" t="s">
        <v>277</v>
      </c>
      <c r="I58" s="79" t="s">
        <v>278</v>
      </c>
      <c r="M58" s="78" t="s">
        <v>151</v>
      </c>
      <c r="N58" s="78" t="s">
        <v>151</v>
      </c>
      <c r="O58" s="78" t="s">
        <v>151</v>
      </c>
    </row>
    <row r="59" spans="1:15" ht="15.75" x14ac:dyDescent="0.25">
      <c r="A59" s="11"/>
      <c r="H59" s="79" t="s">
        <v>279</v>
      </c>
      <c r="I59" s="79" t="s">
        <v>280</v>
      </c>
      <c r="M59" s="78" t="s">
        <v>151</v>
      </c>
      <c r="N59" s="78" t="s">
        <v>151</v>
      </c>
      <c r="O59" s="78" t="s">
        <v>151</v>
      </c>
    </row>
    <row r="60" spans="1:15" ht="15.75" x14ac:dyDescent="0.25">
      <c r="A60" s="11"/>
      <c r="M60" s="78" t="s">
        <v>151</v>
      </c>
      <c r="N60" s="78" t="s">
        <v>151</v>
      </c>
      <c r="O60" s="78" t="s">
        <v>151</v>
      </c>
    </row>
    <row r="61" spans="1:15" ht="15.75" x14ac:dyDescent="0.25">
      <c r="A61" s="11"/>
      <c r="H61" s="79" t="s">
        <v>281</v>
      </c>
      <c r="I61" s="79" t="s">
        <v>282</v>
      </c>
      <c r="M61" s="78" t="s">
        <v>151</v>
      </c>
      <c r="N61" s="78" t="s">
        <v>151</v>
      </c>
      <c r="O61" s="78" t="s">
        <v>151</v>
      </c>
    </row>
    <row r="62" spans="1:15" ht="15.75" x14ac:dyDescent="0.25">
      <c r="A62" s="11"/>
      <c r="H62" s="79" t="s">
        <v>283</v>
      </c>
      <c r="I62" s="79" t="s">
        <v>284</v>
      </c>
      <c r="M62" s="78" t="s">
        <v>151</v>
      </c>
      <c r="N62" s="78" t="s">
        <v>151</v>
      </c>
      <c r="O62" s="78" t="s">
        <v>151</v>
      </c>
    </row>
    <row r="63" spans="1:15" ht="15.75" x14ac:dyDescent="0.25">
      <c r="A63" s="11"/>
      <c r="H63" s="79" t="s">
        <v>285</v>
      </c>
      <c r="I63" s="79" t="s">
        <v>286</v>
      </c>
      <c r="M63" s="78" t="s">
        <v>151</v>
      </c>
      <c r="N63" s="78" t="s">
        <v>151</v>
      </c>
      <c r="O63" s="78" t="s">
        <v>151</v>
      </c>
    </row>
    <row r="64" spans="1:15" ht="15.75" x14ac:dyDescent="0.25">
      <c r="A64" s="11"/>
      <c r="H64" s="79" t="s">
        <v>287</v>
      </c>
      <c r="I64" s="79" t="s">
        <v>288</v>
      </c>
      <c r="M64" s="78" t="s">
        <v>151</v>
      </c>
      <c r="N64" s="78" t="s">
        <v>151</v>
      </c>
      <c r="O64" s="78" t="s">
        <v>151</v>
      </c>
    </row>
    <row r="65" spans="1:9" ht="15.75" x14ac:dyDescent="0.25">
      <c r="A65" s="11"/>
      <c r="H65" s="79" t="s">
        <v>289</v>
      </c>
      <c r="I65" s="79" t="s">
        <v>290</v>
      </c>
    </row>
    <row r="66" spans="1:9" ht="15.75" x14ac:dyDescent="0.25">
      <c r="A66" s="11"/>
    </row>
    <row r="67" spans="1:9" x14ac:dyDescent="0.25">
      <c r="A67" s="10"/>
      <c r="H67" s="79" t="s">
        <v>291</v>
      </c>
      <c r="I67" s="79" t="s">
        <v>292</v>
      </c>
    </row>
    <row r="68" spans="1:9" x14ac:dyDescent="0.25">
      <c r="A68" s="14"/>
      <c r="H68" s="79" t="s">
        <v>293</v>
      </c>
      <c r="I68" s="79" t="s">
        <v>294</v>
      </c>
    </row>
    <row r="69" spans="1:9" x14ac:dyDescent="0.25">
      <c r="A69" s="10"/>
      <c r="H69" s="79" t="s">
        <v>295</v>
      </c>
      <c r="I69" s="79" t="s">
        <v>296</v>
      </c>
    </row>
    <row r="70" spans="1:9" ht="15.75" x14ac:dyDescent="0.25">
      <c r="A70" s="11"/>
      <c r="H70" s="79" t="s">
        <v>297</v>
      </c>
      <c r="I70" s="79" t="s">
        <v>298</v>
      </c>
    </row>
    <row r="71" spans="1:9" ht="15.75" x14ac:dyDescent="0.25">
      <c r="A71" s="11"/>
      <c r="H71" s="79" t="s">
        <v>299</v>
      </c>
      <c r="I71" s="79" t="s">
        <v>300</v>
      </c>
    </row>
    <row r="72" spans="1:9" ht="15.75" x14ac:dyDescent="0.25">
      <c r="A72" s="11"/>
    </row>
    <row r="73" spans="1:9" ht="15.75" x14ac:dyDescent="0.25">
      <c r="A73" s="11"/>
      <c r="H73" s="79" t="s">
        <v>301</v>
      </c>
      <c r="I73" s="79" t="s">
        <v>302</v>
      </c>
    </row>
    <row r="74" spans="1:9" ht="15.75" x14ac:dyDescent="0.25">
      <c r="A74" s="11"/>
      <c r="H74" s="79" t="s">
        <v>303</v>
      </c>
      <c r="I74" s="79" t="s">
        <v>304</v>
      </c>
    </row>
    <row r="75" spans="1:9" ht="15.75" x14ac:dyDescent="0.25">
      <c r="A75" s="11"/>
      <c r="H75" s="79" t="s">
        <v>305</v>
      </c>
      <c r="I75" s="79" t="s">
        <v>306</v>
      </c>
    </row>
    <row r="76" spans="1:9" ht="15.75" x14ac:dyDescent="0.25">
      <c r="A76" s="11"/>
      <c r="H76" s="79" t="s">
        <v>150</v>
      </c>
      <c r="I76" s="79" t="s">
        <v>150</v>
      </c>
    </row>
    <row r="77" spans="1:9" ht="15.75" x14ac:dyDescent="0.25">
      <c r="A77" s="11"/>
      <c r="H77" s="79" t="s">
        <v>150</v>
      </c>
      <c r="I77" s="79" t="s">
        <v>150</v>
      </c>
    </row>
    <row r="78" spans="1:9" x14ac:dyDescent="0.25">
      <c r="A78" s="10"/>
    </row>
    <row r="79" spans="1:9" x14ac:dyDescent="0.25">
      <c r="A79" s="14"/>
      <c r="H79" s="79" t="s">
        <v>151</v>
      </c>
      <c r="I79" s="79" t="s">
        <v>151</v>
      </c>
    </row>
    <row r="80" spans="1:9" x14ac:dyDescent="0.25">
      <c r="A80" s="10"/>
      <c r="H80" s="79" t="s">
        <v>151</v>
      </c>
      <c r="I80" s="79" t="s">
        <v>151</v>
      </c>
    </row>
    <row r="81" spans="1:9" ht="15.75" x14ac:dyDescent="0.25">
      <c r="A81" s="11"/>
      <c r="H81" s="79" t="s">
        <v>151</v>
      </c>
      <c r="I81" s="79" t="s">
        <v>151</v>
      </c>
    </row>
    <row r="82" spans="1:9" ht="15.75" x14ac:dyDescent="0.25">
      <c r="A82" s="11"/>
      <c r="H82" s="79" t="s">
        <v>151</v>
      </c>
      <c r="I82" s="79" t="s">
        <v>151</v>
      </c>
    </row>
    <row r="83" spans="1:9" ht="15.75" x14ac:dyDescent="0.25">
      <c r="A83" s="11"/>
      <c r="H83" s="79" t="s">
        <v>151</v>
      </c>
      <c r="I83" s="79" t="s">
        <v>151</v>
      </c>
    </row>
    <row r="84" spans="1:9" ht="15.75" x14ac:dyDescent="0.25">
      <c r="A84" s="11"/>
    </row>
    <row r="85" spans="1:9" ht="15.75" x14ac:dyDescent="0.25">
      <c r="A85" s="11"/>
      <c r="H85" s="79" t="s">
        <v>151</v>
      </c>
      <c r="I85" s="79" t="s">
        <v>151</v>
      </c>
    </row>
    <row r="86" spans="1:9" ht="15.75" x14ac:dyDescent="0.25">
      <c r="A86" s="11"/>
      <c r="H86" s="79" t="s">
        <v>151</v>
      </c>
      <c r="I86" s="79" t="s">
        <v>151</v>
      </c>
    </row>
    <row r="87" spans="1:9" ht="15.75" x14ac:dyDescent="0.25">
      <c r="A87" s="11"/>
      <c r="H87" s="79" t="s">
        <v>151</v>
      </c>
      <c r="I87" s="79" t="s">
        <v>151</v>
      </c>
    </row>
    <row r="88" spans="1:9" ht="15.75" x14ac:dyDescent="0.25">
      <c r="A88" s="11"/>
      <c r="H88" s="79" t="s">
        <v>151</v>
      </c>
      <c r="I88" s="79" t="s">
        <v>151</v>
      </c>
    </row>
    <row r="89" spans="1:9" x14ac:dyDescent="0.25">
      <c r="A89" s="15"/>
      <c r="H89" s="79" t="s">
        <v>151</v>
      </c>
      <c r="I89" s="79" t="s">
        <v>151</v>
      </c>
    </row>
    <row r="90" spans="1:9" x14ac:dyDescent="0.25">
      <c r="A90" s="15"/>
    </row>
    <row r="91" spans="1:9" x14ac:dyDescent="0.25">
      <c r="A91" s="15"/>
      <c r="H91" s="79" t="s">
        <v>151</v>
      </c>
      <c r="I91" s="79" t="s">
        <v>151</v>
      </c>
    </row>
    <row r="92" spans="1:9" x14ac:dyDescent="0.25">
      <c r="A92" s="15"/>
      <c r="H92" s="79" t="s">
        <v>151</v>
      </c>
      <c r="I92" s="79" t="s">
        <v>151</v>
      </c>
    </row>
    <row r="93" spans="1:9" x14ac:dyDescent="0.25">
      <c r="A93" s="15"/>
      <c r="H93" s="79" t="s">
        <v>151</v>
      </c>
      <c r="I93" s="79" t="s">
        <v>151</v>
      </c>
    </row>
    <row r="94" spans="1:9" x14ac:dyDescent="0.25">
      <c r="A94" s="15"/>
      <c r="H94" s="79" t="s">
        <v>151</v>
      </c>
      <c r="I94" s="79" t="s">
        <v>151</v>
      </c>
    </row>
    <row r="95" spans="1:9" x14ac:dyDescent="0.25">
      <c r="A95" s="15"/>
      <c r="H95" s="79" t="s">
        <v>151</v>
      </c>
      <c r="I95" s="79" t="s">
        <v>151</v>
      </c>
    </row>
    <row r="96" spans="1:9" x14ac:dyDescent="0.25">
      <c r="A96" s="15"/>
    </row>
    <row r="97" spans="1:9" x14ac:dyDescent="0.25">
      <c r="A97" s="15"/>
      <c r="H97" s="79" t="s">
        <v>151</v>
      </c>
      <c r="I97" s="79" t="s">
        <v>151</v>
      </c>
    </row>
    <row r="98" spans="1:9" x14ac:dyDescent="0.25">
      <c r="A98" s="15"/>
      <c r="H98" s="79" t="s">
        <v>151</v>
      </c>
      <c r="I98" s="79" t="s">
        <v>151</v>
      </c>
    </row>
    <row r="99" spans="1:9" x14ac:dyDescent="0.25">
      <c r="A99" s="15"/>
      <c r="H99" s="79" t="s">
        <v>151</v>
      </c>
      <c r="I99" s="79" t="s">
        <v>151</v>
      </c>
    </row>
    <row r="100" spans="1:9" x14ac:dyDescent="0.25">
      <c r="A100" s="15"/>
      <c r="H100" s="79" t="s">
        <v>151</v>
      </c>
      <c r="I100" s="79" t="s">
        <v>151</v>
      </c>
    </row>
    <row r="101" spans="1:9" x14ac:dyDescent="0.25">
      <c r="A101" s="15"/>
      <c r="H101" s="79" t="s">
        <v>151</v>
      </c>
      <c r="I101" s="79" t="s">
        <v>151</v>
      </c>
    </row>
    <row r="102" spans="1:9" x14ac:dyDescent="0.25">
      <c r="A102" s="15"/>
    </row>
    <row r="103" spans="1:9" x14ac:dyDescent="0.25">
      <c r="A103" s="15"/>
      <c r="H103" s="79" t="s">
        <v>151</v>
      </c>
      <c r="I103" s="79" t="s">
        <v>151</v>
      </c>
    </row>
    <row r="104" spans="1:9" x14ac:dyDescent="0.25">
      <c r="A104" s="15"/>
      <c r="H104" s="79" t="s">
        <v>151</v>
      </c>
      <c r="I104" s="79" t="s">
        <v>151</v>
      </c>
    </row>
    <row r="105" spans="1:9" x14ac:dyDescent="0.25">
      <c r="A105" s="15"/>
      <c r="H105" s="79" t="s">
        <v>151</v>
      </c>
      <c r="I105" s="79" t="s">
        <v>151</v>
      </c>
    </row>
    <row r="106" spans="1:9" x14ac:dyDescent="0.25">
      <c r="A106" s="15"/>
      <c r="H106" s="79" t="s">
        <v>151</v>
      </c>
      <c r="I106" s="79" t="s">
        <v>151</v>
      </c>
    </row>
    <row r="107" spans="1:9" x14ac:dyDescent="0.25">
      <c r="A107" s="15"/>
      <c r="H107" s="79" t="s">
        <v>151</v>
      </c>
      <c r="I107" s="79" t="s">
        <v>151</v>
      </c>
    </row>
    <row r="108" spans="1:9" x14ac:dyDescent="0.25">
      <c r="A108" s="15"/>
    </row>
    <row r="109" spans="1:9" x14ac:dyDescent="0.25">
      <c r="A109" s="15"/>
      <c r="H109" s="79" t="s">
        <v>151</v>
      </c>
      <c r="I109" s="79" t="s">
        <v>151</v>
      </c>
    </row>
    <row r="110" spans="1:9" x14ac:dyDescent="0.25">
      <c r="A110" s="15"/>
      <c r="H110" s="79" t="s">
        <v>151</v>
      </c>
      <c r="I110" s="79" t="s">
        <v>151</v>
      </c>
    </row>
    <row r="111" spans="1:9" x14ac:dyDescent="0.25">
      <c r="A111" s="15"/>
      <c r="H111" s="79" t="s">
        <v>151</v>
      </c>
      <c r="I111" s="79" t="s">
        <v>151</v>
      </c>
    </row>
    <row r="112" spans="1:9" x14ac:dyDescent="0.25">
      <c r="A112" s="15"/>
      <c r="H112" s="79" t="s">
        <v>151</v>
      </c>
      <c r="I112" s="79" t="s">
        <v>151</v>
      </c>
    </row>
    <row r="113" spans="1:9" x14ac:dyDescent="0.25">
      <c r="A113" s="15"/>
      <c r="H113" s="79" t="s">
        <v>151</v>
      </c>
      <c r="I113" s="79" t="s">
        <v>151</v>
      </c>
    </row>
    <row r="114" spans="1:9" x14ac:dyDescent="0.25">
      <c r="A114" s="15"/>
    </row>
    <row r="115" spans="1:9" x14ac:dyDescent="0.25">
      <c r="A115" s="15"/>
      <c r="H115" s="79" t="s">
        <v>151</v>
      </c>
      <c r="I115" s="79" t="s">
        <v>151</v>
      </c>
    </row>
    <row r="116" spans="1:9" x14ac:dyDescent="0.25">
      <c r="A116" s="15"/>
      <c r="H116" s="79" t="s">
        <v>151</v>
      </c>
      <c r="I116" s="79" t="s">
        <v>151</v>
      </c>
    </row>
    <row r="117" spans="1:9" x14ac:dyDescent="0.25">
      <c r="A117" s="15"/>
      <c r="H117" s="79" t="s">
        <v>151</v>
      </c>
      <c r="I117" s="79" t="s">
        <v>151</v>
      </c>
    </row>
    <row r="118" spans="1:9" x14ac:dyDescent="0.25">
      <c r="A118" s="15"/>
      <c r="H118" s="79" t="s">
        <v>151</v>
      </c>
      <c r="I118" s="79" t="s">
        <v>151</v>
      </c>
    </row>
    <row r="119" spans="1:9" x14ac:dyDescent="0.25">
      <c r="A119" s="15"/>
      <c r="H119" s="79" t="s">
        <v>151</v>
      </c>
      <c r="I119" s="79" t="s">
        <v>151</v>
      </c>
    </row>
    <row r="120" spans="1:9" x14ac:dyDescent="0.25">
      <c r="A120" s="15"/>
    </row>
    <row r="121" spans="1:9" x14ac:dyDescent="0.25">
      <c r="A121" s="15"/>
      <c r="H121" s="79" t="s">
        <v>151</v>
      </c>
      <c r="I121" s="79" t="s">
        <v>151</v>
      </c>
    </row>
    <row r="122" spans="1:9" x14ac:dyDescent="0.25">
      <c r="A122" s="15"/>
      <c r="H122" s="79" t="s">
        <v>151</v>
      </c>
      <c r="I122" s="79" t="s">
        <v>151</v>
      </c>
    </row>
    <row r="123" spans="1:9" x14ac:dyDescent="0.25">
      <c r="A123" s="15"/>
      <c r="H123" s="79" t="s">
        <v>151</v>
      </c>
      <c r="I123" s="79" t="s">
        <v>151</v>
      </c>
    </row>
    <row r="124" spans="1:9" x14ac:dyDescent="0.25">
      <c r="A124" s="15"/>
      <c r="H124" s="79" t="s">
        <v>151</v>
      </c>
      <c r="I124" s="79" t="s">
        <v>151</v>
      </c>
    </row>
    <row r="125" spans="1:9" x14ac:dyDescent="0.25">
      <c r="A125" s="15"/>
      <c r="H125" s="79" t="s">
        <v>151</v>
      </c>
      <c r="I125" s="79" t="s">
        <v>151</v>
      </c>
    </row>
    <row r="126" spans="1:9" x14ac:dyDescent="0.25">
      <c r="A126" s="15"/>
    </row>
    <row r="127" spans="1:9" x14ac:dyDescent="0.25">
      <c r="A127" s="15"/>
      <c r="H127" s="79" t="s">
        <v>151</v>
      </c>
      <c r="I127" s="79" t="s">
        <v>151</v>
      </c>
    </row>
    <row r="128" spans="1:9" x14ac:dyDescent="0.25">
      <c r="A128" s="15"/>
      <c r="H128" s="79" t="s">
        <v>151</v>
      </c>
      <c r="I128" s="79" t="s">
        <v>151</v>
      </c>
    </row>
    <row r="129" spans="1:9" x14ac:dyDescent="0.25">
      <c r="A129" s="15"/>
      <c r="H129" s="79" t="s">
        <v>151</v>
      </c>
      <c r="I129" s="79" t="s">
        <v>151</v>
      </c>
    </row>
    <row r="130" spans="1:9" x14ac:dyDescent="0.25">
      <c r="A130" s="15"/>
      <c r="H130" s="79" t="s">
        <v>151</v>
      </c>
      <c r="I130" s="79" t="s">
        <v>151</v>
      </c>
    </row>
    <row r="131" spans="1:9" x14ac:dyDescent="0.25">
      <c r="A131" s="15"/>
      <c r="H131" s="79" t="s">
        <v>151</v>
      </c>
      <c r="I131" s="79" t="s">
        <v>151</v>
      </c>
    </row>
    <row r="132" spans="1:9" x14ac:dyDescent="0.25">
      <c r="A132" s="15"/>
    </row>
    <row r="133" spans="1:9" x14ac:dyDescent="0.25">
      <c r="A133" s="15"/>
      <c r="H133" s="79" t="s">
        <v>151</v>
      </c>
      <c r="I133" s="79" t="s">
        <v>151</v>
      </c>
    </row>
    <row r="134" spans="1:9" x14ac:dyDescent="0.25">
      <c r="A134" s="15"/>
      <c r="H134" s="79" t="s">
        <v>151</v>
      </c>
      <c r="I134" s="79" t="s">
        <v>151</v>
      </c>
    </row>
    <row r="135" spans="1:9" x14ac:dyDescent="0.25">
      <c r="A135" s="15"/>
      <c r="H135" s="79" t="s">
        <v>151</v>
      </c>
      <c r="I135" s="79" t="s">
        <v>151</v>
      </c>
    </row>
    <row r="136" spans="1:9" x14ac:dyDescent="0.25">
      <c r="A136" s="15"/>
      <c r="H136" s="79" t="s">
        <v>151</v>
      </c>
      <c r="I136" s="79" t="s">
        <v>151</v>
      </c>
    </row>
    <row r="137" spans="1:9" x14ac:dyDescent="0.25">
      <c r="A137" s="15"/>
      <c r="H137" s="79" t="s">
        <v>151</v>
      </c>
      <c r="I137" s="79" t="s">
        <v>151</v>
      </c>
    </row>
    <row r="138" spans="1:9" x14ac:dyDescent="0.25">
      <c r="A138" s="15"/>
    </row>
    <row r="139" spans="1:9" x14ac:dyDescent="0.25">
      <c r="A139" s="15"/>
      <c r="H139" s="79" t="s">
        <v>151</v>
      </c>
      <c r="I139" s="79" t="s">
        <v>151</v>
      </c>
    </row>
    <row r="140" spans="1:9" x14ac:dyDescent="0.25">
      <c r="A140" s="15"/>
      <c r="H140" s="79" t="s">
        <v>151</v>
      </c>
      <c r="I140" s="79" t="s">
        <v>151</v>
      </c>
    </row>
    <row r="141" spans="1:9" x14ac:dyDescent="0.25">
      <c r="A141" s="15"/>
      <c r="H141" s="79" t="s">
        <v>151</v>
      </c>
      <c r="I141" s="79" t="s">
        <v>151</v>
      </c>
    </row>
    <row r="142" spans="1:9" x14ac:dyDescent="0.25">
      <c r="A142" s="15"/>
      <c r="H142" s="79" t="s">
        <v>151</v>
      </c>
      <c r="I142" s="79" t="s">
        <v>151</v>
      </c>
    </row>
    <row r="143" spans="1:9" x14ac:dyDescent="0.25">
      <c r="A143" s="15"/>
      <c r="H143" s="79" t="s">
        <v>151</v>
      </c>
      <c r="I143" s="79" t="s">
        <v>151</v>
      </c>
    </row>
    <row r="144" spans="1:9" x14ac:dyDescent="0.25">
      <c r="A144" s="15"/>
    </row>
    <row r="145" spans="1:9" x14ac:dyDescent="0.25">
      <c r="A145" s="15"/>
      <c r="H145" s="79" t="s">
        <v>151</v>
      </c>
      <c r="I145" s="79" t="s">
        <v>151</v>
      </c>
    </row>
    <row r="146" spans="1:9" x14ac:dyDescent="0.25">
      <c r="A146" s="15"/>
      <c r="H146" s="79" t="s">
        <v>151</v>
      </c>
      <c r="I146" s="79" t="s">
        <v>151</v>
      </c>
    </row>
    <row r="147" spans="1:9" x14ac:dyDescent="0.25">
      <c r="A147" s="15"/>
      <c r="H147" s="79" t="s">
        <v>151</v>
      </c>
      <c r="I147" s="79" t="s">
        <v>151</v>
      </c>
    </row>
    <row r="148" spans="1:9" x14ac:dyDescent="0.25">
      <c r="A148" s="15"/>
      <c r="H148" s="79" t="s">
        <v>151</v>
      </c>
      <c r="I148" s="79" t="s">
        <v>151</v>
      </c>
    </row>
    <row r="149" spans="1:9" x14ac:dyDescent="0.25">
      <c r="A149" s="15"/>
      <c r="H149" s="79" t="s">
        <v>151</v>
      </c>
      <c r="I149" s="79" t="s">
        <v>151</v>
      </c>
    </row>
    <row r="150" spans="1:9" x14ac:dyDescent="0.25">
      <c r="A150" s="15"/>
    </row>
    <row r="151" spans="1:9" x14ac:dyDescent="0.25">
      <c r="A151" s="15"/>
      <c r="H151" s="79" t="s">
        <v>151</v>
      </c>
      <c r="I151" s="79" t="s">
        <v>151</v>
      </c>
    </row>
    <row r="152" spans="1:9" x14ac:dyDescent="0.25">
      <c r="A152" s="15"/>
      <c r="H152" s="79" t="s">
        <v>151</v>
      </c>
      <c r="I152" s="79" t="s">
        <v>151</v>
      </c>
    </row>
    <row r="153" spans="1:9" x14ac:dyDescent="0.25">
      <c r="A153" s="15"/>
      <c r="H153" s="79" t="s">
        <v>151</v>
      </c>
      <c r="I153" s="79" t="s">
        <v>151</v>
      </c>
    </row>
    <row r="154" spans="1:9" x14ac:dyDescent="0.25">
      <c r="A154" s="15"/>
      <c r="H154" s="79" t="s">
        <v>151</v>
      </c>
      <c r="I154" s="79" t="s">
        <v>151</v>
      </c>
    </row>
    <row r="155" spans="1:9" x14ac:dyDescent="0.25">
      <c r="A155" s="15"/>
      <c r="H155" s="79" t="s">
        <v>151</v>
      </c>
      <c r="I155" s="79" t="s">
        <v>151</v>
      </c>
    </row>
    <row r="156" spans="1:9" x14ac:dyDescent="0.25">
      <c r="A156" s="15"/>
    </row>
    <row r="157" spans="1:9" x14ac:dyDescent="0.25">
      <c r="A157" s="15"/>
      <c r="H157" s="79" t="s">
        <v>151</v>
      </c>
      <c r="I157" s="79" t="s">
        <v>151</v>
      </c>
    </row>
    <row r="158" spans="1:9" x14ac:dyDescent="0.25">
      <c r="A158" s="15"/>
      <c r="H158" s="79" t="s">
        <v>151</v>
      </c>
      <c r="I158" s="79" t="s">
        <v>151</v>
      </c>
    </row>
    <row r="159" spans="1:9" x14ac:dyDescent="0.25">
      <c r="A159" s="15"/>
      <c r="H159" s="79" t="s">
        <v>151</v>
      </c>
      <c r="I159" s="79" t="s">
        <v>151</v>
      </c>
    </row>
    <row r="160" spans="1:9" x14ac:dyDescent="0.25">
      <c r="A160" s="15"/>
      <c r="H160" s="79" t="s">
        <v>151</v>
      </c>
      <c r="I160" s="79" t="s">
        <v>151</v>
      </c>
    </row>
    <row r="161" spans="1:9" x14ac:dyDescent="0.25">
      <c r="A161" s="15"/>
      <c r="H161" s="79" t="s">
        <v>151</v>
      </c>
      <c r="I161" s="79" t="s">
        <v>151</v>
      </c>
    </row>
    <row r="162" spans="1:9" x14ac:dyDescent="0.25">
      <c r="A162" s="15"/>
    </row>
    <row r="163" spans="1:9" x14ac:dyDescent="0.25">
      <c r="A163" s="15"/>
      <c r="H163" s="79" t="s">
        <v>151</v>
      </c>
      <c r="I163" s="79" t="s">
        <v>151</v>
      </c>
    </row>
    <row r="164" spans="1:9" x14ac:dyDescent="0.25">
      <c r="A164" s="15"/>
      <c r="H164" s="79" t="s">
        <v>151</v>
      </c>
      <c r="I164" s="79" t="s">
        <v>151</v>
      </c>
    </row>
    <row r="165" spans="1:9" x14ac:dyDescent="0.25">
      <c r="A165" s="15"/>
      <c r="H165" s="79" t="s">
        <v>151</v>
      </c>
      <c r="I165" s="79" t="s">
        <v>151</v>
      </c>
    </row>
    <row r="166" spans="1:9" x14ac:dyDescent="0.25">
      <c r="A166" s="15"/>
      <c r="H166" s="79" t="s">
        <v>151</v>
      </c>
      <c r="I166" s="79" t="s">
        <v>151</v>
      </c>
    </row>
    <row r="167" spans="1:9" x14ac:dyDescent="0.25">
      <c r="A167" s="15"/>
      <c r="H167" s="79" t="s">
        <v>151</v>
      </c>
      <c r="I167" s="79" t="s">
        <v>151</v>
      </c>
    </row>
    <row r="168" spans="1:9" x14ac:dyDescent="0.25">
      <c r="A168" s="15"/>
    </row>
    <row r="169" spans="1:9" x14ac:dyDescent="0.25">
      <c r="A169" s="15"/>
      <c r="H169" s="79" t="s">
        <v>151</v>
      </c>
      <c r="I169" s="79" t="s">
        <v>151</v>
      </c>
    </row>
    <row r="170" spans="1:9" x14ac:dyDescent="0.25">
      <c r="A170" s="15"/>
      <c r="H170" s="79" t="s">
        <v>151</v>
      </c>
      <c r="I170" s="79" t="s">
        <v>151</v>
      </c>
    </row>
    <row r="171" spans="1:9" x14ac:dyDescent="0.25">
      <c r="A171" s="15"/>
      <c r="H171" s="79" t="s">
        <v>151</v>
      </c>
      <c r="I171" s="79" t="s">
        <v>151</v>
      </c>
    </row>
    <row r="172" spans="1:9" x14ac:dyDescent="0.25">
      <c r="A172" s="15"/>
      <c r="H172" s="79" t="s">
        <v>151</v>
      </c>
      <c r="I172" s="79" t="s">
        <v>151</v>
      </c>
    </row>
    <row r="173" spans="1:9" x14ac:dyDescent="0.25">
      <c r="A173" s="15"/>
      <c r="H173" s="79" t="s">
        <v>151</v>
      </c>
      <c r="I173" s="79" t="s">
        <v>151</v>
      </c>
    </row>
    <row r="174" spans="1:9" x14ac:dyDescent="0.25">
      <c r="A174" s="15"/>
    </row>
    <row r="175" spans="1:9" x14ac:dyDescent="0.25">
      <c r="A175" s="15"/>
      <c r="H175" s="79" t="s">
        <v>151</v>
      </c>
      <c r="I175" s="79" t="s">
        <v>151</v>
      </c>
    </row>
    <row r="176" spans="1:9" x14ac:dyDescent="0.25">
      <c r="A176" s="15"/>
      <c r="H176" s="79" t="s">
        <v>151</v>
      </c>
      <c r="I176" s="79" t="s">
        <v>151</v>
      </c>
    </row>
    <row r="177" spans="1:9" x14ac:dyDescent="0.25">
      <c r="A177" s="15"/>
      <c r="H177" s="79" t="s">
        <v>151</v>
      </c>
      <c r="I177" s="79" t="s">
        <v>151</v>
      </c>
    </row>
    <row r="178" spans="1:9" x14ac:dyDescent="0.25">
      <c r="A178" s="15"/>
      <c r="H178" s="79" t="s">
        <v>151</v>
      </c>
      <c r="I178" s="79" t="s">
        <v>151</v>
      </c>
    </row>
    <row r="179" spans="1:9" x14ac:dyDescent="0.25">
      <c r="A179" s="15"/>
      <c r="H179" s="79" t="s">
        <v>151</v>
      </c>
      <c r="I179" s="79" t="s">
        <v>151</v>
      </c>
    </row>
    <row r="180" spans="1:9" x14ac:dyDescent="0.25">
      <c r="A180" s="15"/>
    </row>
    <row r="181" spans="1:9" x14ac:dyDescent="0.25">
      <c r="A181" s="15"/>
      <c r="H181" s="79" t="s">
        <v>151</v>
      </c>
      <c r="I181" s="79" t="s">
        <v>151</v>
      </c>
    </row>
    <row r="182" spans="1:9" x14ac:dyDescent="0.25">
      <c r="A182" s="15"/>
      <c r="H182" s="79" t="s">
        <v>151</v>
      </c>
      <c r="I182" s="79" t="s">
        <v>151</v>
      </c>
    </row>
    <row r="183" spans="1:9" x14ac:dyDescent="0.25">
      <c r="A183" s="15"/>
      <c r="H183" s="79" t="s">
        <v>151</v>
      </c>
      <c r="I183" s="79" t="s">
        <v>151</v>
      </c>
    </row>
    <row r="184" spans="1:9" x14ac:dyDescent="0.25">
      <c r="A184" s="15"/>
      <c r="H184" s="79" t="s">
        <v>151</v>
      </c>
      <c r="I184" s="79" t="s">
        <v>151</v>
      </c>
    </row>
    <row r="185" spans="1:9" x14ac:dyDescent="0.25">
      <c r="A185" s="15"/>
      <c r="H185" s="79" t="s">
        <v>151</v>
      </c>
      <c r="I185" s="79" t="s">
        <v>151</v>
      </c>
    </row>
    <row r="186" spans="1:9" x14ac:dyDescent="0.25">
      <c r="A186" s="15"/>
    </row>
    <row r="187" spans="1:9" x14ac:dyDescent="0.25">
      <c r="A187" s="15"/>
      <c r="H187" s="79" t="s">
        <v>151</v>
      </c>
      <c r="I187" s="79" t="s">
        <v>151</v>
      </c>
    </row>
    <row r="188" spans="1:9" x14ac:dyDescent="0.25">
      <c r="A188" s="15"/>
      <c r="H188" s="79" t="s">
        <v>151</v>
      </c>
      <c r="I188" s="79" t="s">
        <v>151</v>
      </c>
    </row>
    <row r="189" spans="1:9" x14ac:dyDescent="0.25">
      <c r="A189" s="15"/>
      <c r="H189" s="79" t="s">
        <v>151</v>
      </c>
      <c r="I189" s="79" t="s">
        <v>151</v>
      </c>
    </row>
    <row r="190" spans="1:9" x14ac:dyDescent="0.25">
      <c r="A190" s="15"/>
      <c r="H190" s="79" t="s">
        <v>151</v>
      </c>
      <c r="I190" s="79" t="s">
        <v>151</v>
      </c>
    </row>
    <row r="191" spans="1:9" x14ac:dyDescent="0.25">
      <c r="A191" s="15"/>
      <c r="H191" s="79" t="s">
        <v>151</v>
      </c>
      <c r="I191" s="79" t="s">
        <v>151</v>
      </c>
    </row>
    <row r="192" spans="1:9" x14ac:dyDescent="0.25">
      <c r="A192" s="15"/>
    </row>
    <row r="193" spans="1:9" x14ac:dyDescent="0.25">
      <c r="A193" s="15"/>
      <c r="H193" s="79" t="s">
        <v>151</v>
      </c>
      <c r="I193" s="79" t="s">
        <v>151</v>
      </c>
    </row>
    <row r="194" spans="1:9" x14ac:dyDescent="0.25">
      <c r="A194" s="15"/>
      <c r="H194" s="79" t="s">
        <v>151</v>
      </c>
      <c r="I194" s="79" t="s">
        <v>151</v>
      </c>
    </row>
    <row r="195" spans="1:9" x14ac:dyDescent="0.25">
      <c r="A195" s="15"/>
      <c r="H195" s="79" t="s">
        <v>151</v>
      </c>
      <c r="I195" s="79" t="s">
        <v>151</v>
      </c>
    </row>
    <row r="196" spans="1:9" x14ac:dyDescent="0.25">
      <c r="A196" s="15"/>
      <c r="H196" s="79" t="s">
        <v>151</v>
      </c>
      <c r="I196" s="79" t="s">
        <v>151</v>
      </c>
    </row>
    <row r="197" spans="1:9" x14ac:dyDescent="0.25">
      <c r="A197" s="15"/>
      <c r="H197" s="79" t="s">
        <v>151</v>
      </c>
      <c r="I197" s="79" t="s">
        <v>151</v>
      </c>
    </row>
    <row r="198" spans="1:9" x14ac:dyDescent="0.25">
      <c r="A198" s="15"/>
    </row>
    <row r="199" spans="1:9" x14ac:dyDescent="0.25">
      <c r="A199" s="15"/>
      <c r="H199" s="79" t="s">
        <v>151</v>
      </c>
      <c r="I199" s="79" t="s">
        <v>151</v>
      </c>
    </row>
    <row r="200" spans="1:9" x14ac:dyDescent="0.25">
      <c r="A200" s="15"/>
      <c r="H200" s="79" t="s">
        <v>151</v>
      </c>
      <c r="I200" s="79" t="s">
        <v>151</v>
      </c>
    </row>
    <row r="201" spans="1:9" x14ac:dyDescent="0.25">
      <c r="A201" s="15"/>
      <c r="H201" s="79" t="s">
        <v>151</v>
      </c>
      <c r="I201" s="79" t="s">
        <v>151</v>
      </c>
    </row>
    <row r="202" spans="1:9" x14ac:dyDescent="0.25">
      <c r="A202" s="15"/>
      <c r="H202" s="79" t="s">
        <v>151</v>
      </c>
      <c r="I202" s="79" t="s">
        <v>151</v>
      </c>
    </row>
    <row r="203" spans="1:9" x14ac:dyDescent="0.25">
      <c r="A203" s="15"/>
      <c r="H203" s="79" t="s">
        <v>151</v>
      </c>
      <c r="I203" s="79" t="s">
        <v>151</v>
      </c>
    </row>
    <row r="204" spans="1:9" x14ac:dyDescent="0.25">
      <c r="A204" s="15"/>
    </row>
    <row r="205" spans="1:9" x14ac:dyDescent="0.25">
      <c r="A205" s="15"/>
      <c r="H205" s="79" t="s">
        <v>151</v>
      </c>
      <c r="I205" s="79" t="s">
        <v>151</v>
      </c>
    </row>
    <row r="206" spans="1:9" x14ac:dyDescent="0.25">
      <c r="A206" s="15"/>
      <c r="H206" s="79" t="s">
        <v>151</v>
      </c>
      <c r="I206" s="79" t="s">
        <v>151</v>
      </c>
    </row>
    <row r="207" spans="1:9" x14ac:dyDescent="0.25">
      <c r="A207" s="15"/>
      <c r="H207" s="79" t="s">
        <v>151</v>
      </c>
      <c r="I207" s="79" t="s">
        <v>151</v>
      </c>
    </row>
    <row r="208" spans="1:9" x14ac:dyDescent="0.25">
      <c r="A208" s="15"/>
      <c r="H208" s="79" t="s">
        <v>151</v>
      </c>
      <c r="I208" s="79" t="s">
        <v>151</v>
      </c>
    </row>
    <row r="209" spans="1:9" x14ac:dyDescent="0.25">
      <c r="A209" s="15"/>
      <c r="H209" s="79" t="s">
        <v>151</v>
      </c>
      <c r="I209" s="79" t="s">
        <v>151</v>
      </c>
    </row>
    <row r="210" spans="1:9" x14ac:dyDescent="0.25">
      <c r="A210" s="15"/>
    </row>
    <row r="211" spans="1:9" x14ac:dyDescent="0.25">
      <c r="A211" s="15"/>
      <c r="H211" s="79" t="s">
        <v>151</v>
      </c>
      <c r="I211" s="79" t="s">
        <v>151</v>
      </c>
    </row>
    <row r="212" spans="1:9" x14ac:dyDescent="0.25">
      <c r="A212" s="15"/>
      <c r="H212" s="79" t="s">
        <v>151</v>
      </c>
      <c r="I212" s="79" t="s">
        <v>151</v>
      </c>
    </row>
    <row r="213" spans="1:9" x14ac:dyDescent="0.25">
      <c r="A213" s="15"/>
      <c r="H213" s="79" t="s">
        <v>151</v>
      </c>
      <c r="I213" s="79" t="s">
        <v>151</v>
      </c>
    </row>
    <row r="214" spans="1:9" x14ac:dyDescent="0.25">
      <c r="A214" s="15"/>
      <c r="H214" s="79" t="s">
        <v>151</v>
      </c>
      <c r="I214" s="79" t="s">
        <v>151</v>
      </c>
    </row>
    <row r="215" spans="1:9" x14ac:dyDescent="0.25">
      <c r="A215" s="15"/>
      <c r="H215" s="79" t="s">
        <v>151</v>
      </c>
      <c r="I215" s="79" t="s">
        <v>151</v>
      </c>
    </row>
    <row r="216" spans="1:9" x14ac:dyDescent="0.25">
      <c r="A216" s="15"/>
    </row>
    <row r="217" spans="1:9" x14ac:dyDescent="0.25">
      <c r="A217" s="15"/>
      <c r="H217" s="79" t="s">
        <v>151</v>
      </c>
      <c r="I217" s="79" t="s">
        <v>151</v>
      </c>
    </row>
    <row r="218" spans="1:9" x14ac:dyDescent="0.25">
      <c r="A218" s="15"/>
      <c r="H218" s="79" t="s">
        <v>151</v>
      </c>
      <c r="I218" s="79" t="s">
        <v>151</v>
      </c>
    </row>
    <row r="219" spans="1:9" x14ac:dyDescent="0.25">
      <c r="A219" s="15"/>
      <c r="H219" s="79" t="s">
        <v>151</v>
      </c>
      <c r="I219" s="79" t="s">
        <v>151</v>
      </c>
    </row>
    <row r="220" spans="1:9" x14ac:dyDescent="0.25">
      <c r="A220" s="15"/>
      <c r="H220" s="79" t="s">
        <v>151</v>
      </c>
      <c r="I220" s="79" t="s">
        <v>151</v>
      </c>
    </row>
    <row r="221" spans="1:9" x14ac:dyDescent="0.25">
      <c r="A221" s="15"/>
      <c r="H221" s="79" t="s">
        <v>151</v>
      </c>
      <c r="I221" s="79" t="s">
        <v>151</v>
      </c>
    </row>
    <row r="222" spans="1:9" x14ac:dyDescent="0.25">
      <c r="A222" s="15"/>
    </row>
    <row r="223" spans="1:9" x14ac:dyDescent="0.25">
      <c r="A223" s="15"/>
      <c r="H223" s="79" t="s">
        <v>151</v>
      </c>
      <c r="I223" s="79" t="s">
        <v>151</v>
      </c>
    </row>
    <row r="224" spans="1:9" x14ac:dyDescent="0.25">
      <c r="A224" s="15"/>
      <c r="H224" s="79" t="s">
        <v>151</v>
      </c>
      <c r="I224" s="79" t="s">
        <v>151</v>
      </c>
    </row>
    <row r="225" spans="1:9" x14ac:dyDescent="0.25">
      <c r="A225" s="15"/>
      <c r="H225" s="79" t="s">
        <v>151</v>
      </c>
      <c r="I225" s="79" t="s">
        <v>151</v>
      </c>
    </row>
    <row r="226" spans="1:9" x14ac:dyDescent="0.25">
      <c r="A226" s="15"/>
      <c r="H226" s="79" t="s">
        <v>151</v>
      </c>
      <c r="I226" s="79" t="s">
        <v>151</v>
      </c>
    </row>
    <row r="227" spans="1:9" x14ac:dyDescent="0.25">
      <c r="H227" s="79" t="s">
        <v>151</v>
      </c>
      <c r="I227" s="79" t="s">
        <v>151</v>
      </c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3" t="s">
        <v>60</v>
      </c>
      <c r="C2" s="114"/>
      <c r="D2" s="114"/>
      <c r="E2" s="114"/>
      <c r="F2" s="114"/>
      <c r="G2" s="114"/>
      <c r="H2" s="114"/>
      <c r="I2" s="115"/>
    </row>
    <row r="4" spans="1:15" x14ac:dyDescent="0.25">
      <c r="B4" s="47" t="s">
        <v>61</v>
      </c>
      <c r="C4" s="47">
        <v>1</v>
      </c>
      <c r="E4" s="50" t="s">
        <v>61</v>
      </c>
      <c r="F4" s="51">
        <v>1</v>
      </c>
      <c r="H4" s="50" t="s">
        <v>61</v>
      </c>
      <c r="I4" s="51">
        <v>4</v>
      </c>
    </row>
    <row r="5" spans="1:15" x14ac:dyDescent="0.25">
      <c r="B5" s="47" t="s">
        <v>62</v>
      </c>
      <c r="C5" s="47">
        <v>3</v>
      </c>
      <c r="E5" s="52" t="s">
        <v>63</v>
      </c>
      <c r="F5" s="51">
        <v>3</v>
      </c>
      <c r="H5" s="52" t="s">
        <v>63</v>
      </c>
      <c r="I5" s="51">
        <v>2</v>
      </c>
    </row>
    <row r="6" spans="1:15" x14ac:dyDescent="0.25">
      <c r="B6" s="47" t="s">
        <v>64</v>
      </c>
      <c r="C6" s="47">
        <v>2</v>
      </c>
      <c r="E6" s="52" t="s">
        <v>65</v>
      </c>
      <c r="F6" s="51">
        <v>2</v>
      </c>
      <c r="H6" s="52" t="s">
        <v>65</v>
      </c>
      <c r="I6" s="51">
        <v>3</v>
      </c>
    </row>
    <row r="7" spans="1:15" x14ac:dyDescent="0.25">
      <c r="B7" s="47" t="s">
        <v>66</v>
      </c>
      <c r="C7" s="47">
        <v>4</v>
      </c>
      <c r="E7" s="52" t="s">
        <v>67</v>
      </c>
      <c r="F7" s="51">
        <v>4</v>
      </c>
      <c r="H7" s="52" t="s">
        <v>67</v>
      </c>
      <c r="I7" s="51">
        <v>1</v>
      </c>
    </row>
    <row r="8" spans="1:15" x14ac:dyDescent="0.25">
      <c r="B8" s="47" t="s">
        <v>68</v>
      </c>
      <c r="C8" s="47">
        <v>4</v>
      </c>
    </row>
    <row r="9" spans="1:15" x14ac:dyDescent="0.25">
      <c r="B9" s="47" t="s">
        <v>69</v>
      </c>
      <c r="C9" s="47">
        <v>2</v>
      </c>
    </row>
    <row r="10" spans="1:15" x14ac:dyDescent="0.25">
      <c r="B10" s="47" t="s">
        <v>70</v>
      </c>
      <c r="C10" s="47">
        <v>3</v>
      </c>
    </row>
    <row r="11" spans="1:15" x14ac:dyDescent="0.25">
      <c r="B11" s="47" t="s">
        <v>71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2" t="s">
        <v>72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61</v>
      </c>
      <c r="C15" s="47">
        <v>1</v>
      </c>
      <c r="D15" s="2"/>
      <c r="E15" s="50" t="s">
        <v>61</v>
      </c>
      <c r="F15" s="51">
        <v>1</v>
      </c>
      <c r="G15" s="2"/>
      <c r="H15" s="50" t="s">
        <v>61</v>
      </c>
      <c r="I15" s="51">
        <v>4</v>
      </c>
      <c r="J15" s="2"/>
      <c r="K15" s="48" t="s">
        <v>61</v>
      </c>
      <c r="L15" s="45">
        <v>1</v>
      </c>
      <c r="M15" s="2"/>
      <c r="N15" s="48" t="s">
        <v>61</v>
      </c>
      <c r="O15" s="45">
        <v>2</v>
      </c>
    </row>
    <row r="16" spans="1:15" x14ac:dyDescent="0.25">
      <c r="A16" s="2"/>
      <c r="B16" s="54" t="s">
        <v>63</v>
      </c>
      <c r="C16" s="47">
        <v>3</v>
      </c>
      <c r="D16" s="2"/>
      <c r="E16" s="52" t="s">
        <v>63</v>
      </c>
      <c r="F16" s="51">
        <v>3</v>
      </c>
      <c r="G16" s="2"/>
      <c r="H16" s="52" t="s">
        <v>63</v>
      </c>
      <c r="I16" s="51">
        <v>2</v>
      </c>
      <c r="J16" s="2"/>
      <c r="K16" s="48" t="s">
        <v>63</v>
      </c>
      <c r="L16" s="45">
        <v>3</v>
      </c>
      <c r="M16" s="2"/>
      <c r="N16" s="49" t="s">
        <v>63</v>
      </c>
      <c r="O16" s="45">
        <v>3</v>
      </c>
    </row>
    <row r="17" spans="1:15" x14ac:dyDescent="0.25">
      <c r="A17" s="2"/>
      <c r="B17" s="54" t="s">
        <v>65</v>
      </c>
      <c r="C17" s="47">
        <v>2</v>
      </c>
      <c r="D17" s="2"/>
      <c r="E17" s="52" t="s">
        <v>65</v>
      </c>
      <c r="F17" s="51">
        <v>2</v>
      </c>
      <c r="G17" s="2"/>
      <c r="H17" s="52" t="s">
        <v>65</v>
      </c>
      <c r="I17" s="51">
        <v>3</v>
      </c>
      <c r="J17" s="2"/>
      <c r="K17" s="48" t="s">
        <v>73</v>
      </c>
      <c r="L17" s="45">
        <v>5</v>
      </c>
      <c r="M17" s="2"/>
      <c r="N17" s="48" t="s">
        <v>74</v>
      </c>
      <c r="O17" s="45">
        <v>4</v>
      </c>
    </row>
    <row r="18" spans="1:15" x14ac:dyDescent="0.25">
      <c r="A18" s="2"/>
      <c r="B18" s="54" t="s">
        <v>67</v>
      </c>
      <c r="C18" s="47">
        <v>4</v>
      </c>
      <c r="D18" s="2"/>
      <c r="E18" s="52" t="s">
        <v>67</v>
      </c>
      <c r="F18" s="51">
        <v>4</v>
      </c>
      <c r="G18" s="2"/>
      <c r="H18" s="52" t="s">
        <v>73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75</v>
      </c>
      <c r="C19" s="47">
        <v>4</v>
      </c>
      <c r="D19" s="2"/>
      <c r="E19" s="50" t="s">
        <v>75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76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61</v>
      </c>
      <c r="L20" s="45">
        <v>4</v>
      </c>
      <c r="M20" s="2"/>
      <c r="N20" s="2"/>
      <c r="O20" s="2"/>
    </row>
    <row r="21" spans="1:15" x14ac:dyDescent="0.25">
      <c r="A21" s="2"/>
      <c r="B21" s="54" t="s">
        <v>77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63</v>
      </c>
      <c r="L21" s="45">
        <v>2</v>
      </c>
      <c r="M21" s="2"/>
      <c r="N21" s="2"/>
      <c r="O21" s="2"/>
    </row>
    <row r="22" spans="1:15" x14ac:dyDescent="0.25">
      <c r="A22" s="2"/>
      <c r="B22" s="54" t="s">
        <v>78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74</v>
      </c>
      <c r="L22" s="45">
        <v>1</v>
      </c>
      <c r="M22" s="2"/>
      <c r="N22" s="2"/>
      <c r="O22" s="2"/>
    </row>
    <row r="23" spans="1:15" x14ac:dyDescent="0.25">
      <c r="A23" s="2"/>
      <c r="B23" s="53" t="s">
        <v>79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2" t="s">
        <v>80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61</v>
      </c>
      <c r="C28" s="47">
        <v>1</v>
      </c>
      <c r="D28" s="2"/>
      <c r="E28" s="51" t="s">
        <v>61</v>
      </c>
      <c r="F28" s="51">
        <v>1</v>
      </c>
      <c r="G28" s="2"/>
      <c r="H28" s="51" t="s">
        <v>61</v>
      </c>
      <c r="I28" s="51">
        <v>4</v>
      </c>
      <c r="J28" s="2"/>
      <c r="K28" s="45" t="s">
        <v>61</v>
      </c>
      <c r="L28" s="45">
        <v>2</v>
      </c>
      <c r="M28" s="2"/>
      <c r="N28" s="45" t="s">
        <v>61</v>
      </c>
      <c r="O28" s="45">
        <v>1</v>
      </c>
    </row>
    <row r="29" spans="1:15" x14ac:dyDescent="0.25">
      <c r="A29" s="2"/>
      <c r="B29" s="47" t="s">
        <v>62</v>
      </c>
      <c r="C29" s="47">
        <v>3</v>
      </c>
      <c r="D29" s="2"/>
      <c r="E29" s="51" t="s">
        <v>63</v>
      </c>
      <c r="F29" s="51">
        <v>3</v>
      </c>
      <c r="G29" s="2"/>
      <c r="H29" s="51" t="s">
        <v>63</v>
      </c>
      <c r="I29" s="51">
        <v>2</v>
      </c>
      <c r="J29" s="2"/>
      <c r="K29" s="45" t="s">
        <v>63</v>
      </c>
      <c r="L29" s="45">
        <v>3</v>
      </c>
      <c r="M29" s="2"/>
      <c r="N29" s="45" t="s">
        <v>63</v>
      </c>
      <c r="O29" s="45">
        <v>4</v>
      </c>
    </row>
    <row r="30" spans="1:15" x14ac:dyDescent="0.25">
      <c r="A30" s="2"/>
      <c r="B30" s="47" t="s">
        <v>64</v>
      </c>
      <c r="C30" s="47">
        <v>2</v>
      </c>
      <c r="D30" s="2"/>
      <c r="E30" s="51" t="s">
        <v>65</v>
      </c>
      <c r="F30" s="51">
        <v>2</v>
      </c>
      <c r="G30" s="2"/>
      <c r="H30" s="51" t="s">
        <v>65</v>
      </c>
      <c r="I30" s="51">
        <v>3</v>
      </c>
      <c r="J30" s="2"/>
      <c r="K30" s="45" t="s">
        <v>74</v>
      </c>
      <c r="L30" s="45">
        <v>1</v>
      </c>
      <c r="M30" s="2"/>
      <c r="N30" s="45" t="s">
        <v>74</v>
      </c>
      <c r="O30" s="45">
        <v>2</v>
      </c>
    </row>
    <row r="31" spans="1:15" x14ac:dyDescent="0.25">
      <c r="A31" s="2"/>
      <c r="B31" s="47" t="s">
        <v>66</v>
      </c>
      <c r="C31" s="47">
        <v>4</v>
      </c>
      <c r="D31" s="2"/>
      <c r="E31" s="51" t="s">
        <v>67</v>
      </c>
      <c r="F31" s="51">
        <v>4</v>
      </c>
      <c r="G31" s="2"/>
      <c r="H31" s="51" t="s">
        <v>67</v>
      </c>
      <c r="I31" s="51">
        <v>1</v>
      </c>
      <c r="J31" s="2"/>
      <c r="K31" s="45" t="s">
        <v>67</v>
      </c>
      <c r="L31" s="45">
        <v>5</v>
      </c>
      <c r="M31" s="2"/>
      <c r="N31" s="2"/>
      <c r="O31" s="2"/>
    </row>
    <row r="32" spans="1:15" x14ac:dyDescent="0.25">
      <c r="A32" s="2"/>
      <c r="B32" s="47" t="s">
        <v>68</v>
      </c>
      <c r="C32" s="47">
        <v>4</v>
      </c>
      <c r="D32" s="2"/>
      <c r="E32" s="51" t="s">
        <v>75</v>
      </c>
      <c r="F32" s="51">
        <v>5</v>
      </c>
      <c r="G32" s="2"/>
      <c r="H32" s="51" t="s">
        <v>75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69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61</v>
      </c>
      <c r="L33" s="45">
        <v>3</v>
      </c>
      <c r="M33" s="2"/>
      <c r="N33" s="2"/>
      <c r="O33" s="2"/>
    </row>
    <row r="34" spans="1:18" x14ac:dyDescent="0.25">
      <c r="A34" s="2"/>
      <c r="B34" s="47" t="s">
        <v>70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63</v>
      </c>
      <c r="L34" s="45">
        <v>4</v>
      </c>
      <c r="M34" s="2"/>
      <c r="N34" s="2"/>
      <c r="O34" s="2"/>
    </row>
    <row r="35" spans="1:18" x14ac:dyDescent="0.25">
      <c r="A35" s="2"/>
      <c r="B35" s="47" t="s">
        <v>71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74</v>
      </c>
      <c r="L35" s="45">
        <v>5</v>
      </c>
      <c r="M35" s="2"/>
      <c r="N35" s="2"/>
      <c r="O35" s="2"/>
    </row>
    <row r="36" spans="1:18" x14ac:dyDescent="0.25">
      <c r="A36" s="2"/>
      <c r="B36" s="47" t="s">
        <v>81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82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2" t="s">
        <v>83</v>
      </c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61</v>
      </c>
      <c r="C41" s="51">
        <f>C53</f>
        <v>1</v>
      </c>
      <c r="D41" s="2"/>
      <c r="E41" s="51" t="s">
        <v>61</v>
      </c>
      <c r="F41" s="51">
        <f>F53</f>
        <v>4</v>
      </c>
      <c r="G41" s="2"/>
      <c r="H41" s="48" t="s">
        <v>61</v>
      </c>
      <c r="I41" s="45">
        <f>I53</f>
        <v>1</v>
      </c>
      <c r="J41" s="2"/>
      <c r="K41" s="48" t="s">
        <v>61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63</v>
      </c>
      <c r="C42" s="51">
        <f t="shared" ref="C42:C46" si="0">C54</f>
        <v>3</v>
      </c>
      <c r="D42" s="2"/>
      <c r="E42" s="51" t="s">
        <v>63</v>
      </c>
      <c r="F42" s="51">
        <f t="shared" ref="F42:F44" si="1">F54</f>
        <v>2</v>
      </c>
      <c r="G42" s="2"/>
      <c r="H42" s="49" t="s">
        <v>63</v>
      </c>
      <c r="I42" s="45">
        <f t="shared" ref="I42:I44" si="2">I54</f>
        <v>3</v>
      </c>
      <c r="J42" s="2"/>
      <c r="K42" s="49" t="s">
        <v>63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65</v>
      </c>
      <c r="C43" s="51">
        <f t="shared" si="0"/>
        <v>2</v>
      </c>
      <c r="D43" s="2"/>
      <c r="E43" s="51" t="s">
        <v>65</v>
      </c>
      <c r="F43" s="51">
        <f t="shared" si="1"/>
        <v>3</v>
      </c>
      <c r="G43" s="2"/>
      <c r="H43" s="49" t="s">
        <v>74</v>
      </c>
      <c r="I43" s="45">
        <f t="shared" si="2"/>
        <v>2</v>
      </c>
      <c r="J43" s="2"/>
      <c r="K43" s="49" t="s">
        <v>74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67</v>
      </c>
      <c r="C44" s="51">
        <f t="shared" si="0"/>
        <v>4</v>
      </c>
      <c r="D44" s="2"/>
      <c r="E44" s="51" t="s">
        <v>67</v>
      </c>
      <c r="F44" s="51">
        <f t="shared" si="1"/>
        <v>1</v>
      </c>
      <c r="G44" s="2"/>
      <c r="H44" s="49" t="s">
        <v>67</v>
      </c>
      <c r="I44" s="45">
        <f t="shared" si="2"/>
        <v>5</v>
      </c>
      <c r="J44" s="2"/>
      <c r="K44" s="49" t="s">
        <v>67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75</v>
      </c>
      <c r="C45" s="51">
        <f t="shared" si="0"/>
        <v>5</v>
      </c>
      <c r="D45" s="2"/>
      <c r="E45" s="51" t="s">
        <v>75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73</v>
      </c>
      <c r="C46" s="51">
        <f t="shared" si="0"/>
        <v>6</v>
      </c>
      <c r="D46" s="2"/>
      <c r="E46" s="2"/>
      <c r="F46" s="2"/>
      <c r="G46" s="2"/>
      <c r="H46" s="48" t="s">
        <v>61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63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65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2" t="s">
        <v>84</v>
      </c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61</v>
      </c>
      <c r="C53" s="51">
        <v>1</v>
      </c>
      <c r="D53" s="2"/>
      <c r="E53" s="51" t="s">
        <v>61</v>
      </c>
      <c r="F53" s="51">
        <v>4</v>
      </c>
      <c r="G53" s="2"/>
      <c r="H53" s="48" t="s">
        <v>61</v>
      </c>
      <c r="I53" s="45">
        <v>1</v>
      </c>
      <c r="J53" s="2"/>
      <c r="K53" s="48" t="s">
        <v>61</v>
      </c>
      <c r="L53" s="45">
        <v>2</v>
      </c>
      <c r="M53" s="2"/>
      <c r="N53" s="56" t="s">
        <v>61</v>
      </c>
      <c r="O53" s="46">
        <v>1</v>
      </c>
      <c r="P53" s="2"/>
      <c r="Q53" s="56" t="s">
        <v>61</v>
      </c>
      <c r="R53" s="46">
        <v>2</v>
      </c>
    </row>
    <row r="54" spans="1:21" x14ac:dyDescent="0.25">
      <c r="A54" s="2"/>
      <c r="B54" s="51" t="s">
        <v>62</v>
      </c>
      <c r="C54" s="51">
        <v>3</v>
      </c>
      <c r="D54" s="2"/>
      <c r="E54" s="51" t="s">
        <v>62</v>
      </c>
      <c r="F54" s="51">
        <v>2</v>
      </c>
      <c r="G54" s="2"/>
      <c r="H54" s="49" t="s">
        <v>63</v>
      </c>
      <c r="I54" s="45">
        <v>3</v>
      </c>
      <c r="J54" s="2"/>
      <c r="K54" s="49" t="s">
        <v>63</v>
      </c>
      <c r="L54" s="45">
        <v>4</v>
      </c>
      <c r="M54" s="2"/>
      <c r="N54" s="57" t="s">
        <v>63</v>
      </c>
      <c r="O54" s="46">
        <v>3</v>
      </c>
      <c r="P54" s="2"/>
      <c r="Q54" s="57" t="s">
        <v>63</v>
      </c>
      <c r="R54" s="46">
        <v>4</v>
      </c>
    </row>
    <row r="55" spans="1:21" x14ac:dyDescent="0.25">
      <c r="A55" s="2"/>
      <c r="B55" s="51" t="s">
        <v>64</v>
      </c>
      <c r="C55" s="51">
        <v>2</v>
      </c>
      <c r="D55" s="2"/>
      <c r="E55" s="51" t="s">
        <v>64</v>
      </c>
      <c r="F55" s="51">
        <v>3</v>
      </c>
      <c r="G55" s="2"/>
      <c r="H55" s="49" t="s">
        <v>74</v>
      </c>
      <c r="I55" s="45">
        <v>2</v>
      </c>
      <c r="J55" s="2"/>
      <c r="K55" s="49" t="s">
        <v>74</v>
      </c>
      <c r="L55" s="45">
        <v>5</v>
      </c>
      <c r="M55" s="2"/>
      <c r="N55" s="57" t="s">
        <v>65</v>
      </c>
      <c r="O55" s="46">
        <v>5</v>
      </c>
      <c r="P55" s="2"/>
      <c r="Q55" s="57" t="s">
        <v>65</v>
      </c>
      <c r="R55" s="46">
        <v>6</v>
      </c>
    </row>
    <row r="56" spans="1:21" x14ac:dyDescent="0.25">
      <c r="A56" s="2"/>
      <c r="B56" s="51" t="s">
        <v>66</v>
      </c>
      <c r="C56" s="51">
        <v>4</v>
      </c>
      <c r="D56" s="2"/>
      <c r="E56" s="51" t="s">
        <v>66</v>
      </c>
      <c r="F56" s="51">
        <v>1</v>
      </c>
      <c r="G56" s="2"/>
      <c r="H56" s="49" t="s">
        <v>67</v>
      </c>
      <c r="I56" s="45">
        <v>5</v>
      </c>
      <c r="J56" s="2"/>
      <c r="K56" s="49" t="s">
        <v>67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68</v>
      </c>
      <c r="C57" s="51">
        <v>5</v>
      </c>
      <c r="D57" s="2"/>
      <c r="E57" s="51" t="s">
        <v>68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61</v>
      </c>
      <c r="O57" s="46">
        <v>4</v>
      </c>
      <c r="P57" s="2"/>
      <c r="Q57" s="56" t="s">
        <v>61</v>
      </c>
      <c r="R57" s="46">
        <v>3</v>
      </c>
    </row>
    <row r="58" spans="1:21" x14ac:dyDescent="0.25">
      <c r="A58" s="2"/>
      <c r="B58" s="51" t="s">
        <v>69</v>
      </c>
      <c r="C58" s="51">
        <v>6</v>
      </c>
      <c r="D58" s="2"/>
      <c r="E58" s="51" t="s">
        <v>69</v>
      </c>
      <c r="F58" s="51">
        <v>5</v>
      </c>
      <c r="G58" s="2"/>
      <c r="H58" s="48" t="s">
        <v>61</v>
      </c>
      <c r="I58" s="45">
        <v>3</v>
      </c>
      <c r="J58" s="2"/>
      <c r="K58" s="2"/>
      <c r="L58" s="2"/>
      <c r="M58" s="2"/>
      <c r="N58" s="57" t="s">
        <v>63</v>
      </c>
      <c r="O58" s="46">
        <v>2</v>
      </c>
      <c r="P58" s="2"/>
      <c r="Q58" s="57" t="s">
        <v>63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63</v>
      </c>
      <c r="I59" s="45">
        <v>4</v>
      </c>
      <c r="J59" s="2"/>
      <c r="K59" s="2"/>
      <c r="L59" s="2"/>
      <c r="M59" s="2"/>
      <c r="N59" s="57" t="s">
        <v>65</v>
      </c>
      <c r="O59" s="46">
        <v>6</v>
      </c>
      <c r="P59" s="2"/>
      <c r="Q59" s="57" t="s">
        <v>65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74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67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2" t="s">
        <v>85</v>
      </c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61</v>
      </c>
      <c r="C65" s="51">
        <v>1</v>
      </c>
      <c r="D65" s="2"/>
      <c r="E65" s="51" t="s">
        <v>61</v>
      </c>
      <c r="F65" s="51">
        <v>4</v>
      </c>
      <c r="G65" s="2"/>
      <c r="H65" s="45" t="s">
        <v>61</v>
      </c>
      <c r="I65" s="45">
        <v>1</v>
      </c>
      <c r="J65" s="2"/>
      <c r="K65" s="45" t="s">
        <v>61</v>
      </c>
      <c r="L65" s="45">
        <v>2</v>
      </c>
      <c r="M65" s="2"/>
      <c r="N65" s="45" t="s">
        <v>61</v>
      </c>
      <c r="O65" s="45">
        <v>3</v>
      </c>
      <c r="P65" s="2"/>
      <c r="Q65" s="56" t="s">
        <v>61</v>
      </c>
      <c r="R65" s="46">
        <v>1</v>
      </c>
      <c r="S65" s="2"/>
      <c r="T65" s="56" t="s">
        <v>61</v>
      </c>
      <c r="U65" s="46">
        <v>2</v>
      </c>
    </row>
    <row r="66" spans="1:21" x14ac:dyDescent="0.25">
      <c r="A66" s="2"/>
      <c r="B66" s="51" t="s">
        <v>62</v>
      </c>
      <c r="C66" s="51">
        <v>3</v>
      </c>
      <c r="D66" s="2"/>
      <c r="E66" s="51" t="s">
        <v>62</v>
      </c>
      <c r="F66" s="51">
        <v>2</v>
      </c>
      <c r="G66" s="2"/>
      <c r="H66" s="45" t="s">
        <v>62</v>
      </c>
      <c r="I66" s="45">
        <v>3</v>
      </c>
      <c r="J66" s="2"/>
      <c r="K66" s="45" t="s">
        <v>62</v>
      </c>
      <c r="L66" s="45">
        <v>4</v>
      </c>
      <c r="M66" s="2"/>
      <c r="N66" s="45" t="s">
        <v>62</v>
      </c>
      <c r="O66" s="45">
        <v>4</v>
      </c>
      <c r="P66" s="2"/>
      <c r="Q66" s="57" t="s">
        <v>63</v>
      </c>
      <c r="R66" s="46">
        <v>4</v>
      </c>
      <c r="S66" s="2"/>
      <c r="T66" s="57" t="s">
        <v>63</v>
      </c>
      <c r="U66" s="46">
        <v>1</v>
      </c>
    </row>
    <row r="67" spans="1:21" x14ac:dyDescent="0.25">
      <c r="A67" s="2"/>
      <c r="B67" s="51" t="s">
        <v>64</v>
      </c>
      <c r="C67" s="51">
        <v>2</v>
      </c>
      <c r="D67" s="2"/>
      <c r="E67" s="51" t="s">
        <v>64</v>
      </c>
      <c r="F67" s="51">
        <v>3</v>
      </c>
      <c r="G67" s="2"/>
      <c r="H67" s="45" t="s">
        <v>86</v>
      </c>
      <c r="I67" s="45">
        <v>2</v>
      </c>
      <c r="J67" s="2"/>
      <c r="K67" s="45" t="s">
        <v>87</v>
      </c>
      <c r="L67" s="45">
        <v>1</v>
      </c>
      <c r="M67" s="2"/>
      <c r="N67" s="45" t="s">
        <v>64</v>
      </c>
      <c r="O67" s="45">
        <v>5</v>
      </c>
      <c r="P67" s="2"/>
      <c r="Q67" s="57" t="s">
        <v>65</v>
      </c>
      <c r="R67" s="46">
        <v>5</v>
      </c>
      <c r="S67" s="2"/>
      <c r="T67" s="57" t="s">
        <v>65</v>
      </c>
      <c r="U67" s="46">
        <v>6</v>
      </c>
    </row>
    <row r="68" spans="1:21" x14ac:dyDescent="0.25">
      <c r="A68" s="2"/>
      <c r="B68" s="51" t="s">
        <v>66</v>
      </c>
      <c r="C68" s="51">
        <v>4</v>
      </c>
      <c r="D68" s="2"/>
      <c r="E68" s="51" t="s">
        <v>66</v>
      </c>
      <c r="F68" s="51">
        <v>1</v>
      </c>
      <c r="G68" s="2"/>
      <c r="H68" s="45" t="s">
        <v>66</v>
      </c>
      <c r="I68" s="45">
        <v>6</v>
      </c>
      <c r="J68" s="2"/>
      <c r="K68" s="45" t="s">
        <v>66</v>
      </c>
      <c r="L68" s="45">
        <v>7</v>
      </c>
      <c r="M68" s="2"/>
      <c r="N68" s="45" t="s">
        <v>66</v>
      </c>
      <c r="O68" s="45">
        <v>6</v>
      </c>
      <c r="P68" s="2"/>
      <c r="Q68" s="57" t="s">
        <v>67</v>
      </c>
      <c r="R68" s="46">
        <v>7</v>
      </c>
      <c r="S68" s="2"/>
      <c r="T68" s="2"/>
      <c r="U68" s="2"/>
    </row>
    <row r="69" spans="1:21" x14ac:dyDescent="0.25">
      <c r="A69" s="2"/>
      <c r="B69" s="51" t="s">
        <v>68</v>
      </c>
      <c r="C69" s="51">
        <v>6</v>
      </c>
      <c r="D69" s="2"/>
      <c r="E69" s="51" t="s">
        <v>68</v>
      </c>
      <c r="F69" s="51">
        <v>5</v>
      </c>
      <c r="G69" s="2"/>
      <c r="H69" s="45" t="s">
        <v>68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69</v>
      </c>
      <c r="C70" s="51">
        <v>7</v>
      </c>
      <c r="D70" s="2"/>
      <c r="E70" s="51" t="s">
        <v>69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70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61</v>
      </c>
      <c r="R71" s="46">
        <v>3</v>
      </c>
      <c r="S71" s="2"/>
      <c r="T71" s="56" t="s">
        <v>61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63</v>
      </c>
      <c r="R72" s="46">
        <v>2</v>
      </c>
      <c r="S72" s="2"/>
      <c r="T72" s="57" t="s">
        <v>63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65</v>
      </c>
      <c r="R73" s="46">
        <v>6</v>
      </c>
      <c r="S73" s="2"/>
      <c r="T73" s="57" t="s">
        <v>65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2" t="s">
        <v>88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61</v>
      </c>
      <c r="C78" s="51">
        <v>1</v>
      </c>
      <c r="D78" s="2"/>
      <c r="E78" s="51" t="s">
        <v>61</v>
      </c>
      <c r="F78" s="51">
        <v>4</v>
      </c>
      <c r="G78" s="2"/>
      <c r="H78" s="45" t="s">
        <v>61</v>
      </c>
      <c r="I78" s="45">
        <v>1</v>
      </c>
      <c r="J78" s="2"/>
      <c r="K78" s="45" t="s">
        <v>61</v>
      </c>
      <c r="L78" s="45">
        <v>2</v>
      </c>
      <c r="M78" s="2"/>
      <c r="N78" s="45" t="s">
        <v>61</v>
      </c>
      <c r="O78" s="45">
        <v>3</v>
      </c>
      <c r="P78" s="2"/>
      <c r="Q78" s="56" t="s">
        <v>61</v>
      </c>
      <c r="R78" s="46">
        <v>1</v>
      </c>
      <c r="S78" s="2"/>
      <c r="T78" s="56" t="s">
        <v>61</v>
      </c>
      <c r="U78" s="46">
        <v>2</v>
      </c>
    </row>
    <row r="79" spans="1:21" x14ac:dyDescent="0.25">
      <c r="A79" s="2"/>
      <c r="B79" s="51" t="s">
        <v>62</v>
      </c>
      <c r="C79" s="51">
        <v>3</v>
      </c>
      <c r="D79" s="2"/>
      <c r="E79" s="51" t="s">
        <v>62</v>
      </c>
      <c r="F79" s="51">
        <v>2</v>
      </c>
      <c r="G79" s="2"/>
      <c r="H79" s="45" t="s">
        <v>62</v>
      </c>
      <c r="I79" s="45">
        <v>3</v>
      </c>
      <c r="J79" s="2"/>
      <c r="K79" s="45" t="s">
        <v>62</v>
      </c>
      <c r="L79" s="45">
        <v>4</v>
      </c>
      <c r="M79" s="2"/>
      <c r="N79" s="45" t="s">
        <v>62</v>
      </c>
      <c r="O79" s="45">
        <v>4</v>
      </c>
      <c r="P79" s="2"/>
      <c r="Q79" s="57" t="s">
        <v>63</v>
      </c>
      <c r="R79" s="46">
        <v>4</v>
      </c>
      <c r="S79" s="2"/>
      <c r="T79" s="57" t="s">
        <v>63</v>
      </c>
      <c r="U79" s="46">
        <v>1</v>
      </c>
    </row>
    <row r="80" spans="1:21" x14ac:dyDescent="0.25">
      <c r="A80" s="2"/>
      <c r="B80" s="51" t="s">
        <v>64</v>
      </c>
      <c r="C80" s="51">
        <v>2</v>
      </c>
      <c r="D80" s="2"/>
      <c r="E80" s="51" t="s">
        <v>64</v>
      </c>
      <c r="F80" s="51">
        <v>3</v>
      </c>
      <c r="G80" s="2"/>
      <c r="H80" s="45" t="s">
        <v>86</v>
      </c>
      <c r="I80" s="45">
        <v>2</v>
      </c>
      <c r="J80" s="2"/>
      <c r="K80" s="45" t="s">
        <v>87</v>
      </c>
      <c r="L80" s="45">
        <v>1</v>
      </c>
      <c r="M80" s="2"/>
      <c r="N80" s="45" t="s">
        <v>64</v>
      </c>
      <c r="O80" s="45">
        <v>5</v>
      </c>
      <c r="P80" s="2"/>
      <c r="Q80" s="57" t="s">
        <v>65</v>
      </c>
      <c r="R80" s="46">
        <v>5</v>
      </c>
      <c r="S80" s="2"/>
      <c r="T80" s="57" t="s">
        <v>65</v>
      </c>
      <c r="U80" s="46">
        <v>6</v>
      </c>
    </row>
    <row r="81" spans="1:21" x14ac:dyDescent="0.25">
      <c r="A81" s="2"/>
      <c r="B81" s="51" t="s">
        <v>66</v>
      </c>
      <c r="C81" s="51">
        <v>4</v>
      </c>
      <c r="D81" s="2"/>
      <c r="E81" s="51" t="s">
        <v>66</v>
      </c>
      <c r="F81" s="51">
        <v>1</v>
      </c>
      <c r="G81" s="2"/>
      <c r="H81" s="45" t="s">
        <v>66</v>
      </c>
      <c r="I81" s="45">
        <v>6</v>
      </c>
      <c r="J81" s="2"/>
      <c r="K81" s="45" t="s">
        <v>66</v>
      </c>
      <c r="L81" s="45">
        <v>7</v>
      </c>
      <c r="M81" s="2"/>
      <c r="N81" s="45" t="s">
        <v>66</v>
      </c>
      <c r="O81" s="45">
        <v>6</v>
      </c>
      <c r="P81" s="2"/>
      <c r="Q81" s="57" t="s">
        <v>67</v>
      </c>
      <c r="R81" s="46">
        <v>7</v>
      </c>
      <c r="S81" s="2"/>
      <c r="T81" s="57" t="s">
        <v>67</v>
      </c>
      <c r="U81" s="46">
        <v>5</v>
      </c>
    </row>
    <row r="82" spans="1:21" x14ac:dyDescent="0.25">
      <c r="A82" s="2"/>
      <c r="B82" s="51" t="s">
        <v>68</v>
      </c>
      <c r="C82" s="51">
        <v>5</v>
      </c>
      <c r="D82" s="2"/>
      <c r="E82" s="51" t="s">
        <v>68</v>
      </c>
      <c r="F82" s="51">
        <v>6</v>
      </c>
      <c r="G82" s="2"/>
      <c r="H82" s="45" t="s">
        <v>68</v>
      </c>
      <c r="I82" s="45">
        <v>7</v>
      </c>
      <c r="J82" s="2"/>
      <c r="K82" s="45" t="s">
        <v>68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69</v>
      </c>
      <c r="C83" s="51">
        <v>7</v>
      </c>
      <c r="D83" s="2"/>
      <c r="E83" s="51" t="s">
        <v>69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70</v>
      </c>
      <c r="C84" s="51">
        <v>6</v>
      </c>
      <c r="D84" s="2"/>
      <c r="E84" s="51" t="s">
        <v>70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61</v>
      </c>
      <c r="R84" s="46">
        <v>3</v>
      </c>
      <c r="S84" s="2"/>
      <c r="T84" s="56" t="s">
        <v>61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63</v>
      </c>
      <c r="R85" s="46">
        <v>2</v>
      </c>
      <c r="S85" s="2"/>
      <c r="T85" s="57" t="s">
        <v>63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65</v>
      </c>
      <c r="R86" s="46">
        <v>7</v>
      </c>
      <c r="S86" s="2"/>
      <c r="T86" s="57" t="s">
        <v>65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2" t="s">
        <v>89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</row>
    <row r="89" spans="1:21" x14ac:dyDescent="0.25">
      <c r="A89" s="2"/>
      <c r="B89" s="116"/>
      <c r="C89" s="116"/>
      <c r="D89" s="116"/>
      <c r="E89" s="116"/>
      <c r="F89" s="116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61</v>
      </c>
      <c r="C90" s="51">
        <v>1</v>
      </c>
      <c r="D90" s="2"/>
      <c r="E90" s="51" t="s">
        <v>61</v>
      </c>
      <c r="F90" s="51">
        <v>4</v>
      </c>
      <c r="G90" s="2"/>
      <c r="H90" s="45" t="s">
        <v>61</v>
      </c>
      <c r="I90" s="45">
        <v>1</v>
      </c>
      <c r="J90" s="2"/>
      <c r="K90" s="45" t="s">
        <v>61</v>
      </c>
      <c r="L90" s="45">
        <v>2</v>
      </c>
      <c r="M90" s="2"/>
      <c r="N90" s="46" t="s">
        <v>61</v>
      </c>
      <c r="O90" s="46">
        <v>1</v>
      </c>
      <c r="P90" s="2"/>
      <c r="Q90" s="46" t="s">
        <v>61</v>
      </c>
      <c r="R90" s="46">
        <v>2</v>
      </c>
    </row>
    <row r="91" spans="1:21" x14ac:dyDescent="0.25">
      <c r="A91" s="2"/>
      <c r="B91" s="51" t="s">
        <v>62</v>
      </c>
      <c r="C91" s="51">
        <v>3</v>
      </c>
      <c r="D91" s="2"/>
      <c r="E91" s="51" t="s">
        <v>62</v>
      </c>
      <c r="F91" s="51">
        <v>2</v>
      </c>
      <c r="G91" s="2"/>
      <c r="H91" s="45" t="s">
        <v>62</v>
      </c>
      <c r="I91" s="45">
        <v>3</v>
      </c>
      <c r="J91" s="2"/>
      <c r="K91" s="45" t="s">
        <v>62</v>
      </c>
      <c r="L91" s="45">
        <v>4</v>
      </c>
      <c r="M91" s="2"/>
      <c r="N91" s="46" t="s">
        <v>62</v>
      </c>
      <c r="O91" s="46">
        <v>4</v>
      </c>
      <c r="P91" s="2"/>
      <c r="Q91" s="46" t="s">
        <v>62</v>
      </c>
      <c r="R91" s="46">
        <v>1</v>
      </c>
    </row>
    <row r="92" spans="1:21" x14ac:dyDescent="0.25">
      <c r="A92" s="2"/>
      <c r="B92" s="51" t="s">
        <v>64</v>
      </c>
      <c r="C92" s="51">
        <v>2</v>
      </c>
      <c r="D92" s="2"/>
      <c r="E92" s="51" t="s">
        <v>64</v>
      </c>
      <c r="F92" s="51">
        <v>3</v>
      </c>
      <c r="G92" s="2"/>
      <c r="H92" s="45" t="s">
        <v>90</v>
      </c>
      <c r="I92" s="45">
        <v>5</v>
      </c>
      <c r="J92" s="2"/>
      <c r="K92" s="45" t="s">
        <v>90</v>
      </c>
      <c r="L92" s="45">
        <v>1</v>
      </c>
      <c r="M92" s="2"/>
      <c r="N92" s="46" t="s">
        <v>64</v>
      </c>
      <c r="O92" s="46">
        <v>5</v>
      </c>
      <c r="P92" s="2"/>
      <c r="Q92" s="46" t="s">
        <v>64</v>
      </c>
      <c r="R92" s="46">
        <v>6</v>
      </c>
    </row>
    <row r="93" spans="1:21" x14ac:dyDescent="0.25">
      <c r="A93" s="2"/>
      <c r="B93" s="51" t="s">
        <v>66</v>
      </c>
      <c r="C93" s="51">
        <v>4</v>
      </c>
      <c r="D93" s="2"/>
      <c r="E93" s="51" t="s">
        <v>66</v>
      </c>
      <c r="F93" s="51">
        <v>1</v>
      </c>
      <c r="G93" s="2"/>
      <c r="H93" s="45" t="s">
        <v>66</v>
      </c>
      <c r="I93" s="45">
        <v>6</v>
      </c>
      <c r="J93" s="2"/>
      <c r="K93" s="45" t="s">
        <v>66</v>
      </c>
      <c r="L93" s="45">
        <v>7</v>
      </c>
      <c r="M93" s="2"/>
      <c r="N93" s="46" t="s">
        <v>91</v>
      </c>
      <c r="O93" s="46">
        <v>8</v>
      </c>
      <c r="P93" s="2"/>
      <c r="Q93" s="46" t="s">
        <v>66</v>
      </c>
      <c r="R93" s="46">
        <v>5</v>
      </c>
    </row>
    <row r="94" spans="1:21" x14ac:dyDescent="0.25">
      <c r="A94" s="2"/>
      <c r="B94" s="51" t="s">
        <v>68</v>
      </c>
      <c r="C94" s="51">
        <v>5</v>
      </c>
      <c r="D94" s="2"/>
      <c r="E94" s="51" t="s">
        <v>68</v>
      </c>
      <c r="F94" s="51">
        <v>8</v>
      </c>
      <c r="G94" s="2"/>
      <c r="H94" s="45" t="s">
        <v>92</v>
      </c>
      <c r="I94" s="45">
        <v>8</v>
      </c>
      <c r="J94" s="2"/>
      <c r="K94" s="45" t="s">
        <v>93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69</v>
      </c>
      <c r="C95" s="51">
        <v>7</v>
      </c>
      <c r="D95" s="2"/>
      <c r="E95" s="51" t="s">
        <v>69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70</v>
      </c>
      <c r="C96" s="51">
        <v>6</v>
      </c>
      <c r="D96" s="2"/>
      <c r="E96" s="51" t="s">
        <v>70</v>
      </c>
      <c r="F96" s="51">
        <v>7</v>
      </c>
      <c r="G96" s="2"/>
      <c r="H96" s="45" t="s">
        <v>61</v>
      </c>
      <c r="I96" s="45">
        <v>3</v>
      </c>
      <c r="J96" s="2"/>
      <c r="K96" s="2"/>
      <c r="L96" s="2"/>
      <c r="M96" s="2"/>
      <c r="N96" s="46" t="s">
        <v>61</v>
      </c>
      <c r="O96" s="46">
        <v>4</v>
      </c>
      <c r="P96" s="2"/>
      <c r="Q96" s="46" t="s">
        <v>61</v>
      </c>
      <c r="R96" s="46">
        <v>3</v>
      </c>
    </row>
    <row r="97" spans="1:18" x14ac:dyDescent="0.25">
      <c r="A97" s="2"/>
      <c r="B97" s="51" t="s">
        <v>71</v>
      </c>
      <c r="C97" s="51">
        <v>8</v>
      </c>
      <c r="D97" s="2"/>
      <c r="E97" s="2"/>
      <c r="F97" s="2"/>
      <c r="G97" s="2"/>
      <c r="H97" s="45" t="s">
        <v>62</v>
      </c>
      <c r="I97" s="45">
        <v>4</v>
      </c>
      <c r="J97" s="2"/>
      <c r="K97" s="2"/>
      <c r="L97" s="2"/>
      <c r="M97" s="2"/>
      <c r="N97" s="46" t="s">
        <v>62</v>
      </c>
      <c r="O97" s="46">
        <v>3</v>
      </c>
      <c r="P97" s="2"/>
      <c r="Q97" s="46" t="s">
        <v>62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90</v>
      </c>
      <c r="I98" s="45">
        <v>2</v>
      </c>
      <c r="J98" s="2"/>
      <c r="K98" s="2"/>
      <c r="L98" s="2"/>
      <c r="M98" s="2"/>
      <c r="N98" s="46" t="s">
        <v>64</v>
      </c>
      <c r="O98" s="46">
        <v>6</v>
      </c>
      <c r="P98" s="2"/>
      <c r="Q98" s="46" t="s">
        <v>64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66</v>
      </c>
      <c r="I99" s="45">
        <v>7</v>
      </c>
      <c r="J99" s="2"/>
      <c r="K99" s="2"/>
      <c r="L99" s="2"/>
      <c r="M99" s="2"/>
      <c r="N99" s="46" t="s">
        <v>66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93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2" t="s">
        <v>94</v>
      </c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61</v>
      </c>
      <c r="C105" s="51">
        <v>1</v>
      </c>
      <c r="D105" s="2"/>
      <c r="E105" s="51" t="s">
        <v>61</v>
      </c>
      <c r="F105" s="51">
        <v>4</v>
      </c>
      <c r="G105" s="2"/>
      <c r="H105" s="45" t="s">
        <v>61</v>
      </c>
      <c r="I105" s="45">
        <v>1</v>
      </c>
      <c r="J105" s="2"/>
      <c r="K105" s="45" t="s">
        <v>61</v>
      </c>
      <c r="L105" s="45">
        <v>4</v>
      </c>
      <c r="M105" s="2"/>
      <c r="N105" s="46" t="s">
        <v>61</v>
      </c>
      <c r="O105" s="46">
        <v>1</v>
      </c>
      <c r="P105" s="2"/>
      <c r="Q105" s="46" t="s">
        <v>61</v>
      </c>
      <c r="R105" s="46">
        <v>2</v>
      </c>
    </row>
    <row r="106" spans="1:18" x14ac:dyDescent="0.25">
      <c r="A106" s="2"/>
      <c r="B106" s="51" t="s">
        <v>62</v>
      </c>
      <c r="C106" s="51">
        <v>3</v>
      </c>
      <c r="D106" s="2"/>
      <c r="E106" s="51" t="s">
        <v>62</v>
      </c>
      <c r="F106" s="51">
        <v>2</v>
      </c>
      <c r="G106" s="2"/>
      <c r="H106" s="45" t="s">
        <v>62</v>
      </c>
      <c r="I106" s="45">
        <v>3</v>
      </c>
      <c r="J106" s="2"/>
      <c r="K106" s="45" t="s">
        <v>62</v>
      </c>
      <c r="L106" s="45">
        <v>2</v>
      </c>
      <c r="M106" s="2"/>
      <c r="N106" s="46" t="s">
        <v>62</v>
      </c>
      <c r="O106" s="46">
        <v>4</v>
      </c>
      <c r="P106" s="2"/>
      <c r="Q106" s="46" t="s">
        <v>62</v>
      </c>
      <c r="R106" s="46">
        <v>1</v>
      </c>
    </row>
    <row r="107" spans="1:18" x14ac:dyDescent="0.25">
      <c r="A107" s="2"/>
      <c r="B107" s="51" t="s">
        <v>64</v>
      </c>
      <c r="C107" s="51">
        <v>2</v>
      </c>
      <c r="D107" s="2"/>
      <c r="E107" s="51" t="s">
        <v>64</v>
      </c>
      <c r="F107" s="51">
        <v>3</v>
      </c>
      <c r="G107" s="2"/>
      <c r="H107" s="45" t="s">
        <v>64</v>
      </c>
      <c r="I107" s="45">
        <v>2</v>
      </c>
      <c r="J107" s="2"/>
      <c r="K107" s="45" t="s">
        <v>64</v>
      </c>
      <c r="L107" s="45">
        <v>3</v>
      </c>
      <c r="M107" s="2"/>
      <c r="N107" s="46" t="s">
        <v>64</v>
      </c>
      <c r="O107" s="46">
        <v>5</v>
      </c>
      <c r="P107" s="2"/>
      <c r="Q107" s="46" t="s">
        <v>64</v>
      </c>
      <c r="R107" s="46">
        <v>6</v>
      </c>
    </row>
    <row r="108" spans="1:18" x14ac:dyDescent="0.25">
      <c r="A108" s="2"/>
      <c r="B108" s="51" t="s">
        <v>66</v>
      </c>
      <c r="C108" s="51">
        <v>4</v>
      </c>
      <c r="D108" s="2"/>
      <c r="E108" s="51" t="s">
        <v>66</v>
      </c>
      <c r="F108" s="51">
        <v>1</v>
      </c>
      <c r="G108" s="2"/>
      <c r="H108" s="45" t="s">
        <v>66</v>
      </c>
      <c r="I108" s="45">
        <v>4</v>
      </c>
      <c r="J108" s="2"/>
      <c r="K108" s="45" t="s">
        <v>66</v>
      </c>
      <c r="L108" s="45">
        <v>1</v>
      </c>
      <c r="M108" s="2"/>
      <c r="N108" s="46" t="s">
        <v>66</v>
      </c>
      <c r="O108" s="46">
        <v>8</v>
      </c>
      <c r="P108" s="2"/>
      <c r="Q108" s="46" t="s">
        <v>66</v>
      </c>
      <c r="R108" s="46">
        <v>5</v>
      </c>
    </row>
    <row r="109" spans="1:18" x14ac:dyDescent="0.25">
      <c r="A109" s="2"/>
      <c r="B109" s="51" t="s">
        <v>68</v>
      </c>
      <c r="C109" s="51">
        <v>5</v>
      </c>
      <c r="D109" s="2"/>
      <c r="E109" s="51" t="s">
        <v>68</v>
      </c>
      <c r="F109" s="51">
        <v>8</v>
      </c>
      <c r="G109" s="2"/>
      <c r="H109" s="45" t="s">
        <v>61</v>
      </c>
      <c r="I109" s="45">
        <v>1</v>
      </c>
      <c r="J109" s="2"/>
      <c r="K109" s="45" t="s">
        <v>68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69</v>
      </c>
      <c r="C110" s="51">
        <v>7</v>
      </c>
      <c r="D110" s="2"/>
      <c r="E110" s="51" t="s">
        <v>69</v>
      </c>
      <c r="F110" s="51">
        <v>6</v>
      </c>
      <c r="G110" s="2"/>
      <c r="H110" s="45" t="s">
        <v>62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70</v>
      </c>
      <c r="C111" s="51">
        <v>6</v>
      </c>
      <c r="D111" s="2"/>
      <c r="E111" s="51" t="s">
        <v>70</v>
      </c>
      <c r="F111" s="51">
        <v>7</v>
      </c>
      <c r="G111" s="2"/>
      <c r="H111" s="2"/>
      <c r="I111" s="2"/>
      <c r="J111" s="2"/>
      <c r="K111" s="45" t="s">
        <v>61</v>
      </c>
      <c r="L111" s="45">
        <v>4</v>
      </c>
      <c r="M111" s="2"/>
      <c r="N111" s="46" t="s">
        <v>61</v>
      </c>
      <c r="O111" s="46">
        <v>4</v>
      </c>
      <c r="P111" s="2"/>
      <c r="Q111" s="46" t="s">
        <v>61</v>
      </c>
      <c r="R111" s="46">
        <v>3</v>
      </c>
    </row>
    <row r="112" spans="1:18" x14ac:dyDescent="0.25">
      <c r="A112" s="2"/>
      <c r="B112" s="51" t="s">
        <v>71</v>
      </c>
      <c r="C112" s="51">
        <v>8</v>
      </c>
      <c r="D112" s="2"/>
      <c r="E112" s="51" t="s">
        <v>71</v>
      </c>
      <c r="F112" s="51">
        <v>5</v>
      </c>
      <c r="G112" s="2"/>
      <c r="H112" s="2"/>
      <c r="I112" s="2"/>
      <c r="J112" s="2"/>
      <c r="K112" s="45" t="s">
        <v>62</v>
      </c>
      <c r="L112" s="45">
        <v>2</v>
      </c>
      <c r="M112" s="2"/>
      <c r="N112" s="46" t="s">
        <v>62</v>
      </c>
      <c r="O112" s="46">
        <v>3</v>
      </c>
      <c r="P112" s="2"/>
      <c r="Q112" s="46" t="s">
        <v>62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64</v>
      </c>
      <c r="L113" s="45">
        <v>3</v>
      </c>
      <c r="M113" s="2"/>
      <c r="N113" s="46" t="s">
        <v>64</v>
      </c>
      <c r="O113" s="46">
        <v>8</v>
      </c>
      <c r="P113" s="2"/>
      <c r="Q113" s="46" t="s">
        <v>64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66</v>
      </c>
      <c r="L114" s="45">
        <v>1</v>
      </c>
      <c r="M114" s="2"/>
      <c r="N114" s="46" t="s">
        <v>66</v>
      </c>
      <c r="O114" s="46">
        <v>7</v>
      </c>
      <c r="P114" s="2"/>
      <c r="Q114" s="46" t="s">
        <v>66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68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3" t="s">
        <v>95</v>
      </c>
      <c r="C117" s="114"/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5"/>
    </row>
    <row r="119" spans="1:18" x14ac:dyDescent="0.25">
      <c r="B119" s="45" t="s">
        <v>61</v>
      </c>
      <c r="C119" s="45">
        <v>1</v>
      </c>
      <c r="D119" s="2"/>
      <c r="E119" s="45" t="s">
        <v>61</v>
      </c>
      <c r="F119" s="45">
        <v>2</v>
      </c>
      <c r="H119" s="45" t="s">
        <v>61</v>
      </c>
      <c r="I119" s="45">
        <v>3</v>
      </c>
      <c r="K119" s="46" t="s">
        <v>61</v>
      </c>
      <c r="L119" s="46">
        <v>1</v>
      </c>
      <c r="M119" s="2"/>
      <c r="N119" s="46" t="s">
        <v>61</v>
      </c>
      <c r="O119" s="46">
        <v>2</v>
      </c>
    </row>
    <row r="120" spans="1:18" x14ac:dyDescent="0.25">
      <c r="B120" s="45" t="s">
        <v>62</v>
      </c>
      <c r="C120" s="45">
        <v>3</v>
      </c>
      <c r="D120" s="2"/>
      <c r="E120" s="45" t="s">
        <v>62</v>
      </c>
      <c r="F120" s="45">
        <v>4</v>
      </c>
      <c r="H120" s="45" t="s">
        <v>62</v>
      </c>
      <c r="I120" s="45">
        <v>4</v>
      </c>
      <c r="K120" s="46" t="s">
        <v>62</v>
      </c>
      <c r="L120" s="46">
        <v>4</v>
      </c>
      <c r="M120" s="2"/>
      <c r="N120" s="46" t="s">
        <v>62</v>
      </c>
      <c r="O120" s="46">
        <v>1</v>
      </c>
    </row>
    <row r="121" spans="1:18" x14ac:dyDescent="0.25">
      <c r="B121" s="45" t="s">
        <v>96</v>
      </c>
      <c r="C121" s="45">
        <v>2</v>
      </c>
      <c r="D121" s="2"/>
      <c r="E121" s="45" t="s">
        <v>87</v>
      </c>
      <c r="F121" s="45">
        <v>1</v>
      </c>
      <c r="H121" s="45" t="s">
        <v>64</v>
      </c>
      <c r="I121" s="45">
        <v>5</v>
      </c>
      <c r="K121" s="46" t="s">
        <v>64</v>
      </c>
      <c r="L121" s="46">
        <v>5</v>
      </c>
      <c r="M121" s="2"/>
      <c r="N121" s="46" t="s">
        <v>64</v>
      </c>
      <c r="O121" s="46">
        <v>6</v>
      </c>
    </row>
    <row r="122" spans="1:18" x14ac:dyDescent="0.25">
      <c r="B122" s="45" t="s">
        <v>66</v>
      </c>
      <c r="C122" s="45">
        <v>6</v>
      </c>
      <c r="D122" s="2"/>
      <c r="E122" s="45" t="s">
        <v>66</v>
      </c>
      <c r="F122" s="45">
        <v>7</v>
      </c>
      <c r="H122" s="45" t="s">
        <v>66</v>
      </c>
      <c r="I122" s="45">
        <v>8</v>
      </c>
      <c r="K122" s="46" t="s">
        <v>66</v>
      </c>
      <c r="L122" s="46">
        <v>8</v>
      </c>
      <c r="M122" s="2"/>
      <c r="N122" s="46" t="s">
        <v>66</v>
      </c>
      <c r="O122" s="46">
        <v>5</v>
      </c>
    </row>
    <row r="123" spans="1:18" x14ac:dyDescent="0.25">
      <c r="B123" s="45" t="s">
        <v>68</v>
      </c>
      <c r="C123" s="45">
        <v>8</v>
      </c>
      <c r="D123" s="2"/>
      <c r="E123" s="45" t="s">
        <v>68</v>
      </c>
      <c r="F123" s="45">
        <v>6</v>
      </c>
      <c r="H123" s="45" t="s">
        <v>68</v>
      </c>
      <c r="I123" s="45">
        <v>7</v>
      </c>
      <c r="K123" s="46" t="s">
        <v>97</v>
      </c>
      <c r="L123" s="46">
        <v>9</v>
      </c>
      <c r="M123" s="2"/>
      <c r="N123" s="2"/>
      <c r="O123" s="2"/>
    </row>
    <row r="124" spans="1:18" x14ac:dyDescent="0.25">
      <c r="B124" s="45" t="s">
        <v>69</v>
      </c>
      <c r="C124" s="45">
        <v>5</v>
      </c>
      <c r="D124" s="2"/>
      <c r="E124" s="45" t="s">
        <v>98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61</v>
      </c>
      <c r="L126" s="46">
        <v>4</v>
      </c>
      <c r="N126" s="46" t="s">
        <v>61</v>
      </c>
      <c r="O126" s="46">
        <v>3</v>
      </c>
    </row>
    <row r="127" spans="1:18" x14ac:dyDescent="0.25">
      <c r="K127" s="46" t="s">
        <v>62</v>
      </c>
      <c r="L127" s="46">
        <v>3</v>
      </c>
      <c r="N127" s="46" t="s">
        <v>62</v>
      </c>
      <c r="O127" s="46">
        <v>2</v>
      </c>
    </row>
    <row r="128" spans="1:18" x14ac:dyDescent="0.25">
      <c r="K128" s="46" t="s">
        <v>64</v>
      </c>
      <c r="L128" s="46">
        <v>8</v>
      </c>
      <c r="N128" s="46" t="s">
        <v>64</v>
      </c>
      <c r="O128" s="46">
        <v>7</v>
      </c>
    </row>
    <row r="129" spans="2:16" x14ac:dyDescent="0.25">
      <c r="K129" s="46" t="s">
        <v>66</v>
      </c>
      <c r="L129" s="46">
        <v>7</v>
      </c>
      <c r="N129" s="46" t="s">
        <v>66</v>
      </c>
      <c r="O129" s="46">
        <v>6</v>
      </c>
    </row>
    <row r="132" spans="2:16" ht="26.25" x14ac:dyDescent="0.25">
      <c r="B132" s="113" t="s">
        <v>99</v>
      </c>
      <c r="C132" s="114"/>
      <c r="D132" s="114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5"/>
    </row>
    <row r="134" spans="2:16" x14ac:dyDescent="0.25">
      <c r="B134" s="45" t="s">
        <v>61</v>
      </c>
      <c r="C134" s="45">
        <v>1</v>
      </c>
      <c r="D134" s="2"/>
      <c r="E134" s="45" t="s">
        <v>61</v>
      </c>
      <c r="F134" s="45">
        <v>2</v>
      </c>
      <c r="H134" s="45" t="s">
        <v>61</v>
      </c>
      <c r="I134" s="45">
        <v>3</v>
      </c>
      <c r="K134" s="46" t="s">
        <v>61</v>
      </c>
      <c r="L134" s="46">
        <v>1</v>
      </c>
      <c r="M134" s="2"/>
      <c r="N134" s="46" t="s">
        <v>61</v>
      </c>
      <c r="O134" s="46">
        <v>2</v>
      </c>
    </row>
    <row r="135" spans="2:16" x14ac:dyDescent="0.25">
      <c r="B135" s="45" t="s">
        <v>62</v>
      </c>
      <c r="C135" s="45">
        <v>3</v>
      </c>
      <c r="D135" s="2"/>
      <c r="E135" s="45" t="s">
        <v>62</v>
      </c>
      <c r="F135" s="45">
        <v>4</v>
      </c>
      <c r="H135" s="45" t="s">
        <v>62</v>
      </c>
      <c r="I135" s="45">
        <v>4</v>
      </c>
      <c r="K135" s="46" t="s">
        <v>62</v>
      </c>
      <c r="L135" s="46">
        <v>4</v>
      </c>
      <c r="M135" s="2"/>
      <c r="N135" s="46" t="s">
        <v>62</v>
      </c>
      <c r="O135" s="46">
        <v>1</v>
      </c>
    </row>
    <row r="136" spans="2:16" x14ac:dyDescent="0.25">
      <c r="B136" s="45" t="s">
        <v>86</v>
      </c>
      <c r="C136" s="45">
        <v>2</v>
      </c>
      <c r="D136" s="2"/>
      <c r="E136" s="45" t="s">
        <v>87</v>
      </c>
      <c r="F136" s="45">
        <v>1</v>
      </c>
      <c r="H136" s="45" t="s">
        <v>64</v>
      </c>
      <c r="I136" s="45">
        <v>5</v>
      </c>
      <c r="K136" s="46" t="s">
        <v>64</v>
      </c>
      <c r="L136" s="46">
        <v>5</v>
      </c>
      <c r="M136" s="2"/>
      <c r="N136" s="46" t="s">
        <v>64</v>
      </c>
      <c r="O136" s="46">
        <v>6</v>
      </c>
    </row>
    <row r="137" spans="2:16" x14ac:dyDescent="0.25">
      <c r="B137" s="45" t="s">
        <v>66</v>
      </c>
      <c r="C137" s="45">
        <v>6</v>
      </c>
      <c r="D137" s="2"/>
      <c r="E137" s="45" t="s">
        <v>66</v>
      </c>
      <c r="F137" s="45">
        <v>7</v>
      </c>
      <c r="H137" s="45" t="s">
        <v>66</v>
      </c>
      <c r="I137" s="45">
        <v>8</v>
      </c>
      <c r="K137" s="46" t="s">
        <v>66</v>
      </c>
      <c r="L137" s="46">
        <v>8</v>
      </c>
      <c r="M137" s="2"/>
      <c r="N137" s="46" t="s">
        <v>66</v>
      </c>
      <c r="O137" s="46">
        <v>5</v>
      </c>
    </row>
    <row r="138" spans="2:16" x14ac:dyDescent="0.25">
      <c r="B138" s="45" t="s">
        <v>68</v>
      </c>
      <c r="C138" s="45">
        <v>8</v>
      </c>
      <c r="D138" s="2"/>
      <c r="E138" s="45" t="s">
        <v>68</v>
      </c>
      <c r="F138" s="45">
        <v>6</v>
      </c>
      <c r="H138" s="45" t="s">
        <v>68</v>
      </c>
      <c r="I138" s="45">
        <v>7</v>
      </c>
      <c r="K138" s="46" t="s">
        <v>68</v>
      </c>
      <c r="L138" s="46">
        <v>9</v>
      </c>
      <c r="M138" s="2"/>
      <c r="N138" s="46" t="s">
        <v>68</v>
      </c>
      <c r="O138" s="46">
        <v>9</v>
      </c>
    </row>
    <row r="139" spans="2:16" x14ac:dyDescent="0.25">
      <c r="B139" s="45" t="s">
        <v>100</v>
      </c>
      <c r="C139" s="45">
        <v>5</v>
      </c>
      <c r="D139" s="2"/>
      <c r="E139" s="45" t="s">
        <v>69</v>
      </c>
      <c r="F139" s="45">
        <v>9</v>
      </c>
      <c r="H139" s="45" t="s">
        <v>69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61</v>
      </c>
      <c r="L141" s="46">
        <v>4</v>
      </c>
      <c r="N141" s="46" t="s">
        <v>61</v>
      </c>
      <c r="O141" s="46">
        <v>3</v>
      </c>
    </row>
    <row r="142" spans="2:16" x14ac:dyDescent="0.25">
      <c r="K142" s="46" t="s">
        <v>62</v>
      </c>
      <c r="L142" s="46">
        <v>3</v>
      </c>
      <c r="N142" s="46" t="s">
        <v>62</v>
      </c>
      <c r="O142" s="46">
        <v>2</v>
      </c>
    </row>
    <row r="143" spans="2:16" x14ac:dyDescent="0.25">
      <c r="K143" s="46" t="s">
        <v>64</v>
      </c>
      <c r="L143" s="46">
        <v>8</v>
      </c>
      <c r="N143" s="46" t="s">
        <v>64</v>
      </c>
      <c r="O143" s="46">
        <v>7</v>
      </c>
    </row>
    <row r="144" spans="2:16" x14ac:dyDescent="0.25">
      <c r="K144" s="46" t="s">
        <v>66</v>
      </c>
      <c r="L144" s="46">
        <v>7</v>
      </c>
      <c r="N144" s="46" t="s">
        <v>66</v>
      </c>
      <c r="O144" s="46">
        <v>6</v>
      </c>
    </row>
    <row r="146" spans="2:15" ht="26.25" x14ac:dyDescent="0.25">
      <c r="B146" s="112" t="s">
        <v>101</v>
      </c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  <c r="O146" s="112"/>
    </row>
    <row r="148" spans="2:15" x14ac:dyDescent="0.25">
      <c r="B148" s="45" t="s">
        <v>61</v>
      </c>
      <c r="C148" s="45">
        <v>1</v>
      </c>
      <c r="D148" s="2"/>
      <c r="E148" s="45" t="s">
        <v>61</v>
      </c>
      <c r="F148" s="45">
        <v>2</v>
      </c>
      <c r="H148" s="45" t="s">
        <v>61</v>
      </c>
      <c r="I148" s="45">
        <v>3</v>
      </c>
      <c r="K148" s="46" t="s">
        <v>61</v>
      </c>
      <c r="L148" s="46">
        <v>1</v>
      </c>
      <c r="N148" s="46" t="s">
        <v>61</v>
      </c>
      <c r="O148" s="46">
        <v>2</v>
      </c>
    </row>
    <row r="149" spans="2:15" x14ac:dyDescent="0.25">
      <c r="B149" s="45" t="s">
        <v>62</v>
      </c>
      <c r="C149" s="45">
        <v>3</v>
      </c>
      <c r="D149" s="2"/>
      <c r="E149" s="45" t="s">
        <v>62</v>
      </c>
      <c r="F149" s="45">
        <v>4</v>
      </c>
      <c r="H149" s="45" t="s">
        <v>62</v>
      </c>
      <c r="I149" s="45">
        <v>4</v>
      </c>
      <c r="K149" s="46" t="s">
        <v>62</v>
      </c>
      <c r="L149" s="46">
        <v>4</v>
      </c>
      <c r="N149" s="46" t="s">
        <v>62</v>
      </c>
      <c r="O149" s="46">
        <v>1</v>
      </c>
    </row>
    <row r="150" spans="2:15" x14ac:dyDescent="0.25">
      <c r="B150" s="45" t="s">
        <v>86</v>
      </c>
      <c r="C150" s="45">
        <v>2</v>
      </c>
      <c r="D150" s="2"/>
      <c r="E150" s="45" t="s">
        <v>87</v>
      </c>
      <c r="F150" s="45">
        <v>1</v>
      </c>
      <c r="H150" s="45" t="s">
        <v>64</v>
      </c>
      <c r="I150" s="45">
        <v>5</v>
      </c>
      <c r="K150" s="46" t="s">
        <v>64</v>
      </c>
      <c r="L150" s="46">
        <v>5</v>
      </c>
      <c r="N150" s="46" t="s">
        <v>64</v>
      </c>
      <c r="O150" s="46">
        <v>6</v>
      </c>
    </row>
    <row r="151" spans="2:15" x14ac:dyDescent="0.25">
      <c r="B151" s="45" t="s">
        <v>66</v>
      </c>
      <c r="C151" s="45">
        <v>6</v>
      </c>
      <c r="D151" s="2"/>
      <c r="E151" s="45" t="s">
        <v>66</v>
      </c>
      <c r="F151" s="45">
        <v>7</v>
      </c>
      <c r="H151" s="45" t="s">
        <v>66</v>
      </c>
      <c r="I151" s="45">
        <v>8</v>
      </c>
      <c r="K151" s="46" t="s">
        <v>66</v>
      </c>
      <c r="L151" s="46">
        <v>8</v>
      </c>
      <c r="N151" s="46" t="s">
        <v>66</v>
      </c>
      <c r="O151" s="46">
        <v>5</v>
      </c>
    </row>
    <row r="152" spans="2:15" x14ac:dyDescent="0.25">
      <c r="B152" s="45" t="s">
        <v>68</v>
      </c>
      <c r="C152" s="45">
        <v>8</v>
      </c>
      <c r="D152" s="2"/>
      <c r="E152" s="45" t="s">
        <v>68</v>
      </c>
      <c r="F152" s="45">
        <v>6</v>
      </c>
      <c r="H152" s="45" t="s">
        <v>68</v>
      </c>
      <c r="I152" s="45">
        <v>7</v>
      </c>
      <c r="K152" s="46" t="s">
        <v>68</v>
      </c>
      <c r="L152" s="46">
        <v>9</v>
      </c>
      <c r="N152" s="46" t="s">
        <v>98</v>
      </c>
      <c r="O152" s="46">
        <v>10</v>
      </c>
    </row>
    <row r="153" spans="2:15" x14ac:dyDescent="0.25">
      <c r="B153" s="45" t="s">
        <v>100</v>
      </c>
      <c r="C153" s="45">
        <v>5</v>
      </c>
      <c r="D153" s="2"/>
      <c r="E153" s="45" t="s">
        <v>69</v>
      </c>
      <c r="F153" s="45">
        <v>9</v>
      </c>
      <c r="H153" s="45" t="s">
        <v>98</v>
      </c>
      <c r="I153" s="45">
        <v>10</v>
      </c>
    </row>
    <row r="154" spans="2:15" x14ac:dyDescent="0.25">
      <c r="B154" s="45" t="s">
        <v>70</v>
      </c>
      <c r="C154" s="45">
        <v>9</v>
      </c>
      <c r="E154" s="2"/>
      <c r="F154" s="2"/>
    </row>
    <row r="155" spans="2:15" x14ac:dyDescent="0.25">
      <c r="K155" s="46" t="s">
        <v>61</v>
      </c>
      <c r="L155" s="46">
        <v>4</v>
      </c>
      <c r="N155" s="46" t="s">
        <v>61</v>
      </c>
      <c r="O155" s="46">
        <v>3</v>
      </c>
    </row>
    <row r="156" spans="2:15" x14ac:dyDescent="0.25">
      <c r="K156" s="46" t="s">
        <v>62</v>
      </c>
      <c r="L156" s="46">
        <v>3</v>
      </c>
      <c r="N156" s="46" t="s">
        <v>62</v>
      </c>
      <c r="O156" s="46">
        <v>2</v>
      </c>
    </row>
    <row r="157" spans="2:15" x14ac:dyDescent="0.25">
      <c r="K157" s="46" t="s">
        <v>64</v>
      </c>
      <c r="L157" s="46">
        <v>8</v>
      </c>
      <c r="N157" s="46" t="s">
        <v>64</v>
      </c>
      <c r="O157" s="46">
        <v>7</v>
      </c>
    </row>
    <row r="158" spans="2:15" x14ac:dyDescent="0.25">
      <c r="K158" s="46" t="s">
        <v>66</v>
      </c>
      <c r="L158" s="46">
        <v>7</v>
      </c>
      <c r="N158" s="46" t="s">
        <v>66</v>
      </c>
      <c r="O158" s="46">
        <v>6</v>
      </c>
    </row>
    <row r="159" spans="2:15" x14ac:dyDescent="0.25">
      <c r="K159" s="46" t="s">
        <v>68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2" t="s">
        <v>102</v>
      </c>
      <c r="C162" s="112"/>
      <c r="D162" s="112"/>
      <c r="E162" s="112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61</v>
      </c>
      <c r="C164" s="45">
        <v>1</v>
      </c>
      <c r="D164" s="2"/>
      <c r="E164" s="45" t="s">
        <v>61</v>
      </c>
      <c r="F164" s="45">
        <v>2</v>
      </c>
      <c r="H164" s="45" t="s">
        <v>61</v>
      </c>
      <c r="I164" s="45">
        <v>3</v>
      </c>
      <c r="K164" s="46" t="s">
        <v>61</v>
      </c>
      <c r="L164" s="46">
        <v>1</v>
      </c>
      <c r="N164" s="46" t="s">
        <v>61</v>
      </c>
      <c r="O164" s="46">
        <v>2</v>
      </c>
      <c r="Q164" s="58" t="s">
        <v>61</v>
      </c>
      <c r="R164" s="58">
        <v>1</v>
      </c>
      <c r="T164" s="58" t="s">
        <v>61</v>
      </c>
      <c r="U164" s="58">
        <v>2</v>
      </c>
      <c r="W164" s="58" t="s">
        <v>61</v>
      </c>
      <c r="X164" s="58">
        <v>3</v>
      </c>
    </row>
    <row r="165" spans="2:24" x14ac:dyDescent="0.25">
      <c r="B165" s="45" t="s">
        <v>62</v>
      </c>
      <c r="C165" s="45">
        <v>3</v>
      </c>
      <c r="D165" s="2"/>
      <c r="E165" s="45" t="s">
        <v>62</v>
      </c>
      <c r="F165" s="45">
        <v>4</v>
      </c>
      <c r="H165" s="45" t="s">
        <v>62</v>
      </c>
      <c r="I165" s="45">
        <v>4</v>
      </c>
      <c r="K165" s="46" t="s">
        <v>62</v>
      </c>
      <c r="L165" s="46">
        <v>4</v>
      </c>
      <c r="N165" s="46" t="s">
        <v>62</v>
      </c>
      <c r="O165" s="46">
        <v>1</v>
      </c>
      <c r="Q165" s="58" t="s">
        <v>103</v>
      </c>
      <c r="R165" s="58">
        <v>2</v>
      </c>
      <c r="T165" s="58" t="s">
        <v>103</v>
      </c>
      <c r="U165" s="58">
        <v>3</v>
      </c>
      <c r="W165" s="58" t="s">
        <v>62</v>
      </c>
      <c r="X165" s="58">
        <v>5</v>
      </c>
    </row>
    <row r="166" spans="2:24" x14ac:dyDescent="0.25">
      <c r="B166" s="45" t="s">
        <v>86</v>
      </c>
      <c r="C166" s="45">
        <v>2</v>
      </c>
      <c r="D166" s="2"/>
      <c r="E166" s="45" t="s">
        <v>87</v>
      </c>
      <c r="F166" s="45">
        <v>1</v>
      </c>
      <c r="H166" s="45" t="s">
        <v>64</v>
      </c>
      <c r="I166" s="45">
        <v>5</v>
      </c>
      <c r="K166" s="46" t="s">
        <v>64</v>
      </c>
      <c r="L166" s="46">
        <v>5</v>
      </c>
      <c r="N166" s="46" t="s">
        <v>64</v>
      </c>
      <c r="O166" s="46">
        <v>6</v>
      </c>
      <c r="Q166" s="58" t="s">
        <v>64</v>
      </c>
      <c r="R166" s="58">
        <v>7</v>
      </c>
      <c r="T166" s="58" t="s">
        <v>64</v>
      </c>
      <c r="U166" s="58">
        <v>8</v>
      </c>
      <c r="W166" s="58" t="s">
        <v>64</v>
      </c>
      <c r="X166" s="58">
        <v>6</v>
      </c>
    </row>
    <row r="167" spans="2:24" x14ac:dyDescent="0.25">
      <c r="B167" s="45" t="s">
        <v>66</v>
      </c>
      <c r="C167" s="45">
        <v>6</v>
      </c>
      <c r="D167" s="2"/>
      <c r="E167" s="45" t="s">
        <v>66</v>
      </c>
      <c r="F167" s="45">
        <v>7</v>
      </c>
      <c r="H167" s="45" t="s">
        <v>66</v>
      </c>
      <c r="I167" s="45">
        <v>8</v>
      </c>
      <c r="K167" s="46" t="s">
        <v>66</v>
      </c>
      <c r="L167" s="46">
        <v>8</v>
      </c>
      <c r="N167" s="46" t="s">
        <v>66</v>
      </c>
      <c r="O167" s="46">
        <v>5</v>
      </c>
      <c r="Q167" s="58" t="s">
        <v>104</v>
      </c>
      <c r="R167" s="58">
        <v>8</v>
      </c>
      <c r="T167" s="58" t="s">
        <v>66</v>
      </c>
      <c r="U167" s="58">
        <v>9</v>
      </c>
      <c r="W167" s="58" t="s">
        <v>66</v>
      </c>
      <c r="X167" s="58">
        <v>9</v>
      </c>
    </row>
    <row r="168" spans="2:24" x14ac:dyDescent="0.25">
      <c r="B168" s="45" t="s">
        <v>68</v>
      </c>
      <c r="C168" s="45">
        <v>8</v>
      </c>
      <c r="D168" s="2"/>
      <c r="E168" s="45" t="s">
        <v>68</v>
      </c>
      <c r="F168" s="45">
        <v>6</v>
      </c>
      <c r="H168" s="45" t="s">
        <v>68</v>
      </c>
      <c r="I168" s="45">
        <v>7</v>
      </c>
      <c r="K168" s="46" t="s">
        <v>68</v>
      </c>
      <c r="L168" s="46">
        <v>9</v>
      </c>
      <c r="N168" s="46" t="s">
        <v>68</v>
      </c>
      <c r="O168" s="46">
        <v>10</v>
      </c>
    </row>
    <row r="169" spans="2:24" x14ac:dyDescent="0.25">
      <c r="B169" s="45" t="s">
        <v>100</v>
      </c>
      <c r="C169" s="45">
        <v>5</v>
      </c>
      <c r="D169" s="2"/>
      <c r="E169" s="45" t="s">
        <v>69</v>
      </c>
      <c r="F169" s="45">
        <v>9</v>
      </c>
      <c r="H169" s="45" t="s">
        <v>69</v>
      </c>
      <c r="I169" s="45">
        <v>10</v>
      </c>
    </row>
    <row r="170" spans="2:24" x14ac:dyDescent="0.25">
      <c r="B170" s="45" t="s">
        <v>70</v>
      </c>
      <c r="C170" s="45">
        <v>9</v>
      </c>
      <c r="E170" s="45" t="s">
        <v>70</v>
      </c>
      <c r="F170" s="45">
        <v>10</v>
      </c>
    </row>
    <row r="171" spans="2:24" x14ac:dyDescent="0.25">
      <c r="K171" s="46" t="s">
        <v>61</v>
      </c>
      <c r="L171" s="46">
        <v>4</v>
      </c>
      <c r="N171" s="46" t="s">
        <v>61</v>
      </c>
      <c r="O171" s="46">
        <v>3</v>
      </c>
      <c r="Q171" s="58" t="s">
        <v>61</v>
      </c>
      <c r="R171" s="58">
        <v>4</v>
      </c>
      <c r="T171" s="58" t="s">
        <v>61</v>
      </c>
      <c r="U171" s="58">
        <v>1</v>
      </c>
    </row>
    <row r="172" spans="2:24" x14ac:dyDescent="0.25">
      <c r="K172" s="46" t="s">
        <v>62</v>
      </c>
      <c r="L172" s="46">
        <v>3</v>
      </c>
      <c r="N172" s="46" t="s">
        <v>62</v>
      </c>
      <c r="O172" s="46">
        <v>2</v>
      </c>
      <c r="Q172" s="58" t="s">
        <v>62</v>
      </c>
      <c r="R172" s="58">
        <v>6</v>
      </c>
      <c r="T172" s="58" t="s">
        <v>103</v>
      </c>
      <c r="U172" s="58">
        <v>4</v>
      </c>
    </row>
    <row r="173" spans="2:24" x14ac:dyDescent="0.25">
      <c r="K173" s="46" t="s">
        <v>64</v>
      </c>
      <c r="L173" s="46">
        <v>8</v>
      </c>
      <c r="N173" s="46" t="s">
        <v>64</v>
      </c>
      <c r="O173" s="46">
        <v>7</v>
      </c>
      <c r="Q173" s="58" t="s">
        <v>64</v>
      </c>
      <c r="R173" s="58">
        <v>5</v>
      </c>
      <c r="T173" s="58" t="s">
        <v>64</v>
      </c>
      <c r="U173" s="58">
        <v>7</v>
      </c>
    </row>
    <row r="174" spans="2:24" x14ac:dyDescent="0.25">
      <c r="K174" s="46" t="s">
        <v>66</v>
      </c>
      <c r="L174" s="46">
        <v>7</v>
      </c>
      <c r="N174" s="59" t="s">
        <v>66</v>
      </c>
      <c r="O174" s="59">
        <v>6</v>
      </c>
      <c r="Q174" s="58" t="s">
        <v>66</v>
      </c>
      <c r="R174" s="58">
        <v>10</v>
      </c>
      <c r="T174" s="58" t="s">
        <v>66</v>
      </c>
      <c r="U174" s="58">
        <v>10</v>
      </c>
    </row>
    <row r="175" spans="2:24" x14ac:dyDescent="0.25">
      <c r="K175" s="46" t="s">
        <v>68</v>
      </c>
      <c r="L175" s="46">
        <v>10</v>
      </c>
      <c r="N175" s="46" t="s">
        <v>68</v>
      </c>
      <c r="O175" s="46">
        <v>9</v>
      </c>
    </row>
    <row r="177" spans="2:15" ht="26.25" x14ac:dyDescent="0.25">
      <c r="B177" s="112" t="s">
        <v>105</v>
      </c>
      <c r="C177" s="11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2"/>
      <c r="N177" s="112"/>
      <c r="O177" s="112"/>
    </row>
    <row r="179" spans="2:15" x14ac:dyDescent="0.25">
      <c r="B179" s="45" t="s">
        <v>61</v>
      </c>
      <c r="C179" s="45">
        <v>1</v>
      </c>
      <c r="D179" s="2"/>
      <c r="E179" s="45" t="s">
        <v>61</v>
      </c>
      <c r="F179" s="45">
        <v>2</v>
      </c>
      <c r="H179" s="45" t="s">
        <v>61</v>
      </c>
      <c r="I179" s="45">
        <v>3</v>
      </c>
      <c r="K179" s="46" t="s">
        <v>61</v>
      </c>
      <c r="L179" s="46">
        <v>1</v>
      </c>
      <c r="M179" s="2"/>
      <c r="N179" s="46" t="s">
        <v>61</v>
      </c>
      <c r="O179" s="46">
        <v>2</v>
      </c>
    </row>
    <row r="180" spans="2:15" x14ac:dyDescent="0.25">
      <c r="B180" s="45" t="s">
        <v>62</v>
      </c>
      <c r="C180" s="45">
        <v>3</v>
      </c>
      <c r="D180" s="2"/>
      <c r="E180" s="45" t="s">
        <v>62</v>
      </c>
      <c r="F180" s="45">
        <v>4</v>
      </c>
      <c r="H180" s="45" t="s">
        <v>62</v>
      </c>
      <c r="I180" s="45">
        <v>4</v>
      </c>
      <c r="K180" s="46" t="s">
        <v>62</v>
      </c>
      <c r="L180" s="46">
        <v>4</v>
      </c>
      <c r="M180" s="2"/>
      <c r="N180" s="46" t="s">
        <v>62</v>
      </c>
      <c r="O180" s="46">
        <v>1</v>
      </c>
    </row>
    <row r="181" spans="2:15" x14ac:dyDescent="0.25">
      <c r="B181" s="45" t="s">
        <v>90</v>
      </c>
      <c r="C181" s="45">
        <v>2</v>
      </c>
      <c r="D181" s="2"/>
      <c r="E181" s="45" t="s">
        <v>90</v>
      </c>
      <c r="F181" s="45">
        <v>1</v>
      </c>
      <c r="H181" s="45" t="s">
        <v>64</v>
      </c>
      <c r="I181" s="45">
        <v>5</v>
      </c>
      <c r="K181" s="46" t="s">
        <v>64</v>
      </c>
      <c r="L181" s="46">
        <v>5</v>
      </c>
      <c r="M181" s="2"/>
      <c r="N181" s="46" t="s">
        <v>64</v>
      </c>
      <c r="O181" s="46">
        <v>6</v>
      </c>
    </row>
    <row r="182" spans="2:15" x14ac:dyDescent="0.25">
      <c r="B182" s="45" t="s">
        <v>66</v>
      </c>
      <c r="C182" s="45">
        <v>6</v>
      </c>
      <c r="D182" s="2"/>
      <c r="E182" s="45" t="s">
        <v>66</v>
      </c>
      <c r="F182" s="45">
        <v>7</v>
      </c>
      <c r="H182" s="45" t="s">
        <v>66</v>
      </c>
      <c r="I182" s="45">
        <v>8</v>
      </c>
      <c r="K182" s="46" t="s">
        <v>66</v>
      </c>
      <c r="L182" s="46">
        <v>8</v>
      </c>
      <c r="M182" s="2"/>
      <c r="N182" s="46" t="s">
        <v>66</v>
      </c>
      <c r="O182" s="46">
        <v>5</v>
      </c>
    </row>
    <row r="183" spans="2:15" x14ac:dyDescent="0.25">
      <c r="B183" s="45" t="s">
        <v>68</v>
      </c>
      <c r="C183" s="45">
        <v>8</v>
      </c>
      <c r="D183" s="2"/>
      <c r="E183" s="45" t="s">
        <v>68</v>
      </c>
      <c r="F183" s="45">
        <v>6</v>
      </c>
      <c r="H183" s="45" t="s">
        <v>68</v>
      </c>
      <c r="I183" s="45">
        <v>7</v>
      </c>
      <c r="K183" s="46" t="s">
        <v>68</v>
      </c>
      <c r="L183" s="46">
        <v>9</v>
      </c>
      <c r="M183" s="2"/>
      <c r="N183" s="46" t="s">
        <v>68</v>
      </c>
      <c r="O183" s="46">
        <v>9</v>
      </c>
    </row>
    <row r="184" spans="2:15" x14ac:dyDescent="0.25">
      <c r="B184" s="45" t="s">
        <v>106</v>
      </c>
      <c r="C184" s="45">
        <v>5</v>
      </c>
      <c r="D184" s="2"/>
      <c r="E184" s="45" t="s">
        <v>69</v>
      </c>
      <c r="F184" s="45">
        <v>9</v>
      </c>
      <c r="H184" s="45" t="s">
        <v>69</v>
      </c>
      <c r="I184" s="45">
        <v>10</v>
      </c>
      <c r="K184" s="46" t="s">
        <v>69</v>
      </c>
      <c r="L184" s="46">
        <v>10</v>
      </c>
    </row>
    <row r="185" spans="2:15" x14ac:dyDescent="0.25">
      <c r="B185" s="45" t="s">
        <v>70</v>
      </c>
      <c r="C185" s="45">
        <v>10</v>
      </c>
      <c r="D185" s="2"/>
      <c r="E185" s="45" t="s">
        <v>73</v>
      </c>
      <c r="F185" s="45">
        <v>11</v>
      </c>
      <c r="H185" s="45" t="s">
        <v>70</v>
      </c>
      <c r="I185" s="45">
        <v>9</v>
      </c>
    </row>
    <row r="187" spans="2:15" x14ac:dyDescent="0.25">
      <c r="K187" s="46" t="s">
        <v>61</v>
      </c>
      <c r="L187" s="46">
        <v>4</v>
      </c>
      <c r="N187" s="46" t="s">
        <v>61</v>
      </c>
      <c r="O187" s="46">
        <v>3</v>
      </c>
    </row>
    <row r="188" spans="2:15" x14ac:dyDescent="0.25">
      <c r="K188" s="46" t="s">
        <v>62</v>
      </c>
      <c r="L188" s="46">
        <v>3</v>
      </c>
      <c r="N188" s="46" t="s">
        <v>62</v>
      </c>
      <c r="O188" s="46">
        <v>2</v>
      </c>
    </row>
    <row r="189" spans="2:15" x14ac:dyDescent="0.25">
      <c r="K189" s="46" t="s">
        <v>64</v>
      </c>
      <c r="L189" s="46">
        <v>8</v>
      </c>
      <c r="N189" s="46" t="s">
        <v>64</v>
      </c>
      <c r="O189" s="46">
        <v>7</v>
      </c>
    </row>
    <row r="190" spans="2:15" x14ac:dyDescent="0.25">
      <c r="K190" s="46" t="s">
        <v>66</v>
      </c>
      <c r="L190" s="46">
        <v>7</v>
      </c>
      <c r="N190" s="46" t="s">
        <v>66</v>
      </c>
      <c r="O190" s="46">
        <v>6</v>
      </c>
    </row>
    <row r="191" spans="2:15" x14ac:dyDescent="0.25">
      <c r="K191" s="46" t="s">
        <v>68</v>
      </c>
      <c r="L191" s="46">
        <v>10</v>
      </c>
      <c r="N191" s="46" t="s">
        <v>73</v>
      </c>
      <c r="O191" s="46"/>
    </row>
    <row r="194" spans="2:15" ht="26.25" x14ac:dyDescent="0.25">
      <c r="B194" s="112" t="s">
        <v>107</v>
      </c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2"/>
      <c r="O194" s="112"/>
    </row>
    <row r="196" spans="2:15" x14ac:dyDescent="0.25">
      <c r="B196" s="45" t="s">
        <v>61</v>
      </c>
      <c r="C196" s="45">
        <v>1</v>
      </c>
      <c r="D196" s="2"/>
      <c r="E196" s="45" t="s">
        <v>61</v>
      </c>
      <c r="F196" s="45">
        <v>2</v>
      </c>
      <c r="H196" s="45" t="s">
        <v>61</v>
      </c>
      <c r="I196" s="45">
        <v>3</v>
      </c>
      <c r="K196" s="46" t="s">
        <v>61</v>
      </c>
      <c r="L196" s="46">
        <v>1</v>
      </c>
      <c r="M196" s="2"/>
      <c r="N196" s="46" t="s">
        <v>61</v>
      </c>
      <c r="O196" s="46">
        <v>2</v>
      </c>
    </row>
    <row r="197" spans="2:15" x14ac:dyDescent="0.25">
      <c r="B197" s="45" t="s">
        <v>62</v>
      </c>
      <c r="C197" s="45">
        <v>3</v>
      </c>
      <c r="D197" s="2"/>
      <c r="E197" s="45" t="s">
        <v>62</v>
      </c>
      <c r="F197" s="45">
        <v>4</v>
      </c>
      <c r="H197" s="45" t="s">
        <v>62</v>
      </c>
      <c r="I197" s="45">
        <v>4</v>
      </c>
      <c r="K197" s="46" t="s">
        <v>62</v>
      </c>
      <c r="L197" s="46">
        <v>4</v>
      </c>
      <c r="M197" s="2"/>
      <c r="N197" s="46" t="s">
        <v>62</v>
      </c>
      <c r="O197" s="46">
        <v>1</v>
      </c>
    </row>
    <row r="198" spans="2:15" x14ac:dyDescent="0.25">
      <c r="B198" s="45" t="s">
        <v>86</v>
      </c>
      <c r="C198" s="45">
        <v>2</v>
      </c>
      <c r="D198" s="2"/>
      <c r="E198" s="45" t="s">
        <v>87</v>
      </c>
      <c r="F198" s="45">
        <v>1</v>
      </c>
      <c r="H198" s="45" t="s">
        <v>64</v>
      </c>
      <c r="I198" s="45">
        <v>5</v>
      </c>
      <c r="K198" s="46" t="s">
        <v>64</v>
      </c>
      <c r="L198" s="46">
        <v>5</v>
      </c>
      <c r="M198" s="2"/>
      <c r="N198" s="46" t="s">
        <v>64</v>
      </c>
      <c r="O198" s="46">
        <v>6</v>
      </c>
    </row>
    <row r="199" spans="2:15" x14ac:dyDescent="0.25">
      <c r="B199" s="45" t="s">
        <v>66</v>
      </c>
      <c r="C199" s="45">
        <v>6</v>
      </c>
      <c r="D199" s="2"/>
      <c r="E199" s="45" t="s">
        <v>66</v>
      </c>
      <c r="F199" s="45">
        <v>7</v>
      </c>
      <c r="H199" s="45" t="s">
        <v>66</v>
      </c>
      <c r="I199" s="45">
        <v>8</v>
      </c>
      <c r="K199" s="46" t="s">
        <v>66</v>
      </c>
      <c r="L199" s="46">
        <v>8</v>
      </c>
      <c r="M199" s="2"/>
      <c r="N199" s="46" t="s">
        <v>66</v>
      </c>
      <c r="O199" s="46">
        <v>5</v>
      </c>
    </row>
    <row r="200" spans="2:15" x14ac:dyDescent="0.25">
      <c r="B200" s="45" t="s">
        <v>68</v>
      </c>
      <c r="C200" s="45">
        <v>8</v>
      </c>
      <c r="D200" s="2"/>
      <c r="E200" s="45" t="s">
        <v>68</v>
      </c>
      <c r="F200" s="45">
        <v>6</v>
      </c>
      <c r="H200" s="45" t="s">
        <v>68</v>
      </c>
      <c r="I200" s="45">
        <v>7</v>
      </c>
      <c r="K200" s="46" t="s">
        <v>68</v>
      </c>
      <c r="L200" s="46">
        <v>9</v>
      </c>
      <c r="M200" s="2"/>
      <c r="N200" s="46" t="s">
        <v>68</v>
      </c>
      <c r="O200" s="46">
        <v>11</v>
      </c>
    </row>
    <row r="201" spans="2:15" x14ac:dyDescent="0.25">
      <c r="B201" s="45" t="s">
        <v>100</v>
      </c>
      <c r="C201" s="45">
        <v>5</v>
      </c>
      <c r="D201" s="2"/>
      <c r="E201" s="45" t="s">
        <v>69</v>
      </c>
      <c r="F201" s="45">
        <v>9</v>
      </c>
      <c r="H201" s="45" t="s">
        <v>69</v>
      </c>
      <c r="I201" s="45">
        <v>10</v>
      </c>
      <c r="K201" s="46" t="s">
        <v>69</v>
      </c>
      <c r="L201" s="46">
        <v>10</v>
      </c>
      <c r="M201" s="2"/>
      <c r="N201" s="46" t="s">
        <v>69</v>
      </c>
      <c r="O201" s="46">
        <v>9</v>
      </c>
    </row>
    <row r="202" spans="2:15" x14ac:dyDescent="0.25">
      <c r="B202" s="45" t="s">
        <v>70</v>
      </c>
      <c r="C202" s="45">
        <v>10</v>
      </c>
      <c r="D202" s="2"/>
      <c r="E202" s="45" t="s">
        <v>70</v>
      </c>
      <c r="F202" s="45">
        <v>11</v>
      </c>
      <c r="H202" s="45" t="s">
        <v>70</v>
      </c>
      <c r="I202" s="45">
        <v>11</v>
      </c>
    </row>
    <row r="203" spans="2:15" x14ac:dyDescent="0.25">
      <c r="B203" s="45" t="s">
        <v>71</v>
      </c>
      <c r="C203" s="45">
        <v>9</v>
      </c>
      <c r="D203" s="2"/>
    </row>
    <row r="204" spans="2:15" x14ac:dyDescent="0.25">
      <c r="K204" s="46" t="s">
        <v>61</v>
      </c>
      <c r="L204" s="46">
        <v>4</v>
      </c>
      <c r="M204" s="2"/>
      <c r="N204" s="46" t="s">
        <v>61</v>
      </c>
      <c r="O204" s="46">
        <v>3</v>
      </c>
    </row>
    <row r="205" spans="2:15" x14ac:dyDescent="0.25">
      <c r="K205" s="46" t="s">
        <v>62</v>
      </c>
      <c r="L205" s="46">
        <v>3</v>
      </c>
      <c r="M205" s="2"/>
      <c r="N205" s="46" t="s">
        <v>62</v>
      </c>
      <c r="O205" s="46">
        <v>2</v>
      </c>
    </row>
    <row r="206" spans="2:15" x14ac:dyDescent="0.25">
      <c r="K206" s="46" t="s">
        <v>64</v>
      </c>
      <c r="L206" s="46">
        <v>8</v>
      </c>
      <c r="M206" s="2"/>
      <c r="N206" s="46" t="s">
        <v>64</v>
      </c>
      <c r="O206" s="46">
        <v>7</v>
      </c>
    </row>
    <row r="207" spans="2:15" x14ac:dyDescent="0.25">
      <c r="K207" s="46" t="s">
        <v>66</v>
      </c>
      <c r="L207" s="46">
        <v>7</v>
      </c>
      <c r="M207" s="2"/>
      <c r="N207" s="46" t="s">
        <v>66</v>
      </c>
      <c r="O207" s="46">
        <v>6</v>
      </c>
    </row>
    <row r="208" spans="2:15" x14ac:dyDescent="0.25">
      <c r="K208" s="46" t="s">
        <v>68</v>
      </c>
      <c r="L208" s="46">
        <v>11</v>
      </c>
      <c r="M208" s="2"/>
      <c r="N208" s="46" t="s">
        <v>68</v>
      </c>
      <c r="O208" s="46">
        <v>10</v>
      </c>
    </row>
    <row r="210" spans="2:15" ht="26.25" x14ac:dyDescent="0.25">
      <c r="B210" s="112" t="s">
        <v>108</v>
      </c>
      <c r="C210" s="112"/>
      <c r="D210" s="112"/>
      <c r="E210" s="112"/>
      <c r="F210" s="112"/>
      <c r="G210" s="112"/>
      <c r="H210" s="112"/>
      <c r="I210" s="112"/>
      <c r="J210" s="112"/>
      <c r="K210" s="112"/>
      <c r="L210" s="112"/>
      <c r="M210" s="112"/>
      <c r="N210" s="112"/>
      <c r="O210" s="112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61</v>
      </c>
      <c r="C212" s="45">
        <v>1</v>
      </c>
      <c r="D212" s="2"/>
      <c r="E212" s="45" t="s">
        <v>61</v>
      </c>
      <c r="F212" s="45">
        <v>2</v>
      </c>
      <c r="H212" s="45" t="s">
        <v>61</v>
      </c>
      <c r="I212" s="45">
        <v>3</v>
      </c>
      <c r="K212" s="46" t="s">
        <v>61</v>
      </c>
      <c r="L212" s="46">
        <v>1</v>
      </c>
      <c r="M212" s="2"/>
      <c r="N212" s="46" t="s">
        <v>61</v>
      </c>
      <c r="O212" s="46">
        <v>2</v>
      </c>
    </row>
    <row r="213" spans="2:15" x14ac:dyDescent="0.25">
      <c r="B213" s="45" t="s">
        <v>62</v>
      </c>
      <c r="C213" s="45">
        <v>3</v>
      </c>
      <c r="D213" s="2"/>
      <c r="E213" s="45" t="s">
        <v>62</v>
      </c>
      <c r="F213" s="45">
        <v>4</v>
      </c>
      <c r="H213" s="45" t="s">
        <v>62</v>
      </c>
      <c r="I213" s="45">
        <v>4</v>
      </c>
      <c r="K213" s="46" t="s">
        <v>62</v>
      </c>
      <c r="L213" s="46">
        <v>4</v>
      </c>
      <c r="M213" s="2"/>
      <c r="N213" s="46" t="s">
        <v>62</v>
      </c>
      <c r="O213" s="46">
        <v>1</v>
      </c>
    </row>
    <row r="214" spans="2:15" x14ac:dyDescent="0.25">
      <c r="B214" s="45" t="s">
        <v>86</v>
      </c>
      <c r="C214" s="45">
        <v>2</v>
      </c>
      <c r="D214" s="2"/>
      <c r="E214" s="45" t="s">
        <v>87</v>
      </c>
      <c r="F214" s="45">
        <v>1</v>
      </c>
      <c r="H214" s="45" t="s">
        <v>64</v>
      </c>
      <c r="I214" s="45">
        <v>5</v>
      </c>
      <c r="K214" s="46" t="s">
        <v>86</v>
      </c>
      <c r="L214" s="46">
        <v>5</v>
      </c>
      <c r="M214" s="2"/>
      <c r="N214" s="46" t="s">
        <v>87</v>
      </c>
      <c r="O214" s="46">
        <v>6</v>
      </c>
    </row>
    <row r="215" spans="2:15" x14ac:dyDescent="0.25">
      <c r="B215" s="45" t="s">
        <v>66</v>
      </c>
      <c r="C215" s="45">
        <v>6</v>
      </c>
      <c r="D215" s="2"/>
      <c r="E215" s="45" t="s">
        <v>66</v>
      </c>
      <c r="F215" s="45">
        <v>7</v>
      </c>
      <c r="H215" s="45" t="s">
        <v>66</v>
      </c>
      <c r="I215" s="45">
        <v>8</v>
      </c>
      <c r="K215" s="46" t="s">
        <v>66</v>
      </c>
      <c r="L215" s="46">
        <v>8</v>
      </c>
      <c r="M215" s="2"/>
      <c r="N215" s="46" t="s">
        <v>66</v>
      </c>
      <c r="O215" s="46">
        <v>5</v>
      </c>
    </row>
    <row r="216" spans="2:15" x14ac:dyDescent="0.25">
      <c r="B216" s="45" t="s">
        <v>68</v>
      </c>
      <c r="C216" s="45">
        <v>8</v>
      </c>
      <c r="D216" s="2"/>
      <c r="E216" s="45" t="s">
        <v>68</v>
      </c>
      <c r="F216" s="45">
        <v>6</v>
      </c>
      <c r="H216" s="45" t="s">
        <v>68</v>
      </c>
      <c r="I216" s="45">
        <v>7</v>
      </c>
      <c r="K216" s="46" t="s">
        <v>68</v>
      </c>
      <c r="L216" s="46">
        <v>9</v>
      </c>
      <c r="M216" s="2"/>
      <c r="N216" s="46" t="s">
        <v>68</v>
      </c>
      <c r="O216" s="46">
        <v>10</v>
      </c>
    </row>
    <row r="217" spans="2:15" x14ac:dyDescent="0.25">
      <c r="B217" s="45" t="s">
        <v>100</v>
      </c>
      <c r="C217" s="45">
        <v>5</v>
      </c>
      <c r="D217" s="2"/>
      <c r="E217" s="45" t="s">
        <v>69</v>
      </c>
      <c r="F217" s="45">
        <v>9</v>
      </c>
      <c r="H217" s="45" t="s">
        <v>69</v>
      </c>
      <c r="I217" s="45">
        <v>10</v>
      </c>
      <c r="K217" s="46" t="s">
        <v>100</v>
      </c>
      <c r="L217" s="46">
        <v>11</v>
      </c>
      <c r="M217" s="2"/>
      <c r="N217" s="46" t="s">
        <v>69</v>
      </c>
      <c r="O217" s="46">
        <v>9</v>
      </c>
    </row>
    <row r="218" spans="2:15" x14ac:dyDescent="0.25">
      <c r="B218" s="45" t="s">
        <v>70</v>
      </c>
      <c r="C218" s="45">
        <v>11</v>
      </c>
      <c r="D218" s="2"/>
      <c r="E218" s="45" t="s">
        <v>70</v>
      </c>
      <c r="F218" s="45">
        <v>11</v>
      </c>
      <c r="H218" s="45" t="s">
        <v>70</v>
      </c>
      <c r="I218" s="45">
        <v>9</v>
      </c>
    </row>
    <row r="219" spans="2:15" x14ac:dyDescent="0.25">
      <c r="B219" s="45" t="s">
        <v>73</v>
      </c>
      <c r="C219" s="45">
        <v>12</v>
      </c>
      <c r="D219" s="2"/>
      <c r="E219" s="45" t="s">
        <v>71</v>
      </c>
      <c r="F219" s="45">
        <v>10</v>
      </c>
      <c r="H219" s="60"/>
      <c r="I219" s="60"/>
    </row>
    <row r="220" spans="2:15" x14ac:dyDescent="0.25">
      <c r="K220" s="46" t="s">
        <v>61</v>
      </c>
      <c r="L220" s="46">
        <v>4</v>
      </c>
      <c r="M220" s="2"/>
      <c r="N220" s="46" t="s">
        <v>61</v>
      </c>
      <c r="O220" s="46">
        <v>3</v>
      </c>
    </row>
    <row r="221" spans="2:15" x14ac:dyDescent="0.25">
      <c r="K221" s="46" t="s">
        <v>62</v>
      </c>
      <c r="L221" s="46">
        <v>3</v>
      </c>
      <c r="M221" s="2"/>
      <c r="N221" s="46" t="s">
        <v>62</v>
      </c>
      <c r="O221" s="46">
        <v>2</v>
      </c>
    </row>
    <row r="222" spans="2:15" x14ac:dyDescent="0.25">
      <c r="K222" s="46" t="s">
        <v>86</v>
      </c>
      <c r="L222" s="46">
        <v>8</v>
      </c>
      <c r="M222" s="2"/>
      <c r="N222" s="46" t="s">
        <v>87</v>
      </c>
      <c r="O222" s="46">
        <v>7</v>
      </c>
    </row>
    <row r="223" spans="2:15" x14ac:dyDescent="0.25">
      <c r="K223" s="46" t="s">
        <v>66</v>
      </c>
      <c r="L223" s="46">
        <v>7</v>
      </c>
      <c r="M223" s="2"/>
      <c r="N223" s="46" t="s">
        <v>66</v>
      </c>
      <c r="O223" s="46">
        <v>6</v>
      </c>
    </row>
    <row r="224" spans="2:15" x14ac:dyDescent="0.25">
      <c r="K224" s="46" t="s">
        <v>68</v>
      </c>
      <c r="L224" s="46">
        <v>11</v>
      </c>
      <c r="M224" s="2"/>
      <c r="N224" s="46" t="s">
        <v>68</v>
      </c>
      <c r="O224" s="46">
        <v>10</v>
      </c>
    </row>
    <row r="225" spans="2:15" x14ac:dyDescent="0.25">
      <c r="K225" s="46" t="s">
        <v>98</v>
      </c>
      <c r="L225" s="46">
        <v>12</v>
      </c>
      <c r="M225" s="2"/>
      <c r="N225" s="2"/>
      <c r="O225" s="2"/>
    </row>
    <row r="228" spans="2:15" ht="26.25" x14ac:dyDescent="0.25">
      <c r="B228" s="113" t="s">
        <v>109</v>
      </c>
      <c r="C228" s="114"/>
      <c r="D228" s="114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5"/>
    </row>
    <row r="230" spans="2:15" x14ac:dyDescent="0.25">
      <c r="B230" s="45" t="s">
        <v>61</v>
      </c>
      <c r="C230" s="45">
        <v>1</v>
      </c>
      <c r="D230" s="2"/>
      <c r="E230" s="45" t="s">
        <v>61</v>
      </c>
      <c r="F230" s="45">
        <v>2</v>
      </c>
      <c r="H230" s="45" t="s">
        <v>61</v>
      </c>
      <c r="I230" s="45">
        <v>3</v>
      </c>
      <c r="K230" s="46" t="s">
        <v>61</v>
      </c>
      <c r="L230" s="46">
        <v>1</v>
      </c>
      <c r="M230" s="2"/>
      <c r="N230" s="46" t="s">
        <v>61</v>
      </c>
      <c r="O230" s="46">
        <v>2</v>
      </c>
    </row>
    <row r="231" spans="2:15" x14ac:dyDescent="0.25">
      <c r="B231" s="45" t="s">
        <v>62</v>
      </c>
      <c r="C231" s="45">
        <v>3</v>
      </c>
      <c r="D231" s="2"/>
      <c r="E231" s="45" t="s">
        <v>62</v>
      </c>
      <c r="F231" s="45">
        <v>4</v>
      </c>
      <c r="H231" s="45" t="s">
        <v>62</v>
      </c>
      <c r="I231" s="45">
        <v>4</v>
      </c>
      <c r="K231" s="46" t="s">
        <v>62</v>
      </c>
      <c r="L231" s="46">
        <v>4</v>
      </c>
      <c r="M231" s="2"/>
      <c r="N231" s="46" t="s">
        <v>62</v>
      </c>
      <c r="O231" s="46">
        <v>1</v>
      </c>
    </row>
    <row r="232" spans="2:15" x14ac:dyDescent="0.25">
      <c r="B232" s="45" t="s">
        <v>86</v>
      </c>
      <c r="C232" s="45">
        <v>2</v>
      </c>
      <c r="D232" s="2"/>
      <c r="E232" s="45" t="s">
        <v>87</v>
      </c>
      <c r="F232" s="45">
        <v>1</v>
      </c>
      <c r="H232" s="45" t="s">
        <v>64</v>
      </c>
      <c r="I232" s="45">
        <v>5</v>
      </c>
      <c r="K232" s="46" t="s">
        <v>64</v>
      </c>
      <c r="L232" s="46">
        <v>5</v>
      </c>
      <c r="M232" s="2"/>
      <c r="N232" s="46" t="s">
        <v>64</v>
      </c>
      <c r="O232" s="46">
        <v>6</v>
      </c>
    </row>
    <row r="233" spans="2:15" x14ac:dyDescent="0.25">
      <c r="B233" s="45" t="s">
        <v>66</v>
      </c>
      <c r="C233" s="45">
        <v>6</v>
      </c>
      <c r="D233" s="2"/>
      <c r="E233" s="45" t="s">
        <v>66</v>
      </c>
      <c r="F233" s="45">
        <v>7</v>
      </c>
      <c r="H233" s="45" t="s">
        <v>66</v>
      </c>
      <c r="I233" s="45">
        <v>8</v>
      </c>
      <c r="K233" s="46" t="s">
        <v>66</v>
      </c>
      <c r="L233" s="46">
        <v>8</v>
      </c>
      <c r="M233" s="2"/>
      <c r="N233" s="46" t="s">
        <v>66</v>
      </c>
      <c r="O233" s="46">
        <v>5</v>
      </c>
    </row>
    <row r="234" spans="2:15" x14ac:dyDescent="0.25">
      <c r="B234" s="45" t="s">
        <v>68</v>
      </c>
      <c r="C234" s="45">
        <v>8</v>
      </c>
      <c r="D234" s="2"/>
      <c r="E234" s="45" t="s">
        <v>68</v>
      </c>
      <c r="F234" s="45">
        <v>6</v>
      </c>
      <c r="H234" s="45" t="s">
        <v>68</v>
      </c>
      <c r="I234" s="45">
        <v>7</v>
      </c>
      <c r="K234" s="46" t="s">
        <v>68</v>
      </c>
      <c r="L234" s="46">
        <v>9</v>
      </c>
      <c r="M234" s="2"/>
      <c r="N234" s="46" t="s">
        <v>68</v>
      </c>
      <c r="O234" s="46">
        <v>10</v>
      </c>
    </row>
    <row r="235" spans="2:15" x14ac:dyDescent="0.25">
      <c r="B235" s="45" t="s">
        <v>100</v>
      </c>
      <c r="C235" s="45">
        <v>5</v>
      </c>
      <c r="D235" s="2"/>
      <c r="E235" s="45" t="s">
        <v>69</v>
      </c>
      <c r="F235" s="45">
        <v>9</v>
      </c>
      <c r="H235" s="45" t="s">
        <v>69</v>
      </c>
      <c r="I235" s="45">
        <v>10</v>
      </c>
      <c r="K235" s="46" t="s">
        <v>69</v>
      </c>
      <c r="L235" s="46">
        <v>12</v>
      </c>
      <c r="M235" s="2"/>
      <c r="N235" s="46" t="s">
        <v>69</v>
      </c>
      <c r="O235" s="46">
        <v>9</v>
      </c>
    </row>
    <row r="236" spans="2:15" x14ac:dyDescent="0.25">
      <c r="B236" s="45" t="s">
        <v>70</v>
      </c>
      <c r="C236" s="45">
        <v>12</v>
      </c>
      <c r="D236" s="2"/>
      <c r="E236" s="45" t="s">
        <v>70</v>
      </c>
      <c r="F236" s="45">
        <v>12</v>
      </c>
      <c r="H236" s="45" t="s">
        <v>70</v>
      </c>
      <c r="I236" s="45">
        <v>11</v>
      </c>
    </row>
    <row r="237" spans="2:15" x14ac:dyDescent="0.25">
      <c r="B237" s="45" t="s">
        <v>71</v>
      </c>
      <c r="C237" s="45">
        <v>11</v>
      </c>
      <c r="D237" s="2"/>
      <c r="E237" s="45" t="s">
        <v>71</v>
      </c>
      <c r="F237" s="45">
        <v>10</v>
      </c>
      <c r="H237" s="45" t="s">
        <v>71</v>
      </c>
      <c r="I237" s="45">
        <v>9</v>
      </c>
    </row>
    <row r="239" spans="2:15" x14ac:dyDescent="0.25">
      <c r="K239" s="46" t="s">
        <v>61</v>
      </c>
      <c r="L239" s="46">
        <v>4</v>
      </c>
      <c r="M239" s="2"/>
      <c r="N239" s="46" t="s">
        <v>61</v>
      </c>
      <c r="O239" s="46">
        <v>3</v>
      </c>
    </row>
    <row r="240" spans="2:15" x14ac:dyDescent="0.25">
      <c r="K240" s="46" t="s">
        <v>62</v>
      </c>
      <c r="L240" s="46">
        <v>3</v>
      </c>
      <c r="M240" s="2"/>
      <c r="N240" s="46" t="s">
        <v>62</v>
      </c>
      <c r="O240" s="46">
        <v>2</v>
      </c>
    </row>
    <row r="241" spans="2:30" x14ac:dyDescent="0.25">
      <c r="K241" s="46" t="s">
        <v>64</v>
      </c>
      <c r="L241" s="46">
        <v>8</v>
      </c>
      <c r="M241" s="2"/>
      <c r="N241" s="46" t="s">
        <v>64</v>
      </c>
      <c r="O241" s="46">
        <v>7</v>
      </c>
    </row>
    <row r="242" spans="2:30" x14ac:dyDescent="0.25">
      <c r="K242" s="46" t="s">
        <v>66</v>
      </c>
      <c r="L242" s="46">
        <v>7</v>
      </c>
      <c r="M242" s="2"/>
      <c r="N242" s="46" t="s">
        <v>66</v>
      </c>
      <c r="O242" s="46">
        <v>6</v>
      </c>
    </row>
    <row r="243" spans="2:30" x14ac:dyDescent="0.25">
      <c r="K243" s="46" t="s">
        <v>68</v>
      </c>
      <c r="L243" s="46">
        <v>12</v>
      </c>
      <c r="M243" s="2"/>
      <c r="N243" s="46" t="s">
        <v>68</v>
      </c>
      <c r="O243" s="46">
        <v>11</v>
      </c>
    </row>
    <row r="244" spans="2:30" x14ac:dyDescent="0.25">
      <c r="K244" s="46" t="s">
        <v>69</v>
      </c>
      <c r="L244" s="46">
        <v>11</v>
      </c>
      <c r="M244" s="2"/>
      <c r="N244" s="46" t="s">
        <v>69</v>
      </c>
      <c r="O244" s="46">
        <v>10</v>
      </c>
    </row>
    <row r="246" spans="2:30" ht="26.25" x14ac:dyDescent="0.25">
      <c r="B246" s="112" t="s">
        <v>110</v>
      </c>
      <c r="C246" s="112"/>
      <c r="D246" s="112"/>
      <c r="E246" s="112"/>
      <c r="F246" s="112"/>
      <c r="G246" s="112"/>
      <c r="H246" s="112"/>
      <c r="I246" s="112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61</v>
      </c>
      <c r="C248" s="46">
        <v>1</v>
      </c>
      <c r="D248" s="2"/>
      <c r="E248" s="46" t="s">
        <v>61</v>
      </c>
      <c r="F248" s="46">
        <v>2</v>
      </c>
      <c r="H248" s="46" t="s">
        <v>61</v>
      </c>
      <c r="I248" s="46">
        <v>3</v>
      </c>
      <c r="J248" s="2"/>
      <c r="K248" s="46" t="s">
        <v>61</v>
      </c>
      <c r="L248" s="46">
        <v>4</v>
      </c>
      <c r="N248" s="58" t="s">
        <v>61</v>
      </c>
      <c r="O248" s="58">
        <v>1</v>
      </c>
      <c r="P248" s="2"/>
      <c r="Q248" s="58" t="s">
        <v>61</v>
      </c>
      <c r="R248" s="58">
        <v>2</v>
      </c>
      <c r="T248" s="58" t="s">
        <v>61</v>
      </c>
      <c r="U248" s="58">
        <v>3</v>
      </c>
      <c r="W248" s="61" t="s">
        <v>61</v>
      </c>
      <c r="X248" s="61">
        <v>1</v>
      </c>
      <c r="Y248" s="2"/>
      <c r="Z248" s="61" t="s">
        <v>61</v>
      </c>
      <c r="AA248" s="61">
        <v>2</v>
      </c>
      <c r="AC248" s="61" t="s">
        <v>61</v>
      </c>
      <c r="AD248" s="61">
        <v>3</v>
      </c>
    </row>
    <row r="249" spans="2:30" x14ac:dyDescent="0.25">
      <c r="B249" s="46" t="s">
        <v>62</v>
      </c>
      <c r="C249" s="46">
        <v>3</v>
      </c>
      <c r="D249" s="2"/>
      <c r="E249" s="46" t="s">
        <v>62</v>
      </c>
      <c r="F249" s="46">
        <v>4</v>
      </c>
      <c r="H249" s="46" t="s">
        <v>62</v>
      </c>
      <c r="I249" s="46">
        <v>2</v>
      </c>
      <c r="J249" s="2"/>
      <c r="K249" s="46" t="s">
        <v>62</v>
      </c>
      <c r="L249" s="46">
        <v>1</v>
      </c>
      <c r="N249" s="58" t="s">
        <v>103</v>
      </c>
      <c r="O249" s="58">
        <v>2</v>
      </c>
      <c r="P249" s="2"/>
      <c r="Q249" s="58" t="s">
        <v>103</v>
      </c>
      <c r="R249" s="58">
        <v>3</v>
      </c>
      <c r="T249" s="58" t="s">
        <v>62</v>
      </c>
      <c r="U249" s="58">
        <v>5</v>
      </c>
      <c r="W249" s="61" t="s">
        <v>62</v>
      </c>
      <c r="X249" s="61">
        <v>5</v>
      </c>
      <c r="Y249" s="2"/>
      <c r="Z249" s="61" t="s">
        <v>103</v>
      </c>
      <c r="AA249" s="61">
        <v>3</v>
      </c>
      <c r="AC249" s="61" t="s">
        <v>62</v>
      </c>
      <c r="AD249" s="61">
        <v>6</v>
      </c>
    </row>
    <row r="250" spans="2:30" x14ac:dyDescent="0.25">
      <c r="B250" s="46" t="s">
        <v>64</v>
      </c>
      <c r="C250" s="46">
        <v>5</v>
      </c>
      <c r="D250" s="2"/>
      <c r="E250" s="46" t="s">
        <v>64</v>
      </c>
      <c r="F250" s="46">
        <v>6</v>
      </c>
      <c r="H250" s="46" t="s">
        <v>64</v>
      </c>
      <c r="I250" s="46">
        <v>7</v>
      </c>
      <c r="J250" s="2"/>
      <c r="K250" s="46" t="s">
        <v>64</v>
      </c>
      <c r="L250" s="46">
        <v>8</v>
      </c>
      <c r="N250" s="58" t="s">
        <v>64</v>
      </c>
      <c r="O250" s="58">
        <v>7</v>
      </c>
      <c r="P250" s="2"/>
      <c r="Q250" s="58" t="s">
        <v>64</v>
      </c>
      <c r="R250" s="58">
        <v>8</v>
      </c>
      <c r="T250" s="58" t="s">
        <v>64</v>
      </c>
      <c r="U250" s="58">
        <v>6</v>
      </c>
      <c r="W250" s="61" t="s">
        <v>90</v>
      </c>
      <c r="X250" s="61">
        <v>6</v>
      </c>
      <c r="Y250" s="2"/>
      <c r="Z250" s="61" t="s">
        <v>90</v>
      </c>
      <c r="AA250" s="61">
        <v>5</v>
      </c>
      <c r="AC250" s="61" t="s">
        <v>64</v>
      </c>
      <c r="AD250" s="61">
        <v>9</v>
      </c>
    </row>
    <row r="251" spans="2:30" x14ac:dyDescent="0.25">
      <c r="B251" s="46" t="s">
        <v>66</v>
      </c>
      <c r="C251" s="46">
        <v>7</v>
      </c>
      <c r="D251" s="2"/>
      <c r="E251" s="46" t="s">
        <v>66</v>
      </c>
      <c r="F251" s="46">
        <v>8</v>
      </c>
      <c r="H251" s="46" t="s">
        <v>66</v>
      </c>
      <c r="I251" s="46">
        <v>6</v>
      </c>
      <c r="J251" s="2"/>
      <c r="K251" s="46" t="s">
        <v>66</v>
      </c>
      <c r="L251" s="46">
        <v>5</v>
      </c>
      <c r="N251" s="58" t="s">
        <v>66</v>
      </c>
      <c r="O251" s="58">
        <v>8</v>
      </c>
      <c r="P251" s="2"/>
      <c r="Q251" s="58" t="s">
        <v>66</v>
      </c>
      <c r="R251" s="58">
        <v>9</v>
      </c>
      <c r="T251" s="58" t="s">
        <v>66</v>
      </c>
      <c r="U251" s="58">
        <v>9</v>
      </c>
      <c r="W251" s="61" t="s">
        <v>66</v>
      </c>
      <c r="X251" s="61">
        <v>11</v>
      </c>
      <c r="Y251" s="2"/>
      <c r="Z251" s="61" t="s">
        <v>66</v>
      </c>
      <c r="AA251" s="61">
        <v>12</v>
      </c>
      <c r="AC251" s="61" t="s">
        <v>66</v>
      </c>
      <c r="AD251" s="61">
        <v>11</v>
      </c>
    </row>
    <row r="252" spans="2:30" x14ac:dyDescent="0.25">
      <c r="B252" s="46" t="s">
        <v>68</v>
      </c>
      <c r="C252" s="46">
        <v>9</v>
      </c>
      <c r="D252" s="2"/>
      <c r="E252" s="46" t="s">
        <v>68</v>
      </c>
      <c r="F252" s="46">
        <v>10</v>
      </c>
      <c r="H252" s="46" t="s">
        <v>68</v>
      </c>
      <c r="I252" s="46">
        <v>11</v>
      </c>
      <c r="J252" s="2"/>
      <c r="K252" s="46" t="s">
        <v>68</v>
      </c>
      <c r="L252" s="46">
        <v>12</v>
      </c>
      <c r="N252" s="58" t="s">
        <v>68</v>
      </c>
      <c r="O252" s="58">
        <v>11</v>
      </c>
      <c r="P252" s="2"/>
      <c r="Q252" s="58" t="s">
        <v>68</v>
      </c>
      <c r="R252" s="58">
        <v>12</v>
      </c>
      <c r="T252" s="58" t="s">
        <v>68</v>
      </c>
      <c r="U252" s="58">
        <v>1</v>
      </c>
      <c r="W252" s="61" t="s">
        <v>68</v>
      </c>
      <c r="X252" s="61">
        <v>12</v>
      </c>
    </row>
    <row r="253" spans="2:30" x14ac:dyDescent="0.25">
      <c r="B253" s="46" t="s">
        <v>69</v>
      </c>
      <c r="C253" s="46">
        <v>11</v>
      </c>
      <c r="D253" s="2"/>
      <c r="E253" s="46" t="s">
        <v>69</v>
      </c>
      <c r="F253" s="46">
        <v>12</v>
      </c>
      <c r="H253" s="46" t="s">
        <v>69</v>
      </c>
      <c r="I253" s="46">
        <v>10</v>
      </c>
      <c r="J253" s="2"/>
      <c r="K253" s="46" t="s">
        <v>69</v>
      </c>
      <c r="L253" s="46">
        <v>9</v>
      </c>
    </row>
    <row r="254" spans="2:30" x14ac:dyDescent="0.25">
      <c r="B254" s="46" t="s">
        <v>98</v>
      </c>
      <c r="C254" s="46">
        <v>13</v>
      </c>
      <c r="D254" s="2"/>
      <c r="E254" s="2"/>
      <c r="F254" s="2"/>
      <c r="H254" s="2"/>
      <c r="I254" s="2"/>
      <c r="J254" s="2"/>
      <c r="N254" s="58" t="s">
        <v>61</v>
      </c>
      <c r="O254" s="58">
        <v>4</v>
      </c>
      <c r="P254" s="2"/>
      <c r="Q254" s="58" t="s">
        <v>61</v>
      </c>
      <c r="R254" s="58">
        <v>1</v>
      </c>
      <c r="W254" s="61" t="s">
        <v>61</v>
      </c>
      <c r="X254" s="61">
        <v>4</v>
      </c>
      <c r="Y254" s="2"/>
      <c r="Z254" s="61" t="s">
        <v>61</v>
      </c>
      <c r="AA254" s="61">
        <v>1</v>
      </c>
      <c r="AC254" s="61" t="s">
        <v>61</v>
      </c>
      <c r="AD254" s="61">
        <v>2</v>
      </c>
    </row>
    <row r="255" spans="2:30" x14ac:dyDescent="0.25">
      <c r="N255" s="58" t="s">
        <v>62</v>
      </c>
      <c r="O255" s="58">
        <v>6</v>
      </c>
      <c r="P255" s="2"/>
      <c r="Q255" s="58" t="s">
        <v>103</v>
      </c>
      <c r="R255" s="58">
        <v>4</v>
      </c>
      <c r="W255" s="61" t="s">
        <v>62</v>
      </c>
      <c r="X255" s="61">
        <v>7</v>
      </c>
      <c r="Y255" s="2"/>
      <c r="Z255" s="61" t="s">
        <v>103</v>
      </c>
      <c r="AA255" s="61">
        <v>4</v>
      </c>
      <c r="AC255" s="61" t="s">
        <v>62</v>
      </c>
      <c r="AD255" s="61">
        <v>8</v>
      </c>
    </row>
    <row r="256" spans="2:30" x14ac:dyDescent="0.25">
      <c r="N256" s="58" t="s">
        <v>64</v>
      </c>
      <c r="O256" s="58">
        <v>5</v>
      </c>
      <c r="P256" s="2"/>
      <c r="Q256" s="58" t="s">
        <v>64</v>
      </c>
      <c r="R256" s="58">
        <v>7</v>
      </c>
      <c r="W256" s="61" t="s">
        <v>90</v>
      </c>
      <c r="X256" s="61">
        <v>8</v>
      </c>
      <c r="Y256" s="2"/>
      <c r="Z256" s="61" t="s">
        <v>90</v>
      </c>
      <c r="AA256" s="61">
        <v>7</v>
      </c>
      <c r="AC256" s="61" t="s">
        <v>64</v>
      </c>
      <c r="AD256" s="61">
        <v>10</v>
      </c>
    </row>
    <row r="257" spans="2:30" x14ac:dyDescent="0.25">
      <c r="N257" s="58" t="s">
        <v>66</v>
      </c>
      <c r="O257" s="58">
        <v>10</v>
      </c>
      <c r="P257" s="2"/>
      <c r="Q257" s="58" t="s">
        <v>66</v>
      </c>
      <c r="R257" s="58">
        <v>10</v>
      </c>
      <c r="W257" s="61" t="s">
        <v>66</v>
      </c>
      <c r="X257" s="61">
        <v>10</v>
      </c>
      <c r="Y257" s="2"/>
      <c r="Z257" s="61" t="s">
        <v>66</v>
      </c>
      <c r="AA257" s="61">
        <v>9</v>
      </c>
      <c r="AC257" s="61" t="s">
        <v>111</v>
      </c>
      <c r="AD257" s="61">
        <v>13</v>
      </c>
    </row>
    <row r="258" spans="2:30" x14ac:dyDescent="0.25">
      <c r="N258" s="58" t="s">
        <v>68</v>
      </c>
      <c r="O258" s="58">
        <v>12</v>
      </c>
      <c r="P258" s="2"/>
      <c r="Q258" s="58" t="s">
        <v>73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2" t="s">
        <v>112</v>
      </c>
      <c r="C261" s="112"/>
      <c r="D261" s="112"/>
      <c r="E261" s="112"/>
      <c r="F261" s="112"/>
      <c r="G261" s="112"/>
      <c r="H261" s="112"/>
      <c r="I261" s="112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</row>
    <row r="263" spans="2:30" x14ac:dyDescent="0.25">
      <c r="B263" s="46" t="s">
        <v>61</v>
      </c>
      <c r="C263" s="46">
        <v>1</v>
      </c>
      <c r="D263" s="2"/>
      <c r="E263" s="46" t="s">
        <v>61</v>
      </c>
      <c r="F263" s="46">
        <v>2</v>
      </c>
      <c r="H263" s="46" t="s">
        <v>61</v>
      </c>
      <c r="I263" s="46">
        <v>3</v>
      </c>
      <c r="J263" s="2"/>
      <c r="K263" s="46" t="s">
        <v>61</v>
      </c>
      <c r="L263" s="46">
        <v>4</v>
      </c>
      <c r="N263" s="58" t="s">
        <v>61</v>
      </c>
      <c r="O263" s="58">
        <v>1</v>
      </c>
      <c r="Q263" s="58" t="s">
        <v>61</v>
      </c>
      <c r="R263" s="58">
        <v>2</v>
      </c>
      <c r="T263" s="58" t="s">
        <v>61</v>
      </c>
      <c r="U263" s="58">
        <v>3</v>
      </c>
      <c r="W263" s="61" t="s">
        <v>61</v>
      </c>
      <c r="X263" s="61">
        <v>1</v>
      </c>
      <c r="Y263" s="2"/>
      <c r="Z263" s="61" t="s">
        <v>61</v>
      </c>
      <c r="AA263" s="61">
        <v>2</v>
      </c>
      <c r="AC263" s="61" t="s">
        <v>61</v>
      </c>
      <c r="AD263" s="61">
        <v>3</v>
      </c>
    </row>
    <row r="264" spans="2:30" x14ac:dyDescent="0.25">
      <c r="B264" s="46" t="s">
        <v>62</v>
      </c>
      <c r="C264" s="46">
        <v>3</v>
      </c>
      <c r="D264" s="2"/>
      <c r="E264" s="46" t="s">
        <v>62</v>
      </c>
      <c r="F264" s="46">
        <v>4</v>
      </c>
      <c r="H264" s="46" t="s">
        <v>62</v>
      </c>
      <c r="I264" s="46">
        <v>2</v>
      </c>
      <c r="J264" s="2"/>
      <c r="K264" s="46" t="s">
        <v>62</v>
      </c>
      <c r="L264" s="46">
        <v>1</v>
      </c>
      <c r="N264" s="58" t="s">
        <v>62</v>
      </c>
      <c r="O264" s="58">
        <v>2</v>
      </c>
      <c r="Q264" s="58" t="s">
        <v>62</v>
      </c>
      <c r="R264" s="58">
        <v>3</v>
      </c>
      <c r="T264" s="58" t="s">
        <v>62</v>
      </c>
      <c r="U264" s="58">
        <v>5</v>
      </c>
      <c r="W264" s="61" t="s">
        <v>62</v>
      </c>
      <c r="X264" s="61">
        <v>5</v>
      </c>
      <c r="Y264" s="2"/>
      <c r="Z264" s="61" t="s">
        <v>62</v>
      </c>
      <c r="AA264" s="61">
        <v>3</v>
      </c>
      <c r="AC264" s="61" t="s">
        <v>62</v>
      </c>
      <c r="AD264" s="61">
        <v>6</v>
      </c>
    </row>
    <row r="265" spans="2:30" x14ac:dyDescent="0.25">
      <c r="B265" s="46" t="s">
        <v>64</v>
      </c>
      <c r="C265" s="46">
        <v>5</v>
      </c>
      <c r="D265" s="2"/>
      <c r="E265" s="46" t="s">
        <v>64</v>
      </c>
      <c r="F265" s="46">
        <v>6</v>
      </c>
      <c r="H265" s="46" t="s">
        <v>64</v>
      </c>
      <c r="I265" s="46">
        <v>7</v>
      </c>
      <c r="J265" s="2"/>
      <c r="K265" s="46" t="s">
        <v>64</v>
      </c>
      <c r="L265" s="46">
        <v>8</v>
      </c>
      <c r="N265" s="58" t="s">
        <v>64</v>
      </c>
      <c r="O265" s="58">
        <v>7</v>
      </c>
      <c r="Q265" s="58" t="s">
        <v>64</v>
      </c>
      <c r="R265" s="58">
        <v>8</v>
      </c>
      <c r="T265" s="58" t="s">
        <v>64</v>
      </c>
      <c r="U265" s="58">
        <v>6</v>
      </c>
      <c r="W265" s="61" t="s">
        <v>64</v>
      </c>
      <c r="X265" s="61">
        <v>6</v>
      </c>
      <c r="Y265" s="2"/>
      <c r="Z265" s="61" t="s">
        <v>64</v>
      </c>
      <c r="AA265" s="61">
        <v>5</v>
      </c>
      <c r="AC265" s="61" t="s">
        <v>64</v>
      </c>
      <c r="AD265" s="61">
        <v>9</v>
      </c>
    </row>
    <row r="266" spans="2:30" x14ac:dyDescent="0.25">
      <c r="B266" s="46" t="s">
        <v>66</v>
      </c>
      <c r="C266" s="46">
        <v>7</v>
      </c>
      <c r="D266" s="2"/>
      <c r="E266" s="46" t="s">
        <v>66</v>
      </c>
      <c r="F266" s="46">
        <v>8</v>
      </c>
      <c r="H266" s="46" t="s">
        <v>66</v>
      </c>
      <c r="I266" s="46">
        <v>6</v>
      </c>
      <c r="J266" s="2"/>
      <c r="K266" s="46" t="s">
        <v>66</v>
      </c>
      <c r="L266" s="46">
        <v>5</v>
      </c>
      <c r="N266" s="58" t="s">
        <v>66</v>
      </c>
      <c r="O266" s="58">
        <v>8</v>
      </c>
      <c r="Q266" s="58" t="s">
        <v>66</v>
      </c>
      <c r="R266" s="58">
        <v>9</v>
      </c>
      <c r="T266" s="58" t="s">
        <v>66</v>
      </c>
      <c r="U266" s="58">
        <v>9</v>
      </c>
      <c r="W266" s="61" t="s">
        <v>66</v>
      </c>
      <c r="X266" s="61">
        <v>11</v>
      </c>
      <c r="Y266" s="2"/>
      <c r="Z266" s="61" t="s">
        <v>66</v>
      </c>
      <c r="AA266" s="61">
        <v>12</v>
      </c>
      <c r="AC266" s="61" t="s">
        <v>66</v>
      </c>
      <c r="AD266" s="61">
        <v>11</v>
      </c>
    </row>
    <row r="267" spans="2:30" x14ac:dyDescent="0.25">
      <c r="B267" s="46" t="s">
        <v>68</v>
      </c>
      <c r="C267" s="46">
        <v>9</v>
      </c>
      <c r="D267" s="2"/>
      <c r="E267" s="46" t="s">
        <v>68</v>
      </c>
      <c r="F267" s="46">
        <v>10</v>
      </c>
      <c r="H267" s="46" t="s">
        <v>68</v>
      </c>
      <c r="I267" s="46">
        <v>11</v>
      </c>
      <c r="J267" s="2"/>
      <c r="K267" s="46" t="s">
        <v>68</v>
      </c>
      <c r="L267" s="46">
        <v>12</v>
      </c>
      <c r="N267" s="58" t="s">
        <v>68</v>
      </c>
      <c r="O267" s="58">
        <v>11</v>
      </c>
      <c r="Q267" s="58" t="s">
        <v>68</v>
      </c>
      <c r="R267" s="58">
        <v>12</v>
      </c>
      <c r="T267" s="58" t="s">
        <v>68</v>
      </c>
      <c r="U267" s="58">
        <v>1</v>
      </c>
      <c r="W267" s="61" t="s">
        <v>68</v>
      </c>
      <c r="X267" s="61">
        <v>12</v>
      </c>
      <c r="Z267" s="61" t="s">
        <v>68</v>
      </c>
      <c r="AA267" s="61">
        <v>13</v>
      </c>
    </row>
    <row r="268" spans="2:30" x14ac:dyDescent="0.25">
      <c r="B268" s="46" t="s">
        <v>69</v>
      </c>
      <c r="C268" s="46">
        <v>11</v>
      </c>
      <c r="D268" s="2"/>
      <c r="E268" s="46" t="s">
        <v>69</v>
      </c>
      <c r="F268" s="46">
        <v>12</v>
      </c>
      <c r="H268" s="46" t="s">
        <v>69</v>
      </c>
      <c r="I268" s="46">
        <v>10</v>
      </c>
      <c r="J268" s="2"/>
      <c r="K268" s="46" t="s">
        <v>69</v>
      </c>
      <c r="L268" s="46">
        <v>9</v>
      </c>
      <c r="N268" s="58" t="s">
        <v>69</v>
      </c>
      <c r="O268" s="58">
        <v>13</v>
      </c>
    </row>
    <row r="269" spans="2:30" x14ac:dyDescent="0.25">
      <c r="B269" s="46" t="s">
        <v>70</v>
      </c>
      <c r="C269" s="46">
        <v>13</v>
      </c>
      <c r="D269" s="2"/>
      <c r="E269" s="46" t="s">
        <v>70</v>
      </c>
      <c r="F269" s="46">
        <v>13</v>
      </c>
      <c r="H269" s="2"/>
      <c r="I269" s="2"/>
      <c r="J269" s="2"/>
      <c r="W269" s="61" t="s">
        <v>61</v>
      </c>
      <c r="X269" s="61">
        <v>4</v>
      </c>
      <c r="Y269" s="2"/>
      <c r="Z269" s="61" t="s">
        <v>61</v>
      </c>
      <c r="AA269" s="61">
        <v>1</v>
      </c>
      <c r="AC269" s="61" t="s">
        <v>61</v>
      </c>
      <c r="AD269" s="61">
        <v>2</v>
      </c>
    </row>
    <row r="270" spans="2:30" x14ac:dyDescent="0.25">
      <c r="W270" s="61" t="s">
        <v>62</v>
      </c>
      <c r="X270" s="61">
        <v>7</v>
      </c>
      <c r="Y270" s="2"/>
      <c r="Z270" s="61" t="s">
        <v>62</v>
      </c>
      <c r="AA270" s="61">
        <v>4</v>
      </c>
      <c r="AC270" s="61" t="s">
        <v>62</v>
      </c>
      <c r="AD270" s="61">
        <v>8</v>
      </c>
    </row>
    <row r="271" spans="2:30" x14ac:dyDescent="0.25">
      <c r="N271" s="58" t="s">
        <v>61</v>
      </c>
      <c r="O271" s="58">
        <v>4</v>
      </c>
      <c r="P271" s="2"/>
      <c r="Q271" s="58" t="s">
        <v>61</v>
      </c>
      <c r="R271" s="58">
        <v>1</v>
      </c>
      <c r="W271" s="61" t="s">
        <v>64</v>
      </c>
      <c r="X271" s="61">
        <v>8</v>
      </c>
      <c r="Y271" s="2"/>
      <c r="Z271" s="61" t="s">
        <v>64</v>
      </c>
      <c r="AA271" s="61">
        <v>7</v>
      </c>
      <c r="AC271" s="61" t="s">
        <v>64</v>
      </c>
      <c r="AD271" s="61">
        <v>10</v>
      </c>
    </row>
    <row r="272" spans="2:30" x14ac:dyDescent="0.25">
      <c r="N272" s="58" t="s">
        <v>62</v>
      </c>
      <c r="O272" s="58">
        <v>6</v>
      </c>
      <c r="P272" s="2"/>
      <c r="Q272" s="58" t="s">
        <v>62</v>
      </c>
      <c r="R272" s="58">
        <v>4</v>
      </c>
      <c r="W272" s="61" t="s">
        <v>66</v>
      </c>
      <c r="X272" s="61">
        <v>10</v>
      </c>
      <c r="Y272" s="2"/>
      <c r="Z272" s="61" t="s">
        <v>66</v>
      </c>
      <c r="AA272" s="61">
        <v>9</v>
      </c>
      <c r="AC272" s="61" t="s">
        <v>66</v>
      </c>
      <c r="AD272" s="61">
        <v>13</v>
      </c>
    </row>
    <row r="273" spans="2:30" x14ac:dyDescent="0.25">
      <c r="N273" s="58" t="s">
        <v>64</v>
      </c>
      <c r="O273" s="58">
        <v>5</v>
      </c>
      <c r="P273" s="2"/>
      <c r="Q273" s="58" t="s">
        <v>64</v>
      </c>
      <c r="R273" s="58">
        <v>7</v>
      </c>
    </row>
    <row r="274" spans="2:30" x14ac:dyDescent="0.25">
      <c r="N274" s="58" t="s">
        <v>66</v>
      </c>
      <c r="O274" s="58">
        <v>10</v>
      </c>
      <c r="P274" s="2"/>
      <c r="Q274" s="58" t="s">
        <v>66</v>
      </c>
      <c r="R274" s="58">
        <v>10</v>
      </c>
    </row>
    <row r="275" spans="2:30" x14ac:dyDescent="0.25">
      <c r="N275" s="58" t="s">
        <v>68</v>
      </c>
      <c r="O275" s="58">
        <v>12</v>
      </c>
      <c r="P275" s="2"/>
      <c r="Q275" s="58" t="s">
        <v>68</v>
      </c>
      <c r="R275" s="58">
        <v>13</v>
      </c>
    </row>
    <row r="277" spans="2:30" ht="26.25" x14ac:dyDescent="0.25">
      <c r="B277" s="112" t="s">
        <v>113</v>
      </c>
      <c r="C277" s="112"/>
      <c r="D277" s="112"/>
      <c r="E277" s="112"/>
      <c r="F277" s="112"/>
      <c r="G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</row>
    <row r="279" spans="2:30" x14ac:dyDescent="0.25">
      <c r="B279" s="46" t="s">
        <v>61</v>
      </c>
      <c r="C279" s="46">
        <v>1</v>
      </c>
      <c r="D279" s="2"/>
      <c r="E279" s="46" t="s">
        <v>61</v>
      </c>
      <c r="F279" s="46">
        <v>2</v>
      </c>
      <c r="H279" s="46" t="s">
        <v>61</v>
      </c>
      <c r="I279" s="46">
        <v>3</v>
      </c>
      <c r="J279" s="2"/>
      <c r="K279" s="46" t="s">
        <v>61</v>
      </c>
      <c r="L279" s="46">
        <v>4</v>
      </c>
      <c r="N279" s="58" t="s">
        <v>61</v>
      </c>
      <c r="O279" s="58">
        <v>1</v>
      </c>
      <c r="P279" s="2"/>
      <c r="Q279" s="58" t="s">
        <v>61</v>
      </c>
      <c r="R279" s="58">
        <v>2</v>
      </c>
      <c r="T279" s="58" t="s">
        <v>61</v>
      </c>
      <c r="U279" s="58">
        <v>3</v>
      </c>
      <c r="W279" s="61" t="s">
        <v>61</v>
      </c>
      <c r="X279" s="61">
        <v>1</v>
      </c>
      <c r="Y279" s="2"/>
      <c r="Z279" s="61" t="s">
        <v>61</v>
      </c>
      <c r="AA279" s="61">
        <v>2</v>
      </c>
      <c r="AC279" s="61" t="s">
        <v>61</v>
      </c>
      <c r="AD279" s="61">
        <v>3</v>
      </c>
    </row>
    <row r="280" spans="2:30" x14ac:dyDescent="0.25">
      <c r="B280" s="46" t="s">
        <v>62</v>
      </c>
      <c r="C280" s="46">
        <v>4</v>
      </c>
      <c r="D280" s="2"/>
      <c r="E280" s="46" t="s">
        <v>62</v>
      </c>
      <c r="F280" s="46">
        <v>1</v>
      </c>
      <c r="H280" s="46" t="s">
        <v>62</v>
      </c>
      <c r="I280" s="46">
        <v>2</v>
      </c>
      <c r="J280" s="2"/>
      <c r="K280" s="46" t="s">
        <v>62</v>
      </c>
      <c r="L280" s="46">
        <v>3</v>
      </c>
      <c r="N280" s="58" t="s">
        <v>62</v>
      </c>
      <c r="O280" s="58">
        <v>2</v>
      </c>
      <c r="P280" s="2"/>
      <c r="Q280" s="58" t="s">
        <v>62</v>
      </c>
      <c r="R280" s="58">
        <v>3</v>
      </c>
      <c r="T280" s="58" t="s">
        <v>62</v>
      </c>
      <c r="U280" s="58">
        <v>5</v>
      </c>
      <c r="W280" s="61" t="s">
        <v>62</v>
      </c>
      <c r="X280" s="61">
        <v>5</v>
      </c>
      <c r="Y280" s="2"/>
      <c r="Z280" s="61" t="s">
        <v>62</v>
      </c>
      <c r="AA280" s="61">
        <v>3</v>
      </c>
      <c r="AC280" s="61" t="s">
        <v>62</v>
      </c>
      <c r="AD280" s="61">
        <v>6</v>
      </c>
    </row>
    <row r="281" spans="2:30" x14ac:dyDescent="0.25">
      <c r="B281" s="46" t="s">
        <v>64</v>
      </c>
      <c r="C281" s="46">
        <v>5</v>
      </c>
      <c r="D281" s="2"/>
      <c r="E281" s="46" t="s">
        <v>64</v>
      </c>
      <c r="F281" s="46">
        <v>6</v>
      </c>
      <c r="H281" s="46" t="s">
        <v>64</v>
      </c>
      <c r="I281" s="46">
        <v>7</v>
      </c>
      <c r="J281" s="2"/>
      <c r="K281" s="46" t="s">
        <v>64</v>
      </c>
      <c r="L281" s="46">
        <v>8</v>
      </c>
      <c r="N281" s="58" t="s">
        <v>64</v>
      </c>
      <c r="O281" s="58">
        <v>7</v>
      </c>
      <c r="P281" s="2"/>
      <c r="Q281" s="58" t="s">
        <v>64</v>
      </c>
      <c r="R281" s="58">
        <v>8</v>
      </c>
      <c r="T281" s="58" t="s">
        <v>64</v>
      </c>
      <c r="U281" s="58">
        <v>6</v>
      </c>
      <c r="W281" s="61" t="s">
        <v>64</v>
      </c>
      <c r="X281" s="61">
        <v>6</v>
      </c>
      <c r="Y281" s="2"/>
      <c r="Z281" s="61" t="s">
        <v>64</v>
      </c>
      <c r="AA281" s="61">
        <v>5</v>
      </c>
      <c r="AC281" s="61" t="s">
        <v>64</v>
      </c>
      <c r="AD281" s="61">
        <v>9</v>
      </c>
    </row>
    <row r="282" spans="2:30" x14ac:dyDescent="0.25">
      <c r="B282" s="46" t="s">
        <v>66</v>
      </c>
      <c r="C282" s="46">
        <v>8</v>
      </c>
      <c r="D282" s="2"/>
      <c r="E282" s="46" t="s">
        <v>66</v>
      </c>
      <c r="F282" s="46">
        <v>5</v>
      </c>
      <c r="H282" s="46" t="s">
        <v>66</v>
      </c>
      <c r="I282" s="46">
        <v>6</v>
      </c>
      <c r="J282" s="2"/>
      <c r="K282" s="46" t="s">
        <v>66</v>
      </c>
      <c r="L282" s="46">
        <v>7</v>
      </c>
      <c r="N282" s="58" t="s">
        <v>66</v>
      </c>
      <c r="O282" s="58">
        <v>8</v>
      </c>
      <c r="P282" s="2"/>
      <c r="Q282" s="58" t="s">
        <v>66</v>
      </c>
      <c r="R282" s="58">
        <v>9</v>
      </c>
      <c r="T282" s="58" t="s">
        <v>66</v>
      </c>
      <c r="U282" s="58">
        <v>9</v>
      </c>
      <c r="W282" s="61" t="s">
        <v>66</v>
      </c>
      <c r="X282" s="61">
        <v>11</v>
      </c>
      <c r="Y282" s="2"/>
      <c r="Z282" s="61" t="s">
        <v>66</v>
      </c>
      <c r="AA282" s="61">
        <v>12</v>
      </c>
      <c r="AC282" s="61" t="s">
        <v>66</v>
      </c>
      <c r="AD282" s="61">
        <v>11</v>
      </c>
    </row>
    <row r="283" spans="2:30" x14ac:dyDescent="0.25">
      <c r="B283" s="46" t="s">
        <v>68</v>
      </c>
      <c r="C283" s="46">
        <v>9</v>
      </c>
      <c r="D283" s="2"/>
      <c r="E283" s="46" t="s">
        <v>68</v>
      </c>
      <c r="F283" s="46">
        <v>10</v>
      </c>
      <c r="H283" s="46" t="s">
        <v>68</v>
      </c>
      <c r="I283" s="46">
        <v>11</v>
      </c>
      <c r="J283" s="2"/>
      <c r="K283" s="46" t="s">
        <v>68</v>
      </c>
      <c r="L283" s="46">
        <v>12</v>
      </c>
      <c r="N283" s="58" t="s">
        <v>68</v>
      </c>
      <c r="O283" s="58">
        <v>11</v>
      </c>
      <c r="P283" s="2"/>
      <c r="Q283" s="58" t="s">
        <v>68</v>
      </c>
      <c r="R283" s="58">
        <v>12</v>
      </c>
      <c r="T283" s="58" t="s">
        <v>68</v>
      </c>
      <c r="U283" s="58">
        <v>11</v>
      </c>
      <c r="W283" s="61" t="s">
        <v>68</v>
      </c>
      <c r="X283" s="61">
        <v>12</v>
      </c>
      <c r="Y283" s="2"/>
      <c r="Z283" s="61" t="s">
        <v>68</v>
      </c>
      <c r="AA283" s="61">
        <v>13</v>
      </c>
      <c r="AC283" s="61" t="s">
        <v>73</v>
      </c>
      <c r="AD283" s="61">
        <v>14</v>
      </c>
    </row>
    <row r="284" spans="2:30" x14ac:dyDescent="0.25">
      <c r="B284" s="46" t="s">
        <v>69</v>
      </c>
      <c r="C284" s="46">
        <v>12</v>
      </c>
      <c r="D284" s="2"/>
      <c r="E284" s="46" t="s">
        <v>69</v>
      </c>
      <c r="F284" s="46">
        <v>9</v>
      </c>
      <c r="H284" s="46" t="s">
        <v>69</v>
      </c>
      <c r="I284" s="46">
        <v>10</v>
      </c>
      <c r="J284" s="2"/>
      <c r="K284" s="46" t="s">
        <v>69</v>
      </c>
      <c r="L284" s="46">
        <v>11</v>
      </c>
      <c r="N284" s="58" t="s">
        <v>69</v>
      </c>
      <c r="O284" s="58">
        <v>12</v>
      </c>
      <c r="P284" s="2"/>
      <c r="Q284" s="58" t="s">
        <v>69</v>
      </c>
      <c r="R284" s="58">
        <v>13</v>
      </c>
    </row>
    <row r="285" spans="2:30" x14ac:dyDescent="0.25">
      <c r="B285" s="46" t="s">
        <v>70</v>
      </c>
      <c r="C285" s="46">
        <v>13</v>
      </c>
      <c r="D285" s="2"/>
      <c r="E285" s="46" t="s">
        <v>98</v>
      </c>
      <c r="F285" s="46">
        <v>14</v>
      </c>
      <c r="H285" s="46" t="s">
        <v>70</v>
      </c>
      <c r="I285" s="46">
        <v>13</v>
      </c>
      <c r="J285" s="2"/>
      <c r="K285" s="2"/>
      <c r="L285" s="2"/>
    </row>
    <row r="287" spans="2:30" x14ac:dyDescent="0.25">
      <c r="N287" s="58" t="s">
        <v>61</v>
      </c>
      <c r="O287" s="58">
        <v>4</v>
      </c>
      <c r="P287" s="2"/>
      <c r="Q287" s="58" t="s">
        <v>61</v>
      </c>
      <c r="R287" s="58">
        <v>1</v>
      </c>
      <c r="W287" s="61" t="s">
        <v>61</v>
      </c>
      <c r="X287" s="61">
        <v>4</v>
      </c>
      <c r="Y287" s="2"/>
      <c r="Z287" s="61" t="s">
        <v>61</v>
      </c>
      <c r="AA287" s="61">
        <v>1</v>
      </c>
      <c r="AC287" s="61" t="s">
        <v>61</v>
      </c>
      <c r="AD287" s="61">
        <v>2</v>
      </c>
    </row>
    <row r="288" spans="2:30" x14ac:dyDescent="0.25">
      <c r="N288" s="58" t="s">
        <v>62</v>
      </c>
      <c r="O288" s="58">
        <v>6</v>
      </c>
      <c r="P288" s="2"/>
      <c r="Q288" s="58" t="s">
        <v>62</v>
      </c>
      <c r="R288" s="58">
        <v>4</v>
      </c>
      <c r="W288" s="61" t="s">
        <v>62</v>
      </c>
      <c r="X288" s="61">
        <v>7</v>
      </c>
      <c r="Y288" s="2"/>
      <c r="Z288" s="61" t="s">
        <v>62</v>
      </c>
      <c r="AA288" s="61">
        <v>4</v>
      </c>
      <c r="AC288" s="61" t="s">
        <v>62</v>
      </c>
      <c r="AD288" s="61">
        <v>8</v>
      </c>
    </row>
    <row r="289" spans="2:30" x14ac:dyDescent="0.25">
      <c r="N289" s="58" t="s">
        <v>64</v>
      </c>
      <c r="O289" s="58">
        <v>5</v>
      </c>
      <c r="P289" s="2"/>
      <c r="Q289" s="58" t="s">
        <v>64</v>
      </c>
      <c r="R289" s="58">
        <v>7</v>
      </c>
      <c r="W289" s="61" t="s">
        <v>64</v>
      </c>
      <c r="X289" s="61">
        <v>8</v>
      </c>
      <c r="Y289" s="2"/>
      <c r="Z289" s="61" t="s">
        <v>64</v>
      </c>
      <c r="AA289" s="61">
        <v>7</v>
      </c>
      <c r="AC289" s="61" t="s">
        <v>64</v>
      </c>
      <c r="AD289" s="61">
        <v>10</v>
      </c>
    </row>
    <row r="290" spans="2:30" x14ac:dyDescent="0.25">
      <c r="N290" s="58" t="s">
        <v>66</v>
      </c>
      <c r="O290" s="58">
        <v>10</v>
      </c>
      <c r="P290" s="2"/>
      <c r="Q290" s="58" t="s">
        <v>66</v>
      </c>
      <c r="R290" s="58">
        <v>10</v>
      </c>
      <c r="W290" s="61" t="s">
        <v>66</v>
      </c>
      <c r="X290" s="61">
        <v>10</v>
      </c>
      <c r="Y290" s="2"/>
      <c r="Z290" s="61" t="s">
        <v>66</v>
      </c>
      <c r="AA290" s="61">
        <v>9</v>
      </c>
      <c r="AC290" s="61" t="s">
        <v>66</v>
      </c>
      <c r="AD290" s="61">
        <v>13</v>
      </c>
    </row>
    <row r="291" spans="2:30" x14ac:dyDescent="0.25">
      <c r="N291" s="58" t="s">
        <v>68</v>
      </c>
      <c r="O291" s="58">
        <v>13</v>
      </c>
      <c r="P291" s="2"/>
      <c r="Q291" s="58" t="s">
        <v>73</v>
      </c>
      <c r="R291" s="58">
        <v>14</v>
      </c>
    </row>
    <row r="294" spans="2:30" ht="26.25" x14ac:dyDescent="0.25">
      <c r="B294" s="112" t="s">
        <v>114</v>
      </c>
      <c r="C294" s="112"/>
      <c r="D294" s="112"/>
      <c r="E294" s="112"/>
      <c r="F294" s="112"/>
      <c r="G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</row>
    <row r="296" spans="2:30" x14ac:dyDescent="0.25">
      <c r="B296" s="46" t="s">
        <v>61</v>
      </c>
      <c r="C296" s="46">
        <v>1</v>
      </c>
      <c r="D296" s="2"/>
      <c r="E296" s="46" t="s">
        <v>61</v>
      </c>
      <c r="F296" s="46">
        <v>2</v>
      </c>
      <c r="H296" s="46" t="s">
        <v>61</v>
      </c>
      <c r="I296" s="46">
        <v>3</v>
      </c>
      <c r="J296" s="2"/>
      <c r="K296" s="46" t="s">
        <v>61</v>
      </c>
      <c r="L296" s="46">
        <v>4</v>
      </c>
      <c r="N296" s="58" t="s">
        <v>61</v>
      </c>
      <c r="O296" s="58">
        <v>1</v>
      </c>
      <c r="P296" s="2"/>
      <c r="Q296" s="58" t="s">
        <v>61</v>
      </c>
      <c r="R296" s="58">
        <v>2</v>
      </c>
      <c r="T296" s="58" t="s">
        <v>61</v>
      </c>
      <c r="U296" s="58">
        <v>3</v>
      </c>
      <c r="W296" s="61" t="s">
        <v>61</v>
      </c>
      <c r="X296" s="61">
        <v>1</v>
      </c>
      <c r="Y296" s="2"/>
      <c r="Z296" s="61" t="s">
        <v>61</v>
      </c>
      <c r="AA296" s="61">
        <v>2</v>
      </c>
      <c r="AC296" s="61" t="s">
        <v>61</v>
      </c>
      <c r="AD296" s="61">
        <v>3</v>
      </c>
    </row>
    <row r="297" spans="2:30" x14ac:dyDescent="0.25">
      <c r="B297" s="46" t="s">
        <v>62</v>
      </c>
      <c r="C297" s="46">
        <v>4</v>
      </c>
      <c r="D297" s="2"/>
      <c r="E297" s="46" t="s">
        <v>62</v>
      </c>
      <c r="F297" s="46">
        <v>1</v>
      </c>
      <c r="H297" s="46" t="s">
        <v>62</v>
      </c>
      <c r="I297" s="46">
        <v>2</v>
      </c>
      <c r="J297" s="2"/>
      <c r="K297" s="46" t="s">
        <v>62</v>
      </c>
      <c r="L297" s="46">
        <v>3</v>
      </c>
      <c r="N297" s="58" t="s">
        <v>62</v>
      </c>
      <c r="O297" s="58">
        <v>2</v>
      </c>
      <c r="P297" s="2"/>
      <c r="Q297" s="58" t="s">
        <v>62</v>
      </c>
      <c r="R297" s="58">
        <v>3</v>
      </c>
      <c r="T297" s="58" t="s">
        <v>62</v>
      </c>
      <c r="U297" s="58">
        <v>5</v>
      </c>
      <c r="W297" s="61" t="s">
        <v>62</v>
      </c>
      <c r="X297" s="61">
        <v>5</v>
      </c>
      <c r="Y297" s="2"/>
      <c r="Z297" s="61" t="s">
        <v>62</v>
      </c>
      <c r="AA297" s="61">
        <v>3</v>
      </c>
      <c r="AC297" s="61" t="s">
        <v>62</v>
      </c>
      <c r="AD297" s="61">
        <v>6</v>
      </c>
    </row>
    <row r="298" spans="2:30" x14ac:dyDescent="0.25">
      <c r="B298" s="46" t="s">
        <v>64</v>
      </c>
      <c r="C298" s="46">
        <v>5</v>
      </c>
      <c r="D298" s="2"/>
      <c r="E298" s="46" t="s">
        <v>64</v>
      </c>
      <c r="F298" s="46">
        <v>6</v>
      </c>
      <c r="H298" s="46" t="s">
        <v>64</v>
      </c>
      <c r="I298" s="46">
        <v>7</v>
      </c>
      <c r="J298" s="2"/>
      <c r="K298" s="46" t="s">
        <v>64</v>
      </c>
      <c r="L298" s="46">
        <v>8</v>
      </c>
      <c r="N298" s="58" t="s">
        <v>64</v>
      </c>
      <c r="O298" s="58">
        <v>7</v>
      </c>
      <c r="P298" s="2"/>
      <c r="Q298" s="58" t="s">
        <v>64</v>
      </c>
      <c r="R298" s="58">
        <v>8</v>
      </c>
      <c r="T298" s="58" t="s">
        <v>64</v>
      </c>
      <c r="U298" s="58">
        <v>6</v>
      </c>
      <c r="W298" s="61" t="s">
        <v>64</v>
      </c>
      <c r="X298" s="61">
        <v>6</v>
      </c>
      <c r="Y298" s="2"/>
      <c r="Z298" s="61" t="s">
        <v>64</v>
      </c>
      <c r="AA298" s="61">
        <v>5</v>
      </c>
      <c r="AC298" s="61" t="s">
        <v>64</v>
      </c>
      <c r="AD298" s="61">
        <v>9</v>
      </c>
    </row>
    <row r="299" spans="2:30" x14ac:dyDescent="0.25">
      <c r="B299" s="46" t="s">
        <v>66</v>
      </c>
      <c r="C299" s="46">
        <v>8</v>
      </c>
      <c r="D299" s="2"/>
      <c r="E299" s="46" t="s">
        <v>66</v>
      </c>
      <c r="F299" s="46">
        <v>5</v>
      </c>
      <c r="H299" s="46" t="s">
        <v>66</v>
      </c>
      <c r="I299" s="46">
        <v>6</v>
      </c>
      <c r="J299" s="2"/>
      <c r="K299" s="46" t="s">
        <v>66</v>
      </c>
      <c r="L299" s="46">
        <v>7</v>
      </c>
      <c r="N299" s="58" t="s">
        <v>66</v>
      </c>
      <c r="O299" s="58">
        <v>8</v>
      </c>
      <c r="P299" s="2"/>
      <c r="Q299" s="58" t="s">
        <v>66</v>
      </c>
      <c r="R299" s="58">
        <v>9</v>
      </c>
      <c r="T299" s="58" t="s">
        <v>66</v>
      </c>
      <c r="U299" s="58">
        <v>9</v>
      </c>
      <c r="W299" s="61" t="s">
        <v>66</v>
      </c>
      <c r="X299" s="61">
        <v>11</v>
      </c>
      <c r="Y299" s="2"/>
      <c r="Z299" s="61" t="s">
        <v>66</v>
      </c>
      <c r="AA299" s="61">
        <v>12</v>
      </c>
      <c r="AC299" s="61" t="s">
        <v>66</v>
      </c>
      <c r="AD299" s="61">
        <v>11</v>
      </c>
    </row>
    <row r="300" spans="2:30" x14ac:dyDescent="0.25">
      <c r="B300" s="46" t="s">
        <v>68</v>
      </c>
      <c r="C300" s="46">
        <v>9</v>
      </c>
      <c r="D300" s="2"/>
      <c r="E300" s="46" t="s">
        <v>68</v>
      </c>
      <c r="F300" s="46">
        <v>10</v>
      </c>
      <c r="H300" s="46" t="s">
        <v>68</v>
      </c>
      <c r="I300" s="46">
        <v>11</v>
      </c>
      <c r="J300" s="2"/>
      <c r="K300" s="46" t="s">
        <v>68</v>
      </c>
      <c r="L300" s="46">
        <v>12</v>
      </c>
      <c r="N300" s="58" t="s">
        <v>68</v>
      </c>
      <c r="O300" s="58">
        <v>11</v>
      </c>
      <c r="P300" s="2"/>
      <c r="Q300" s="58" t="s">
        <v>68</v>
      </c>
      <c r="R300" s="58">
        <v>12</v>
      </c>
      <c r="T300" s="58" t="s">
        <v>68</v>
      </c>
      <c r="U300" s="58">
        <v>11</v>
      </c>
      <c r="W300" s="61" t="s">
        <v>68</v>
      </c>
      <c r="X300" s="61">
        <v>12</v>
      </c>
      <c r="Y300" s="2"/>
      <c r="Z300" s="61" t="s">
        <v>68</v>
      </c>
      <c r="AA300" s="61">
        <v>13</v>
      </c>
      <c r="AC300" s="61" t="s">
        <v>68</v>
      </c>
      <c r="AD300" s="61">
        <v>14</v>
      </c>
    </row>
    <row r="301" spans="2:30" x14ac:dyDescent="0.25">
      <c r="B301" s="46" t="s">
        <v>69</v>
      </c>
      <c r="C301" s="46">
        <v>12</v>
      </c>
      <c r="D301" s="2"/>
      <c r="E301" s="46" t="s">
        <v>69</v>
      </c>
      <c r="F301" s="46">
        <v>9</v>
      </c>
      <c r="H301" s="46" t="s">
        <v>69</v>
      </c>
      <c r="I301" s="46">
        <v>10</v>
      </c>
      <c r="J301" s="2"/>
      <c r="K301" s="46" t="s">
        <v>69</v>
      </c>
      <c r="L301" s="46">
        <v>11</v>
      </c>
      <c r="N301" s="58" t="s">
        <v>69</v>
      </c>
      <c r="O301" s="58">
        <v>12</v>
      </c>
      <c r="P301" s="2"/>
      <c r="Q301" s="58" t="s">
        <v>69</v>
      </c>
      <c r="R301" s="58">
        <v>13</v>
      </c>
      <c r="T301" s="58" t="s">
        <v>69</v>
      </c>
      <c r="U301" s="58">
        <v>14</v>
      </c>
    </row>
    <row r="302" spans="2:30" x14ac:dyDescent="0.25">
      <c r="B302" s="46" t="s">
        <v>70</v>
      </c>
      <c r="C302" s="46">
        <v>13</v>
      </c>
      <c r="D302" s="2"/>
      <c r="E302" s="46" t="s">
        <v>70</v>
      </c>
      <c r="F302" s="46">
        <v>14</v>
      </c>
      <c r="H302" s="46" t="s">
        <v>70</v>
      </c>
      <c r="I302" s="46">
        <v>13</v>
      </c>
      <c r="J302" s="2"/>
      <c r="K302" s="46" t="s">
        <v>70</v>
      </c>
      <c r="L302" s="46">
        <v>14</v>
      </c>
    </row>
    <row r="304" spans="2:30" x14ac:dyDescent="0.25">
      <c r="N304" s="58" t="s">
        <v>61</v>
      </c>
      <c r="O304" s="58">
        <v>4</v>
      </c>
      <c r="P304" s="2"/>
      <c r="Q304" s="58" t="s">
        <v>61</v>
      </c>
      <c r="R304" s="58">
        <v>1</v>
      </c>
      <c r="W304" s="61" t="s">
        <v>61</v>
      </c>
      <c r="X304" s="61">
        <v>4</v>
      </c>
      <c r="Y304" s="2"/>
      <c r="Z304" s="61" t="s">
        <v>61</v>
      </c>
      <c r="AA304" s="61">
        <v>1</v>
      </c>
      <c r="AC304" s="61" t="s">
        <v>61</v>
      </c>
      <c r="AD304" s="61">
        <v>2</v>
      </c>
    </row>
    <row r="305" spans="2:30" x14ac:dyDescent="0.25">
      <c r="N305" s="58" t="s">
        <v>62</v>
      </c>
      <c r="O305" s="58">
        <v>6</v>
      </c>
      <c r="P305" s="2"/>
      <c r="Q305" s="58" t="s">
        <v>62</v>
      </c>
      <c r="R305" s="58">
        <v>4</v>
      </c>
      <c r="W305" s="61" t="s">
        <v>62</v>
      </c>
      <c r="X305" s="61">
        <v>7</v>
      </c>
      <c r="Y305" s="2"/>
      <c r="Z305" s="61" t="s">
        <v>62</v>
      </c>
      <c r="AA305" s="61">
        <v>4</v>
      </c>
      <c r="AC305" s="61" t="s">
        <v>62</v>
      </c>
      <c r="AD305" s="61">
        <v>8</v>
      </c>
    </row>
    <row r="306" spans="2:30" x14ac:dyDescent="0.25">
      <c r="N306" s="58" t="s">
        <v>64</v>
      </c>
      <c r="O306" s="58">
        <v>5</v>
      </c>
      <c r="P306" s="2"/>
      <c r="Q306" s="58" t="s">
        <v>64</v>
      </c>
      <c r="R306" s="58">
        <v>7</v>
      </c>
      <c r="W306" s="61" t="s">
        <v>64</v>
      </c>
      <c r="X306" s="61">
        <v>8</v>
      </c>
      <c r="Y306" s="2"/>
      <c r="Z306" s="61" t="s">
        <v>64</v>
      </c>
      <c r="AA306" s="61">
        <v>7</v>
      </c>
      <c r="AC306" s="61" t="s">
        <v>64</v>
      </c>
      <c r="AD306" s="61">
        <v>10</v>
      </c>
    </row>
    <row r="307" spans="2:30" x14ac:dyDescent="0.25">
      <c r="N307" s="58" t="s">
        <v>66</v>
      </c>
      <c r="O307" s="58">
        <v>10</v>
      </c>
      <c r="P307" s="2"/>
      <c r="Q307" s="58" t="s">
        <v>66</v>
      </c>
      <c r="R307" s="58">
        <v>10</v>
      </c>
      <c r="W307" s="61" t="s">
        <v>66</v>
      </c>
      <c r="X307" s="61">
        <v>10</v>
      </c>
      <c r="Y307" s="2"/>
      <c r="Z307" s="61" t="s">
        <v>66</v>
      </c>
      <c r="AA307" s="61">
        <v>9</v>
      </c>
      <c r="AC307" s="61" t="s">
        <v>66</v>
      </c>
      <c r="AD307" s="61">
        <v>13</v>
      </c>
    </row>
    <row r="308" spans="2:30" x14ac:dyDescent="0.25">
      <c r="N308" s="58" t="s">
        <v>68</v>
      </c>
      <c r="O308" s="58">
        <v>13</v>
      </c>
      <c r="P308" s="2"/>
      <c r="Q308" s="58" t="s">
        <v>68</v>
      </c>
      <c r="R308" s="58">
        <v>14</v>
      </c>
      <c r="W308" s="61" t="s">
        <v>68</v>
      </c>
      <c r="X308" s="61">
        <v>14</v>
      </c>
    </row>
    <row r="311" spans="2:30" ht="26.25" x14ac:dyDescent="0.25">
      <c r="B311" s="112" t="s">
        <v>115</v>
      </c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</row>
    <row r="313" spans="2:30" x14ac:dyDescent="0.25">
      <c r="B313" s="46" t="s">
        <v>61</v>
      </c>
      <c r="C313" s="46">
        <v>1</v>
      </c>
      <c r="D313" s="2"/>
      <c r="E313" s="46" t="s">
        <v>61</v>
      </c>
      <c r="F313" s="46">
        <v>2</v>
      </c>
      <c r="H313" s="46" t="s">
        <v>61</v>
      </c>
      <c r="I313" s="46">
        <v>3</v>
      </c>
      <c r="J313" s="2"/>
      <c r="K313" s="46" t="s">
        <v>61</v>
      </c>
      <c r="L313" s="46">
        <v>4</v>
      </c>
      <c r="N313" s="58" t="s">
        <v>61</v>
      </c>
      <c r="O313" s="58">
        <v>1</v>
      </c>
      <c r="P313" s="2"/>
      <c r="Q313" s="58" t="s">
        <v>61</v>
      </c>
      <c r="R313" s="58">
        <v>2</v>
      </c>
      <c r="S313" s="2"/>
      <c r="T313" s="58" t="s">
        <v>61</v>
      </c>
      <c r="U313" s="58">
        <v>3</v>
      </c>
      <c r="W313" s="61" t="s">
        <v>61</v>
      </c>
      <c r="X313" s="61">
        <v>1</v>
      </c>
      <c r="Y313" s="2"/>
      <c r="Z313" s="61" t="s">
        <v>61</v>
      </c>
      <c r="AA313" s="61">
        <v>2</v>
      </c>
      <c r="AC313" s="61" t="s">
        <v>61</v>
      </c>
      <c r="AD313" s="61">
        <v>3</v>
      </c>
    </row>
    <row r="314" spans="2:30" x14ac:dyDescent="0.25">
      <c r="B314" s="46" t="s">
        <v>62</v>
      </c>
      <c r="C314" s="46">
        <v>3</v>
      </c>
      <c r="D314" s="2"/>
      <c r="E314" s="46" t="s">
        <v>62</v>
      </c>
      <c r="F314" s="46">
        <v>4</v>
      </c>
      <c r="H314" s="46" t="s">
        <v>62</v>
      </c>
      <c r="I314" s="46">
        <v>2</v>
      </c>
      <c r="J314" s="2"/>
      <c r="K314" s="46" t="s">
        <v>62</v>
      </c>
      <c r="L314" s="46">
        <v>1</v>
      </c>
      <c r="N314" s="58" t="s">
        <v>62</v>
      </c>
      <c r="O314" s="58">
        <v>2</v>
      </c>
      <c r="P314" s="2"/>
      <c r="Q314" s="58" t="s">
        <v>62</v>
      </c>
      <c r="R314" s="58">
        <v>3</v>
      </c>
      <c r="S314" s="2"/>
      <c r="T314" s="58" t="s">
        <v>62</v>
      </c>
      <c r="U314" s="58">
        <v>5</v>
      </c>
      <c r="W314" s="61" t="s">
        <v>62</v>
      </c>
      <c r="X314" s="61">
        <v>5</v>
      </c>
      <c r="Y314" s="2"/>
      <c r="Z314" s="61" t="s">
        <v>62</v>
      </c>
      <c r="AA314" s="61">
        <v>3</v>
      </c>
      <c r="AC314" s="61" t="s">
        <v>62</v>
      </c>
      <c r="AD314" s="61">
        <v>6</v>
      </c>
    </row>
    <row r="315" spans="2:30" x14ac:dyDescent="0.25">
      <c r="B315" s="46" t="s">
        <v>64</v>
      </c>
      <c r="C315" s="46">
        <v>5</v>
      </c>
      <c r="D315" s="2"/>
      <c r="E315" s="46" t="s">
        <v>64</v>
      </c>
      <c r="F315" s="46">
        <v>6</v>
      </c>
      <c r="H315" s="46" t="s">
        <v>64</v>
      </c>
      <c r="I315" s="46">
        <v>7</v>
      </c>
      <c r="J315" s="2"/>
      <c r="K315" s="46" t="s">
        <v>64</v>
      </c>
      <c r="L315" s="46">
        <v>8</v>
      </c>
      <c r="N315" s="58" t="s">
        <v>64</v>
      </c>
      <c r="O315" s="58">
        <v>7</v>
      </c>
      <c r="P315" s="2"/>
      <c r="Q315" s="58" t="s">
        <v>64</v>
      </c>
      <c r="R315" s="58">
        <v>8</v>
      </c>
      <c r="S315" s="2"/>
      <c r="T315" s="58" t="s">
        <v>64</v>
      </c>
      <c r="U315" s="58">
        <v>6</v>
      </c>
      <c r="W315" s="61" t="s">
        <v>64</v>
      </c>
      <c r="X315" s="61">
        <v>6</v>
      </c>
      <c r="Y315" s="2"/>
      <c r="Z315" s="61" t="s">
        <v>64</v>
      </c>
      <c r="AA315" s="61">
        <v>5</v>
      </c>
      <c r="AC315" s="61" t="s">
        <v>64</v>
      </c>
      <c r="AD315" s="61">
        <v>9</v>
      </c>
    </row>
    <row r="316" spans="2:30" x14ac:dyDescent="0.25">
      <c r="B316" s="46" t="s">
        <v>66</v>
      </c>
      <c r="C316" s="46">
        <v>7</v>
      </c>
      <c r="D316" s="2"/>
      <c r="E316" s="46" t="s">
        <v>66</v>
      </c>
      <c r="F316" s="46">
        <v>8</v>
      </c>
      <c r="H316" s="46" t="s">
        <v>66</v>
      </c>
      <c r="I316" s="46">
        <v>6</v>
      </c>
      <c r="J316" s="2"/>
      <c r="K316" s="46" t="s">
        <v>66</v>
      </c>
      <c r="L316" s="46">
        <v>5</v>
      </c>
      <c r="N316" s="58" t="s">
        <v>66</v>
      </c>
      <c r="O316" s="58">
        <v>8</v>
      </c>
      <c r="P316" s="2"/>
      <c r="Q316" s="58" t="s">
        <v>66</v>
      </c>
      <c r="R316" s="58">
        <v>9</v>
      </c>
      <c r="S316" s="2"/>
      <c r="T316" s="58" t="s">
        <v>66</v>
      </c>
      <c r="U316" s="58">
        <v>9</v>
      </c>
      <c r="W316" s="61" t="s">
        <v>66</v>
      </c>
      <c r="X316" s="61">
        <v>11</v>
      </c>
      <c r="Y316" s="2"/>
      <c r="Z316" s="61" t="s">
        <v>66</v>
      </c>
      <c r="AA316" s="61">
        <v>12</v>
      </c>
      <c r="AC316" s="61" t="s">
        <v>66</v>
      </c>
      <c r="AD316" s="61">
        <v>11</v>
      </c>
    </row>
    <row r="317" spans="2:30" x14ac:dyDescent="0.25">
      <c r="B317" s="46" t="s">
        <v>68</v>
      </c>
      <c r="C317" s="46">
        <v>9</v>
      </c>
      <c r="D317" s="2"/>
      <c r="E317" s="46" t="s">
        <v>68</v>
      </c>
      <c r="F317" s="46">
        <v>10</v>
      </c>
      <c r="H317" s="46" t="s">
        <v>68</v>
      </c>
      <c r="I317" s="46">
        <v>11</v>
      </c>
      <c r="J317" s="2"/>
      <c r="K317" s="46" t="s">
        <v>68</v>
      </c>
      <c r="L317" s="46">
        <v>12</v>
      </c>
      <c r="N317" s="58" t="s">
        <v>68</v>
      </c>
      <c r="O317" s="58">
        <v>11</v>
      </c>
      <c r="P317" s="2"/>
      <c r="Q317" s="58" t="s">
        <v>68</v>
      </c>
      <c r="R317" s="58">
        <v>12</v>
      </c>
      <c r="S317" s="2"/>
      <c r="T317" s="58" t="s">
        <v>68</v>
      </c>
      <c r="U317" s="58">
        <v>11</v>
      </c>
      <c r="W317" s="61" t="s">
        <v>68</v>
      </c>
      <c r="X317" s="61">
        <v>12</v>
      </c>
      <c r="Y317" s="2"/>
      <c r="Z317" s="61" t="s">
        <v>68</v>
      </c>
      <c r="AA317" s="61">
        <v>13</v>
      </c>
      <c r="AC317" s="61" t="s">
        <v>68</v>
      </c>
      <c r="AD317" s="61">
        <v>14</v>
      </c>
    </row>
    <row r="318" spans="2:30" x14ac:dyDescent="0.25">
      <c r="B318" s="46" t="s">
        <v>69</v>
      </c>
      <c r="C318" s="46">
        <v>11</v>
      </c>
      <c r="D318" s="2"/>
      <c r="E318" s="46" t="s">
        <v>69</v>
      </c>
      <c r="F318" s="46">
        <v>12</v>
      </c>
      <c r="H318" s="46" t="s">
        <v>69</v>
      </c>
      <c r="I318" s="46">
        <v>10</v>
      </c>
      <c r="J318" s="2"/>
      <c r="K318" s="46" t="s">
        <v>69</v>
      </c>
      <c r="L318" s="46">
        <v>9</v>
      </c>
      <c r="N318" s="58" t="s">
        <v>69</v>
      </c>
      <c r="O318" s="58">
        <v>12</v>
      </c>
      <c r="P318" s="2"/>
      <c r="Q318" s="58" t="s">
        <v>69</v>
      </c>
      <c r="R318" s="58">
        <v>13</v>
      </c>
      <c r="S318" s="2"/>
      <c r="T318" s="58" t="s">
        <v>69</v>
      </c>
      <c r="U318" s="58">
        <v>14</v>
      </c>
    </row>
    <row r="319" spans="2:30" x14ac:dyDescent="0.25">
      <c r="B319" s="46" t="s">
        <v>70</v>
      </c>
      <c r="C319" s="46">
        <v>13</v>
      </c>
      <c r="D319" s="2"/>
      <c r="E319" s="46" t="s">
        <v>70</v>
      </c>
      <c r="F319" s="46">
        <v>14</v>
      </c>
      <c r="H319" s="46" t="s">
        <v>70</v>
      </c>
      <c r="I319" s="46">
        <v>13</v>
      </c>
      <c r="J319" s="2"/>
      <c r="K319" s="46" t="s">
        <v>73</v>
      </c>
      <c r="L319" s="46">
        <v>15</v>
      </c>
      <c r="O319" s="2"/>
      <c r="R319" s="2"/>
    </row>
    <row r="320" spans="2:30" x14ac:dyDescent="0.25">
      <c r="B320" s="46" t="s">
        <v>71</v>
      </c>
      <c r="C320" s="46">
        <v>14</v>
      </c>
      <c r="D320" s="2"/>
      <c r="H320" s="2"/>
      <c r="I320" s="2"/>
      <c r="O320" s="2"/>
      <c r="R320" s="2"/>
      <c r="W320" s="61" t="s">
        <v>61</v>
      </c>
      <c r="X320" s="61">
        <v>4</v>
      </c>
      <c r="Y320" s="2"/>
      <c r="Z320" s="61" t="s">
        <v>61</v>
      </c>
      <c r="AA320" s="61">
        <v>1</v>
      </c>
      <c r="AC320" s="61" t="s">
        <v>61</v>
      </c>
      <c r="AD320" s="61">
        <v>2</v>
      </c>
    </row>
    <row r="321" spans="2:30" x14ac:dyDescent="0.25">
      <c r="N321" s="58" t="s">
        <v>61</v>
      </c>
      <c r="O321" s="58">
        <v>4</v>
      </c>
      <c r="P321" s="2"/>
      <c r="Q321" s="58" t="s">
        <v>61</v>
      </c>
      <c r="R321" s="58">
        <v>1</v>
      </c>
      <c r="W321" s="61" t="s">
        <v>62</v>
      </c>
      <c r="X321" s="61">
        <v>7</v>
      </c>
      <c r="Y321" s="2"/>
      <c r="Z321" s="61" t="s">
        <v>62</v>
      </c>
      <c r="AA321" s="61">
        <v>4</v>
      </c>
      <c r="AC321" s="61" t="s">
        <v>62</v>
      </c>
      <c r="AD321" s="61">
        <v>8</v>
      </c>
    </row>
    <row r="322" spans="2:30" x14ac:dyDescent="0.25">
      <c r="N322" s="58" t="s">
        <v>62</v>
      </c>
      <c r="O322" s="58">
        <v>6</v>
      </c>
      <c r="P322" s="2"/>
      <c r="Q322" s="58" t="s">
        <v>62</v>
      </c>
      <c r="R322" s="58">
        <v>4</v>
      </c>
      <c r="W322" s="61" t="s">
        <v>64</v>
      </c>
      <c r="X322" s="61">
        <v>8</v>
      </c>
      <c r="Y322" s="2"/>
      <c r="Z322" s="61" t="s">
        <v>64</v>
      </c>
      <c r="AA322" s="61">
        <v>7</v>
      </c>
      <c r="AC322" s="61" t="s">
        <v>64</v>
      </c>
      <c r="AD322" s="61">
        <v>10</v>
      </c>
    </row>
    <row r="323" spans="2:30" x14ac:dyDescent="0.25">
      <c r="N323" s="58" t="s">
        <v>64</v>
      </c>
      <c r="O323" s="58">
        <v>5</v>
      </c>
      <c r="P323" s="2"/>
      <c r="Q323" s="58" t="s">
        <v>64</v>
      </c>
      <c r="R323" s="58">
        <v>7</v>
      </c>
      <c r="W323" s="61" t="s">
        <v>66</v>
      </c>
      <c r="X323" s="61">
        <v>10</v>
      </c>
      <c r="Y323" s="2"/>
      <c r="Z323" s="61" t="s">
        <v>66</v>
      </c>
      <c r="AA323" s="61">
        <v>9</v>
      </c>
      <c r="AC323" s="61" t="s">
        <v>66</v>
      </c>
      <c r="AD323" s="61">
        <v>13</v>
      </c>
    </row>
    <row r="324" spans="2:30" x14ac:dyDescent="0.25">
      <c r="N324" s="58" t="s">
        <v>66</v>
      </c>
      <c r="O324" s="58">
        <v>10</v>
      </c>
      <c r="P324" s="2"/>
      <c r="Q324" s="58" t="s">
        <v>66</v>
      </c>
      <c r="R324" s="58">
        <v>10</v>
      </c>
      <c r="W324" s="61" t="s">
        <v>68</v>
      </c>
      <c r="X324" s="61">
        <v>14</v>
      </c>
      <c r="Y324" s="2"/>
      <c r="Z324" s="61" t="s">
        <v>73</v>
      </c>
      <c r="AA324" s="61">
        <v>15</v>
      </c>
      <c r="AC324" s="2"/>
      <c r="AD324" s="2"/>
    </row>
    <row r="325" spans="2:30" x14ac:dyDescent="0.25">
      <c r="N325" s="58" t="s">
        <v>68</v>
      </c>
      <c r="O325" s="58">
        <v>13</v>
      </c>
      <c r="P325" s="2"/>
      <c r="Q325" s="58" t="s">
        <v>68</v>
      </c>
      <c r="R325" s="58">
        <v>14</v>
      </c>
    </row>
    <row r="326" spans="2:30" x14ac:dyDescent="0.25">
      <c r="N326" s="58" t="s">
        <v>69</v>
      </c>
      <c r="O326" s="58">
        <v>15</v>
      </c>
      <c r="P326" s="2"/>
      <c r="Q326" s="2"/>
      <c r="R326" s="2"/>
    </row>
    <row r="329" spans="2:30" ht="26.25" x14ac:dyDescent="0.25">
      <c r="B329" s="112" t="s">
        <v>116</v>
      </c>
      <c r="C329" s="112"/>
      <c r="D329" s="112"/>
      <c r="E329" s="112"/>
      <c r="F329" s="112"/>
      <c r="G329" s="112"/>
      <c r="H329" s="112"/>
      <c r="I329" s="112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</row>
    <row r="331" spans="2:30" x14ac:dyDescent="0.25">
      <c r="B331" s="46" t="s">
        <v>61</v>
      </c>
      <c r="C331" s="46">
        <v>1</v>
      </c>
      <c r="D331" s="2"/>
      <c r="E331" s="46" t="s">
        <v>61</v>
      </c>
      <c r="F331" s="46">
        <v>2</v>
      </c>
      <c r="H331" s="46" t="s">
        <v>61</v>
      </c>
      <c r="I331" s="46">
        <v>3</v>
      </c>
      <c r="J331" s="2"/>
      <c r="K331" s="46" t="s">
        <v>61</v>
      </c>
      <c r="L331" s="46">
        <v>4</v>
      </c>
      <c r="N331" s="58" t="s">
        <v>61</v>
      </c>
      <c r="O331" s="58">
        <v>1</v>
      </c>
      <c r="P331" s="2"/>
      <c r="Q331" s="58" t="s">
        <v>61</v>
      </c>
      <c r="R331" s="58">
        <v>2</v>
      </c>
      <c r="T331" s="58" t="s">
        <v>61</v>
      </c>
      <c r="U331" s="58">
        <v>3</v>
      </c>
      <c r="W331" s="61" t="s">
        <v>61</v>
      </c>
      <c r="X331" s="61">
        <v>1</v>
      </c>
      <c r="Y331" s="2"/>
      <c r="Z331" s="61" t="s">
        <v>61</v>
      </c>
      <c r="AA331" s="61">
        <v>2</v>
      </c>
      <c r="AC331" s="61" t="s">
        <v>61</v>
      </c>
      <c r="AD331" s="61">
        <v>3</v>
      </c>
    </row>
    <row r="332" spans="2:30" x14ac:dyDescent="0.25">
      <c r="B332" s="46" t="s">
        <v>62</v>
      </c>
      <c r="C332" s="46">
        <v>3</v>
      </c>
      <c r="D332" s="2"/>
      <c r="E332" s="46" t="s">
        <v>62</v>
      </c>
      <c r="F332" s="46">
        <v>4</v>
      </c>
      <c r="H332" s="46" t="s">
        <v>62</v>
      </c>
      <c r="I332" s="46">
        <v>2</v>
      </c>
      <c r="J332" s="2"/>
      <c r="K332" s="46" t="s">
        <v>62</v>
      </c>
      <c r="L332" s="46">
        <v>1</v>
      </c>
      <c r="N332" s="58" t="s">
        <v>62</v>
      </c>
      <c r="O332" s="58">
        <v>2</v>
      </c>
      <c r="P332" s="2"/>
      <c r="Q332" s="58" t="s">
        <v>62</v>
      </c>
      <c r="R332" s="58">
        <v>3</v>
      </c>
      <c r="T332" s="58" t="s">
        <v>62</v>
      </c>
      <c r="U332" s="58">
        <v>5</v>
      </c>
      <c r="W332" s="61" t="s">
        <v>62</v>
      </c>
      <c r="X332" s="61">
        <v>5</v>
      </c>
      <c r="Y332" s="2"/>
      <c r="Z332" s="61" t="s">
        <v>62</v>
      </c>
      <c r="AA332" s="61">
        <v>3</v>
      </c>
      <c r="AC332" s="61" t="s">
        <v>62</v>
      </c>
      <c r="AD332" s="61">
        <v>6</v>
      </c>
    </row>
    <row r="333" spans="2:30" x14ac:dyDescent="0.25">
      <c r="B333" s="46" t="s">
        <v>64</v>
      </c>
      <c r="C333" s="46">
        <v>5</v>
      </c>
      <c r="D333" s="2"/>
      <c r="E333" s="46" t="s">
        <v>64</v>
      </c>
      <c r="F333" s="46">
        <v>6</v>
      </c>
      <c r="H333" s="46" t="s">
        <v>64</v>
      </c>
      <c r="I333" s="46">
        <v>7</v>
      </c>
      <c r="J333" s="2"/>
      <c r="K333" s="46" t="s">
        <v>64</v>
      </c>
      <c r="L333" s="46">
        <v>8</v>
      </c>
      <c r="N333" s="58" t="s">
        <v>64</v>
      </c>
      <c r="O333" s="58">
        <v>7</v>
      </c>
      <c r="P333" s="2"/>
      <c r="Q333" s="58" t="s">
        <v>64</v>
      </c>
      <c r="R333" s="58">
        <v>8</v>
      </c>
      <c r="T333" s="58" t="s">
        <v>64</v>
      </c>
      <c r="U333" s="58">
        <v>6</v>
      </c>
      <c r="W333" s="61" t="s">
        <v>64</v>
      </c>
      <c r="X333" s="61">
        <v>6</v>
      </c>
      <c r="Y333" s="2"/>
      <c r="Z333" s="61" t="s">
        <v>64</v>
      </c>
      <c r="AA333" s="61">
        <v>5</v>
      </c>
      <c r="AC333" s="61" t="s">
        <v>64</v>
      </c>
      <c r="AD333" s="61">
        <v>9</v>
      </c>
    </row>
    <row r="334" spans="2:30" x14ac:dyDescent="0.25">
      <c r="B334" s="46" t="s">
        <v>66</v>
      </c>
      <c r="C334" s="46">
        <v>7</v>
      </c>
      <c r="D334" s="2"/>
      <c r="E334" s="46" t="s">
        <v>66</v>
      </c>
      <c r="F334" s="46">
        <v>8</v>
      </c>
      <c r="H334" s="46" t="s">
        <v>66</v>
      </c>
      <c r="I334" s="46">
        <v>6</v>
      </c>
      <c r="J334" s="2"/>
      <c r="K334" s="46" t="s">
        <v>66</v>
      </c>
      <c r="L334" s="46">
        <v>5</v>
      </c>
      <c r="N334" s="58" t="s">
        <v>66</v>
      </c>
      <c r="O334" s="58">
        <v>8</v>
      </c>
      <c r="P334" s="2"/>
      <c r="Q334" s="58" t="s">
        <v>66</v>
      </c>
      <c r="R334" s="58">
        <v>9</v>
      </c>
      <c r="T334" s="58" t="s">
        <v>66</v>
      </c>
      <c r="U334" s="58">
        <v>9</v>
      </c>
      <c r="W334" s="61" t="s">
        <v>66</v>
      </c>
      <c r="X334" s="61">
        <v>11</v>
      </c>
      <c r="Y334" s="2"/>
      <c r="Z334" s="61" t="s">
        <v>66</v>
      </c>
      <c r="AA334" s="61">
        <v>12</v>
      </c>
      <c r="AC334" s="61" t="s">
        <v>66</v>
      </c>
      <c r="AD334" s="61">
        <v>11</v>
      </c>
    </row>
    <row r="335" spans="2:30" x14ac:dyDescent="0.25">
      <c r="B335" s="46" t="s">
        <v>68</v>
      </c>
      <c r="C335" s="46">
        <v>9</v>
      </c>
      <c r="D335" s="2"/>
      <c r="E335" s="46" t="s">
        <v>68</v>
      </c>
      <c r="F335" s="46">
        <v>10</v>
      </c>
      <c r="H335" s="46" t="s">
        <v>68</v>
      </c>
      <c r="I335" s="46">
        <v>11</v>
      </c>
      <c r="J335" s="2"/>
      <c r="K335" s="46" t="s">
        <v>68</v>
      </c>
      <c r="L335" s="46">
        <v>12</v>
      </c>
      <c r="N335" s="58" t="s">
        <v>68</v>
      </c>
      <c r="O335" s="58">
        <v>11</v>
      </c>
      <c r="P335" s="2"/>
      <c r="Q335" s="58" t="s">
        <v>68</v>
      </c>
      <c r="R335" s="58">
        <v>12</v>
      </c>
      <c r="T335" s="58" t="s">
        <v>68</v>
      </c>
      <c r="U335" s="58">
        <v>11</v>
      </c>
      <c r="W335" s="61" t="s">
        <v>68</v>
      </c>
      <c r="X335" s="61">
        <v>12</v>
      </c>
      <c r="Y335" s="2"/>
      <c r="Z335" s="61" t="s">
        <v>68</v>
      </c>
      <c r="AA335" s="61">
        <v>13</v>
      </c>
      <c r="AC335" s="61" t="s">
        <v>68</v>
      </c>
      <c r="AD335" s="61">
        <v>14</v>
      </c>
    </row>
    <row r="336" spans="2:30" x14ac:dyDescent="0.25">
      <c r="B336" s="46" t="s">
        <v>69</v>
      </c>
      <c r="C336" s="46">
        <v>11</v>
      </c>
      <c r="D336" s="2"/>
      <c r="E336" s="46" t="s">
        <v>69</v>
      </c>
      <c r="F336" s="46">
        <v>12</v>
      </c>
      <c r="H336" s="46" t="s">
        <v>69</v>
      </c>
      <c r="I336" s="46">
        <v>10</v>
      </c>
      <c r="J336" s="2"/>
      <c r="K336" s="46" t="s">
        <v>69</v>
      </c>
      <c r="L336" s="46">
        <v>9</v>
      </c>
      <c r="N336" s="58" t="s">
        <v>69</v>
      </c>
      <c r="O336" s="58">
        <v>12</v>
      </c>
      <c r="P336" s="2"/>
      <c r="Q336" s="58" t="s">
        <v>69</v>
      </c>
      <c r="R336" s="58">
        <v>13</v>
      </c>
      <c r="T336" s="58" t="s">
        <v>69</v>
      </c>
      <c r="U336" s="58">
        <v>14</v>
      </c>
      <c r="X336" s="2"/>
      <c r="AA336" s="2"/>
      <c r="AD336" s="2"/>
    </row>
    <row r="337" spans="2:30" x14ac:dyDescent="0.25">
      <c r="B337" s="46" t="s">
        <v>70</v>
      </c>
      <c r="C337" s="46">
        <v>13</v>
      </c>
      <c r="D337" s="2"/>
      <c r="E337" s="46" t="s">
        <v>70</v>
      </c>
      <c r="F337" s="46">
        <v>14</v>
      </c>
      <c r="H337" s="46" t="s">
        <v>70</v>
      </c>
      <c r="I337" s="46">
        <v>15</v>
      </c>
      <c r="J337" s="2"/>
      <c r="K337" s="46" t="s">
        <v>70</v>
      </c>
      <c r="L337" s="46">
        <v>15</v>
      </c>
      <c r="X337" s="2"/>
      <c r="AA337" s="2"/>
      <c r="AD337" s="2"/>
    </row>
    <row r="338" spans="2:30" x14ac:dyDescent="0.25">
      <c r="B338" s="46" t="s">
        <v>71</v>
      </c>
      <c r="C338" s="46">
        <v>14</v>
      </c>
      <c r="D338" s="2"/>
      <c r="E338" s="46" t="s">
        <v>71</v>
      </c>
      <c r="F338" s="46">
        <v>13</v>
      </c>
      <c r="H338" s="2"/>
      <c r="I338" s="2"/>
      <c r="W338" s="61" t="s">
        <v>61</v>
      </c>
      <c r="X338" s="61">
        <v>4</v>
      </c>
      <c r="Y338" s="2"/>
      <c r="Z338" s="61" t="s">
        <v>61</v>
      </c>
      <c r="AA338" s="61">
        <v>1</v>
      </c>
      <c r="AC338" s="61" t="s">
        <v>61</v>
      </c>
      <c r="AD338" s="61">
        <v>2</v>
      </c>
    </row>
    <row r="339" spans="2:30" x14ac:dyDescent="0.25">
      <c r="N339" s="58" t="s">
        <v>61</v>
      </c>
      <c r="O339" s="58">
        <v>4</v>
      </c>
      <c r="P339" s="2"/>
      <c r="Q339" s="58" t="s">
        <v>61</v>
      </c>
      <c r="R339" s="58">
        <v>1</v>
      </c>
      <c r="W339" s="61" t="s">
        <v>62</v>
      </c>
      <c r="X339" s="61">
        <v>7</v>
      </c>
      <c r="Y339" s="2"/>
      <c r="Z339" s="61" t="s">
        <v>62</v>
      </c>
      <c r="AA339" s="61">
        <v>4</v>
      </c>
      <c r="AC339" s="61" t="s">
        <v>62</v>
      </c>
      <c r="AD339" s="61">
        <v>8</v>
      </c>
    </row>
    <row r="340" spans="2:30" x14ac:dyDescent="0.25">
      <c r="N340" s="58" t="s">
        <v>62</v>
      </c>
      <c r="O340" s="58">
        <v>6</v>
      </c>
      <c r="P340" s="2"/>
      <c r="Q340" s="58" t="s">
        <v>62</v>
      </c>
      <c r="R340" s="58">
        <v>4</v>
      </c>
      <c r="W340" s="61" t="s">
        <v>64</v>
      </c>
      <c r="X340" s="61">
        <v>8</v>
      </c>
      <c r="Y340" s="2"/>
      <c r="Z340" s="61" t="s">
        <v>64</v>
      </c>
      <c r="AA340" s="61">
        <v>7</v>
      </c>
      <c r="AC340" s="61" t="s">
        <v>64</v>
      </c>
      <c r="AD340" s="61">
        <v>10</v>
      </c>
    </row>
    <row r="341" spans="2:30" x14ac:dyDescent="0.25">
      <c r="N341" s="58" t="s">
        <v>64</v>
      </c>
      <c r="O341" s="58">
        <v>5</v>
      </c>
      <c r="P341" s="2"/>
      <c r="Q341" s="58" t="s">
        <v>64</v>
      </c>
      <c r="R341" s="58">
        <v>7</v>
      </c>
      <c r="W341" s="61" t="s">
        <v>66</v>
      </c>
      <c r="X341" s="61">
        <v>10</v>
      </c>
      <c r="Y341" s="2"/>
      <c r="Z341" s="61" t="s">
        <v>66</v>
      </c>
      <c r="AA341" s="61">
        <v>9</v>
      </c>
      <c r="AC341" s="61" t="s">
        <v>66</v>
      </c>
      <c r="AD341" s="61">
        <v>13</v>
      </c>
    </row>
    <row r="342" spans="2:30" x14ac:dyDescent="0.25">
      <c r="N342" s="58" t="s">
        <v>66</v>
      </c>
      <c r="O342" s="58">
        <v>10</v>
      </c>
      <c r="P342" s="2"/>
      <c r="Q342" s="58" t="s">
        <v>66</v>
      </c>
      <c r="R342" s="58">
        <v>10</v>
      </c>
      <c r="W342" s="61" t="s">
        <v>68</v>
      </c>
      <c r="X342" s="61">
        <v>14</v>
      </c>
      <c r="Y342" s="2"/>
      <c r="Z342" s="61" t="s">
        <v>68</v>
      </c>
      <c r="AA342" s="61">
        <v>15</v>
      </c>
      <c r="AC342" s="61" t="s">
        <v>68</v>
      </c>
      <c r="AD342" s="61">
        <v>15</v>
      </c>
    </row>
    <row r="343" spans="2:30" x14ac:dyDescent="0.25">
      <c r="N343" s="58" t="s">
        <v>68</v>
      </c>
      <c r="O343" s="58">
        <v>13</v>
      </c>
      <c r="P343" s="2"/>
      <c r="Q343" s="58" t="s">
        <v>68</v>
      </c>
      <c r="R343" s="58">
        <v>14</v>
      </c>
    </row>
    <row r="344" spans="2:30" x14ac:dyDescent="0.25">
      <c r="N344" s="58" t="s">
        <v>69</v>
      </c>
      <c r="O344" s="58">
        <v>15</v>
      </c>
      <c r="P344" s="2"/>
      <c r="Q344" s="58" t="s">
        <v>69</v>
      </c>
      <c r="R344" s="58">
        <v>15</v>
      </c>
    </row>
    <row r="346" spans="2:30" ht="26.25" x14ac:dyDescent="0.25">
      <c r="B346" s="112" t="s">
        <v>117</v>
      </c>
      <c r="C346" s="112"/>
      <c r="D346" s="112"/>
      <c r="E346" s="112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</row>
    <row r="348" spans="2:30" x14ac:dyDescent="0.25">
      <c r="B348" s="46" t="s">
        <v>61</v>
      </c>
      <c r="C348" s="46">
        <v>1</v>
      </c>
      <c r="D348" s="2"/>
      <c r="E348" s="46" t="s">
        <v>61</v>
      </c>
      <c r="F348" s="46">
        <v>2</v>
      </c>
      <c r="H348" s="46" t="s">
        <v>61</v>
      </c>
      <c r="I348" s="46">
        <v>3</v>
      </c>
      <c r="J348" s="2"/>
      <c r="K348" s="46" t="s">
        <v>61</v>
      </c>
      <c r="L348" s="46">
        <v>4</v>
      </c>
      <c r="N348" s="58" t="s">
        <v>61</v>
      </c>
      <c r="O348" s="58">
        <v>1</v>
      </c>
      <c r="P348" s="2"/>
      <c r="Q348" s="58" t="s">
        <v>61</v>
      </c>
      <c r="R348" s="58">
        <v>2</v>
      </c>
      <c r="S348" s="2"/>
      <c r="T348" s="58" t="s">
        <v>61</v>
      </c>
      <c r="U348" s="58">
        <v>3</v>
      </c>
      <c r="V348" s="2"/>
      <c r="W348" s="62" t="s">
        <v>61</v>
      </c>
      <c r="X348" s="63">
        <v>1</v>
      </c>
      <c r="Y348" s="2"/>
      <c r="Z348" s="63" t="s">
        <v>61</v>
      </c>
      <c r="AA348" s="63">
        <v>2</v>
      </c>
      <c r="AB348" s="2"/>
      <c r="AC348" s="63" t="s">
        <v>61</v>
      </c>
      <c r="AD348" s="64">
        <v>3</v>
      </c>
    </row>
    <row r="349" spans="2:30" x14ac:dyDescent="0.25">
      <c r="B349" s="46" t="s">
        <v>62</v>
      </c>
      <c r="C349" s="46">
        <v>3</v>
      </c>
      <c r="D349" s="2"/>
      <c r="E349" s="46" t="s">
        <v>62</v>
      </c>
      <c r="F349" s="46">
        <v>4</v>
      </c>
      <c r="H349" s="46" t="s">
        <v>62</v>
      </c>
      <c r="I349" s="46">
        <v>2</v>
      </c>
      <c r="J349" s="2"/>
      <c r="K349" s="46" t="s">
        <v>62</v>
      </c>
      <c r="L349" s="46">
        <v>1</v>
      </c>
      <c r="N349" s="58" t="s">
        <v>62</v>
      </c>
      <c r="O349" s="58">
        <v>2</v>
      </c>
      <c r="P349" s="2"/>
      <c r="Q349" s="58" t="s">
        <v>62</v>
      </c>
      <c r="R349" s="58">
        <v>3</v>
      </c>
      <c r="T349" s="58" t="s">
        <v>62</v>
      </c>
      <c r="U349" s="58">
        <v>5</v>
      </c>
      <c r="V349" s="2"/>
      <c r="W349" s="63" t="s">
        <v>62</v>
      </c>
      <c r="X349" s="63">
        <v>5</v>
      </c>
      <c r="Y349" s="2"/>
      <c r="Z349" s="63" t="s">
        <v>62</v>
      </c>
      <c r="AA349" s="63">
        <v>3</v>
      </c>
      <c r="AC349" s="63" t="s">
        <v>62</v>
      </c>
      <c r="AD349" s="63">
        <v>6</v>
      </c>
    </row>
    <row r="350" spans="2:30" x14ac:dyDescent="0.25">
      <c r="B350" s="46" t="s">
        <v>64</v>
      </c>
      <c r="C350" s="46">
        <v>5</v>
      </c>
      <c r="D350" s="2"/>
      <c r="E350" s="46" t="s">
        <v>64</v>
      </c>
      <c r="F350" s="46">
        <v>6</v>
      </c>
      <c r="H350" s="46" t="s">
        <v>64</v>
      </c>
      <c r="I350" s="46">
        <v>7</v>
      </c>
      <c r="J350" s="2"/>
      <c r="K350" s="46" t="s">
        <v>64</v>
      </c>
      <c r="L350" s="46">
        <v>8</v>
      </c>
      <c r="N350" s="58" t="s">
        <v>64</v>
      </c>
      <c r="O350" s="58">
        <v>7</v>
      </c>
      <c r="P350" s="2"/>
      <c r="Q350" s="58" t="s">
        <v>64</v>
      </c>
      <c r="R350" s="58">
        <v>8</v>
      </c>
      <c r="T350" s="58" t="s">
        <v>64</v>
      </c>
      <c r="U350" s="58">
        <v>6</v>
      </c>
      <c r="V350" s="2"/>
      <c r="W350" s="63" t="s">
        <v>64</v>
      </c>
      <c r="X350" s="63">
        <v>6</v>
      </c>
      <c r="Y350" s="2"/>
      <c r="Z350" s="63" t="s">
        <v>64</v>
      </c>
      <c r="AA350" s="63">
        <v>5</v>
      </c>
      <c r="AC350" s="63" t="s">
        <v>64</v>
      </c>
      <c r="AD350" s="63">
        <v>9</v>
      </c>
    </row>
    <row r="351" spans="2:30" x14ac:dyDescent="0.25">
      <c r="B351" s="46" t="s">
        <v>66</v>
      </c>
      <c r="C351" s="46">
        <v>7</v>
      </c>
      <c r="D351" s="2"/>
      <c r="E351" s="46" t="s">
        <v>66</v>
      </c>
      <c r="F351" s="46">
        <v>8</v>
      </c>
      <c r="H351" s="46" t="s">
        <v>66</v>
      </c>
      <c r="I351" s="46">
        <v>6</v>
      </c>
      <c r="J351" s="2"/>
      <c r="K351" s="46" t="s">
        <v>66</v>
      </c>
      <c r="L351" s="46">
        <v>5</v>
      </c>
      <c r="N351" s="58" t="s">
        <v>66</v>
      </c>
      <c r="O351" s="58">
        <v>8</v>
      </c>
      <c r="P351" s="2"/>
      <c r="Q351" s="58" t="s">
        <v>66</v>
      </c>
      <c r="R351" s="58">
        <v>9</v>
      </c>
      <c r="T351" s="58" t="s">
        <v>66</v>
      </c>
      <c r="U351" s="58">
        <v>9</v>
      </c>
      <c r="V351" s="2"/>
      <c r="W351" s="63" t="s">
        <v>66</v>
      </c>
      <c r="X351" s="63">
        <v>11</v>
      </c>
      <c r="Y351" s="2"/>
      <c r="Z351" s="63" t="s">
        <v>66</v>
      </c>
      <c r="AA351" s="63">
        <v>12</v>
      </c>
      <c r="AC351" s="63" t="s">
        <v>66</v>
      </c>
      <c r="AD351" s="63">
        <v>11</v>
      </c>
    </row>
    <row r="352" spans="2:30" x14ac:dyDescent="0.25">
      <c r="B352" s="46" t="s">
        <v>68</v>
      </c>
      <c r="C352" s="46">
        <v>9</v>
      </c>
      <c r="D352" s="2"/>
      <c r="E352" s="46" t="s">
        <v>68</v>
      </c>
      <c r="F352" s="46">
        <v>10</v>
      </c>
      <c r="H352" s="46" t="s">
        <v>68</v>
      </c>
      <c r="I352" s="46">
        <v>11</v>
      </c>
      <c r="J352" s="2"/>
      <c r="K352" s="46" t="s">
        <v>68</v>
      </c>
      <c r="L352" s="46">
        <v>12</v>
      </c>
      <c r="N352" s="58" t="s">
        <v>68</v>
      </c>
      <c r="O352" s="58">
        <v>11</v>
      </c>
      <c r="P352" s="2"/>
      <c r="Q352" s="58" t="s">
        <v>68</v>
      </c>
      <c r="R352" s="58">
        <v>12</v>
      </c>
      <c r="T352" s="58" t="s">
        <v>68</v>
      </c>
      <c r="U352" s="58">
        <v>11</v>
      </c>
      <c r="V352" s="2"/>
      <c r="W352" s="63" t="s">
        <v>68</v>
      </c>
      <c r="X352" s="63">
        <v>12</v>
      </c>
      <c r="Y352" s="2"/>
      <c r="Z352" s="63" t="s">
        <v>68</v>
      </c>
      <c r="AA352" s="63">
        <v>13</v>
      </c>
      <c r="AC352" s="63" t="s">
        <v>68</v>
      </c>
      <c r="AD352" s="63">
        <v>14</v>
      </c>
    </row>
    <row r="353" spans="2:30" x14ac:dyDescent="0.25">
      <c r="B353" s="46" t="s">
        <v>69</v>
      </c>
      <c r="C353" s="46">
        <v>11</v>
      </c>
      <c r="D353" s="2"/>
      <c r="E353" s="46" t="s">
        <v>69</v>
      </c>
      <c r="F353" s="46">
        <v>12</v>
      </c>
      <c r="H353" s="46" t="s">
        <v>69</v>
      </c>
      <c r="I353" s="46">
        <v>10</v>
      </c>
      <c r="J353" s="2"/>
      <c r="K353" s="46" t="s">
        <v>69</v>
      </c>
      <c r="L353" s="46">
        <v>9</v>
      </c>
      <c r="N353" s="58" t="s">
        <v>69</v>
      </c>
      <c r="O353" s="58">
        <v>12</v>
      </c>
      <c r="P353" s="2"/>
      <c r="Q353" s="58" t="s">
        <v>69</v>
      </c>
      <c r="R353" s="58">
        <v>13</v>
      </c>
      <c r="T353" s="58" t="s">
        <v>69</v>
      </c>
      <c r="U353" s="58">
        <v>14</v>
      </c>
      <c r="V353" s="2"/>
      <c r="W353" s="63" t="s">
        <v>69</v>
      </c>
      <c r="X353" s="63">
        <v>15</v>
      </c>
      <c r="Z353" s="2"/>
      <c r="AA353" s="2"/>
    </row>
    <row r="354" spans="2:30" x14ac:dyDescent="0.25">
      <c r="B354" s="46" t="s">
        <v>70</v>
      </c>
      <c r="C354" s="46">
        <v>13</v>
      </c>
      <c r="D354" s="2"/>
      <c r="E354" s="46" t="s">
        <v>70</v>
      </c>
      <c r="F354" s="46">
        <v>14</v>
      </c>
      <c r="H354" s="46" t="s">
        <v>70</v>
      </c>
      <c r="I354" s="46">
        <v>15</v>
      </c>
      <c r="J354" s="2"/>
      <c r="K354" s="46" t="s">
        <v>70</v>
      </c>
      <c r="L354" s="46">
        <v>16</v>
      </c>
      <c r="N354" s="58" t="s">
        <v>70</v>
      </c>
      <c r="O354" s="58">
        <v>15</v>
      </c>
      <c r="Q354" s="2"/>
      <c r="R354" s="2"/>
    </row>
    <row r="355" spans="2:30" x14ac:dyDescent="0.25">
      <c r="B355" s="46" t="s">
        <v>71</v>
      </c>
      <c r="C355" s="46">
        <v>15</v>
      </c>
      <c r="D355" s="2"/>
      <c r="E355" s="46" t="s">
        <v>71</v>
      </c>
      <c r="F355" s="46">
        <v>16</v>
      </c>
      <c r="H355" s="46" t="s">
        <v>71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61</v>
      </c>
      <c r="X356" s="63">
        <v>4</v>
      </c>
      <c r="Y356" s="2"/>
      <c r="Z356" s="63" t="s">
        <v>61</v>
      </c>
      <c r="AA356" s="63">
        <v>1</v>
      </c>
      <c r="AB356" s="2"/>
      <c r="AC356" s="63" t="s">
        <v>61</v>
      </c>
      <c r="AD356" s="64">
        <v>2</v>
      </c>
    </row>
    <row r="357" spans="2:30" x14ac:dyDescent="0.25">
      <c r="N357" s="58" t="s">
        <v>61</v>
      </c>
      <c r="O357" s="58">
        <v>4</v>
      </c>
      <c r="P357" s="2"/>
      <c r="Q357" s="58" t="s">
        <v>61</v>
      </c>
      <c r="R357" s="58">
        <v>1</v>
      </c>
      <c r="W357" s="63" t="s">
        <v>62</v>
      </c>
      <c r="X357" s="63">
        <v>7</v>
      </c>
      <c r="Y357" s="2"/>
      <c r="Z357" s="63" t="s">
        <v>62</v>
      </c>
      <c r="AA357" s="63">
        <v>4</v>
      </c>
      <c r="AC357" s="63" t="s">
        <v>62</v>
      </c>
      <c r="AD357" s="63">
        <v>8</v>
      </c>
    </row>
    <row r="358" spans="2:30" x14ac:dyDescent="0.25">
      <c r="N358" s="58" t="s">
        <v>62</v>
      </c>
      <c r="O358" s="58">
        <v>6</v>
      </c>
      <c r="Q358" s="58" t="s">
        <v>62</v>
      </c>
      <c r="R358" s="58">
        <v>4</v>
      </c>
      <c r="W358" s="63" t="s">
        <v>64</v>
      </c>
      <c r="X358" s="63">
        <v>8</v>
      </c>
      <c r="Y358" s="2"/>
      <c r="Z358" s="63" t="s">
        <v>64</v>
      </c>
      <c r="AA358" s="63">
        <v>7</v>
      </c>
      <c r="AC358" s="63" t="s">
        <v>64</v>
      </c>
      <c r="AD358" s="63">
        <v>10</v>
      </c>
    </row>
    <row r="359" spans="2:30" x14ac:dyDescent="0.25">
      <c r="N359" s="58" t="s">
        <v>64</v>
      </c>
      <c r="O359" s="58">
        <v>5</v>
      </c>
      <c r="Q359" s="58" t="s">
        <v>64</v>
      </c>
      <c r="R359" s="58">
        <v>7</v>
      </c>
      <c r="W359" s="63" t="s">
        <v>66</v>
      </c>
      <c r="X359" s="63">
        <v>10</v>
      </c>
      <c r="Y359" s="2"/>
      <c r="Z359" s="63" t="s">
        <v>66</v>
      </c>
      <c r="AA359" s="63">
        <v>9</v>
      </c>
      <c r="AC359" s="63" t="s">
        <v>66</v>
      </c>
      <c r="AD359" s="63">
        <v>13</v>
      </c>
    </row>
    <row r="360" spans="2:30" x14ac:dyDescent="0.25">
      <c r="N360" s="58" t="s">
        <v>66</v>
      </c>
      <c r="O360" s="58">
        <v>10</v>
      </c>
      <c r="Q360" s="58" t="s">
        <v>66</v>
      </c>
      <c r="R360" s="58">
        <v>10</v>
      </c>
      <c r="W360" s="63" t="s">
        <v>68</v>
      </c>
      <c r="X360" s="63">
        <v>14</v>
      </c>
      <c r="Y360" s="2"/>
      <c r="Z360" s="63" t="s">
        <v>68</v>
      </c>
      <c r="AA360" s="63">
        <v>15</v>
      </c>
      <c r="AC360" s="63" t="s">
        <v>73</v>
      </c>
      <c r="AD360" s="63">
        <v>16</v>
      </c>
    </row>
    <row r="361" spans="2:30" x14ac:dyDescent="0.25">
      <c r="N361" s="58" t="s">
        <v>68</v>
      </c>
      <c r="O361" s="58">
        <v>13</v>
      </c>
      <c r="Q361" s="58" t="s">
        <v>68</v>
      </c>
      <c r="R361" s="58">
        <v>14</v>
      </c>
    </row>
    <row r="362" spans="2:30" x14ac:dyDescent="0.25">
      <c r="N362" s="58" t="s">
        <v>69</v>
      </c>
      <c r="O362" s="58">
        <v>15</v>
      </c>
      <c r="Q362" s="58" t="s">
        <v>118</v>
      </c>
      <c r="R362" s="58">
        <v>16</v>
      </c>
    </row>
    <row r="365" spans="2:30" ht="26.25" x14ac:dyDescent="0.25">
      <c r="B365" s="112" t="s">
        <v>119</v>
      </c>
      <c r="C365" s="112"/>
      <c r="D365" s="112"/>
      <c r="E365" s="112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</row>
    <row r="367" spans="2:30" x14ac:dyDescent="0.25">
      <c r="B367" s="46" t="s">
        <v>61</v>
      </c>
      <c r="C367" s="46">
        <v>1</v>
      </c>
      <c r="D367" s="2"/>
      <c r="E367" s="46" t="s">
        <v>61</v>
      </c>
      <c r="F367" s="46">
        <v>2</v>
      </c>
      <c r="H367" s="46" t="s">
        <v>61</v>
      </c>
      <c r="I367" s="46">
        <v>3</v>
      </c>
      <c r="J367" s="2"/>
      <c r="K367" s="46" t="s">
        <v>61</v>
      </c>
      <c r="L367" s="46">
        <v>4</v>
      </c>
      <c r="N367" s="58" t="s">
        <v>61</v>
      </c>
      <c r="O367" s="58">
        <v>1</v>
      </c>
      <c r="P367" s="2"/>
      <c r="Q367" s="58" t="s">
        <v>61</v>
      </c>
      <c r="R367" s="58">
        <v>2</v>
      </c>
      <c r="T367" s="58" t="s">
        <v>61</v>
      </c>
      <c r="U367" s="58">
        <v>3</v>
      </c>
      <c r="V367" s="2"/>
      <c r="W367" s="62" t="s">
        <v>61</v>
      </c>
      <c r="X367" s="63">
        <v>1</v>
      </c>
      <c r="Y367" s="2"/>
      <c r="Z367" s="63" t="s">
        <v>61</v>
      </c>
      <c r="AA367" s="63">
        <v>2</v>
      </c>
      <c r="AB367" s="2"/>
      <c r="AC367" s="63" t="s">
        <v>61</v>
      </c>
      <c r="AD367" s="63">
        <v>3</v>
      </c>
    </row>
    <row r="368" spans="2:30" x14ac:dyDescent="0.25">
      <c r="B368" s="46" t="s">
        <v>62</v>
      </c>
      <c r="C368" s="46">
        <v>3</v>
      </c>
      <c r="D368" s="2"/>
      <c r="E368" s="46" t="s">
        <v>62</v>
      </c>
      <c r="F368" s="46">
        <v>4</v>
      </c>
      <c r="H368" s="46" t="s">
        <v>62</v>
      </c>
      <c r="I368" s="46">
        <v>2</v>
      </c>
      <c r="J368" s="2"/>
      <c r="K368" s="46" t="s">
        <v>62</v>
      </c>
      <c r="L368" s="46">
        <v>1</v>
      </c>
      <c r="N368" s="58" t="s">
        <v>62</v>
      </c>
      <c r="O368" s="58">
        <v>2</v>
      </c>
      <c r="P368" s="2"/>
      <c r="Q368" s="58" t="s">
        <v>62</v>
      </c>
      <c r="R368" s="58">
        <v>3</v>
      </c>
      <c r="T368" s="58" t="s">
        <v>62</v>
      </c>
      <c r="U368" s="58">
        <v>5</v>
      </c>
      <c r="V368" s="2"/>
      <c r="W368" s="62" t="s">
        <v>62</v>
      </c>
      <c r="X368" s="63">
        <v>5</v>
      </c>
      <c r="Y368" s="2"/>
      <c r="Z368" s="63" t="s">
        <v>62</v>
      </c>
      <c r="AA368" s="63">
        <v>3</v>
      </c>
      <c r="AC368" s="63" t="s">
        <v>62</v>
      </c>
      <c r="AD368" s="63">
        <v>6</v>
      </c>
    </row>
    <row r="369" spans="2:30" x14ac:dyDescent="0.25">
      <c r="B369" s="46" t="s">
        <v>64</v>
      </c>
      <c r="C369" s="46">
        <v>5</v>
      </c>
      <c r="D369" s="2"/>
      <c r="E369" s="46" t="s">
        <v>64</v>
      </c>
      <c r="F369" s="46">
        <v>6</v>
      </c>
      <c r="H369" s="46" t="s">
        <v>64</v>
      </c>
      <c r="I369" s="46">
        <v>7</v>
      </c>
      <c r="J369" s="2"/>
      <c r="K369" s="46" t="s">
        <v>64</v>
      </c>
      <c r="L369" s="46">
        <v>8</v>
      </c>
      <c r="N369" s="58" t="s">
        <v>64</v>
      </c>
      <c r="O369" s="58">
        <v>7</v>
      </c>
      <c r="P369" s="2"/>
      <c r="Q369" s="58" t="s">
        <v>64</v>
      </c>
      <c r="R369" s="58">
        <v>8</v>
      </c>
      <c r="T369" s="58" t="s">
        <v>64</v>
      </c>
      <c r="U369" s="58">
        <v>6</v>
      </c>
      <c r="V369" s="2"/>
      <c r="W369" s="62" t="s">
        <v>64</v>
      </c>
      <c r="X369" s="63">
        <v>6</v>
      </c>
      <c r="Y369" s="2"/>
      <c r="Z369" s="63" t="s">
        <v>64</v>
      </c>
      <c r="AA369" s="63">
        <v>5</v>
      </c>
      <c r="AC369" s="63" t="s">
        <v>64</v>
      </c>
      <c r="AD369" s="63">
        <v>9</v>
      </c>
    </row>
    <row r="370" spans="2:30" x14ac:dyDescent="0.25">
      <c r="B370" s="46" t="s">
        <v>66</v>
      </c>
      <c r="C370" s="46">
        <v>7</v>
      </c>
      <c r="D370" s="2"/>
      <c r="E370" s="46" t="s">
        <v>66</v>
      </c>
      <c r="F370" s="46">
        <v>8</v>
      </c>
      <c r="H370" s="46" t="s">
        <v>66</v>
      </c>
      <c r="I370" s="46">
        <v>6</v>
      </c>
      <c r="J370" s="2"/>
      <c r="K370" s="46" t="s">
        <v>66</v>
      </c>
      <c r="L370" s="46">
        <v>5</v>
      </c>
      <c r="N370" s="58" t="s">
        <v>66</v>
      </c>
      <c r="O370" s="58">
        <v>8</v>
      </c>
      <c r="P370" s="2"/>
      <c r="Q370" s="58" t="s">
        <v>66</v>
      </c>
      <c r="R370" s="58">
        <v>9</v>
      </c>
      <c r="T370" s="58" t="s">
        <v>66</v>
      </c>
      <c r="U370" s="58">
        <v>9</v>
      </c>
      <c r="V370" s="2"/>
      <c r="W370" s="62" t="s">
        <v>66</v>
      </c>
      <c r="X370" s="63">
        <v>11</v>
      </c>
      <c r="Y370" s="2"/>
      <c r="Z370" s="63" t="s">
        <v>66</v>
      </c>
      <c r="AA370" s="63">
        <v>12</v>
      </c>
      <c r="AC370" s="63" t="s">
        <v>66</v>
      </c>
      <c r="AD370" s="63">
        <v>11</v>
      </c>
    </row>
    <row r="371" spans="2:30" x14ac:dyDescent="0.25">
      <c r="B371" s="46" t="s">
        <v>68</v>
      </c>
      <c r="C371" s="46">
        <v>9</v>
      </c>
      <c r="D371" s="2"/>
      <c r="E371" s="46" t="s">
        <v>68</v>
      </c>
      <c r="F371" s="46">
        <v>10</v>
      </c>
      <c r="H371" s="46" t="s">
        <v>68</v>
      </c>
      <c r="I371" s="46">
        <v>11</v>
      </c>
      <c r="J371" s="2"/>
      <c r="K371" s="46" t="s">
        <v>68</v>
      </c>
      <c r="L371" s="46">
        <v>12</v>
      </c>
      <c r="N371" s="58" t="s">
        <v>68</v>
      </c>
      <c r="O371" s="58">
        <v>11</v>
      </c>
      <c r="P371" s="2"/>
      <c r="Q371" s="58" t="s">
        <v>68</v>
      </c>
      <c r="R371" s="58">
        <v>12</v>
      </c>
      <c r="T371" s="58" t="s">
        <v>68</v>
      </c>
      <c r="U371" s="58">
        <v>11</v>
      </c>
      <c r="V371" s="2"/>
      <c r="W371" s="62" t="s">
        <v>68</v>
      </c>
      <c r="X371" s="63">
        <v>12</v>
      </c>
      <c r="Y371" s="2"/>
      <c r="Z371" s="63" t="s">
        <v>68</v>
      </c>
      <c r="AA371" s="63">
        <v>13</v>
      </c>
      <c r="AC371" s="63" t="s">
        <v>68</v>
      </c>
      <c r="AD371" s="63">
        <v>14</v>
      </c>
    </row>
    <row r="372" spans="2:30" x14ac:dyDescent="0.25">
      <c r="B372" s="46" t="s">
        <v>69</v>
      </c>
      <c r="C372" s="46">
        <v>11</v>
      </c>
      <c r="D372" s="2"/>
      <c r="E372" s="46" t="s">
        <v>69</v>
      </c>
      <c r="F372" s="46">
        <v>12</v>
      </c>
      <c r="H372" s="46" t="s">
        <v>69</v>
      </c>
      <c r="I372" s="46">
        <v>10</v>
      </c>
      <c r="J372" s="2"/>
      <c r="K372" s="46" t="s">
        <v>69</v>
      </c>
      <c r="L372" s="46">
        <v>9</v>
      </c>
      <c r="N372" s="58" t="s">
        <v>69</v>
      </c>
      <c r="O372" s="58">
        <v>12</v>
      </c>
      <c r="P372" s="2"/>
      <c r="Q372" s="58" t="s">
        <v>69</v>
      </c>
      <c r="R372" s="58">
        <v>13</v>
      </c>
      <c r="T372" s="58" t="s">
        <v>69</v>
      </c>
      <c r="U372" s="58">
        <v>14</v>
      </c>
      <c r="V372" s="2"/>
      <c r="W372" s="62" t="s">
        <v>69</v>
      </c>
      <c r="X372" s="63">
        <v>15</v>
      </c>
      <c r="Z372" s="63" t="s">
        <v>69</v>
      </c>
      <c r="AA372" s="63">
        <v>16</v>
      </c>
      <c r="AD372" s="2"/>
    </row>
    <row r="373" spans="2:30" x14ac:dyDescent="0.25">
      <c r="B373" s="46" t="s">
        <v>70</v>
      </c>
      <c r="C373" s="46">
        <v>13</v>
      </c>
      <c r="D373" s="2"/>
      <c r="E373" s="46" t="s">
        <v>70</v>
      </c>
      <c r="F373" s="46">
        <v>14</v>
      </c>
      <c r="H373" s="46" t="s">
        <v>70</v>
      </c>
      <c r="I373" s="46">
        <v>15</v>
      </c>
      <c r="J373" s="2"/>
      <c r="K373" s="46" t="s">
        <v>70</v>
      </c>
      <c r="L373" s="46">
        <v>16</v>
      </c>
      <c r="N373" s="58" t="s">
        <v>70</v>
      </c>
      <c r="O373" s="58">
        <v>15</v>
      </c>
      <c r="Q373" s="58" t="s">
        <v>70</v>
      </c>
      <c r="R373" s="58">
        <v>16</v>
      </c>
      <c r="X373" s="2"/>
      <c r="AA373" s="2"/>
      <c r="AD373" s="2"/>
    </row>
    <row r="374" spans="2:30" x14ac:dyDescent="0.25">
      <c r="B374" s="46" t="s">
        <v>71</v>
      </c>
      <c r="C374" s="46">
        <v>15</v>
      </c>
      <c r="D374" s="2"/>
      <c r="E374" s="46" t="s">
        <v>71</v>
      </c>
      <c r="F374" s="46">
        <v>16</v>
      </c>
      <c r="H374" s="46" t="s">
        <v>71</v>
      </c>
      <c r="I374" s="46">
        <v>14</v>
      </c>
      <c r="J374" s="2"/>
      <c r="K374" s="46" t="s">
        <v>71</v>
      </c>
      <c r="L374" s="46">
        <v>13</v>
      </c>
      <c r="X374" s="2"/>
      <c r="AA374" s="2"/>
      <c r="AD374" s="2"/>
    </row>
    <row r="375" spans="2:30" x14ac:dyDescent="0.25">
      <c r="W375" s="62" t="s">
        <v>61</v>
      </c>
      <c r="X375" s="63">
        <v>4</v>
      </c>
      <c r="Y375" s="2"/>
      <c r="Z375" s="62" t="s">
        <v>61</v>
      </c>
      <c r="AA375" s="63">
        <v>1</v>
      </c>
      <c r="AC375" s="62" t="s">
        <v>61</v>
      </c>
      <c r="AD375" s="63">
        <v>2</v>
      </c>
    </row>
    <row r="376" spans="2:30" x14ac:dyDescent="0.25">
      <c r="N376" s="58" t="s">
        <v>61</v>
      </c>
      <c r="O376" s="58">
        <v>4</v>
      </c>
      <c r="Q376" s="58" t="s">
        <v>61</v>
      </c>
      <c r="R376" s="58">
        <v>1</v>
      </c>
      <c r="W376" s="63" t="s">
        <v>62</v>
      </c>
      <c r="X376" s="63">
        <v>7</v>
      </c>
      <c r="Y376" s="2"/>
      <c r="Z376" s="63" t="s">
        <v>62</v>
      </c>
      <c r="AA376" s="63">
        <v>4</v>
      </c>
      <c r="AC376" s="63" t="s">
        <v>62</v>
      </c>
      <c r="AD376" s="63">
        <v>8</v>
      </c>
    </row>
    <row r="377" spans="2:30" x14ac:dyDescent="0.25">
      <c r="N377" s="58" t="s">
        <v>62</v>
      </c>
      <c r="O377" s="58">
        <v>6</v>
      </c>
      <c r="Q377" s="58" t="s">
        <v>62</v>
      </c>
      <c r="R377" s="58">
        <v>4</v>
      </c>
      <c r="W377" s="63" t="s">
        <v>64</v>
      </c>
      <c r="X377" s="63">
        <v>8</v>
      </c>
      <c r="Y377" s="2"/>
      <c r="Z377" s="63" t="s">
        <v>64</v>
      </c>
      <c r="AA377" s="63">
        <v>7</v>
      </c>
      <c r="AC377" s="63" t="s">
        <v>64</v>
      </c>
      <c r="AD377" s="63">
        <v>10</v>
      </c>
    </row>
    <row r="378" spans="2:30" x14ac:dyDescent="0.25">
      <c r="N378" s="58" t="s">
        <v>64</v>
      </c>
      <c r="O378" s="58">
        <v>5</v>
      </c>
      <c r="Q378" s="58" t="s">
        <v>64</v>
      </c>
      <c r="R378" s="58">
        <v>7</v>
      </c>
      <c r="W378" s="63" t="s">
        <v>66</v>
      </c>
      <c r="X378" s="63">
        <v>10</v>
      </c>
      <c r="Y378" s="2"/>
      <c r="Z378" s="63" t="s">
        <v>66</v>
      </c>
      <c r="AA378" s="63">
        <v>9</v>
      </c>
      <c r="AC378" s="63" t="s">
        <v>66</v>
      </c>
      <c r="AD378" s="63">
        <v>13</v>
      </c>
    </row>
    <row r="379" spans="2:30" x14ac:dyDescent="0.25">
      <c r="N379" s="58" t="s">
        <v>66</v>
      </c>
      <c r="O379" s="58">
        <v>10</v>
      </c>
      <c r="Q379" s="58" t="s">
        <v>66</v>
      </c>
      <c r="R379" s="58">
        <v>10</v>
      </c>
      <c r="W379" s="63" t="s">
        <v>68</v>
      </c>
      <c r="X379" s="63">
        <v>14</v>
      </c>
      <c r="Y379" s="2"/>
      <c r="Z379" s="63" t="s">
        <v>68</v>
      </c>
      <c r="AA379" s="63">
        <v>15</v>
      </c>
      <c r="AC379" s="63" t="s">
        <v>68</v>
      </c>
      <c r="AD379" s="63">
        <v>16</v>
      </c>
    </row>
    <row r="380" spans="2:30" x14ac:dyDescent="0.25">
      <c r="N380" s="58" t="s">
        <v>68</v>
      </c>
      <c r="O380" s="58">
        <v>13</v>
      </c>
      <c r="Q380" s="58" t="s">
        <v>68</v>
      </c>
      <c r="R380" s="58">
        <v>14</v>
      </c>
    </row>
    <row r="381" spans="2:30" x14ac:dyDescent="0.25">
      <c r="N381" s="58" t="s">
        <v>69</v>
      </c>
      <c r="O381" s="58">
        <v>15</v>
      </c>
      <c r="Q381" s="58" t="s">
        <v>69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58" t="s">
        <v>133</v>
      </c>
      <c r="B1" s="133"/>
      <c r="C1" s="133"/>
      <c r="D1" s="118"/>
      <c r="E1" s="118"/>
      <c r="F1" s="133"/>
      <c r="G1" s="133"/>
      <c r="H1" s="159"/>
      <c r="I1" s="160" t="s">
        <v>134</v>
      </c>
      <c r="J1" s="161"/>
      <c r="K1" s="162" t="s">
        <v>147</v>
      </c>
      <c r="L1" s="163"/>
      <c r="M1" s="117" t="s">
        <v>135</v>
      </c>
      <c r="N1" s="164"/>
      <c r="O1" s="117">
        <v>4</v>
      </c>
      <c r="P1" s="164"/>
    </row>
    <row r="2" spans="1:23" ht="15" customHeight="1" thickTop="1" x14ac:dyDescent="0.25">
      <c r="A2" s="117" t="s">
        <v>136</v>
      </c>
      <c r="B2" s="118"/>
      <c r="C2" s="118"/>
      <c r="D2" s="120" t="s">
        <v>137</v>
      </c>
      <c r="E2" s="121"/>
      <c r="F2" s="118" t="s">
        <v>138</v>
      </c>
      <c r="G2" s="118"/>
      <c r="H2" s="118"/>
      <c r="I2" s="126" t="s">
        <v>139</v>
      </c>
      <c r="J2" s="127"/>
      <c r="K2" s="127"/>
      <c r="L2" s="127"/>
      <c r="M2" s="127"/>
      <c r="N2" s="127"/>
      <c r="O2" s="127"/>
      <c r="P2" s="128"/>
      <c r="W2" t="s">
        <v>140</v>
      </c>
    </row>
    <row r="3" spans="1:23" ht="15" customHeight="1" thickBot="1" x14ac:dyDescent="0.3">
      <c r="A3" s="119"/>
      <c r="B3" s="116"/>
      <c r="C3" s="116"/>
      <c r="D3" s="122"/>
      <c r="E3" s="123"/>
      <c r="F3" s="116"/>
      <c r="G3" s="116"/>
      <c r="H3" s="116"/>
      <c r="I3" s="129"/>
      <c r="J3" s="130"/>
      <c r="K3" s="130"/>
      <c r="L3" s="130"/>
      <c r="M3" s="130"/>
      <c r="N3" s="130"/>
      <c r="O3" s="130"/>
      <c r="P3" s="131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22"/>
      <c r="E4" s="123"/>
      <c r="F4" s="4">
        <v>1</v>
      </c>
      <c r="G4" s="66">
        <v>31</v>
      </c>
      <c r="H4" s="67">
        <v>61</v>
      </c>
      <c r="I4" s="132" t="s">
        <v>141</v>
      </c>
      <c r="J4" s="133"/>
      <c r="K4" s="133"/>
      <c r="L4" s="133"/>
      <c r="M4" s="133"/>
      <c r="N4" s="133"/>
      <c r="O4" s="133"/>
      <c r="P4" s="134"/>
    </row>
    <row r="5" spans="1:23" x14ac:dyDescent="0.25">
      <c r="A5" s="68">
        <v>2</v>
      </c>
      <c r="B5" s="60">
        <v>32</v>
      </c>
      <c r="C5" s="69">
        <v>62</v>
      </c>
      <c r="D5" s="122"/>
      <c r="E5" s="123"/>
      <c r="F5" s="68">
        <v>2</v>
      </c>
      <c r="G5" s="60">
        <v>32</v>
      </c>
      <c r="H5" s="70">
        <v>62</v>
      </c>
      <c r="I5" s="166" t="s">
        <v>127</v>
      </c>
      <c r="J5" s="167"/>
      <c r="K5" s="167"/>
      <c r="L5" s="167"/>
      <c r="M5" s="167"/>
      <c r="N5" s="167"/>
      <c r="O5" s="167"/>
      <c r="P5" s="168"/>
    </row>
    <row r="6" spans="1:23" x14ac:dyDescent="0.25">
      <c r="A6" s="68">
        <v>3</v>
      </c>
      <c r="B6" s="60">
        <v>33</v>
      </c>
      <c r="C6" s="69">
        <v>63</v>
      </c>
      <c r="D6" s="122"/>
      <c r="E6" s="123"/>
      <c r="F6" s="68">
        <v>3</v>
      </c>
      <c r="G6" s="60">
        <v>33</v>
      </c>
      <c r="H6" s="70">
        <v>63</v>
      </c>
      <c r="I6" s="153"/>
      <c r="J6" s="154"/>
      <c r="K6" s="154"/>
      <c r="L6" s="154"/>
      <c r="M6" s="154"/>
      <c r="N6" s="154"/>
      <c r="O6" s="154"/>
      <c r="P6" s="155"/>
      <c r="R6" s="172" t="s">
        <v>142</v>
      </c>
      <c r="S6" s="116" t="s">
        <v>143</v>
      </c>
      <c r="T6" s="116"/>
      <c r="U6" s="116"/>
      <c r="V6" s="116"/>
      <c r="W6" s="116"/>
    </row>
    <row r="7" spans="1:23" ht="15" customHeight="1" x14ac:dyDescent="0.25">
      <c r="A7" s="68">
        <v>4</v>
      </c>
      <c r="B7" s="60">
        <v>34</v>
      </c>
      <c r="C7" s="69">
        <v>64</v>
      </c>
      <c r="D7" s="122"/>
      <c r="E7" s="123"/>
      <c r="F7" s="68">
        <v>4</v>
      </c>
      <c r="G7" s="60">
        <v>34</v>
      </c>
      <c r="H7" s="70">
        <v>64</v>
      </c>
      <c r="I7" s="153"/>
      <c r="J7" s="154"/>
      <c r="K7" s="154"/>
      <c r="L7" s="154"/>
      <c r="M7" s="154"/>
      <c r="N7" s="154"/>
      <c r="O7" s="154"/>
      <c r="P7" s="155"/>
      <c r="R7" s="172"/>
      <c r="S7" s="165">
        <v>1</v>
      </c>
      <c r="T7" s="165"/>
      <c r="U7" s="165"/>
      <c r="V7" s="165"/>
      <c r="W7" s="165"/>
    </row>
    <row r="8" spans="1:23" x14ac:dyDescent="0.25">
      <c r="A8" s="68">
        <v>5</v>
      </c>
      <c r="B8" s="60">
        <v>35</v>
      </c>
      <c r="C8" s="69">
        <v>65</v>
      </c>
      <c r="D8" s="122"/>
      <c r="E8" s="123"/>
      <c r="F8" s="68">
        <v>5</v>
      </c>
      <c r="G8" s="60">
        <v>35</v>
      </c>
      <c r="H8" s="70">
        <v>65</v>
      </c>
      <c r="I8" s="153"/>
      <c r="J8" s="154"/>
      <c r="K8" s="154"/>
      <c r="L8" s="154"/>
      <c r="M8" s="154"/>
      <c r="N8" s="154"/>
      <c r="O8" s="154"/>
      <c r="P8" s="155"/>
      <c r="R8" s="2">
        <v>1</v>
      </c>
      <c r="S8" s="71" t="s">
        <v>121</v>
      </c>
      <c r="T8" s="72"/>
      <c r="U8" s="73" t="s">
        <v>129</v>
      </c>
      <c r="V8" s="72"/>
      <c r="W8" s="71" t="s">
        <v>122</v>
      </c>
    </row>
    <row r="9" spans="1:23" x14ac:dyDescent="0.25">
      <c r="A9" s="68">
        <v>6</v>
      </c>
      <c r="B9" s="60">
        <v>36</v>
      </c>
      <c r="C9" s="69">
        <v>66</v>
      </c>
      <c r="D9" s="122"/>
      <c r="E9" s="123"/>
      <c r="F9" s="68">
        <v>6</v>
      </c>
      <c r="G9" s="60">
        <v>36</v>
      </c>
      <c r="H9" s="70">
        <v>66</v>
      </c>
      <c r="I9" s="153"/>
      <c r="J9" s="154"/>
      <c r="K9" s="154"/>
      <c r="L9" s="154"/>
      <c r="M9" s="154"/>
      <c r="N9" s="154"/>
      <c r="O9" s="154"/>
      <c r="P9" s="155"/>
      <c r="R9" s="2">
        <v>2</v>
      </c>
      <c r="S9" s="71" t="s">
        <v>123</v>
      </c>
      <c r="T9" s="72"/>
      <c r="U9" s="73" t="s">
        <v>130</v>
      </c>
      <c r="V9" s="72"/>
      <c r="W9" s="71" t="s">
        <v>124</v>
      </c>
    </row>
    <row r="10" spans="1:23" x14ac:dyDescent="0.25">
      <c r="A10" s="68">
        <v>7</v>
      </c>
      <c r="B10" s="60">
        <v>37</v>
      </c>
      <c r="C10" s="69">
        <v>67</v>
      </c>
      <c r="D10" s="122"/>
      <c r="E10" s="123"/>
      <c r="F10" s="68">
        <v>7</v>
      </c>
      <c r="G10" s="60">
        <v>37</v>
      </c>
      <c r="H10" s="70">
        <v>67</v>
      </c>
      <c r="I10" s="153"/>
      <c r="J10" s="154"/>
      <c r="K10" s="154"/>
      <c r="L10" s="154"/>
      <c r="M10" s="154"/>
      <c r="N10" s="154"/>
      <c r="O10" s="154"/>
      <c r="P10" s="155"/>
      <c r="R10" s="2">
        <v>3</v>
      </c>
      <c r="S10" s="71" t="s">
        <v>125</v>
      </c>
      <c r="T10" s="72"/>
      <c r="U10" s="73" t="s">
        <v>131</v>
      </c>
      <c r="V10" s="72"/>
      <c r="W10" s="71" t="s">
        <v>126</v>
      </c>
    </row>
    <row r="11" spans="1:23" x14ac:dyDescent="0.25">
      <c r="A11" s="68">
        <v>8</v>
      </c>
      <c r="B11" s="60">
        <v>38</v>
      </c>
      <c r="C11" s="69">
        <v>68</v>
      </c>
      <c r="D11" s="122"/>
      <c r="E11" s="123"/>
      <c r="F11" s="68">
        <v>8</v>
      </c>
      <c r="G11" s="60">
        <v>38</v>
      </c>
      <c r="H11" s="70">
        <v>68</v>
      </c>
      <c r="I11" s="169"/>
      <c r="J11" s="170"/>
      <c r="K11" s="170"/>
      <c r="L11" s="170"/>
      <c r="M11" s="170"/>
      <c r="N11" s="170"/>
      <c r="O11" s="170"/>
      <c r="P11" s="171"/>
      <c r="R11" s="2">
        <v>4</v>
      </c>
      <c r="S11" s="71" t="s">
        <v>127</v>
      </c>
      <c r="T11" s="72"/>
      <c r="U11" s="73" t="s">
        <v>132</v>
      </c>
      <c r="V11" s="72"/>
      <c r="W11" s="71" t="s">
        <v>128</v>
      </c>
    </row>
    <row r="12" spans="1:23" x14ac:dyDescent="0.25">
      <c r="A12" s="68">
        <v>9</v>
      </c>
      <c r="B12" s="60">
        <v>39</v>
      </c>
      <c r="C12" s="69">
        <v>69</v>
      </c>
      <c r="D12" s="122"/>
      <c r="E12" s="123"/>
      <c r="F12" s="68">
        <v>9</v>
      </c>
      <c r="G12" s="60">
        <v>39</v>
      </c>
      <c r="H12" s="70">
        <v>69</v>
      </c>
      <c r="I12" s="173"/>
      <c r="J12" s="174"/>
      <c r="K12" s="174"/>
      <c r="L12" s="174"/>
      <c r="M12" s="174"/>
      <c r="N12" s="174"/>
      <c r="O12" s="174"/>
      <c r="P12" s="175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22"/>
      <c r="E13" s="123"/>
      <c r="F13" s="68">
        <v>10</v>
      </c>
      <c r="G13" s="60">
        <v>40</v>
      </c>
      <c r="H13" s="70">
        <v>70</v>
      </c>
      <c r="I13" s="176"/>
      <c r="J13" s="116"/>
      <c r="K13" s="116"/>
      <c r="L13" s="116"/>
      <c r="M13" s="116"/>
      <c r="N13" s="116"/>
      <c r="O13" s="116"/>
      <c r="P13" s="177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22"/>
      <c r="E14" s="123"/>
      <c r="F14" s="68">
        <v>11</v>
      </c>
      <c r="G14" s="60">
        <v>41</v>
      </c>
      <c r="H14" s="70">
        <v>71</v>
      </c>
      <c r="I14" s="176"/>
      <c r="J14" s="116"/>
      <c r="K14" s="116"/>
      <c r="L14" s="116"/>
      <c r="M14" s="116"/>
      <c r="N14" s="116"/>
      <c r="O14" s="116"/>
      <c r="P14" s="177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22"/>
      <c r="E15" s="123"/>
      <c r="F15" s="68">
        <v>12</v>
      </c>
      <c r="G15" s="60">
        <v>42</v>
      </c>
      <c r="H15" s="70">
        <v>72</v>
      </c>
      <c r="I15" s="176"/>
      <c r="J15" s="116"/>
      <c r="K15" s="116"/>
      <c r="L15" s="116"/>
      <c r="M15" s="116"/>
      <c r="N15" s="116"/>
      <c r="O15" s="116"/>
      <c r="P15" s="177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22"/>
      <c r="E16" s="123"/>
      <c r="F16" s="68">
        <v>13</v>
      </c>
      <c r="G16" s="60">
        <v>43</v>
      </c>
      <c r="H16" s="70">
        <v>73</v>
      </c>
      <c r="I16" s="176"/>
      <c r="J16" s="116"/>
      <c r="K16" s="116"/>
      <c r="L16" s="116"/>
      <c r="M16" s="116"/>
      <c r="N16" s="116"/>
      <c r="O16" s="116"/>
      <c r="P16" s="177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22"/>
      <c r="E17" s="123"/>
      <c r="F17" s="68">
        <v>14</v>
      </c>
      <c r="G17" s="60">
        <v>44</v>
      </c>
      <c r="H17" s="70">
        <v>74</v>
      </c>
      <c r="I17" s="176"/>
      <c r="J17" s="116"/>
      <c r="K17" s="116"/>
      <c r="L17" s="116"/>
      <c r="M17" s="116"/>
      <c r="N17" s="116"/>
      <c r="O17" s="116"/>
      <c r="P17" s="177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22"/>
      <c r="E18" s="123"/>
      <c r="F18" s="68">
        <v>15</v>
      </c>
      <c r="G18" s="60">
        <v>45</v>
      </c>
      <c r="H18" s="70">
        <v>75</v>
      </c>
      <c r="I18" s="138" t="s">
        <v>144</v>
      </c>
      <c r="J18" s="139"/>
      <c r="K18" s="139"/>
      <c r="L18" s="139"/>
      <c r="M18" s="139"/>
      <c r="N18" s="139"/>
      <c r="O18" s="139"/>
      <c r="P18" s="140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22"/>
      <c r="E19" s="123"/>
      <c r="F19" s="68">
        <v>16</v>
      </c>
      <c r="G19" s="60">
        <v>46</v>
      </c>
      <c r="H19" s="70">
        <v>76</v>
      </c>
      <c r="I19" s="141"/>
      <c r="J19" s="142"/>
      <c r="K19" s="142"/>
      <c r="L19" s="142"/>
      <c r="M19" s="142"/>
      <c r="N19" s="142"/>
      <c r="O19" s="142"/>
      <c r="P19" s="143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22"/>
      <c r="E20" s="123"/>
      <c r="F20" s="68">
        <v>17</v>
      </c>
      <c r="G20" s="60">
        <v>47</v>
      </c>
      <c r="H20" s="70">
        <v>77</v>
      </c>
      <c r="I20" s="144"/>
      <c r="J20" s="145"/>
      <c r="K20" s="145"/>
      <c r="L20" s="145"/>
      <c r="M20" s="145"/>
      <c r="N20" s="145"/>
      <c r="O20" s="145"/>
      <c r="P20" s="146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22"/>
      <c r="E21" s="123"/>
      <c r="F21" s="68">
        <v>18</v>
      </c>
      <c r="G21" s="60">
        <v>48</v>
      </c>
      <c r="H21" s="70">
        <v>78</v>
      </c>
      <c r="I21" s="144"/>
      <c r="J21" s="145"/>
      <c r="K21" s="145"/>
      <c r="L21" s="145"/>
      <c r="M21" s="145"/>
      <c r="N21" s="145"/>
      <c r="O21" s="145"/>
      <c r="P21" s="146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22"/>
      <c r="E22" s="123"/>
      <c r="F22" s="68">
        <v>19</v>
      </c>
      <c r="G22" s="60">
        <v>49</v>
      </c>
      <c r="H22" s="70">
        <v>79</v>
      </c>
      <c r="I22" s="144"/>
      <c r="J22" s="145"/>
      <c r="K22" s="145"/>
      <c r="L22" s="145"/>
      <c r="M22" s="145"/>
      <c r="N22" s="145"/>
      <c r="O22" s="145"/>
      <c r="P22" s="146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22"/>
      <c r="E23" s="123"/>
      <c r="F23" s="68">
        <v>20</v>
      </c>
      <c r="G23" s="60">
        <v>50</v>
      </c>
      <c r="H23" s="70">
        <v>80</v>
      </c>
      <c r="I23" s="144"/>
      <c r="J23" s="145"/>
      <c r="K23" s="145"/>
      <c r="L23" s="145"/>
      <c r="M23" s="145"/>
      <c r="N23" s="145"/>
      <c r="O23" s="145"/>
      <c r="P23" s="146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22"/>
      <c r="E24" s="123"/>
      <c r="F24" s="68">
        <v>21</v>
      </c>
      <c r="G24" s="60">
        <v>51</v>
      </c>
      <c r="H24" s="70">
        <v>81</v>
      </c>
      <c r="I24" s="144"/>
      <c r="J24" s="145"/>
      <c r="K24" s="145"/>
      <c r="L24" s="145"/>
      <c r="M24" s="145"/>
      <c r="N24" s="145"/>
      <c r="O24" s="145"/>
      <c r="P24" s="146"/>
    </row>
    <row r="25" spans="1:36" ht="15" customHeight="1" x14ac:dyDescent="0.25">
      <c r="A25" s="68">
        <v>22</v>
      </c>
      <c r="B25" s="60">
        <v>52</v>
      </c>
      <c r="C25" s="69">
        <v>82</v>
      </c>
      <c r="D25" s="122"/>
      <c r="E25" s="123"/>
      <c r="F25" s="68">
        <v>22</v>
      </c>
      <c r="G25" s="60">
        <v>52</v>
      </c>
      <c r="H25" s="70">
        <v>82</v>
      </c>
      <c r="I25" s="147"/>
      <c r="J25" s="148"/>
      <c r="K25" s="148"/>
      <c r="L25" s="148"/>
      <c r="M25" s="148"/>
      <c r="N25" s="148"/>
      <c r="O25" s="148"/>
      <c r="P25" s="149"/>
    </row>
    <row r="26" spans="1:36" ht="15" customHeight="1" x14ac:dyDescent="0.25">
      <c r="A26" s="68">
        <v>23</v>
      </c>
      <c r="B26" s="60">
        <v>53</v>
      </c>
      <c r="C26" s="69">
        <v>83</v>
      </c>
      <c r="D26" s="122"/>
      <c r="E26" s="123"/>
      <c r="F26" s="68">
        <v>23</v>
      </c>
      <c r="G26" s="60">
        <v>53</v>
      </c>
      <c r="H26" s="70">
        <v>83</v>
      </c>
      <c r="I26" s="150" t="s">
        <v>128</v>
      </c>
      <c r="J26" s="151"/>
      <c r="K26" s="151"/>
      <c r="L26" s="151"/>
      <c r="M26" s="151"/>
      <c r="N26" s="151"/>
      <c r="O26" s="151"/>
      <c r="P26" s="152"/>
    </row>
    <row r="27" spans="1:36" ht="15" customHeight="1" x14ac:dyDescent="0.25">
      <c r="A27" s="68">
        <v>24</v>
      </c>
      <c r="B27" s="60">
        <v>54</v>
      </c>
      <c r="C27" s="69">
        <v>84</v>
      </c>
      <c r="D27" s="122"/>
      <c r="E27" s="123"/>
      <c r="F27" s="68">
        <v>24</v>
      </c>
      <c r="G27" s="60">
        <v>54</v>
      </c>
      <c r="H27" s="70">
        <v>84</v>
      </c>
      <c r="I27" s="153"/>
      <c r="J27" s="154"/>
      <c r="K27" s="154"/>
      <c r="L27" s="154"/>
      <c r="M27" s="154"/>
      <c r="N27" s="154"/>
      <c r="O27" s="154"/>
      <c r="P27" s="155"/>
    </row>
    <row r="28" spans="1:36" ht="15" customHeight="1" x14ac:dyDescent="0.25">
      <c r="A28" s="68">
        <v>25</v>
      </c>
      <c r="B28" s="60">
        <v>55</v>
      </c>
      <c r="C28" s="69">
        <v>85</v>
      </c>
      <c r="D28" s="122"/>
      <c r="E28" s="123"/>
      <c r="F28" s="68">
        <v>25</v>
      </c>
      <c r="G28" s="60">
        <v>55</v>
      </c>
      <c r="H28" s="70">
        <v>85</v>
      </c>
      <c r="I28" s="153"/>
      <c r="J28" s="154"/>
      <c r="K28" s="154"/>
      <c r="L28" s="154"/>
      <c r="M28" s="154"/>
      <c r="N28" s="154"/>
      <c r="O28" s="154"/>
      <c r="P28" s="155"/>
    </row>
    <row r="29" spans="1:36" ht="15" customHeight="1" x14ac:dyDescent="0.25">
      <c r="A29" s="68">
        <v>26</v>
      </c>
      <c r="B29" s="60">
        <v>56</v>
      </c>
      <c r="C29" s="69">
        <v>86</v>
      </c>
      <c r="D29" s="122"/>
      <c r="E29" s="123"/>
      <c r="F29" s="68">
        <v>26</v>
      </c>
      <c r="G29" s="60">
        <v>56</v>
      </c>
      <c r="H29" s="70">
        <v>86</v>
      </c>
      <c r="I29" s="153"/>
      <c r="J29" s="154"/>
      <c r="K29" s="154"/>
      <c r="L29" s="154"/>
      <c r="M29" s="154"/>
      <c r="N29" s="154"/>
      <c r="O29" s="154"/>
      <c r="P29" s="155"/>
      <c r="AJ29" t="s">
        <v>145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22"/>
      <c r="E30" s="123"/>
      <c r="F30" s="68">
        <v>27</v>
      </c>
      <c r="G30" s="60">
        <v>57</v>
      </c>
      <c r="H30" s="70">
        <v>87</v>
      </c>
      <c r="I30" s="153"/>
      <c r="J30" s="154"/>
      <c r="K30" s="154"/>
      <c r="L30" s="154"/>
      <c r="M30" s="154"/>
      <c r="N30" s="154"/>
      <c r="O30" s="154"/>
      <c r="P30" s="155"/>
    </row>
    <row r="31" spans="1:36" ht="15" customHeight="1" x14ac:dyDescent="0.25">
      <c r="A31" s="68">
        <v>28</v>
      </c>
      <c r="B31" s="60">
        <v>58</v>
      </c>
      <c r="C31" s="69">
        <v>88</v>
      </c>
      <c r="D31" s="122"/>
      <c r="E31" s="123"/>
      <c r="F31" s="68">
        <v>28</v>
      </c>
      <c r="G31" s="60">
        <v>58</v>
      </c>
      <c r="H31" s="70">
        <v>88</v>
      </c>
      <c r="I31" s="153"/>
      <c r="J31" s="154"/>
      <c r="K31" s="154"/>
      <c r="L31" s="154"/>
      <c r="M31" s="154"/>
      <c r="N31" s="154"/>
      <c r="O31" s="154"/>
      <c r="P31" s="155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22"/>
      <c r="E32" s="123"/>
      <c r="F32" s="68">
        <v>29</v>
      </c>
      <c r="G32" s="60">
        <v>59</v>
      </c>
      <c r="H32" s="70">
        <v>89</v>
      </c>
      <c r="I32" s="156"/>
      <c r="J32" s="84"/>
      <c r="K32" s="84"/>
      <c r="L32" s="84"/>
      <c r="M32" s="84"/>
      <c r="N32" s="84"/>
      <c r="O32" s="84"/>
      <c r="P32" s="157"/>
    </row>
    <row r="33" spans="1:16" ht="15.75" thickBot="1" x14ac:dyDescent="0.3">
      <c r="A33" s="74">
        <v>30</v>
      </c>
      <c r="B33" s="75">
        <v>60</v>
      </c>
      <c r="C33" s="76">
        <v>90</v>
      </c>
      <c r="D33" s="124"/>
      <c r="E33" s="125"/>
      <c r="F33" s="74">
        <v>30</v>
      </c>
      <c r="G33" s="75">
        <v>60</v>
      </c>
      <c r="H33" s="77">
        <v>90</v>
      </c>
      <c r="I33" s="135" t="s">
        <v>146</v>
      </c>
      <c r="J33" s="136"/>
      <c r="K33" s="136"/>
      <c r="L33" s="136"/>
      <c r="M33" s="136"/>
      <c r="N33" s="136"/>
      <c r="O33" s="136"/>
      <c r="P33" s="137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273" priority="13">
      <formula>$C8&lt;$E8</formula>
    </cfRule>
    <cfRule type="expression" dxfId="272" priority="14">
      <formula>$C8&gt;$E8</formula>
    </cfRule>
  </conditionalFormatting>
  <conditionalFormatting sqref="V8:V13 V15">
    <cfRule type="expression" dxfId="271" priority="11">
      <formula>$C8&gt;$E8</formula>
    </cfRule>
    <cfRule type="expression" dxfId="270" priority="12">
      <formula>$C8&lt;$E8</formula>
    </cfRule>
  </conditionalFormatting>
  <conditionalFormatting sqref="T14">
    <cfRule type="expression" dxfId="269" priority="9">
      <formula>$C14&lt;$E14</formula>
    </cfRule>
    <cfRule type="expression" dxfId="268" priority="10">
      <formula>$C14&gt;$E14</formula>
    </cfRule>
  </conditionalFormatting>
  <conditionalFormatting sqref="V14">
    <cfRule type="expression" dxfId="267" priority="7">
      <formula>$C14&gt;$E14</formula>
    </cfRule>
    <cfRule type="expression" dxfId="266" priority="8">
      <formula>$C14&lt;$E14</formula>
    </cfRule>
  </conditionalFormatting>
  <conditionalFormatting sqref="T22">
    <cfRule type="expression" dxfId="265" priority="5">
      <formula>$C22&lt;$E22</formula>
    </cfRule>
    <cfRule type="expression" dxfId="264" priority="6">
      <formula>$C22&gt;$E22</formula>
    </cfRule>
  </conditionalFormatting>
  <conditionalFormatting sqref="V16:V21 V23">
    <cfRule type="expression" dxfId="263" priority="3">
      <formula>$C16&lt;$E16</formula>
    </cfRule>
    <cfRule type="expression" dxfId="262" priority="4">
      <formula>$C16&gt;$E16</formula>
    </cfRule>
  </conditionalFormatting>
  <conditionalFormatting sqref="V22">
    <cfRule type="expression" dxfId="261" priority="1">
      <formula>$C22&lt;$E22</formula>
    </cfRule>
    <cfRule type="expression" dxfId="26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A7D9-0714-4AF1-A57C-52CD4ABCFFF0}">
  <dimension ref="B1:C21"/>
  <sheetViews>
    <sheetView workbookViewId="0"/>
  </sheetViews>
  <sheetFormatPr baseColWidth="10" defaultRowHeight="15" x14ac:dyDescent="0.25"/>
  <cols>
    <col min="1" max="2" width="11.42578125" style="178"/>
    <col min="3" max="3" width="75.7109375" style="178" customWidth="1"/>
    <col min="4" max="16384" width="11.42578125" style="178"/>
  </cols>
  <sheetData>
    <row r="1" spans="2:3" ht="15.75" thickBot="1" x14ac:dyDescent="0.3"/>
    <row r="2" spans="2:3" ht="15.75" x14ac:dyDescent="0.25">
      <c r="B2" s="179" t="s">
        <v>152</v>
      </c>
      <c r="C2" s="182" t="s">
        <v>121</v>
      </c>
    </row>
    <row r="3" spans="2:3" ht="15.75" x14ac:dyDescent="0.25">
      <c r="B3" s="180"/>
      <c r="C3" s="183" t="s">
        <v>122</v>
      </c>
    </row>
    <row r="4" spans="2:3" ht="15.75" x14ac:dyDescent="0.25">
      <c r="B4" s="180"/>
      <c r="C4" s="183" t="s">
        <v>123</v>
      </c>
    </row>
    <row r="5" spans="2:3" ht="15.75" x14ac:dyDescent="0.25">
      <c r="B5" s="180"/>
      <c r="C5" s="183" t="s">
        <v>124</v>
      </c>
    </row>
    <row r="6" spans="2:3" ht="15.75" x14ac:dyDescent="0.25">
      <c r="B6" s="180"/>
      <c r="C6" s="183" t="s">
        <v>153</v>
      </c>
    </row>
    <row r="7" spans="2:3" ht="15.75" x14ac:dyDescent="0.25">
      <c r="B7" s="180"/>
      <c r="C7" s="183" t="s">
        <v>154</v>
      </c>
    </row>
    <row r="8" spans="2:3" ht="15.75" x14ac:dyDescent="0.25">
      <c r="B8" s="180"/>
      <c r="C8" s="183" t="s">
        <v>155</v>
      </c>
    </row>
    <row r="9" spans="2:3" ht="15.75" x14ac:dyDescent="0.25">
      <c r="B9" s="180"/>
      <c r="C9" s="183" t="s">
        <v>156</v>
      </c>
    </row>
    <row r="10" spans="2:3" ht="15.75" x14ac:dyDescent="0.25">
      <c r="B10" s="180"/>
      <c r="C10" s="183" t="s">
        <v>157</v>
      </c>
    </row>
    <row r="11" spans="2:3" ht="15.75" x14ac:dyDescent="0.25">
      <c r="B11" s="180"/>
      <c r="C11" s="183" t="s">
        <v>158</v>
      </c>
    </row>
    <row r="12" spans="2:3" ht="15.75" x14ac:dyDescent="0.25">
      <c r="B12" s="180"/>
      <c r="C12" s="183" t="s">
        <v>159</v>
      </c>
    </row>
    <row r="13" spans="2:3" ht="15.75" x14ac:dyDescent="0.25">
      <c r="B13" s="180"/>
      <c r="C13" s="183" t="s">
        <v>160</v>
      </c>
    </row>
    <row r="14" spans="2:3" ht="15.75" x14ac:dyDescent="0.25">
      <c r="B14" s="180"/>
      <c r="C14" s="183" t="s">
        <v>161</v>
      </c>
    </row>
    <row r="15" spans="2:3" ht="15.75" x14ac:dyDescent="0.25">
      <c r="B15" s="180"/>
      <c r="C15" s="183" t="s">
        <v>162</v>
      </c>
    </row>
    <row r="16" spans="2:3" ht="15.75" x14ac:dyDescent="0.25">
      <c r="B16" s="180"/>
      <c r="C16" s="183" t="s">
        <v>163</v>
      </c>
    </row>
    <row r="17" spans="2:3" ht="15.75" x14ac:dyDescent="0.25">
      <c r="B17" s="180"/>
      <c r="C17" s="183" t="s">
        <v>164</v>
      </c>
    </row>
    <row r="18" spans="2:3" ht="15.75" x14ac:dyDescent="0.25">
      <c r="B18" s="180"/>
      <c r="C18" s="183" t="s">
        <v>165</v>
      </c>
    </row>
    <row r="19" spans="2:3" ht="15.75" x14ac:dyDescent="0.25">
      <c r="B19" s="180"/>
      <c r="C19" s="183" t="s">
        <v>166</v>
      </c>
    </row>
    <row r="20" spans="2:3" ht="15.75" x14ac:dyDescent="0.25">
      <c r="B20" s="180"/>
      <c r="C20" s="183" t="s">
        <v>167</v>
      </c>
    </row>
    <row r="21" spans="2:3" ht="16.5" thickBot="1" x14ac:dyDescent="0.3">
      <c r="B21" s="181"/>
      <c r="C21" s="184" t="s">
        <v>168</v>
      </c>
    </row>
  </sheetData>
  <mergeCells count="1">
    <mergeCell ref="B2:B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C4PPinscript">
              <controlPr defaultSize="0" print="0" autoFill="0" autoPict="0" macro="[0]!'copyimage &quot;B2:C2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0B3D-B876-4F79-B985-91B53AAAC0E4}">
  <dimension ref="A1:G1135"/>
  <sheetViews>
    <sheetView topLeftCell="B1" workbookViewId="0">
      <selection activeCell="F38" sqref="F38"/>
    </sheetView>
  </sheetViews>
  <sheetFormatPr baseColWidth="10" defaultRowHeight="15" x14ac:dyDescent="0.25"/>
  <cols>
    <col min="1" max="1" width="0" style="178" hidden="1" customWidth="1"/>
    <col min="2" max="2" width="43.5703125" style="178" customWidth="1"/>
    <col min="3" max="3" width="6" style="190" customWidth="1"/>
    <col min="4" max="4" width="16.7109375" style="178" customWidth="1"/>
    <col min="5" max="5" width="6" style="190" customWidth="1"/>
    <col min="6" max="6" width="43.5703125" style="178" customWidth="1"/>
    <col min="7" max="7" width="6" style="178" hidden="1" customWidth="1"/>
    <col min="8" max="16384" width="11.42578125" style="178"/>
  </cols>
  <sheetData>
    <row r="1" spans="1:7" x14ac:dyDescent="0.25">
      <c r="A1" s="185"/>
      <c r="B1" s="185"/>
      <c r="C1" s="188"/>
      <c r="D1" s="186">
        <v>0.79166666666666663</v>
      </c>
      <c r="E1" s="188"/>
      <c r="F1" s="185"/>
      <c r="G1" s="185"/>
    </row>
    <row r="2" spans="1:7" x14ac:dyDescent="0.25">
      <c r="A2" s="198" t="s">
        <v>181</v>
      </c>
      <c r="B2" s="198" t="str">
        <f>INSCRITS!C2 &amp; " - " &amp; INSCRITS!C21</f>
        <v>1A - 20A</v>
      </c>
      <c r="C2" s="189"/>
      <c r="D2" s="187" t="s">
        <v>129</v>
      </c>
      <c r="E2" s="189"/>
      <c r="F2" s="198" t="str">
        <f>INSCRITS!C3 &amp; " - " &amp; INSCRITS!C20</f>
        <v>2A - 19A</v>
      </c>
      <c r="G2" s="198" t="s">
        <v>182</v>
      </c>
    </row>
    <row r="3" spans="1:7" x14ac:dyDescent="0.25">
      <c r="A3" s="198" t="s">
        <v>183</v>
      </c>
      <c r="B3" s="198" t="str">
        <f>INSCRITS!C4 &amp; " - " &amp; INSCRITS!C19</f>
        <v>3A - 18A</v>
      </c>
      <c r="C3" s="189"/>
      <c r="D3" s="187" t="s">
        <v>130</v>
      </c>
      <c r="E3" s="189"/>
      <c r="F3" s="198" t="str">
        <f>INSCRITS!C5 &amp; " - " &amp; INSCRITS!C18</f>
        <v>4A - 17A</v>
      </c>
      <c r="G3" s="198" t="s">
        <v>184</v>
      </c>
    </row>
    <row r="4" spans="1:7" x14ac:dyDescent="0.25">
      <c r="A4" s="198" t="s">
        <v>185</v>
      </c>
      <c r="B4" s="198" t="str">
        <f>INSCRITS!C6 &amp; " - " &amp; INSCRITS!C17</f>
        <v>5A - 16A</v>
      </c>
      <c r="C4" s="189"/>
      <c r="D4" s="187" t="s">
        <v>131</v>
      </c>
      <c r="E4" s="189"/>
      <c r="F4" s="198" t="str">
        <f>INSCRITS!C7 &amp; " - " &amp; INSCRITS!C16</f>
        <v>6A - 15A</v>
      </c>
      <c r="G4" s="198" t="s">
        <v>186</v>
      </c>
    </row>
    <row r="5" spans="1:7" x14ac:dyDescent="0.25">
      <c r="A5" s="198" t="s">
        <v>187</v>
      </c>
      <c r="B5" s="198" t="str">
        <f>INSCRITS!C8 &amp; " - " &amp; INSCRITS!C15</f>
        <v>7A - 14A</v>
      </c>
      <c r="C5" s="189"/>
      <c r="D5" s="187" t="s">
        <v>132</v>
      </c>
      <c r="E5" s="189"/>
      <c r="F5" s="198" t="str">
        <f>INSCRITS!C9 &amp; " - " &amp; INSCRITS!C14</f>
        <v>8A - 13A</v>
      </c>
      <c r="G5" s="198" t="s">
        <v>188</v>
      </c>
    </row>
    <row r="6" spans="1:7" x14ac:dyDescent="0.25">
      <c r="A6" s="198" t="s">
        <v>189</v>
      </c>
      <c r="B6" s="198" t="str">
        <f>INSCRITS!C10 &amp; " - " &amp; INSCRITS!C13</f>
        <v>9A - 12A</v>
      </c>
      <c r="C6" s="189"/>
      <c r="D6" s="187" t="s">
        <v>169</v>
      </c>
      <c r="E6" s="189"/>
      <c r="F6" s="198" t="str">
        <f>INSCRITS!C11 &amp; " - " &amp; INSCRITS!C12</f>
        <v>10A - 11A</v>
      </c>
      <c r="G6" s="198" t="s">
        <v>190</v>
      </c>
    </row>
    <row r="7" spans="1:7" x14ac:dyDescent="0.25">
      <c r="A7" s="185"/>
      <c r="B7" s="185"/>
      <c r="C7" s="188"/>
      <c r="D7" s="186">
        <f>0.791666666666667 + "00:20:00"</f>
        <v>0.8055555555555558</v>
      </c>
      <c r="E7" s="188"/>
      <c r="F7" s="185"/>
      <c r="G7" s="185"/>
    </row>
    <row r="8" spans="1:7" x14ac:dyDescent="0.25">
      <c r="A8" s="198" t="s">
        <v>191</v>
      </c>
      <c r="B8" s="198" t="str">
        <f>INSCRITS!C2 &amp; " - " &amp; INSCRITS!C20</f>
        <v>1A - 19A</v>
      </c>
      <c r="C8" s="189"/>
      <c r="D8" s="187" t="s">
        <v>129</v>
      </c>
      <c r="E8" s="189"/>
      <c r="F8" s="198" t="str">
        <f>INSCRITS!C19 &amp; " - " &amp; INSCRITS!C21</f>
        <v>18A - 20A</v>
      </c>
      <c r="G8" s="198" t="s">
        <v>192</v>
      </c>
    </row>
    <row r="9" spans="1:7" x14ac:dyDescent="0.25">
      <c r="A9" s="198" t="s">
        <v>193</v>
      </c>
      <c r="B9" s="198" t="str">
        <f>INSCRITS!C3 &amp; " - " &amp; INSCRITS!C18</f>
        <v>2A - 17A</v>
      </c>
      <c r="C9" s="189"/>
      <c r="D9" s="187" t="s">
        <v>130</v>
      </c>
      <c r="E9" s="189"/>
      <c r="F9" s="198" t="str">
        <f>INSCRITS!C4 &amp; " - " &amp; INSCRITS!C17</f>
        <v>3A - 16A</v>
      </c>
      <c r="G9" s="198" t="s">
        <v>194</v>
      </c>
    </row>
    <row r="10" spans="1:7" x14ac:dyDescent="0.25">
      <c r="A10" s="198" t="s">
        <v>195</v>
      </c>
      <c r="B10" s="198" t="str">
        <f>INSCRITS!C5 &amp; " - " &amp; INSCRITS!C16</f>
        <v>4A - 15A</v>
      </c>
      <c r="C10" s="189"/>
      <c r="D10" s="187" t="s">
        <v>131</v>
      </c>
      <c r="E10" s="189"/>
      <c r="F10" s="198" t="str">
        <f>INSCRITS!C6 &amp; " - " &amp; INSCRITS!C15</f>
        <v>5A - 14A</v>
      </c>
      <c r="G10" s="198" t="s">
        <v>196</v>
      </c>
    </row>
    <row r="11" spans="1:7" x14ac:dyDescent="0.25">
      <c r="A11" s="198" t="s">
        <v>197</v>
      </c>
      <c r="B11" s="198" t="str">
        <f>INSCRITS!C7 &amp; " - " &amp; INSCRITS!C14</f>
        <v>6A - 13A</v>
      </c>
      <c r="C11" s="189"/>
      <c r="D11" s="187" t="s">
        <v>132</v>
      </c>
      <c r="E11" s="189"/>
      <c r="F11" s="198" t="str">
        <f>INSCRITS!C8 &amp; " - " &amp; INSCRITS!C13</f>
        <v>7A - 12A</v>
      </c>
      <c r="G11" s="198" t="s">
        <v>198</v>
      </c>
    </row>
    <row r="12" spans="1:7" x14ac:dyDescent="0.25">
      <c r="A12" s="198" t="s">
        <v>199</v>
      </c>
      <c r="B12" s="198" t="str">
        <f>INSCRITS!C9 &amp; " - " &amp; INSCRITS!C12</f>
        <v>8A - 11A</v>
      </c>
      <c r="C12" s="189"/>
      <c r="D12" s="187" t="s">
        <v>169</v>
      </c>
      <c r="E12" s="189"/>
      <c r="F12" s="198" t="str">
        <f>INSCRITS!C10 &amp; " - " &amp; INSCRITS!C11</f>
        <v>9A - 10A</v>
      </c>
      <c r="G12" s="198" t="s">
        <v>200</v>
      </c>
    </row>
    <row r="13" spans="1:7" x14ac:dyDescent="0.25">
      <c r="A13" s="185"/>
      <c r="B13" s="185"/>
      <c r="C13" s="188"/>
      <c r="D13" s="186">
        <f>0.805555555555556 + "00:20:00"</f>
        <v>0.81944444444444486</v>
      </c>
      <c r="E13" s="188"/>
      <c r="F13" s="185"/>
      <c r="G13" s="185"/>
    </row>
    <row r="14" spans="1:7" x14ac:dyDescent="0.25">
      <c r="A14" s="198" t="s">
        <v>201</v>
      </c>
      <c r="B14" s="198" t="str">
        <f>INSCRITS!C2 &amp; " - " &amp; INSCRITS!C19</f>
        <v>1A - 18A</v>
      </c>
      <c r="C14" s="189"/>
      <c r="D14" s="187" t="s">
        <v>129</v>
      </c>
      <c r="E14" s="189"/>
      <c r="F14" s="198" t="str">
        <f>INSCRITS!C18 &amp; " - " &amp; INSCRITS!C20</f>
        <v>17A - 19A</v>
      </c>
      <c r="G14" s="198" t="s">
        <v>202</v>
      </c>
    </row>
    <row r="15" spans="1:7" x14ac:dyDescent="0.25">
      <c r="A15" s="198" t="s">
        <v>203</v>
      </c>
      <c r="B15" s="198" t="str">
        <f>INSCRITS!C17 &amp; " - " &amp; INSCRITS!C21</f>
        <v>16A - 20A</v>
      </c>
      <c r="C15" s="189"/>
      <c r="D15" s="187" t="s">
        <v>130</v>
      </c>
      <c r="E15" s="189"/>
      <c r="F15" s="198" t="str">
        <f>INSCRITS!C3 &amp; " - " &amp; INSCRITS!C16</f>
        <v>2A - 15A</v>
      </c>
      <c r="G15" s="198" t="s">
        <v>204</v>
      </c>
    </row>
    <row r="16" spans="1:7" x14ac:dyDescent="0.25">
      <c r="A16" s="198" t="s">
        <v>205</v>
      </c>
      <c r="B16" s="198" t="str">
        <f>INSCRITS!C4 &amp; " - " &amp; INSCRITS!C15</f>
        <v>3A - 14A</v>
      </c>
      <c r="C16" s="189"/>
      <c r="D16" s="187" t="s">
        <v>131</v>
      </c>
      <c r="E16" s="189"/>
      <c r="F16" s="198" t="str">
        <f>INSCRITS!C5 &amp; " - " &amp; INSCRITS!C14</f>
        <v>4A - 13A</v>
      </c>
      <c r="G16" s="198" t="s">
        <v>206</v>
      </c>
    </row>
    <row r="17" spans="1:7" x14ac:dyDescent="0.25">
      <c r="A17" s="198" t="s">
        <v>207</v>
      </c>
      <c r="B17" s="198" t="str">
        <f>INSCRITS!C6 &amp; " - " &amp; INSCRITS!C13</f>
        <v>5A - 12A</v>
      </c>
      <c r="C17" s="189"/>
      <c r="D17" s="187" t="s">
        <v>132</v>
      </c>
      <c r="E17" s="189"/>
      <c r="F17" s="198" t="str">
        <f>INSCRITS!C7 &amp; " - " &amp; INSCRITS!C12</f>
        <v>6A - 11A</v>
      </c>
      <c r="G17" s="198" t="s">
        <v>208</v>
      </c>
    </row>
    <row r="18" spans="1:7" x14ac:dyDescent="0.25">
      <c r="A18" s="198" t="s">
        <v>209</v>
      </c>
      <c r="B18" s="198" t="str">
        <f>INSCRITS!C8 &amp; " - " &amp; INSCRITS!C11</f>
        <v>7A - 10A</v>
      </c>
      <c r="C18" s="189"/>
      <c r="D18" s="187" t="s">
        <v>169</v>
      </c>
      <c r="E18" s="189"/>
      <c r="F18" s="198" t="str">
        <f>INSCRITS!C9 &amp; " - " &amp; INSCRITS!C10</f>
        <v>8A - 9A</v>
      </c>
      <c r="G18" s="198" t="s">
        <v>210</v>
      </c>
    </row>
    <row r="19" spans="1:7" x14ac:dyDescent="0.25">
      <c r="A19" s="185"/>
      <c r="B19" s="185"/>
      <c r="C19" s="188"/>
      <c r="D19" s="186">
        <f>0.819444444444445 + "00:20:00"</f>
        <v>0.83333333333333381</v>
      </c>
      <c r="E19" s="188"/>
      <c r="F19" s="185"/>
      <c r="G19" s="185"/>
    </row>
    <row r="20" spans="1:7" x14ac:dyDescent="0.25">
      <c r="A20" s="198" t="s">
        <v>211</v>
      </c>
      <c r="B20" s="198" t="str">
        <f>INSCRITS!C2 &amp; " - " &amp; INSCRITS!C18</f>
        <v>1A - 17A</v>
      </c>
      <c r="C20" s="189"/>
      <c r="D20" s="187" t="s">
        <v>129</v>
      </c>
      <c r="E20" s="189"/>
      <c r="F20" s="198" t="str">
        <f>INSCRITS!C17 &amp; " - " &amp; INSCRITS!C19</f>
        <v>16A - 18A</v>
      </c>
      <c r="G20" s="198" t="s">
        <v>212</v>
      </c>
    </row>
    <row r="21" spans="1:7" x14ac:dyDescent="0.25">
      <c r="A21" s="198" t="s">
        <v>213</v>
      </c>
      <c r="B21" s="198" t="str">
        <f>INSCRITS!C16 &amp; " - " &amp; INSCRITS!C20</f>
        <v>15A - 19A</v>
      </c>
      <c r="C21" s="189"/>
      <c r="D21" s="187" t="s">
        <v>130</v>
      </c>
      <c r="E21" s="189"/>
      <c r="F21" s="198" t="str">
        <f>INSCRITS!C15 &amp; " - " &amp; INSCRITS!C21</f>
        <v>14A - 20A</v>
      </c>
      <c r="G21" s="198" t="s">
        <v>214</v>
      </c>
    </row>
    <row r="22" spans="1:7" x14ac:dyDescent="0.25">
      <c r="A22" s="198" t="s">
        <v>215</v>
      </c>
      <c r="B22" s="198" t="str">
        <f>INSCRITS!C3 &amp; " - " &amp; INSCRITS!C14</f>
        <v>2A - 13A</v>
      </c>
      <c r="C22" s="189"/>
      <c r="D22" s="187" t="s">
        <v>131</v>
      </c>
      <c r="E22" s="189"/>
      <c r="F22" s="198" t="str">
        <f>INSCRITS!C4 &amp; " - " &amp; INSCRITS!C13</f>
        <v>3A - 12A</v>
      </c>
      <c r="G22" s="198" t="s">
        <v>216</v>
      </c>
    </row>
    <row r="23" spans="1:7" x14ac:dyDescent="0.25">
      <c r="A23" s="198" t="s">
        <v>217</v>
      </c>
      <c r="B23" s="198" t="str">
        <f>INSCRITS!C5 &amp; " - " &amp; INSCRITS!C12</f>
        <v>4A - 11A</v>
      </c>
      <c r="C23" s="189"/>
      <c r="D23" s="187" t="s">
        <v>132</v>
      </c>
      <c r="E23" s="189"/>
      <c r="F23" s="198" t="str">
        <f>INSCRITS!C6 &amp; " - " &amp; INSCRITS!C11</f>
        <v>5A - 10A</v>
      </c>
      <c r="G23" s="198" t="s">
        <v>218</v>
      </c>
    </row>
    <row r="24" spans="1:7" x14ac:dyDescent="0.25">
      <c r="A24" s="198" t="s">
        <v>219</v>
      </c>
      <c r="B24" s="198" t="str">
        <f>INSCRITS!C7 &amp; " - " &amp; INSCRITS!C10</f>
        <v>6A - 9A</v>
      </c>
      <c r="C24" s="189"/>
      <c r="D24" s="187" t="s">
        <v>169</v>
      </c>
      <c r="E24" s="189"/>
      <c r="F24" s="198" t="str">
        <f>INSCRITS!C8 &amp; " - " &amp; INSCRITS!C9</f>
        <v>7A - 8A</v>
      </c>
      <c r="G24" s="198" t="s">
        <v>220</v>
      </c>
    </row>
    <row r="25" spans="1:7" x14ac:dyDescent="0.25">
      <c r="A25" s="185"/>
      <c r="B25" s="185"/>
      <c r="C25" s="188"/>
      <c r="D25" s="186">
        <f>0.833333333333334 + "00:20:00"</f>
        <v>0.84722222222222288</v>
      </c>
      <c r="E25" s="188"/>
      <c r="F25" s="185"/>
      <c r="G25" s="185"/>
    </row>
    <row r="26" spans="1:7" x14ac:dyDescent="0.25">
      <c r="A26" s="198" t="s">
        <v>221</v>
      </c>
      <c r="B26" s="198" t="str">
        <f>INSCRITS!C2 &amp; " - " &amp; INSCRITS!C17</f>
        <v>1A - 16A</v>
      </c>
      <c r="C26" s="189"/>
      <c r="D26" s="187" t="s">
        <v>129</v>
      </c>
      <c r="E26" s="189"/>
      <c r="F26" s="198" t="str">
        <f>INSCRITS!C16 &amp; " - " &amp; INSCRITS!C18</f>
        <v>15A - 17A</v>
      </c>
      <c r="G26" s="198" t="s">
        <v>222</v>
      </c>
    </row>
    <row r="27" spans="1:7" x14ac:dyDescent="0.25">
      <c r="A27" s="198" t="s">
        <v>223</v>
      </c>
      <c r="B27" s="198" t="str">
        <f>INSCRITS!C15 &amp; " - " &amp; INSCRITS!C19</f>
        <v>14A - 18A</v>
      </c>
      <c r="C27" s="189"/>
      <c r="D27" s="187" t="s">
        <v>130</v>
      </c>
      <c r="E27" s="189"/>
      <c r="F27" s="198" t="str">
        <f>INSCRITS!C14 &amp; " - " &amp; INSCRITS!C20</f>
        <v>13A - 19A</v>
      </c>
      <c r="G27" s="198" t="s">
        <v>224</v>
      </c>
    </row>
    <row r="28" spans="1:7" x14ac:dyDescent="0.25">
      <c r="A28" s="198" t="s">
        <v>225</v>
      </c>
      <c r="B28" s="198" t="str">
        <f>INSCRITS!C13 &amp; " - " &amp; INSCRITS!C21</f>
        <v>12A - 20A</v>
      </c>
      <c r="C28" s="189"/>
      <c r="D28" s="187" t="s">
        <v>131</v>
      </c>
      <c r="E28" s="189"/>
      <c r="F28" s="198" t="str">
        <f>INSCRITS!C3 &amp; " - " &amp; INSCRITS!C12</f>
        <v>2A - 11A</v>
      </c>
      <c r="G28" s="198" t="s">
        <v>226</v>
      </c>
    </row>
    <row r="29" spans="1:7" x14ac:dyDescent="0.25">
      <c r="A29" s="198" t="s">
        <v>227</v>
      </c>
      <c r="B29" s="198" t="str">
        <f>INSCRITS!C4 &amp; " - " &amp; INSCRITS!C11</f>
        <v>3A - 10A</v>
      </c>
      <c r="C29" s="189"/>
      <c r="D29" s="187" t="s">
        <v>132</v>
      </c>
      <c r="E29" s="189"/>
      <c r="F29" s="198" t="str">
        <f>INSCRITS!C5 &amp; " - " &amp; INSCRITS!C10</f>
        <v>4A - 9A</v>
      </c>
      <c r="G29" s="198" t="s">
        <v>228</v>
      </c>
    </row>
    <row r="30" spans="1:7" x14ac:dyDescent="0.25">
      <c r="A30" s="198" t="s">
        <v>229</v>
      </c>
      <c r="B30" s="198" t="str">
        <f>INSCRITS!C6 &amp; " - " &amp; INSCRITS!C9</f>
        <v>5A - 8A</v>
      </c>
      <c r="C30" s="189"/>
      <c r="D30" s="187" t="s">
        <v>169</v>
      </c>
      <c r="E30" s="189"/>
      <c r="F30" s="198" t="str">
        <f>INSCRITS!C7 &amp; " - " &amp; INSCRITS!C8</f>
        <v>6A - 7A</v>
      </c>
      <c r="G30" s="198" t="s">
        <v>230</v>
      </c>
    </row>
    <row r="31" spans="1:7" x14ac:dyDescent="0.25">
      <c r="A31" s="185"/>
      <c r="B31" s="185"/>
      <c r="C31" s="188"/>
      <c r="D31" s="186">
        <f>0.847222222222223 + "00:20:00"</f>
        <v>0.86111111111111183</v>
      </c>
      <c r="E31" s="188"/>
      <c r="F31" s="185"/>
      <c r="G31" s="185"/>
    </row>
    <row r="32" spans="1:7" x14ac:dyDescent="0.25">
      <c r="A32" s="198" t="s">
        <v>231</v>
      </c>
      <c r="B32" s="198" t="str">
        <f>INSCRITS!C2 &amp; " - " &amp; INSCRITS!C16</f>
        <v>1A - 15A</v>
      </c>
      <c r="C32" s="189"/>
      <c r="D32" s="187" t="s">
        <v>129</v>
      </c>
      <c r="E32" s="189"/>
      <c r="F32" s="198" t="str">
        <f>INSCRITS!C15 &amp; " - " &amp; INSCRITS!C17</f>
        <v>14A - 16A</v>
      </c>
      <c r="G32" s="198" t="s">
        <v>232</v>
      </c>
    </row>
    <row r="33" spans="1:7" x14ac:dyDescent="0.25">
      <c r="A33" s="198" t="s">
        <v>233</v>
      </c>
      <c r="B33" s="198" t="str">
        <f>INSCRITS!C14 &amp; " - " &amp; INSCRITS!C18</f>
        <v>13A - 17A</v>
      </c>
      <c r="C33" s="189"/>
      <c r="D33" s="187" t="s">
        <v>130</v>
      </c>
      <c r="E33" s="189"/>
      <c r="F33" s="198" t="str">
        <f>INSCRITS!C13 &amp; " - " &amp; INSCRITS!C19</f>
        <v>12A - 18A</v>
      </c>
      <c r="G33" s="198" t="s">
        <v>234</v>
      </c>
    </row>
    <row r="34" spans="1:7" x14ac:dyDescent="0.25">
      <c r="A34" s="198" t="s">
        <v>235</v>
      </c>
      <c r="B34" s="198" t="str">
        <f>INSCRITS!C12 &amp; " - " &amp; INSCRITS!C20</f>
        <v>11A - 19A</v>
      </c>
      <c r="C34" s="189"/>
      <c r="D34" s="187" t="s">
        <v>131</v>
      </c>
      <c r="E34" s="189"/>
      <c r="F34" s="198" t="str">
        <f>INSCRITS!C11 &amp; " - " &amp; INSCRITS!C21</f>
        <v>10A - 20A</v>
      </c>
      <c r="G34" s="198" t="s">
        <v>236</v>
      </c>
    </row>
    <row r="35" spans="1:7" x14ac:dyDescent="0.25">
      <c r="A35" s="198" t="s">
        <v>237</v>
      </c>
      <c r="B35" s="198" t="str">
        <f>INSCRITS!C3 &amp; " - " &amp; INSCRITS!C10</f>
        <v>2A - 9A</v>
      </c>
      <c r="C35" s="189"/>
      <c r="D35" s="187" t="s">
        <v>132</v>
      </c>
      <c r="E35" s="189"/>
      <c r="F35" s="198" t="str">
        <f>INSCRITS!C4 &amp; " - " &amp; INSCRITS!C9</f>
        <v>3A - 8A</v>
      </c>
      <c r="G35" s="198" t="s">
        <v>238</v>
      </c>
    </row>
    <row r="36" spans="1:7" x14ac:dyDescent="0.25">
      <c r="A36" s="198" t="s">
        <v>239</v>
      </c>
      <c r="B36" s="198" t="str">
        <f>INSCRITS!C5 &amp; " - " &amp; INSCRITS!C8</f>
        <v>4A - 7A</v>
      </c>
      <c r="C36" s="189"/>
      <c r="D36" s="187" t="s">
        <v>169</v>
      </c>
      <c r="E36" s="189"/>
      <c r="F36" s="198" t="str">
        <f>INSCRITS!C6 &amp; " - " &amp; INSCRITS!C7</f>
        <v>5A - 6A</v>
      </c>
      <c r="G36" s="198" t="s">
        <v>240</v>
      </c>
    </row>
    <row r="37" spans="1:7" x14ac:dyDescent="0.25">
      <c r="A37" s="185"/>
      <c r="B37" s="185"/>
      <c r="C37" s="188"/>
      <c r="D37" s="186">
        <f>0.861111111111112 + "00:20:00"</f>
        <v>0.87500000000000089</v>
      </c>
      <c r="E37" s="188"/>
      <c r="F37" s="185"/>
      <c r="G37" s="185"/>
    </row>
    <row r="38" spans="1:7" x14ac:dyDescent="0.25">
      <c r="A38" s="198" t="s">
        <v>241</v>
      </c>
      <c r="B38" s="198" t="str">
        <f>INSCRITS!C2 &amp; " - " &amp; INSCRITS!C15</f>
        <v>1A - 14A</v>
      </c>
      <c r="C38" s="189"/>
      <c r="D38" s="187" t="s">
        <v>129</v>
      </c>
      <c r="E38" s="189"/>
      <c r="F38" s="198" t="str">
        <f>INSCRITS!C14 &amp; " - " &amp; INSCRITS!C16</f>
        <v>13A - 15A</v>
      </c>
      <c r="G38" s="198" t="s">
        <v>242</v>
      </c>
    </row>
    <row r="39" spans="1:7" x14ac:dyDescent="0.25">
      <c r="A39" s="198" t="s">
        <v>243</v>
      </c>
      <c r="B39" s="198" t="str">
        <f>INSCRITS!C13 &amp; " - " &amp; INSCRITS!C17</f>
        <v>12A - 16A</v>
      </c>
      <c r="C39" s="189"/>
      <c r="D39" s="187" t="s">
        <v>130</v>
      </c>
      <c r="E39" s="189"/>
      <c r="F39" s="198" t="str">
        <f>INSCRITS!C12 &amp; " - " &amp; INSCRITS!C18</f>
        <v>11A - 17A</v>
      </c>
      <c r="G39" s="198" t="s">
        <v>244</v>
      </c>
    </row>
    <row r="40" spans="1:7" x14ac:dyDescent="0.25">
      <c r="A40" s="198" t="s">
        <v>245</v>
      </c>
      <c r="B40" s="198" t="str">
        <f>INSCRITS!C11 &amp; " - " &amp; INSCRITS!C19</f>
        <v>10A - 18A</v>
      </c>
      <c r="C40" s="189"/>
      <c r="D40" s="187" t="s">
        <v>131</v>
      </c>
      <c r="E40" s="189"/>
      <c r="F40" s="198" t="str">
        <f>INSCRITS!C10 &amp; " - " &amp; INSCRITS!C20</f>
        <v>9A - 19A</v>
      </c>
      <c r="G40" s="198" t="s">
        <v>246</v>
      </c>
    </row>
    <row r="41" spans="1:7" x14ac:dyDescent="0.25">
      <c r="A41" s="198" t="s">
        <v>247</v>
      </c>
      <c r="B41" s="198" t="str">
        <f>INSCRITS!C9 &amp; " - " &amp; INSCRITS!C21</f>
        <v>8A - 20A</v>
      </c>
      <c r="C41" s="189"/>
      <c r="D41" s="187" t="s">
        <v>132</v>
      </c>
      <c r="E41" s="189"/>
      <c r="F41" s="198" t="str">
        <f>INSCRITS!C3 &amp; " - " &amp; INSCRITS!C8</f>
        <v>2A - 7A</v>
      </c>
      <c r="G41" s="198" t="s">
        <v>248</v>
      </c>
    </row>
    <row r="42" spans="1:7" x14ac:dyDescent="0.25">
      <c r="A42" s="198" t="s">
        <v>249</v>
      </c>
      <c r="B42" s="198" t="str">
        <f>INSCRITS!C4 &amp; " - " &amp; INSCRITS!C7</f>
        <v>3A - 6A</v>
      </c>
      <c r="C42" s="189"/>
      <c r="D42" s="187" t="s">
        <v>169</v>
      </c>
      <c r="E42" s="189"/>
      <c r="F42" s="198" t="str">
        <f>INSCRITS!C5 &amp; " - " &amp; INSCRITS!C6</f>
        <v>4A - 5A</v>
      </c>
      <c r="G42" s="198" t="s">
        <v>250</v>
      </c>
    </row>
    <row r="43" spans="1:7" x14ac:dyDescent="0.25">
      <c r="A43" s="185"/>
      <c r="B43" s="185"/>
      <c r="C43" s="188"/>
      <c r="D43" s="186">
        <f>0.875000000000001 + "00:20:00"</f>
        <v>0.88888888888888984</v>
      </c>
      <c r="E43" s="188"/>
      <c r="F43" s="185"/>
      <c r="G43" s="185"/>
    </row>
    <row r="44" spans="1:7" x14ac:dyDescent="0.25">
      <c r="A44" s="198" t="s">
        <v>251</v>
      </c>
      <c r="B44" s="198" t="str">
        <f>INSCRITS!C2 &amp; " - " &amp; INSCRITS!C14</f>
        <v>1A - 13A</v>
      </c>
      <c r="C44" s="189"/>
      <c r="D44" s="187" t="s">
        <v>129</v>
      </c>
      <c r="E44" s="189"/>
      <c r="F44" s="198" t="str">
        <f>INSCRITS!C13 &amp; " - " &amp; INSCRITS!C15</f>
        <v>12A - 14A</v>
      </c>
      <c r="G44" s="198" t="s">
        <v>252</v>
      </c>
    </row>
    <row r="45" spans="1:7" x14ac:dyDescent="0.25">
      <c r="A45" s="198" t="s">
        <v>253</v>
      </c>
      <c r="B45" s="198" t="str">
        <f>INSCRITS!C12 &amp; " - " &amp; INSCRITS!C16</f>
        <v>11A - 15A</v>
      </c>
      <c r="C45" s="189"/>
      <c r="D45" s="187" t="s">
        <v>130</v>
      </c>
      <c r="E45" s="189"/>
      <c r="F45" s="198" t="str">
        <f>INSCRITS!C11 &amp; " - " &amp; INSCRITS!C17</f>
        <v>10A - 16A</v>
      </c>
      <c r="G45" s="198" t="s">
        <v>254</v>
      </c>
    </row>
    <row r="46" spans="1:7" x14ac:dyDescent="0.25">
      <c r="A46" s="198" t="s">
        <v>255</v>
      </c>
      <c r="B46" s="198" t="str">
        <f>INSCRITS!C10 &amp; " - " &amp; INSCRITS!C18</f>
        <v>9A - 17A</v>
      </c>
      <c r="C46" s="189"/>
      <c r="D46" s="187" t="s">
        <v>131</v>
      </c>
      <c r="E46" s="189"/>
      <c r="F46" s="198" t="str">
        <f>INSCRITS!C9 &amp; " - " &amp; INSCRITS!C19</f>
        <v>8A - 18A</v>
      </c>
      <c r="G46" s="198" t="s">
        <v>256</v>
      </c>
    </row>
    <row r="47" spans="1:7" x14ac:dyDescent="0.25">
      <c r="A47" s="198" t="s">
        <v>257</v>
      </c>
      <c r="B47" s="198" t="str">
        <f>INSCRITS!C8 &amp; " - " &amp; INSCRITS!C20</f>
        <v>7A - 19A</v>
      </c>
      <c r="C47" s="189"/>
      <c r="D47" s="187" t="s">
        <v>132</v>
      </c>
      <c r="E47" s="189"/>
      <c r="F47" s="198" t="str">
        <f>INSCRITS!C7 &amp; " - " &amp; INSCRITS!C21</f>
        <v>6A - 20A</v>
      </c>
      <c r="G47" s="198" t="s">
        <v>258</v>
      </c>
    </row>
    <row r="48" spans="1:7" x14ac:dyDescent="0.25">
      <c r="A48" s="198" t="s">
        <v>259</v>
      </c>
      <c r="B48" s="198" t="str">
        <f>INSCRITS!C3 &amp; " - " &amp; INSCRITS!C6</f>
        <v>2A - 5A</v>
      </c>
      <c r="C48" s="189"/>
      <c r="D48" s="187" t="s">
        <v>169</v>
      </c>
      <c r="E48" s="189"/>
      <c r="F48" s="198" t="str">
        <f>INSCRITS!C4 &amp; " - " &amp; INSCRITS!C5</f>
        <v>3A - 4A</v>
      </c>
      <c r="G48" s="198" t="s">
        <v>260</v>
      </c>
    </row>
    <row r="49" spans="1:7" x14ac:dyDescent="0.25">
      <c r="A49" s="185"/>
      <c r="B49" s="185"/>
      <c r="C49" s="188"/>
      <c r="D49" s="186">
        <f>0.88888888888889 + "00:20:00"</f>
        <v>0.90277777777777879</v>
      </c>
      <c r="E49" s="188"/>
      <c r="F49" s="185"/>
      <c r="G49" s="185"/>
    </row>
    <row r="50" spans="1:7" x14ac:dyDescent="0.25">
      <c r="A50" s="198" t="s">
        <v>261</v>
      </c>
      <c r="B50" s="198" t="str">
        <f>INSCRITS!C2 &amp; " - " &amp; INSCRITS!C13</f>
        <v>1A - 12A</v>
      </c>
      <c r="C50" s="189"/>
      <c r="D50" s="187" t="s">
        <v>129</v>
      </c>
      <c r="E50" s="189"/>
      <c r="F50" s="198" t="str">
        <f>INSCRITS!C12 &amp; " - " &amp; INSCRITS!C14</f>
        <v>11A - 13A</v>
      </c>
      <c r="G50" s="198" t="s">
        <v>262</v>
      </c>
    </row>
    <row r="51" spans="1:7" x14ac:dyDescent="0.25">
      <c r="A51" s="198" t="s">
        <v>263</v>
      </c>
      <c r="B51" s="198" t="str">
        <f>INSCRITS!C11 &amp; " - " &amp; INSCRITS!C15</f>
        <v>10A - 14A</v>
      </c>
      <c r="C51" s="189"/>
      <c r="D51" s="187" t="s">
        <v>130</v>
      </c>
      <c r="E51" s="189"/>
      <c r="F51" s="198" t="str">
        <f>INSCRITS!C10 &amp; " - " &amp; INSCRITS!C16</f>
        <v>9A - 15A</v>
      </c>
      <c r="G51" s="198" t="s">
        <v>264</v>
      </c>
    </row>
    <row r="52" spans="1:7" x14ac:dyDescent="0.25">
      <c r="A52" s="198" t="s">
        <v>265</v>
      </c>
      <c r="B52" s="198" t="str">
        <f>INSCRITS!C9 &amp; " - " &amp; INSCRITS!C17</f>
        <v>8A - 16A</v>
      </c>
      <c r="C52" s="189"/>
      <c r="D52" s="187" t="s">
        <v>131</v>
      </c>
      <c r="E52" s="189"/>
      <c r="F52" s="198" t="str">
        <f>INSCRITS!C8 &amp; " - " &amp; INSCRITS!C18</f>
        <v>7A - 17A</v>
      </c>
      <c r="G52" s="198" t="s">
        <v>266</v>
      </c>
    </row>
    <row r="53" spans="1:7" x14ac:dyDescent="0.25">
      <c r="A53" s="198" t="s">
        <v>267</v>
      </c>
      <c r="B53" s="198" t="str">
        <f>INSCRITS!C7 &amp; " - " &amp; INSCRITS!C19</f>
        <v>6A - 18A</v>
      </c>
      <c r="C53" s="189"/>
      <c r="D53" s="187" t="s">
        <v>132</v>
      </c>
      <c r="E53" s="189"/>
      <c r="F53" s="198" t="str">
        <f>INSCRITS!C6 &amp; " - " &amp; INSCRITS!C20</f>
        <v>5A - 19A</v>
      </c>
      <c r="G53" s="198" t="s">
        <v>268</v>
      </c>
    </row>
    <row r="54" spans="1:7" x14ac:dyDescent="0.25">
      <c r="A54" s="198" t="s">
        <v>269</v>
      </c>
      <c r="B54" s="198" t="str">
        <f>INSCRITS!C5 &amp; " - " &amp; INSCRITS!C21</f>
        <v>4A - 20A</v>
      </c>
      <c r="C54" s="189"/>
      <c r="D54" s="187" t="s">
        <v>169</v>
      </c>
      <c r="E54" s="189"/>
      <c r="F54" s="198" t="str">
        <f>INSCRITS!C3 &amp; " - " &amp; INSCRITS!C4</f>
        <v>2A - 3A</v>
      </c>
      <c r="G54" s="198" t="s">
        <v>270</v>
      </c>
    </row>
    <row r="55" spans="1:7" x14ac:dyDescent="0.25">
      <c r="A55" s="185"/>
      <c r="B55" s="185"/>
      <c r="C55" s="188"/>
      <c r="D55" s="186">
        <f>0.902777777777779 + "00:20:00"</f>
        <v>0.91666666666666785</v>
      </c>
      <c r="E55" s="188"/>
      <c r="F55" s="185"/>
      <c r="G55" s="185"/>
    </row>
    <row r="56" spans="1:7" x14ac:dyDescent="0.25">
      <c r="A56" s="198" t="s">
        <v>271</v>
      </c>
      <c r="B56" s="198" t="str">
        <f>INSCRITS!C2 &amp; " - " &amp; INSCRITS!C12</f>
        <v>1A - 11A</v>
      </c>
      <c r="C56" s="189"/>
      <c r="D56" s="187" t="s">
        <v>129</v>
      </c>
      <c r="E56" s="189"/>
      <c r="F56" s="198" t="str">
        <f>INSCRITS!C11 &amp; " - " &amp; INSCRITS!C13</f>
        <v>10A - 12A</v>
      </c>
      <c r="G56" s="198" t="s">
        <v>272</v>
      </c>
    </row>
    <row r="57" spans="1:7" x14ac:dyDescent="0.25">
      <c r="A57" s="198" t="s">
        <v>273</v>
      </c>
      <c r="B57" s="198" t="str">
        <f>INSCRITS!C10 &amp; " - " &amp; INSCRITS!C14</f>
        <v>9A - 13A</v>
      </c>
      <c r="C57" s="189"/>
      <c r="D57" s="187" t="s">
        <v>130</v>
      </c>
      <c r="E57" s="189"/>
      <c r="F57" s="198" t="str">
        <f>INSCRITS!C9 &amp; " - " &amp; INSCRITS!C15</f>
        <v>8A - 14A</v>
      </c>
      <c r="G57" s="198" t="s">
        <v>274</v>
      </c>
    </row>
    <row r="58" spans="1:7" x14ac:dyDescent="0.25">
      <c r="A58" s="198" t="s">
        <v>275</v>
      </c>
      <c r="B58" s="198" t="str">
        <f>INSCRITS!C8 &amp; " - " &amp; INSCRITS!C16</f>
        <v>7A - 15A</v>
      </c>
      <c r="C58" s="189"/>
      <c r="D58" s="187" t="s">
        <v>131</v>
      </c>
      <c r="E58" s="189"/>
      <c r="F58" s="198" t="str">
        <f>INSCRITS!C7 &amp; " - " &amp; INSCRITS!C17</f>
        <v>6A - 16A</v>
      </c>
      <c r="G58" s="198" t="s">
        <v>276</v>
      </c>
    </row>
    <row r="59" spans="1:7" x14ac:dyDescent="0.25">
      <c r="A59" s="198" t="s">
        <v>277</v>
      </c>
      <c r="B59" s="198" t="str">
        <f>INSCRITS!C6 &amp; " - " &amp; INSCRITS!C18</f>
        <v>5A - 17A</v>
      </c>
      <c r="C59" s="189"/>
      <c r="D59" s="187" t="s">
        <v>132</v>
      </c>
      <c r="E59" s="189"/>
      <c r="F59" s="198" t="str">
        <f>INSCRITS!C5 &amp; " - " &amp; INSCRITS!C19</f>
        <v>4A - 18A</v>
      </c>
      <c r="G59" s="198" t="s">
        <v>278</v>
      </c>
    </row>
    <row r="60" spans="1:7" x14ac:dyDescent="0.25">
      <c r="A60" s="198" t="s">
        <v>279</v>
      </c>
      <c r="B60" s="198" t="str">
        <f>INSCRITS!C4 &amp; " - " &amp; INSCRITS!C20</f>
        <v>3A - 19A</v>
      </c>
      <c r="C60" s="189"/>
      <c r="D60" s="187" t="s">
        <v>169</v>
      </c>
      <c r="E60" s="189"/>
      <c r="F60" s="198" t="str">
        <f>INSCRITS!C3 &amp; " - " &amp; INSCRITS!C21</f>
        <v>2A - 20A</v>
      </c>
      <c r="G60" s="198" t="s">
        <v>280</v>
      </c>
    </row>
    <row r="61" spans="1:7" x14ac:dyDescent="0.25">
      <c r="A61" s="185"/>
      <c r="B61" s="185"/>
      <c r="C61" s="188"/>
      <c r="D61" s="186">
        <f>0.916666666666668 + "00:20:00"</f>
        <v>0.9305555555555568</v>
      </c>
      <c r="E61" s="188"/>
      <c r="F61" s="185"/>
      <c r="G61" s="185"/>
    </row>
    <row r="62" spans="1:7" x14ac:dyDescent="0.25">
      <c r="A62" s="198" t="s">
        <v>281</v>
      </c>
      <c r="B62" s="198" t="str">
        <f>INSCRITS!C2 &amp; " - " &amp; INSCRITS!C11</f>
        <v>1A - 10A</v>
      </c>
      <c r="C62" s="189"/>
      <c r="D62" s="187" t="s">
        <v>129</v>
      </c>
      <c r="E62" s="189"/>
      <c r="F62" s="198" t="str">
        <f>INSCRITS!C10 &amp; " - " &amp; INSCRITS!C12</f>
        <v>9A - 11A</v>
      </c>
      <c r="G62" s="198" t="s">
        <v>282</v>
      </c>
    </row>
    <row r="63" spans="1:7" x14ac:dyDescent="0.25">
      <c r="A63" s="198" t="s">
        <v>283</v>
      </c>
      <c r="B63" s="198" t="str">
        <f>INSCRITS!C9 &amp; " - " &amp; INSCRITS!C13</f>
        <v>8A - 12A</v>
      </c>
      <c r="C63" s="189"/>
      <c r="D63" s="187" t="s">
        <v>130</v>
      </c>
      <c r="E63" s="189"/>
      <c r="F63" s="198" t="str">
        <f>INSCRITS!C8 &amp; " - " &amp; INSCRITS!C14</f>
        <v>7A - 13A</v>
      </c>
      <c r="G63" s="198" t="s">
        <v>284</v>
      </c>
    </row>
    <row r="64" spans="1:7" x14ac:dyDescent="0.25">
      <c r="A64" s="198" t="s">
        <v>285</v>
      </c>
      <c r="B64" s="198" t="str">
        <f>INSCRITS!C7 &amp; " - " &amp; INSCRITS!C15</f>
        <v>6A - 14A</v>
      </c>
      <c r="C64" s="189"/>
      <c r="D64" s="187" t="s">
        <v>131</v>
      </c>
      <c r="E64" s="189"/>
      <c r="F64" s="198" t="str">
        <f>INSCRITS!C6 &amp; " - " &amp; INSCRITS!C16</f>
        <v>5A - 15A</v>
      </c>
      <c r="G64" s="198" t="s">
        <v>286</v>
      </c>
    </row>
    <row r="65" spans="1:7" x14ac:dyDescent="0.25">
      <c r="A65" s="198" t="s">
        <v>287</v>
      </c>
      <c r="B65" s="198" t="str">
        <f>INSCRITS!C5 &amp; " - " &amp; INSCRITS!C17</f>
        <v>4A - 16A</v>
      </c>
      <c r="C65" s="189"/>
      <c r="D65" s="187" t="s">
        <v>132</v>
      </c>
      <c r="E65" s="189"/>
      <c r="F65" s="198" t="str">
        <f>INSCRITS!C4 &amp; " - " &amp; INSCRITS!C18</f>
        <v>3A - 17A</v>
      </c>
      <c r="G65" s="198" t="s">
        <v>288</v>
      </c>
    </row>
    <row r="66" spans="1:7" x14ac:dyDescent="0.25">
      <c r="A66" s="198" t="s">
        <v>289</v>
      </c>
      <c r="B66" s="198" t="str">
        <f>INSCRITS!C3 &amp; " - " &amp; INSCRITS!C19</f>
        <v>2A - 18A</v>
      </c>
      <c r="C66" s="189"/>
      <c r="D66" s="187" t="s">
        <v>169</v>
      </c>
      <c r="E66" s="189"/>
      <c r="F66" s="198" t="str">
        <f>INSCRITS!C20 &amp; " - " &amp; INSCRITS!C21</f>
        <v>19A - 20A</v>
      </c>
      <c r="G66" s="198" t="s">
        <v>290</v>
      </c>
    </row>
    <row r="67" spans="1:7" x14ac:dyDescent="0.25">
      <c r="A67" s="185"/>
      <c r="B67" s="185"/>
      <c r="C67" s="188"/>
      <c r="D67" s="186">
        <f>0.930555555555557 + "00:20:00"</f>
        <v>0.94444444444444586</v>
      </c>
      <c r="E67" s="188"/>
      <c r="F67" s="185"/>
      <c r="G67" s="185"/>
    </row>
    <row r="68" spans="1:7" x14ac:dyDescent="0.25">
      <c r="A68" s="198" t="s">
        <v>291</v>
      </c>
      <c r="B68" s="198" t="str">
        <f>INSCRITS!C2 &amp; " - " &amp; INSCRITS!C10</f>
        <v>1A - 9A</v>
      </c>
      <c r="C68" s="189"/>
      <c r="D68" s="187" t="s">
        <v>129</v>
      </c>
      <c r="E68" s="189"/>
      <c r="F68" s="198" t="str">
        <f>INSCRITS!C9 &amp; " - " &amp; INSCRITS!C11</f>
        <v>8A - 10A</v>
      </c>
      <c r="G68" s="198" t="s">
        <v>292</v>
      </c>
    </row>
    <row r="69" spans="1:7" x14ac:dyDescent="0.25">
      <c r="A69" s="198" t="s">
        <v>293</v>
      </c>
      <c r="B69" s="198" t="str">
        <f>INSCRITS!C8 &amp; " - " &amp; INSCRITS!C12</f>
        <v>7A - 11A</v>
      </c>
      <c r="C69" s="189"/>
      <c r="D69" s="187" t="s">
        <v>130</v>
      </c>
      <c r="E69" s="189"/>
      <c r="F69" s="198" t="str">
        <f>INSCRITS!C7 &amp; " - " &amp; INSCRITS!C13</f>
        <v>6A - 12A</v>
      </c>
      <c r="G69" s="198" t="s">
        <v>294</v>
      </c>
    </row>
    <row r="70" spans="1:7" x14ac:dyDescent="0.25">
      <c r="A70" s="198" t="s">
        <v>295</v>
      </c>
      <c r="B70" s="198" t="str">
        <f>INSCRITS!C6 &amp; " - " &amp; INSCRITS!C14</f>
        <v>5A - 13A</v>
      </c>
      <c r="C70" s="189"/>
      <c r="D70" s="187" t="s">
        <v>131</v>
      </c>
      <c r="E70" s="189"/>
      <c r="F70" s="198" t="str">
        <f>INSCRITS!C5 &amp; " - " &amp; INSCRITS!C15</f>
        <v>4A - 14A</v>
      </c>
      <c r="G70" s="198" t="s">
        <v>296</v>
      </c>
    </row>
    <row r="71" spans="1:7" x14ac:dyDescent="0.25">
      <c r="A71" s="198" t="s">
        <v>297</v>
      </c>
      <c r="B71" s="198" t="str">
        <f>INSCRITS!C4 &amp; " - " &amp; INSCRITS!C16</f>
        <v>3A - 15A</v>
      </c>
      <c r="C71" s="189"/>
      <c r="D71" s="187" t="s">
        <v>132</v>
      </c>
      <c r="E71" s="189"/>
      <c r="F71" s="198" t="str">
        <f>INSCRITS!C3 &amp; " - " &amp; INSCRITS!C17</f>
        <v>2A - 16A</v>
      </c>
      <c r="G71" s="198" t="s">
        <v>298</v>
      </c>
    </row>
    <row r="72" spans="1:7" x14ac:dyDescent="0.25">
      <c r="A72" s="198" t="s">
        <v>299</v>
      </c>
      <c r="B72" s="198" t="str">
        <f>INSCRITS!C18 &amp; " - " &amp; INSCRITS!C21</f>
        <v>17A - 20A</v>
      </c>
      <c r="C72" s="189"/>
      <c r="D72" s="187" t="s">
        <v>169</v>
      </c>
      <c r="E72" s="189"/>
      <c r="F72" s="198" t="str">
        <f>INSCRITS!C19 &amp; " - " &amp; INSCRITS!C20</f>
        <v>18A - 19A</v>
      </c>
      <c r="G72" s="198" t="s">
        <v>300</v>
      </c>
    </row>
    <row r="73" spans="1:7" x14ac:dyDescent="0.25">
      <c r="A73" s="185"/>
      <c r="B73" s="185"/>
      <c r="C73" s="188"/>
      <c r="D73" s="186">
        <f>0.944444444444446 + "00:20:00"</f>
        <v>0.95833333333333481</v>
      </c>
      <c r="E73" s="188"/>
      <c r="F73" s="185"/>
      <c r="G73" s="185"/>
    </row>
    <row r="74" spans="1:7" x14ac:dyDescent="0.25">
      <c r="A74" s="198" t="s">
        <v>301</v>
      </c>
      <c r="B74" s="198" t="str">
        <f>INSCRITS!C2 &amp; " - " &amp; INSCRITS!C9</f>
        <v>1A - 8A</v>
      </c>
      <c r="C74" s="189"/>
      <c r="D74" s="187" t="s">
        <v>129</v>
      </c>
      <c r="E74" s="189"/>
      <c r="F74" s="198" t="str">
        <f>INSCRITS!C8 &amp; " - " &amp; INSCRITS!C10</f>
        <v>7A - 9A</v>
      </c>
      <c r="G74" s="198" t="s">
        <v>302</v>
      </c>
    </row>
    <row r="75" spans="1:7" x14ac:dyDescent="0.25">
      <c r="A75" s="198" t="s">
        <v>303</v>
      </c>
      <c r="B75" s="198" t="str">
        <f>INSCRITS!C7 &amp; " - " &amp; INSCRITS!C11</f>
        <v>6A - 10A</v>
      </c>
      <c r="C75" s="189"/>
      <c r="D75" s="187" t="s">
        <v>130</v>
      </c>
      <c r="E75" s="189"/>
      <c r="F75" s="198" t="str">
        <f>INSCRITS!C6 &amp; " - " &amp; INSCRITS!C12</f>
        <v>5A - 11A</v>
      </c>
      <c r="G75" s="198" t="s">
        <v>304</v>
      </c>
    </row>
    <row r="76" spans="1:7" x14ac:dyDescent="0.25">
      <c r="A76" s="198" t="s">
        <v>305</v>
      </c>
      <c r="B76" s="198" t="str">
        <f>INSCRITS!C5 &amp; " - " &amp; INSCRITS!C13</f>
        <v>4A - 12A</v>
      </c>
      <c r="C76" s="189"/>
      <c r="D76" s="187" t="s">
        <v>131</v>
      </c>
      <c r="E76" s="189"/>
      <c r="F76" s="198" t="str">
        <f>INSCRITS!C4 &amp; " - " &amp; INSCRITS!C14</f>
        <v>3A - 13A</v>
      </c>
      <c r="G76" s="198" t="s">
        <v>306</v>
      </c>
    </row>
    <row r="77" spans="1:7" x14ac:dyDescent="0.25">
      <c r="A77" s="187" t="s">
        <v>150</v>
      </c>
      <c r="B77" s="187" t="s">
        <v>150</v>
      </c>
      <c r="C77" s="189"/>
      <c r="D77" s="187" t="s">
        <v>132</v>
      </c>
      <c r="E77" s="189"/>
      <c r="F77" s="187" t="s">
        <v>150</v>
      </c>
      <c r="G77" s="187" t="s">
        <v>150</v>
      </c>
    </row>
    <row r="78" spans="1:7" x14ac:dyDescent="0.25">
      <c r="A78" s="187" t="s">
        <v>150</v>
      </c>
      <c r="B78" s="187" t="s">
        <v>150</v>
      </c>
      <c r="C78" s="189"/>
      <c r="D78" s="187" t="s">
        <v>169</v>
      </c>
      <c r="E78" s="189"/>
      <c r="F78" s="187" t="s">
        <v>150</v>
      </c>
      <c r="G78" s="187" t="s">
        <v>150</v>
      </c>
    </row>
    <row r="79" spans="1:7" x14ac:dyDescent="0.25">
      <c r="A79" s="185"/>
      <c r="B79" s="185"/>
      <c r="C79" s="188"/>
      <c r="D79" s="186">
        <f>0.958333333333335 + "00:20:00"</f>
        <v>0.97222222222222388</v>
      </c>
      <c r="E79" s="188"/>
      <c r="F79" s="185"/>
      <c r="G79" s="185"/>
    </row>
    <row r="85" spans="4:4" x14ac:dyDescent="0.25">
      <c r="D85" s="178">
        <f>0.972222222222224 + "00:20:00"</f>
        <v>0.98611111111111283</v>
      </c>
    </row>
    <row r="91" spans="4:4" x14ac:dyDescent="0.25">
      <c r="D91" s="178">
        <f>0.986111111111113 + "00:20:00"</f>
        <v>1.000000000000002</v>
      </c>
    </row>
    <row r="97" spans="4:4" x14ac:dyDescent="0.25">
      <c r="D97" s="178">
        <f>1 + "00:20:00"</f>
        <v>1.0138888888888888</v>
      </c>
    </row>
    <row r="103" spans="4:4" x14ac:dyDescent="0.25">
      <c r="D103" s="178">
        <f>1.01388888888889 + "00:20:00"</f>
        <v>1.0277777777777788</v>
      </c>
    </row>
    <row r="109" spans="4:4" x14ac:dyDescent="0.25">
      <c r="D109" s="178">
        <f>1.02777777777778 + "00:20:00"</f>
        <v>1.0416666666666687</v>
      </c>
    </row>
    <row r="115" spans="4:4" x14ac:dyDescent="0.25">
      <c r="D115" s="178">
        <f>1.04166666666667 + "00:20:00"</f>
        <v>1.0555555555555589</v>
      </c>
    </row>
    <row r="121" spans="4:4" x14ac:dyDescent="0.25">
      <c r="D121" s="178">
        <f>1.05555555555556 + "00:20:00"</f>
        <v>1.0694444444444489</v>
      </c>
    </row>
    <row r="127" spans="4:4" x14ac:dyDescent="0.25">
      <c r="D127" s="178">
        <f>1.06944444444445 + "00:20:00"</f>
        <v>1.0833333333333388</v>
      </c>
    </row>
    <row r="133" spans="4:4" x14ac:dyDescent="0.25">
      <c r="D133" s="178">
        <f>1.08333333333334 + "00:20:00"</f>
        <v>1.0972222222222288</v>
      </c>
    </row>
    <row r="139" spans="4:4" x14ac:dyDescent="0.25">
      <c r="D139" s="178">
        <f>1.09722222222223 + "00:20:00"</f>
        <v>1.1111111111111189</v>
      </c>
    </row>
    <row r="145" spans="4:4" x14ac:dyDescent="0.25">
      <c r="D145" s="178">
        <f>1.11111111111112 + "00:20:00"</f>
        <v>1.1250000000000089</v>
      </c>
    </row>
    <row r="151" spans="4:4" x14ac:dyDescent="0.25">
      <c r="D151" s="178">
        <f>1.12500000000001 + "00:20:00"</f>
        <v>1.1388888888888988</v>
      </c>
    </row>
    <row r="157" spans="4:4" x14ac:dyDescent="0.25">
      <c r="D157" s="178">
        <f>1.1388888888889 + "00:20:00"</f>
        <v>1.1527777777777888</v>
      </c>
    </row>
    <row r="163" spans="4:4" x14ac:dyDescent="0.25">
      <c r="D163" s="178">
        <f>1.15277777777779 + "00:20:00"</f>
        <v>1.1666666666666787</v>
      </c>
    </row>
    <row r="169" spans="4:4" x14ac:dyDescent="0.25">
      <c r="D169" s="178">
        <f>1.16666666666668 + "00:20:00"</f>
        <v>1.1805555555555689</v>
      </c>
    </row>
    <row r="175" spans="4:4" x14ac:dyDescent="0.25">
      <c r="D175" s="178">
        <f>1.18055555555557 + "00:20:00"</f>
        <v>1.1944444444444589</v>
      </c>
    </row>
    <row r="181" spans="4:4" x14ac:dyDescent="0.25">
      <c r="D181" s="178">
        <f>1.19444444444446 + "00:20:00"</f>
        <v>1.2083333333333488</v>
      </c>
    </row>
    <row r="187" spans="4:4" x14ac:dyDescent="0.25">
      <c r="D187" s="178">
        <f>1.20833333333335 + "00:20:00"</f>
        <v>1.2222222222222388</v>
      </c>
    </row>
    <row r="193" spans="4:4" x14ac:dyDescent="0.25">
      <c r="D193" s="178">
        <f>1.22222222222224 + "00:20:00"</f>
        <v>1.2361111111111289</v>
      </c>
    </row>
    <row r="199" spans="4:4" x14ac:dyDescent="0.25">
      <c r="D199" s="178">
        <f>1.23611111111113 + "00:20:00"</f>
        <v>1.2500000000000189</v>
      </c>
    </row>
    <row r="205" spans="4:4" x14ac:dyDescent="0.25">
      <c r="D205" s="178">
        <f>1.25000000000002 + "00:20:00"</f>
        <v>1.2638888888889088</v>
      </c>
    </row>
    <row r="211" spans="4:4" x14ac:dyDescent="0.25">
      <c r="D211" s="178">
        <f>1.26388888888891 + "00:20:00"</f>
        <v>1.2777777777777988</v>
      </c>
    </row>
    <row r="217" spans="4:4" x14ac:dyDescent="0.25">
      <c r="D217" s="178">
        <f>1.2777777777778 + "00:20:00"</f>
        <v>1.2916666666666889</v>
      </c>
    </row>
    <row r="223" spans="4:4" x14ac:dyDescent="0.25">
      <c r="D223" s="178">
        <f>1.29166666666669 + "00:20:00"</f>
        <v>1.3055555555555789</v>
      </c>
    </row>
    <row r="229" spans="4:4" x14ac:dyDescent="0.25">
      <c r="D229" s="178">
        <f>1.30555555555558 + "00:20:00"</f>
        <v>1.3194444444444688</v>
      </c>
    </row>
    <row r="235" spans="4:4" x14ac:dyDescent="0.25">
      <c r="D235" s="178">
        <f>1.31944444444447 + "00:20:00"</f>
        <v>1.3333333333333588</v>
      </c>
    </row>
    <row r="241" spans="4:4" x14ac:dyDescent="0.25">
      <c r="D241" s="178">
        <f>1.33333333333336 + "00:20:00"</f>
        <v>1.3472222222222487</v>
      </c>
    </row>
    <row r="247" spans="4:4" x14ac:dyDescent="0.25">
      <c r="D247" s="178">
        <f>1.34722222222225 + "00:20:00"</f>
        <v>1.3611111111111389</v>
      </c>
    </row>
    <row r="253" spans="4:4" x14ac:dyDescent="0.25">
      <c r="D253" s="178">
        <f>1.36111111111114 + "00:20:00"</f>
        <v>1.3750000000000289</v>
      </c>
    </row>
    <row r="259" spans="4:4" x14ac:dyDescent="0.25">
      <c r="D259" s="178">
        <f>1.37500000000003 + "00:20:00"</f>
        <v>1.3888888888889188</v>
      </c>
    </row>
    <row r="265" spans="4:4" x14ac:dyDescent="0.25">
      <c r="D265" s="178">
        <f>1.38888888888892 + "00:20:00"</f>
        <v>1.4027777777778088</v>
      </c>
    </row>
    <row r="271" spans="4:4" x14ac:dyDescent="0.25">
      <c r="D271" s="178">
        <f>1.40277777777781 + "00:20:00"</f>
        <v>1.4166666666666989</v>
      </c>
    </row>
    <row r="277" spans="4:4" x14ac:dyDescent="0.25">
      <c r="D277" s="178">
        <f>1.4166666666667 + "00:20:00"</f>
        <v>1.4305555555555889</v>
      </c>
    </row>
    <row r="283" spans="4:4" x14ac:dyDescent="0.25">
      <c r="D283" s="178">
        <f>1.43055555555559 + "00:20:00"</f>
        <v>1.4444444444444788</v>
      </c>
    </row>
    <row r="289" spans="4:4" x14ac:dyDescent="0.25">
      <c r="D289" s="178">
        <f>1.44444444444448 + "00:20:00"</f>
        <v>1.4583333333333688</v>
      </c>
    </row>
    <row r="295" spans="4:4" x14ac:dyDescent="0.25">
      <c r="D295" s="178">
        <f>1.45833333333337 + "00:20:00"</f>
        <v>1.4722222222222587</v>
      </c>
    </row>
    <row r="301" spans="4:4" x14ac:dyDescent="0.25">
      <c r="D301" s="178">
        <f>1.47222222222226 + "00:20:00"</f>
        <v>1.4861111111111489</v>
      </c>
    </row>
    <row r="307" spans="4:4" x14ac:dyDescent="0.25">
      <c r="D307" s="178">
        <f>1.48611111111115 + "00:20:00"</f>
        <v>1.5000000000000389</v>
      </c>
    </row>
    <row r="313" spans="4:4" x14ac:dyDescent="0.25">
      <c r="D313" s="178">
        <f>1.50000000000004 + "00:20:00"</f>
        <v>1.5138888888889288</v>
      </c>
    </row>
    <row r="319" spans="4:4" x14ac:dyDescent="0.25">
      <c r="D319" s="178">
        <f>1.51388888888893 + "00:20:00"</f>
        <v>1.5277777777778188</v>
      </c>
    </row>
    <row r="325" spans="4:4" x14ac:dyDescent="0.25">
      <c r="D325" s="178">
        <f>1.52777777777782 + "00:20:00"</f>
        <v>1.5416666666667089</v>
      </c>
    </row>
    <row r="331" spans="4:4" x14ac:dyDescent="0.25">
      <c r="D331" s="178">
        <f>1.54166666666671 + "00:20:00"</f>
        <v>1.5555555555555989</v>
      </c>
    </row>
    <row r="337" spans="4:4" x14ac:dyDescent="0.25">
      <c r="D337" s="178">
        <f>1.5555555555556 + "00:20:00"</f>
        <v>1.5694444444444888</v>
      </c>
    </row>
    <row r="343" spans="4:4" x14ac:dyDescent="0.25">
      <c r="D343" s="178">
        <f>1.56944444444449 + "00:20:00"</f>
        <v>1.5833333333333788</v>
      </c>
    </row>
    <row r="349" spans="4:4" x14ac:dyDescent="0.25">
      <c r="D349" s="178">
        <f>1.58333333333338 + "00:20:00"</f>
        <v>1.597222222222269</v>
      </c>
    </row>
    <row r="355" spans="4:4" x14ac:dyDescent="0.25">
      <c r="D355" s="178">
        <f>1.59722222222227 + "00:20:00"</f>
        <v>1.6111111111111589</v>
      </c>
    </row>
    <row r="361" spans="4:4" x14ac:dyDescent="0.25">
      <c r="D361" s="178">
        <f>1.61111111111116 + "00:20:00"</f>
        <v>1.6250000000000488</v>
      </c>
    </row>
    <row r="367" spans="4:4" x14ac:dyDescent="0.25">
      <c r="D367" s="178">
        <f>1.62500000000005 + "00:20:00"</f>
        <v>1.6388888888889388</v>
      </c>
    </row>
    <row r="373" spans="4:4" x14ac:dyDescent="0.25">
      <c r="D373" s="178">
        <f>1.63888888888894 + "00:20:00"</f>
        <v>1.6527777777778287</v>
      </c>
    </row>
    <row r="379" spans="4:4" x14ac:dyDescent="0.25">
      <c r="D379" s="178">
        <f>1.65277777777783 + "00:20:00"</f>
        <v>1.6666666666667189</v>
      </c>
    </row>
    <row r="385" spans="4:4" x14ac:dyDescent="0.25">
      <c r="D385" s="178">
        <f>1.66666666666672 + "00:20:00"</f>
        <v>1.6805555555556089</v>
      </c>
    </row>
    <row r="391" spans="4:4" x14ac:dyDescent="0.25">
      <c r="D391" s="178">
        <f>1.68055555555561 + "00:20:00"</f>
        <v>1.6944444444444988</v>
      </c>
    </row>
    <row r="397" spans="4:4" x14ac:dyDescent="0.25">
      <c r="D397" s="178">
        <f>1.6944444444445 + "00:20:00"</f>
        <v>1.7083333333333888</v>
      </c>
    </row>
    <row r="403" spans="4:4" x14ac:dyDescent="0.25">
      <c r="D403" s="178">
        <f>1.70833333333339 + "00:20:00"</f>
        <v>1.7222222222222789</v>
      </c>
    </row>
    <row r="409" spans="4:4" x14ac:dyDescent="0.25">
      <c r="D409" s="178">
        <f>1.72222222222228 + "00:20:00"</f>
        <v>1.7361111111111689</v>
      </c>
    </row>
    <row r="415" spans="4:4" x14ac:dyDescent="0.25">
      <c r="D415" s="178">
        <f>1.73611111111117 + "00:20:00"</f>
        <v>1.7500000000000588</v>
      </c>
    </row>
    <row r="421" spans="4:4" x14ac:dyDescent="0.25">
      <c r="D421" s="178">
        <f>1.75000000000006 + "00:20:00"</f>
        <v>1.7638888888889488</v>
      </c>
    </row>
    <row r="427" spans="4:4" x14ac:dyDescent="0.25">
      <c r="D427" s="178">
        <f>1.76388888888895 + "00:20:00"</f>
        <v>1.7777777777778387</v>
      </c>
    </row>
    <row r="433" spans="4:4" x14ac:dyDescent="0.25">
      <c r="D433" s="178">
        <f>1.77777777777784 + "00:20:00"</f>
        <v>1.7916666666667289</v>
      </c>
    </row>
    <row r="439" spans="4:4" x14ac:dyDescent="0.25">
      <c r="D439" s="178">
        <f>1.79166666666673 + "00:20:00"</f>
        <v>1.8055555555556189</v>
      </c>
    </row>
    <row r="445" spans="4:4" x14ac:dyDescent="0.25">
      <c r="D445" s="178">
        <f>1.80555555555562 + "00:20:00"</f>
        <v>1.8194444444445088</v>
      </c>
    </row>
    <row r="451" spans="4:4" x14ac:dyDescent="0.25">
      <c r="D451" s="178">
        <f>1.81944444444451 + "00:20:00"</f>
        <v>1.8333333333333988</v>
      </c>
    </row>
    <row r="457" spans="4:4" x14ac:dyDescent="0.25">
      <c r="D457" s="178">
        <f>1.8333333333334 + "00:20:00"</f>
        <v>1.8472222222222889</v>
      </c>
    </row>
    <row r="463" spans="4:4" x14ac:dyDescent="0.25">
      <c r="D463" s="178">
        <f>1.84722222222229 + "00:20:00"</f>
        <v>1.8611111111111789</v>
      </c>
    </row>
    <row r="469" spans="4:4" x14ac:dyDescent="0.25">
      <c r="D469" s="178">
        <f>1.86111111111118 + "00:20:00"</f>
        <v>1.8750000000000688</v>
      </c>
    </row>
    <row r="475" spans="4:4" x14ac:dyDescent="0.25">
      <c r="D475" s="178">
        <f>1.87500000000007 + "00:20:00"</f>
        <v>1.8888888888889588</v>
      </c>
    </row>
    <row r="481" spans="4:4" x14ac:dyDescent="0.25">
      <c r="D481" s="178">
        <f>1.88888888888896 + "00:20:00"</f>
        <v>1.9027777777778487</v>
      </c>
    </row>
    <row r="487" spans="4:4" x14ac:dyDescent="0.25">
      <c r="D487" s="178">
        <f>1.90277777777785 + "00:20:00"</f>
        <v>1.9166666666667389</v>
      </c>
    </row>
    <row r="493" spans="4:4" x14ac:dyDescent="0.25">
      <c r="D493" s="178">
        <f>1.91666666666674 + "00:20:00"</f>
        <v>1.9305555555556289</v>
      </c>
    </row>
    <row r="499" spans="4:4" x14ac:dyDescent="0.25">
      <c r="D499" s="178">
        <f>1.93055555555563 + "00:20:00"</f>
        <v>1.9444444444445188</v>
      </c>
    </row>
    <row r="505" spans="4:4" x14ac:dyDescent="0.25">
      <c r="D505" s="178">
        <f>1.94444444444452 + "00:20:00"</f>
        <v>1.9583333333334088</v>
      </c>
    </row>
    <row r="511" spans="4:4" x14ac:dyDescent="0.25">
      <c r="D511" s="178">
        <f>1.95833333333341 + "00:20:00"</f>
        <v>1.9722222222222989</v>
      </c>
    </row>
    <row r="517" spans="4:4" x14ac:dyDescent="0.25">
      <c r="D517" s="178">
        <f>1.9722222222223 + "00:20:00"</f>
        <v>1.9861111111111889</v>
      </c>
    </row>
    <row r="523" spans="4:4" x14ac:dyDescent="0.25">
      <c r="D523" s="178">
        <f>1.98611111111119 + "00:20:00"</f>
        <v>2.000000000000079</v>
      </c>
    </row>
    <row r="529" spans="4:4" x14ac:dyDescent="0.25">
      <c r="D529" s="178">
        <f>2.00000000000008 + "00:20:00"</f>
        <v>2.0138888888889688</v>
      </c>
    </row>
    <row r="535" spans="4:4" x14ac:dyDescent="0.25">
      <c r="D535" s="178">
        <f>2.01388888888897 + "00:20:00"</f>
        <v>2.0277777777778589</v>
      </c>
    </row>
    <row r="541" spans="4:4" x14ac:dyDescent="0.25">
      <c r="D541" s="178">
        <f>2.02777777777786 + "00:20:00"</f>
        <v>2.0416666666667487</v>
      </c>
    </row>
    <row r="547" spans="4:4" x14ac:dyDescent="0.25">
      <c r="D547" s="178">
        <f>2.04166666666675 + "00:20:00"</f>
        <v>2.0555555555556388</v>
      </c>
    </row>
    <row r="553" spans="4:4" x14ac:dyDescent="0.25">
      <c r="D553" s="178">
        <f>2.05555555555564 + "00:20:00"</f>
        <v>2.069444444444529</v>
      </c>
    </row>
    <row r="559" spans="4:4" x14ac:dyDescent="0.25">
      <c r="D559" s="178">
        <f>2.06944444444453 + "00:20:00"</f>
        <v>2.0833333333334187</v>
      </c>
    </row>
    <row r="565" spans="4:4" x14ac:dyDescent="0.25">
      <c r="D565" s="178">
        <f>2.08333333333342 + "00:20:00"</f>
        <v>2.0972222222223089</v>
      </c>
    </row>
    <row r="571" spans="4:4" x14ac:dyDescent="0.25">
      <c r="D571" s="178">
        <f>2.09722222222231 + "00:20:00"</f>
        <v>2.1111111111111986</v>
      </c>
    </row>
    <row r="577" spans="4:4" x14ac:dyDescent="0.25">
      <c r="D577" s="178">
        <f>2.1111111111112 + "00:20:00"</f>
        <v>2.1250000000000888</v>
      </c>
    </row>
    <row r="583" spans="4:4" x14ac:dyDescent="0.25">
      <c r="D583" s="178">
        <f>2.12500000000009 + "00:20:00"</f>
        <v>2.138888888888979</v>
      </c>
    </row>
    <row r="589" spans="4:4" x14ac:dyDescent="0.25">
      <c r="D589" s="178">
        <f>2.13888888888898 + "00:20:00"</f>
        <v>2.1527777777778687</v>
      </c>
    </row>
    <row r="595" spans="4:4" x14ac:dyDescent="0.25">
      <c r="D595" s="178">
        <f>2.15277777777787 + "00:20:00"</f>
        <v>2.1666666666667589</v>
      </c>
    </row>
    <row r="601" spans="4:4" x14ac:dyDescent="0.25">
      <c r="D601" s="178">
        <f>2.16666666666676 + "00:20:00"</f>
        <v>2.1805555555556491</v>
      </c>
    </row>
    <row r="607" spans="4:4" x14ac:dyDescent="0.25">
      <c r="D607" s="178">
        <f>2.18055555555565 + "00:20:00"</f>
        <v>2.1944444444445388</v>
      </c>
    </row>
    <row r="613" spans="4:4" x14ac:dyDescent="0.25">
      <c r="D613" s="178">
        <f>2.19444444444454 + "00:20:00"</f>
        <v>2.208333333333429</v>
      </c>
    </row>
    <row r="619" spans="4:4" x14ac:dyDescent="0.25">
      <c r="D619" s="178">
        <f>2.20833333333343 + "00:20:00"</f>
        <v>2.2222222222223187</v>
      </c>
    </row>
    <row r="625" spans="4:4" x14ac:dyDescent="0.25">
      <c r="D625" s="178">
        <f>2.22222222222232 + "00:20:00"</f>
        <v>2.2361111111112089</v>
      </c>
    </row>
    <row r="631" spans="4:4" x14ac:dyDescent="0.25">
      <c r="D631" s="178">
        <f>2.23611111111121 + "00:20:00"</f>
        <v>2.250000000000099</v>
      </c>
    </row>
    <row r="637" spans="4:4" x14ac:dyDescent="0.25">
      <c r="D637" s="178">
        <f>2.2500000000001 + "00:20:00"</f>
        <v>2.2638888888889888</v>
      </c>
    </row>
    <row r="643" spans="4:4" x14ac:dyDescent="0.25">
      <c r="D643" s="178">
        <f>2.26388888888899 + "00:20:00"</f>
        <v>2.2777777777778789</v>
      </c>
    </row>
    <row r="649" spans="4:4" x14ac:dyDescent="0.25">
      <c r="D649" s="178">
        <f>2.27777777777788 + "00:20:00"</f>
        <v>2.2916666666667687</v>
      </c>
    </row>
    <row r="655" spans="4:4" x14ac:dyDescent="0.25">
      <c r="D655" s="178">
        <f>2.29166666666677 + "00:20:00"</f>
        <v>2.3055555555556588</v>
      </c>
    </row>
    <row r="661" spans="4:4" x14ac:dyDescent="0.25">
      <c r="D661" s="178">
        <f>2.30555555555566 + "00:20:00"</f>
        <v>2.319444444444549</v>
      </c>
    </row>
    <row r="667" spans="4:4" x14ac:dyDescent="0.25">
      <c r="D667" s="178">
        <f>2.31944444444455 + "00:20:00"</f>
        <v>2.3333333333334387</v>
      </c>
    </row>
    <row r="673" spans="4:4" x14ac:dyDescent="0.25">
      <c r="D673" s="178">
        <f>2.33333333333344 + "00:20:00"</f>
        <v>2.3472222222223289</v>
      </c>
    </row>
    <row r="679" spans="4:4" x14ac:dyDescent="0.25">
      <c r="D679" s="178">
        <f>2.34722222222233 + "00:20:00"</f>
        <v>2.3611111111112186</v>
      </c>
    </row>
    <row r="685" spans="4:4" x14ac:dyDescent="0.25">
      <c r="D685" s="178">
        <f>2.36111111111122 + "00:20:00"</f>
        <v>2.3750000000001088</v>
      </c>
    </row>
    <row r="691" spans="4:4" x14ac:dyDescent="0.25">
      <c r="D691" s="178">
        <f>2.37500000000011 + "00:20:00"</f>
        <v>2.388888888888999</v>
      </c>
    </row>
    <row r="697" spans="4:4" x14ac:dyDescent="0.25">
      <c r="D697" s="178">
        <f>2.388888888889 + "00:20:00"</f>
        <v>2.4027777777778887</v>
      </c>
    </row>
    <row r="703" spans="4:4" x14ac:dyDescent="0.25">
      <c r="D703" s="178">
        <f>2.40277777777789 + "00:20:00"</f>
        <v>2.4166666666667789</v>
      </c>
    </row>
    <row r="709" spans="4:4" x14ac:dyDescent="0.25">
      <c r="D709" s="178">
        <f>2.41666666666678 + "00:20:00"</f>
        <v>2.430555555555669</v>
      </c>
    </row>
    <row r="715" spans="4:4" x14ac:dyDescent="0.25">
      <c r="D715" s="178">
        <f>2.43055555555567 + "00:20:00"</f>
        <v>2.4444444444445588</v>
      </c>
    </row>
    <row r="721" spans="4:4" x14ac:dyDescent="0.25">
      <c r="D721" s="178">
        <f>2.44444444444456 + "00:20:00"</f>
        <v>2.4583333333334489</v>
      </c>
    </row>
    <row r="727" spans="4:4" x14ac:dyDescent="0.25">
      <c r="D727" s="178">
        <f>2.45833333333345 + "00:20:00"</f>
        <v>2.4722222222223387</v>
      </c>
    </row>
    <row r="733" spans="4:4" x14ac:dyDescent="0.25">
      <c r="D733" s="178">
        <f>2.47222222222234 + "00:20:00"</f>
        <v>2.4861111111112288</v>
      </c>
    </row>
    <row r="739" spans="4:4" x14ac:dyDescent="0.25">
      <c r="D739" s="178">
        <f>2.48611111111123 + "00:20:00"</f>
        <v>2.500000000000119</v>
      </c>
    </row>
    <row r="745" spans="4:4" x14ac:dyDescent="0.25">
      <c r="D745" s="178">
        <f>2.50000000000012 + "00:20:00"</f>
        <v>2.5138888888890087</v>
      </c>
    </row>
    <row r="751" spans="4:4" x14ac:dyDescent="0.25">
      <c r="D751" s="178">
        <f>2.51388888888901 + "00:20:00"</f>
        <v>2.5277777777778989</v>
      </c>
    </row>
    <row r="757" spans="4:4" x14ac:dyDescent="0.25">
      <c r="D757" s="178">
        <f>2.5277777777779 + "00:20:00"</f>
        <v>2.5416666666667886</v>
      </c>
    </row>
    <row r="763" spans="4:4" x14ac:dyDescent="0.25">
      <c r="D763" s="178">
        <f>2.54166666666679 + "00:20:00"</f>
        <v>2.5555555555556788</v>
      </c>
    </row>
    <row r="769" spans="4:4" x14ac:dyDescent="0.25">
      <c r="D769" s="178">
        <f>2.55555555555568 + "00:20:00"</f>
        <v>2.569444444444569</v>
      </c>
    </row>
    <row r="775" spans="4:4" x14ac:dyDescent="0.25">
      <c r="D775" s="178">
        <f>2.56944444444457 + "00:20:00"</f>
        <v>2.5833333333334587</v>
      </c>
    </row>
    <row r="781" spans="4:4" x14ac:dyDescent="0.25">
      <c r="D781" s="178">
        <f>2.58333333333346 + "00:20:00"</f>
        <v>2.5972222222223489</v>
      </c>
    </row>
    <row r="787" spans="4:4" x14ac:dyDescent="0.25">
      <c r="D787" s="178">
        <f>2.59722222222235 + "00:20:00"</f>
        <v>2.6111111111112391</v>
      </c>
    </row>
    <row r="793" spans="4:4" x14ac:dyDescent="0.25">
      <c r="D793" s="178">
        <f>2.61111111111124 + "00:20:00"</f>
        <v>2.6250000000001288</v>
      </c>
    </row>
    <row r="799" spans="4:4" x14ac:dyDescent="0.25">
      <c r="D799" s="178">
        <f>2.62500000000013 + "00:20:00"</f>
        <v>2.638888888889019</v>
      </c>
    </row>
    <row r="805" spans="4:4" x14ac:dyDescent="0.25">
      <c r="D805" s="178">
        <f>2.63888888888902 + "00:20:00"</f>
        <v>2.6527777777779087</v>
      </c>
    </row>
    <row r="811" spans="4:4" x14ac:dyDescent="0.25">
      <c r="D811" s="178">
        <f>2.65277777777791 + "00:20:00"</f>
        <v>2.6666666666667989</v>
      </c>
    </row>
    <row r="817" spans="4:4" x14ac:dyDescent="0.25">
      <c r="D817" s="178">
        <f>2.6666666666668 + "00:20:00"</f>
        <v>2.680555555555689</v>
      </c>
    </row>
    <row r="823" spans="4:4" x14ac:dyDescent="0.25">
      <c r="D823" s="178">
        <f>2.68055555555569 + "00:20:00"</f>
        <v>2.6944444444445788</v>
      </c>
    </row>
    <row r="829" spans="4:4" x14ac:dyDescent="0.25">
      <c r="D829" s="178">
        <f>2.69444444444458 + "00:20:00"</f>
        <v>2.7083333333334689</v>
      </c>
    </row>
    <row r="835" spans="4:4" x14ac:dyDescent="0.25">
      <c r="D835" s="178">
        <f>2.70833333333347 + "00:20:00"</f>
        <v>2.7222222222223587</v>
      </c>
    </row>
    <row r="841" spans="4:4" x14ac:dyDescent="0.25">
      <c r="D841" s="178">
        <f>2.72222222222236 + "00:20:00"</f>
        <v>2.7361111111112488</v>
      </c>
    </row>
    <row r="847" spans="4:4" x14ac:dyDescent="0.25">
      <c r="D847" s="178">
        <f>2.73611111111125 + "00:20:00"</f>
        <v>2.750000000000139</v>
      </c>
    </row>
    <row r="853" spans="4:4" x14ac:dyDescent="0.25">
      <c r="D853" s="178">
        <f>2.75000000000014 + "00:20:00"</f>
        <v>2.7638888888890287</v>
      </c>
    </row>
    <row r="859" spans="4:4" x14ac:dyDescent="0.25">
      <c r="D859" s="178">
        <f>2.76388888888903 + "00:20:00"</f>
        <v>2.7777777777779189</v>
      </c>
    </row>
    <row r="865" spans="4:4" x14ac:dyDescent="0.25">
      <c r="D865" s="178">
        <f>2.77777777777792 + "00:20:00"</f>
        <v>2.7916666666668086</v>
      </c>
    </row>
    <row r="871" spans="4:4" x14ac:dyDescent="0.25">
      <c r="D871" s="178">
        <f>2.79166666666681 + "00:20:00"</f>
        <v>2.8055555555556988</v>
      </c>
    </row>
    <row r="877" spans="4:4" x14ac:dyDescent="0.25">
      <c r="D877" s="178">
        <f>2.8055555555557 + "00:20:00"</f>
        <v>2.819444444444589</v>
      </c>
    </row>
    <row r="883" spans="4:4" x14ac:dyDescent="0.25">
      <c r="D883" s="178">
        <f>2.81944444444459 + "00:20:00"</f>
        <v>2.8333333333334787</v>
      </c>
    </row>
    <row r="889" spans="4:4" x14ac:dyDescent="0.25">
      <c r="D889" s="178">
        <f>2.83333333333348 + "00:20:00"</f>
        <v>2.8472222222223689</v>
      </c>
    </row>
    <row r="895" spans="4:4" x14ac:dyDescent="0.25">
      <c r="D895" s="178">
        <f>2.84722222222237 + "00:20:00"</f>
        <v>2.861111111111259</v>
      </c>
    </row>
    <row r="901" spans="4:4" x14ac:dyDescent="0.25">
      <c r="D901" s="178">
        <f>2.86111111111126 + "00:20:00"</f>
        <v>2.8750000000001488</v>
      </c>
    </row>
    <row r="907" spans="4:4" x14ac:dyDescent="0.25">
      <c r="D907" s="178">
        <f>2.87500000000015 + "00:20:00"</f>
        <v>2.8888888888890389</v>
      </c>
    </row>
    <row r="913" spans="4:4" x14ac:dyDescent="0.25">
      <c r="D913" s="178">
        <f>2.88888888888904 + "00:20:00"</f>
        <v>2.9027777777779287</v>
      </c>
    </row>
    <row r="919" spans="4:4" x14ac:dyDescent="0.25">
      <c r="D919" s="178">
        <f>2.90277777777793 + "00:20:00"</f>
        <v>2.9166666666668188</v>
      </c>
    </row>
    <row r="925" spans="4:4" x14ac:dyDescent="0.25">
      <c r="D925" s="178">
        <f>2.91666666666682 + "00:20:00"</f>
        <v>2.930555555555709</v>
      </c>
    </row>
    <row r="931" spans="4:4" x14ac:dyDescent="0.25">
      <c r="D931" s="178">
        <f>2.93055555555571 + "00:20:00"</f>
        <v>2.9444444444445987</v>
      </c>
    </row>
    <row r="937" spans="4:4" x14ac:dyDescent="0.25">
      <c r="D937" s="178">
        <f>2.9444444444446 + "00:20:00"</f>
        <v>2.9583333333334889</v>
      </c>
    </row>
    <row r="943" spans="4:4" x14ac:dyDescent="0.25">
      <c r="D943" s="178">
        <f>2.95833333333349 + "00:20:00"</f>
        <v>2.9722222222223786</v>
      </c>
    </row>
    <row r="949" spans="4:4" x14ac:dyDescent="0.25">
      <c r="D949" s="178">
        <f>2.97222222222238 + "00:20:00"</f>
        <v>2.9861111111112688</v>
      </c>
    </row>
    <row r="955" spans="4:4" x14ac:dyDescent="0.25">
      <c r="D955" s="178">
        <f>2.98611111111127 + "00:20:00"</f>
        <v>3.000000000000159</v>
      </c>
    </row>
    <row r="961" spans="4:4" x14ac:dyDescent="0.25">
      <c r="D961" s="178">
        <f>3.00000000000016 + "00:20:00"</f>
        <v>3.0138888888890487</v>
      </c>
    </row>
    <row r="967" spans="4:4" x14ac:dyDescent="0.25">
      <c r="D967" s="178">
        <f>3.01388888888905 + "00:20:00"</f>
        <v>3.0277777777779389</v>
      </c>
    </row>
    <row r="973" spans="4:4" x14ac:dyDescent="0.25">
      <c r="D973" s="178">
        <f>3.02777777777794 + "00:20:00"</f>
        <v>3.0416666666668291</v>
      </c>
    </row>
    <row r="979" spans="4:4" x14ac:dyDescent="0.25">
      <c r="D979" s="178">
        <f>3.04166666666683 + "00:20:00"</f>
        <v>3.0555555555557188</v>
      </c>
    </row>
    <row r="985" spans="4:4" x14ac:dyDescent="0.25">
      <c r="D985" s="178">
        <f>3.05555555555572 + "00:20:00"</f>
        <v>3.069444444444609</v>
      </c>
    </row>
    <row r="991" spans="4:4" x14ac:dyDescent="0.25">
      <c r="D991" s="178">
        <f>3.06944444444461 + "00:20:00"</f>
        <v>3.0833333333334987</v>
      </c>
    </row>
    <row r="997" spans="4:4" x14ac:dyDescent="0.25">
      <c r="D997" s="178">
        <f>3.0833333333335 + "00:20:00"</f>
        <v>3.0972222222223889</v>
      </c>
    </row>
    <row r="1003" spans="4:4" x14ac:dyDescent="0.25">
      <c r="D1003" s="178">
        <f>3.09722222222239 + "00:20:00"</f>
        <v>3.111111111111279</v>
      </c>
    </row>
    <row r="1009" spans="4:4" x14ac:dyDescent="0.25">
      <c r="D1009" s="178">
        <f>3.11111111111128 + "00:20:00"</f>
        <v>3.1250000000001688</v>
      </c>
    </row>
    <row r="1015" spans="4:4" x14ac:dyDescent="0.25">
      <c r="D1015" s="178">
        <f>3.12500000000017 + "00:20:00"</f>
        <v>3.1388888888890589</v>
      </c>
    </row>
    <row r="1021" spans="4:4" x14ac:dyDescent="0.25">
      <c r="D1021" s="178">
        <f>3.13888888888906 + "00:20:00"</f>
        <v>3.1527777777779487</v>
      </c>
    </row>
    <row r="1027" spans="4:4" x14ac:dyDescent="0.25">
      <c r="D1027" s="178">
        <f>3.15277777777795 + "00:20:00"</f>
        <v>3.1666666666668388</v>
      </c>
    </row>
    <row r="1033" spans="4:4" x14ac:dyDescent="0.25">
      <c r="D1033" s="178">
        <f>3.16666666666684 + "00:20:00"</f>
        <v>3.180555555555729</v>
      </c>
    </row>
    <row r="1039" spans="4:4" x14ac:dyDescent="0.25">
      <c r="D1039" s="178">
        <f>3.18055555555573 + "00:20:00"</f>
        <v>3.1944444444446187</v>
      </c>
    </row>
    <row r="1045" spans="4:4" x14ac:dyDescent="0.25">
      <c r="D1045" s="178">
        <f>3.19444444444462 + "00:20:00"</f>
        <v>3.2083333333335089</v>
      </c>
    </row>
    <row r="1051" spans="4:4" x14ac:dyDescent="0.25">
      <c r="D1051" s="178">
        <f>3.20833333333351 + "00:20:00"</f>
        <v>3.2222222222223986</v>
      </c>
    </row>
    <row r="1057" spans="4:4" x14ac:dyDescent="0.25">
      <c r="D1057" s="178">
        <f>3.2222222222224 + "00:20:00"</f>
        <v>3.2361111111112888</v>
      </c>
    </row>
    <row r="1063" spans="4:4" x14ac:dyDescent="0.25">
      <c r="D1063" s="178">
        <f>3.23611111111129 + "00:20:00"</f>
        <v>3.250000000000179</v>
      </c>
    </row>
    <row r="1069" spans="4:4" x14ac:dyDescent="0.25">
      <c r="D1069" s="178">
        <f>3.25000000000018 + "00:20:00"</f>
        <v>3.2638888888890687</v>
      </c>
    </row>
    <row r="1075" spans="4:4" x14ac:dyDescent="0.25">
      <c r="D1075" s="178">
        <f>3.26388888888907 + "00:20:00"</f>
        <v>3.2777777777779589</v>
      </c>
    </row>
    <row r="1081" spans="4:4" x14ac:dyDescent="0.25">
      <c r="D1081" s="178">
        <f>3.27777777777796 + "00:20:00"</f>
        <v>3.291666666666849</v>
      </c>
    </row>
    <row r="1087" spans="4:4" x14ac:dyDescent="0.25">
      <c r="D1087" s="178">
        <f>3.29166666666685 + "00:20:00"</f>
        <v>3.3055555555557388</v>
      </c>
    </row>
    <row r="1093" spans="4:4" x14ac:dyDescent="0.25">
      <c r="D1093" s="178">
        <f>3.30555555555574 + "00:20:00"</f>
        <v>3.3194444444446289</v>
      </c>
    </row>
    <row r="1099" spans="4:4" x14ac:dyDescent="0.25">
      <c r="D1099" s="178">
        <f>3.31944444444463 + "00:20:00"</f>
        <v>3.3333333333335187</v>
      </c>
    </row>
    <row r="1105" spans="4:4" x14ac:dyDescent="0.25">
      <c r="D1105" s="178">
        <f>3.33333333333352 + "00:20:00"</f>
        <v>3.3472222222224088</v>
      </c>
    </row>
    <row r="1111" spans="4:4" x14ac:dyDescent="0.25">
      <c r="D1111" s="178">
        <f>3.34722222222241 + "00:20:00"</f>
        <v>3.361111111111299</v>
      </c>
    </row>
    <row r="1117" spans="4:4" x14ac:dyDescent="0.25">
      <c r="D1117" s="178">
        <f>3.3611111111113 + "00:20:00"</f>
        <v>3.3750000000001887</v>
      </c>
    </row>
    <row r="1123" spans="4:4" x14ac:dyDescent="0.25">
      <c r="D1123" s="178">
        <f>3.37500000000019 + "00:20:00"</f>
        <v>3.3888888888890789</v>
      </c>
    </row>
    <row r="1129" spans="4:4" x14ac:dyDescent="0.25">
      <c r="D1129" s="178">
        <f>3.38888888888908 + "00:20:00"</f>
        <v>3.4027777777779686</v>
      </c>
    </row>
    <row r="1135" spans="4:4" x14ac:dyDescent="0.25">
      <c r="D1135" s="178">
        <f>3.40277777777797 + "00:20:00"</f>
        <v>3.4166666666668588</v>
      </c>
    </row>
  </sheetData>
  <conditionalFormatting sqref="C2">
    <cfRule type="expression" dxfId="259" priority="260">
      <formula>$C2&gt;$E2</formula>
    </cfRule>
    <cfRule type="expression" dxfId="258" priority="259">
      <formula>$C2&lt;$E2</formula>
    </cfRule>
  </conditionalFormatting>
  <conditionalFormatting sqref="E2">
    <cfRule type="expression" dxfId="257" priority="258">
      <formula>$C2&lt;$E2</formula>
    </cfRule>
    <cfRule type="expression" dxfId="256" priority="257">
      <formula>$C2&gt;$E2</formula>
    </cfRule>
  </conditionalFormatting>
  <conditionalFormatting sqref="C3">
    <cfRule type="expression" dxfId="255" priority="256">
      <formula>$C3&gt;$E3</formula>
    </cfRule>
    <cfRule type="expression" dxfId="254" priority="255">
      <formula>$C3&lt;$E3</formula>
    </cfRule>
  </conditionalFormatting>
  <conditionalFormatting sqref="E3">
    <cfRule type="expression" dxfId="253" priority="254">
      <formula>$C3&lt;$E3</formula>
    </cfRule>
    <cfRule type="expression" dxfId="252" priority="253">
      <formula>$C3&gt;$E3</formula>
    </cfRule>
  </conditionalFormatting>
  <conditionalFormatting sqref="C4">
    <cfRule type="expression" dxfId="251" priority="252">
      <formula>$C4&gt;$E4</formula>
    </cfRule>
    <cfRule type="expression" dxfId="250" priority="251">
      <formula>$C4&lt;$E4</formula>
    </cfRule>
  </conditionalFormatting>
  <conditionalFormatting sqref="E4">
    <cfRule type="expression" dxfId="249" priority="250">
      <formula>$C4&lt;$E4</formula>
    </cfRule>
    <cfRule type="expression" dxfId="248" priority="249">
      <formula>$C4&gt;$E4</formula>
    </cfRule>
  </conditionalFormatting>
  <conditionalFormatting sqref="C5">
    <cfRule type="expression" dxfId="247" priority="248">
      <formula>$C5&gt;$E5</formula>
    </cfRule>
    <cfRule type="expression" dxfId="246" priority="247">
      <formula>$C5&lt;$E5</formula>
    </cfRule>
  </conditionalFormatting>
  <conditionalFormatting sqref="E5">
    <cfRule type="expression" dxfId="245" priority="246">
      <formula>$C5&lt;$E5</formula>
    </cfRule>
    <cfRule type="expression" dxfId="244" priority="245">
      <formula>$C5&gt;$E5</formula>
    </cfRule>
  </conditionalFormatting>
  <conditionalFormatting sqref="C6">
    <cfRule type="expression" dxfId="243" priority="244">
      <formula>$C6&gt;$E6</formula>
    </cfRule>
    <cfRule type="expression" dxfId="242" priority="243">
      <formula>$C6&lt;$E6</formula>
    </cfRule>
  </conditionalFormatting>
  <conditionalFormatting sqref="E6">
    <cfRule type="expression" dxfId="241" priority="242">
      <formula>$C6&lt;$E6</formula>
    </cfRule>
    <cfRule type="expression" dxfId="240" priority="241">
      <formula>$C6&gt;$E6</formula>
    </cfRule>
  </conditionalFormatting>
  <conditionalFormatting sqref="C8">
    <cfRule type="expression" dxfId="239" priority="240">
      <formula>$C8&gt;$E8</formula>
    </cfRule>
    <cfRule type="expression" dxfId="238" priority="239">
      <formula>$C8&lt;$E8</formula>
    </cfRule>
  </conditionalFormatting>
  <conditionalFormatting sqref="E8">
    <cfRule type="expression" dxfId="237" priority="238">
      <formula>$C8&lt;$E8</formula>
    </cfRule>
    <cfRule type="expression" dxfId="236" priority="237">
      <formula>$C8&gt;$E8</formula>
    </cfRule>
  </conditionalFormatting>
  <conditionalFormatting sqref="C9">
    <cfRule type="expression" dxfId="235" priority="236">
      <formula>$C9&gt;$E9</formula>
    </cfRule>
    <cfRule type="expression" dxfId="234" priority="235">
      <formula>$C9&lt;$E9</formula>
    </cfRule>
  </conditionalFormatting>
  <conditionalFormatting sqref="E9">
    <cfRule type="expression" dxfId="233" priority="234">
      <formula>$C9&lt;$E9</formula>
    </cfRule>
    <cfRule type="expression" dxfId="232" priority="233">
      <formula>$C9&gt;$E9</formula>
    </cfRule>
  </conditionalFormatting>
  <conditionalFormatting sqref="C10">
    <cfRule type="expression" dxfId="231" priority="232">
      <formula>$C10&gt;$E10</formula>
    </cfRule>
    <cfRule type="expression" dxfId="230" priority="231">
      <formula>$C10&lt;$E10</formula>
    </cfRule>
  </conditionalFormatting>
  <conditionalFormatting sqref="E10">
    <cfRule type="expression" dxfId="229" priority="230">
      <formula>$C10&lt;$E10</formula>
    </cfRule>
    <cfRule type="expression" dxfId="228" priority="229">
      <formula>$C10&gt;$E10</formula>
    </cfRule>
  </conditionalFormatting>
  <conditionalFormatting sqref="C11">
    <cfRule type="expression" dxfId="227" priority="228">
      <formula>$C11&gt;$E11</formula>
    </cfRule>
    <cfRule type="expression" dxfId="226" priority="227">
      <formula>$C11&lt;$E11</formula>
    </cfRule>
  </conditionalFormatting>
  <conditionalFormatting sqref="E11">
    <cfRule type="expression" dxfId="225" priority="226">
      <formula>$C11&lt;$E11</formula>
    </cfRule>
    <cfRule type="expression" dxfId="224" priority="225">
      <formula>$C11&gt;$E11</formula>
    </cfRule>
  </conditionalFormatting>
  <conditionalFormatting sqref="C12">
    <cfRule type="expression" dxfId="223" priority="224">
      <formula>$C12&gt;$E12</formula>
    </cfRule>
    <cfRule type="expression" dxfId="222" priority="223">
      <formula>$C12&lt;$E12</formula>
    </cfRule>
  </conditionalFormatting>
  <conditionalFormatting sqref="E12">
    <cfRule type="expression" dxfId="221" priority="222">
      <formula>$C12&lt;$E12</formula>
    </cfRule>
    <cfRule type="expression" dxfId="220" priority="221">
      <formula>$C12&gt;$E12</formula>
    </cfRule>
  </conditionalFormatting>
  <conditionalFormatting sqref="C14">
    <cfRule type="expression" dxfId="219" priority="220">
      <formula>$C14&gt;$E14</formula>
    </cfRule>
  </conditionalFormatting>
  <conditionalFormatting sqref="C14">
    <cfRule type="expression" dxfId="218" priority="219">
      <formula>$C14&lt;$E14</formula>
    </cfRule>
  </conditionalFormatting>
  <conditionalFormatting sqref="E14">
    <cfRule type="expression" dxfId="217" priority="218">
      <formula>$C14&lt;$E14</formula>
    </cfRule>
  </conditionalFormatting>
  <conditionalFormatting sqref="E14">
    <cfRule type="expression" dxfId="216" priority="217">
      <formula>$C14&gt;$E14</formula>
    </cfRule>
  </conditionalFormatting>
  <conditionalFormatting sqref="C15">
    <cfRule type="expression" dxfId="215" priority="216">
      <formula>$C15&gt;$E15</formula>
    </cfRule>
  </conditionalFormatting>
  <conditionalFormatting sqref="C15">
    <cfRule type="expression" dxfId="214" priority="215">
      <formula>$C15&lt;$E15</formula>
    </cfRule>
  </conditionalFormatting>
  <conditionalFormatting sqref="E15">
    <cfRule type="expression" dxfId="213" priority="214">
      <formula>$C15&lt;$E15</formula>
    </cfRule>
  </conditionalFormatting>
  <conditionalFormatting sqref="E15">
    <cfRule type="expression" dxfId="212" priority="213">
      <formula>$C15&gt;$E15</formula>
    </cfRule>
  </conditionalFormatting>
  <conditionalFormatting sqref="C16">
    <cfRule type="expression" dxfId="211" priority="212">
      <formula>$C16&gt;$E16</formula>
    </cfRule>
  </conditionalFormatting>
  <conditionalFormatting sqref="C16">
    <cfRule type="expression" dxfId="210" priority="211">
      <formula>$C16&lt;$E16</formula>
    </cfRule>
  </conditionalFormatting>
  <conditionalFormatting sqref="E16">
    <cfRule type="expression" dxfId="209" priority="210">
      <formula>$C16&lt;$E16</formula>
    </cfRule>
  </conditionalFormatting>
  <conditionalFormatting sqref="E16">
    <cfRule type="expression" dxfId="208" priority="209">
      <formula>$C16&gt;$E16</formula>
    </cfRule>
  </conditionalFormatting>
  <conditionalFormatting sqref="C17">
    <cfRule type="expression" dxfId="207" priority="208">
      <formula>$C17&gt;$E17</formula>
    </cfRule>
  </conditionalFormatting>
  <conditionalFormatting sqref="C17">
    <cfRule type="expression" dxfId="206" priority="207">
      <formula>$C17&lt;$E17</formula>
    </cfRule>
  </conditionalFormatting>
  <conditionalFormatting sqref="E17">
    <cfRule type="expression" dxfId="205" priority="206">
      <formula>$C17&lt;$E17</formula>
    </cfRule>
  </conditionalFormatting>
  <conditionalFormatting sqref="E17">
    <cfRule type="expression" dxfId="204" priority="205">
      <formula>$C17&gt;$E17</formula>
    </cfRule>
  </conditionalFormatting>
  <conditionalFormatting sqref="C18">
    <cfRule type="expression" dxfId="203" priority="204">
      <formula>$C18&gt;$E18</formula>
    </cfRule>
  </conditionalFormatting>
  <conditionalFormatting sqref="C18">
    <cfRule type="expression" dxfId="202" priority="203">
      <formula>$C18&lt;$E18</formula>
    </cfRule>
  </conditionalFormatting>
  <conditionalFormatting sqref="E18">
    <cfRule type="expression" dxfId="201" priority="202">
      <formula>$C18&lt;$E18</formula>
    </cfRule>
  </conditionalFormatting>
  <conditionalFormatting sqref="E18">
    <cfRule type="expression" dxfId="200" priority="201">
      <formula>$C18&gt;$E18</formula>
    </cfRule>
  </conditionalFormatting>
  <conditionalFormatting sqref="C20">
    <cfRule type="expression" dxfId="199" priority="200">
      <formula>$C20&gt;$E20</formula>
    </cfRule>
  </conditionalFormatting>
  <conditionalFormatting sqref="C20">
    <cfRule type="expression" dxfId="198" priority="199">
      <formula>$C20&lt;$E20</formula>
    </cfRule>
  </conditionalFormatting>
  <conditionalFormatting sqref="E20">
    <cfRule type="expression" dxfId="197" priority="198">
      <formula>$C20&lt;$E20</formula>
    </cfRule>
  </conditionalFormatting>
  <conditionalFormatting sqref="E20">
    <cfRule type="expression" dxfId="196" priority="197">
      <formula>$C20&gt;$E20</formula>
    </cfRule>
  </conditionalFormatting>
  <conditionalFormatting sqref="C21">
    <cfRule type="expression" dxfId="195" priority="196">
      <formula>$C21&gt;$E21</formula>
    </cfRule>
  </conditionalFormatting>
  <conditionalFormatting sqref="C21">
    <cfRule type="expression" dxfId="194" priority="195">
      <formula>$C21&lt;$E21</formula>
    </cfRule>
  </conditionalFormatting>
  <conditionalFormatting sqref="E21">
    <cfRule type="expression" dxfId="193" priority="194">
      <formula>$C21&lt;$E21</formula>
    </cfRule>
  </conditionalFormatting>
  <conditionalFormatting sqref="E21">
    <cfRule type="expression" dxfId="192" priority="193">
      <formula>$C21&gt;$E21</formula>
    </cfRule>
  </conditionalFormatting>
  <conditionalFormatting sqref="C22">
    <cfRule type="expression" dxfId="191" priority="192">
      <formula>$C22&gt;$E22</formula>
    </cfRule>
  </conditionalFormatting>
  <conditionalFormatting sqref="C22">
    <cfRule type="expression" dxfId="190" priority="191">
      <formula>$C22&lt;$E22</formula>
    </cfRule>
  </conditionalFormatting>
  <conditionalFormatting sqref="E22">
    <cfRule type="expression" dxfId="189" priority="190">
      <formula>$C22&lt;$E22</formula>
    </cfRule>
  </conditionalFormatting>
  <conditionalFormatting sqref="E22">
    <cfRule type="expression" dxfId="188" priority="189">
      <formula>$C22&gt;$E22</formula>
    </cfRule>
  </conditionalFormatting>
  <conditionalFormatting sqref="C23">
    <cfRule type="expression" dxfId="187" priority="188">
      <formula>$C23&gt;$E23</formula>
    </cfRule>
  </conditionalFormatting>
  <conditionalFormatting sqref="C23">
    <cfRule type="expression" dxfId="186" priority="187">
      <formula>$C23&lt;$E23</formula>
    </cfRule>
  </conditionalFormatting>
  <conditionalFormatting sqref="E23">
    <cfRule type="expression" dxfId="185" priority="186">
      <formula>$C23&lt;$E23</formula>
    </cfRule>
  </conditionalFormatting>
  <conditionalFormatting sqref="E23">
    <cfRule type="expression" dxfId="184" priority="185">
      <formula>$C23&gt;$E23</formula>
    </cfRule>
  </conditionalFormatting>
  <conditionalFormatting sqref="C24">
    <cfRule type="expression" dxfId="183" priority="184">
      <formula>$C24&gt;$E24</formula>
    </cfRule>
  </conditionalFormatting>
  <conditionalFormatting sqref="C24">
    <cfRule type="expression" dxfId="182" priority="183">
      <formula>$C24&lt;$E24</formula>
    </cfRule>
  </conditionalFormatting>
  <conditionalFormatting sqref="E24">
    <cfRule type="expression" dxfId="181" priority="182">
      <formula>$C24&lt;$E24</formula>
    </cfRule>
  </conditionalFormatting>
  <conditionalFormatting sqref="E24">
    <cfRule type="expression" dxfId="180" priority="181">
      <formula>$C24&gt;$E24</formula>
    </cfRule>
  </conditionalFormatting>
  <conditionalFormatting sqref="C26">
    <cfRule type="expression" dxfId="179" priority="180">
      <formula>$C26&gt;$E26</formula>
    </cfRule>
  </conditionalFormatting>
  <conditionalFormatting sqref="C26">
    <cfRule type="expression" dxfId="178" priority="179">
      <formula>$C26&lt;$E26</formula>
    </cfRule>
  </conditionalFormatting>
  <conditionalFormatting sqref="E26">
    <cfRule type="expression" dxfId="177" priority="178">
      <formula>$C26&lt;$E26</formula>
    </cfRule>
  </conditionalFormatting>
  <conditionalFormatting sqref="E26">
    <cfRule type="expression" dxfId="176" priority="177">
      <formula>$C26&gt;$E26</formula>
    </cfRule>
  </conditionalFormatting>
  <conditionalFormatting sqref="C27">
    <cfRule type="expression" dxfId="175" priority="176">
      <formula>$C27&gt;$E27</formula>
    </cfRule>
  </conditionalFormatting>
  <conditionalFormatting sqref="C27">
    <cfRule type="expression" dxfId="174" priority="175">
      <formula>$C27&lt;$E27</formula>
    </cfRule>
  </conditionalFormatting>
  <conditionalFormatting sqref="E27">
    <cfRule type="expression" dxfId="173" priority="174">
      <formula>$C27&lt;$E27</formula>
    </cfRule>
  </conditionalFormatting>
  <conditionalFormatting sqref="E27">
    <cfRule type="expression" dxfId="172" priority="173">
      <formula>$C27&gt;$E27</formula>
    </cfRule>
  </conditionalFormatting>
  <conditionalFormatting sqref="C28">
    <cfRule type="expression" dxfId="171" priority="172">
      <formula>$C28&gt;$E28</formula>
    </cfRule>
  </conditionalFormatting>
  <conditionalFormatting sqref="C28">
    <cfRule type="expression" dxfId="170" priority="171">
      <formula>$C28&lt;$E28</formula>
    </cfRule>
  </conditionalFormatting>
  <conditionalFormatting sqref="E28">
    <cfRule type="expression" dxfId="169" priority="170">
      <formula>$C28&lt;$E28</formula>
    </cfRule>
  </conditionalFormatting>
  <conditionalFormatting sqref="E28">
    <cfRule type="expression" dxfId="168" priority="169">
      <formula>$C28&gt;$E28</formula>
    </cfRule>
  </conditionalFormatting>
  <conditionalFormatting sqref="C29">
    <cfRule type="expression" dxfId="167" priority="168">
      <formula>$C29&gt;$E29</formula>
    </cfRule>
  </conditionalFormatting>
  <conditionalFormatting sqref="C29">
    <cfRule type="expression" dxfId="166" priority="167">
      <formula>$C29&lt;$E29</formula>
    </cfRule>
  </conditionalFormatting>
  <conditionalFormatting sqref="E29">
    <cfRule type="expression" dxfId="165" priority="166">
      <formula>$C29&lt;$E29</formula>
    </cfRule>
  </conditionalFormatting>
  <conditionalFormatting sqref="E29">
    <cfRule type="expression" dxfId="164" priority="165">
      <formula>$C29&gt;$E29</formula>
    </cfRule>
  </conditionalFormatting>
  <conditionalFormatting sqref="C30">
    <cfRule type="expression" dxfId="163" priority="164">
      <formula>$C30&gt;$E30</formula>
    </cfRule>
  </conditionalFormatting>
  <conditionalFormatting sqref="C30">
    <cfRule type="expression" dxfId="162" priority="163">
      <formula>$C30&lt;$E30</formula>
    </cfRule>
  </conditionalFormatting>
  <conditionalFormatting sqref="E30">
    <cfRule type="expression" dxfId="161" priority="162">
      <formula>$C30&lt;$E30</formula>
    </cfRule>
  </conditionalFormatting>
  <conditionalFormatting sqref="E30">
    <cfRule type="expression" dxfId="160" priority="161">
      <formula>$C30&gt;$E30</formula>
    </cfRule>
  </conditionalFormatting>
  <conditionalFormatting sqref="C32">
    <cfRule type="expression" dxfId="159" priority="160">
      <formula>$C32&gt;$E32</formula>
    </cfRule>
  </conditionalFormatting>
  <conditionalFormatting sqref="C32">
    <cfRule type="expression" dxfId="158" priority="159">
      <formula>$C32&lt;$E32</formula>
    </cfRule>
  </conditionalFormatting>
  <conditionalFormatting sqref="E32">
    <cfRule type="expression" dxfId="157" priority="158">
      <formula>$C32&lt;$E32</formula>
    </cfRule>
  </conditionalFormatting>
  <conditionalFormatting sqref="E32">
    <cfRule type="expression" dxfId="156" priority="157">
      <formula>$C32&gt;$E32</formula>
    </cfRule>
  </conditionalFormatting>
  <conditionalFormatting sqref="C33">
    <cfRule type="expression" dxfId="155" priority="156">
      <formula>$C33&gt;$E33</formula>
    </cfRule>
  </conditionalFormatting>
  <conditionalFormatting sqref="C33">
    <cfRule type="expression" dxfId="154" priority="155">
      <formula>$C33&lt;$E33</formula>
    </cfRule>
  </conditionalFormatting>
  <conditionalFormatting sqref="E33">
    <cfRule type="expression" dxfId="153" priority="154">
      <formula>$C33&lt;$E33</formula>
    </cfRule>
  </conditionalFormatting>
  <conditionalFormatting sqref="E33">
    <cfRule type="expression" dxfId="152" priority="153">
      <formula>$C33&gt;$E33</formula>
    </cfRule>
  </conditionalFormatting>
  <conditionalFormatting sqref="C34">
    <cfRule type="expression" dxfId="151" priority="152">
      <formula>$C34&gt;$E34</formula>
    </cfRule>
  </conditionalFormatting>
  <conditionalFormatting sqref="C34">
    <cfRule type="expression" dxfId="150" priority="151">
      <formula>$C34&lt;$E34</formula>
    </cfRule>
  </conditionalFormatting>
  <conditionalFormatting sqref="E34">
    <cfRule type="expression" dxfId="149" priority="150">
      <formula>$C34&lt;$E34</formula>
    </cfRule>
  </conditionalFormatting>
  <conditionalFormatting sqref="E34">
    <cfRule type="expression" dxfId="148" priority="149">
      <formula>$C34&gt;$E34</formula>
    </cfRule>
  </conditionalFormatting>
  <conditionalFormatting sqref="C35">
    <cfRule type="expression" dxfId="147" priority="148">
      <formula>$C35&gt;$E35</formula>
    </cfRule>
  </conditionalFormatting>
  <conditionalFormatting sqref="C35">
    <cfRule type="expression" dxfId="146" priority="147">
      <formula>$C35&lt;$E35</formula>
    </cfRule>
  </conditionalFormatting>
  <conditionalFormatting sqref="E35">
    <cfRule type="expression" dxfId="145" priority="146">
      <formula>$C35&lt;$E35</formula>
    </cfRule>
  </conditionalFormatting>
  <conditionalFormatting sqref="E35">
    <cfRule type="expression" dxfId="144" priority="145">
      <formula>$C35&gt;$E35</formula>
    </cfRule>
  </conditionalFormatting>
  <conditionalFormatting sqref="C36">
    <cfRule type="expression" dxfId="143" priority="144">
      <formula>$C36&gt;$E36</formula>
    </cfRule>
  </conditionalFormatting>
  <conditionalFormatting sqref="C36">
    <cfRule type="expression" dxfId="142" priority="143">
      <formula>$C36&lt;$E36</formula>
    </cfRule>
  </conditionalFormatting>
  <conditionalFormatting sqref="E36">
    <cfRule type="expression" dxfId="141" priority="142">
      <formula>$C36&lt;$E36</formula>
    </cfRule>
  </conditionalFormatting>
  <conditionalFormatting sqref="E36">
    <cfRule type="expression" dxfId="140" priority="141">
      <formula>$C36&gt;$E36</formula>
    </cfRule>
  </conditionalFormatting>
  <conditionalFormatting sqref="C38">
    <cfRule type="expression" dxfId="139" priority="140">
      <formula>$C38&gt;$E38</formula>
    </cfRule>
  </conditionalFormatting>
  <conditionalFormatting sqref="C38">
    <cfRule type="expression" dxfId="138" priority="139">
      <formula>$C38&lt;$E38</formula>
    </cfRule>
  </conditionalFormatting>
  <conditionalFormatting sqref="E38">
    <cfRule type="expression" dxfId="137" priority="138">
      <formula>$C38&lt;$E38</formula>
    </cfRule>
  </conditionalFormatting>
  <conditionalFormatting sqref="E38">
    <cfRule type="expression" dxfId="136" priority="137">
      <formula>$C38&gt;$E38</formula>
    </cfRule>
  </conditionalFormatting>
  <conditionalFormatting sqref="C39">
    <cfRule type="expression" dxfId="135" priority="136">
      <formula>$C39&gt;$E39</formula>
    </cfRule>
  </conditionalFormatting>
  <conditionalFormatting sqref="C39">
    <cfRule type="expression" dxfId="134" priority="135">
      <formula>$C39&lt;$E39</formula>
    </cfRule>
  </conditionalFormatting>
  <conditionalFormatting sqref="E39">
    <cfRule type="expression" dxfId="133" priority="134">
      <formula>$C39&lt;$E39</formula>
    </cfRule>
  </conditionalFormatting>
  <conditionalFormatting sqref="E39">
    <cfRule type="expression" dxfId="132" priority="133">
      <formula>$C39&gt;$E39</formula>
    </cfRule>
  </conditionalFormatting>
  <conditionalFormatting sqref="C40">
    <cfRule type="expression" dxfId="131" priority="132">
      <formula>$C40&gt;$E40</formula>
    </cfRule>
  </conditionalFormatting>
  <conditionalFormatting sqref="C40">
    <cfRule type="expression" dxfId="130" priority="131">
      <formula>$C40&lt;$E40</formula>
    </cfRule>
  </conditionalFormatting>
  <conditionalFormatting sqref="E40">
    <cfRule type="expression" dxfId="129" priority="130">
      <formula>$C40&lt;$E40</formula>
    </cfRule>
  </conditionalFormatting>
  <conditionalFormatting sqref="E40">
    <cfRule type="expression" dxfId="128" priority="129">
      <formula>$C40&gt;$E40</formula>
    </cfRule>
  </conditionalFormatting>
  <conditionalFormatting sqref="C41">
    <cfRule type="expression" dxfId="127" priority="128">
      <formula>$C41&gt;$E41</formula>
    </cfRule>
  </conditionalFormatting>
  <conditionalFormatting sqref="C41">
    <cfRule type="expression" dxfId="126" priority="127">
      <formula>$C41&lt;$E41</formula>
    </cfRule>
  </conditionalFormatting>
  <conditionalFormatting sqref="E41">
    <cfRule type="expression" dxfId="125" priority="126">
      <formula>$C41&lt;$E41</formula>
    </cfRule>
  </conditionalFormatting>
  <conditionalFormatting sqref="E41">
    <cfRule type="expression" dxfId="124" priority="125">
      <formula>$C41&gt;$E41</formula>
    </cfRule>
  </conditionalFormatting>
  <conditionalFormatting sqref="C42">
    <cfRule type="expression" dxfId="123" priority="124">
      <formula>$C42&gt;$E42</formula>
    </cfRule>
  </conditionalFormatting>
  <conditionalFormatting sqref="C42">
    <cfRule type="expression" dxfId="122" priority="123">
      <formula>$C42&lt;$E42</formula>
    </cfRule>
  </conditionalFormatting>
  <conditionalFormatting sqref="E42">
    <cfRule type="expression" dxfId="121" priority="122">
      <formula>$C42&lt;$E42</formula>
    </cfRule>
  </conditionalFormatting>
  <conditionalFormatting sqref="E42">
    <cfRule type="expression" dxfId="120" priority="121">
      <formula>$C42&gt;$E42</formula>
    </cfRule>
  </conditionalFormatting>
  <conditionalFormatting sqref="C44">
    <cfRule type="expression" dxfId="119" priority="120">
      <formula>$C44&gt;$E44</formula>
    </cfRule>
  </conditionalFormatting>
  <conditionalFormatting sqref="C44">
    <cfRule type="expression" dxfId="118" priority="119">
      <formula>$C44&lt;$E44</formula>
    </cfRule>
  </conditionalFormatting>
  <conditionalFormatting sqref="E44">
    <cfRule type="expression" dxfId="117" priority="118">
      <formula>$C44&lt;$E44</formula>
    </cfRule>
  </conditionalFormatting>
  <conditionalFormatting sqref="E44">
    <cfRule type="expression" dxfId="116" priority="117">
      <formula>$C44&gt;$E44</formula>
    </cfRule>
  </conditionalFormatting>
  <conditionalFormatting sqref="C45">
    <cfRule type="expression" dxfId="115" priority="116">
      <formula>$C45&gt;$E45</formula>
    </cfRule>
  </conditionalFormatting>
  <conditionalFormatting sqref="C45">
    <cfRule type="expression" dxfId="114" priority="115">
      <formula>$C45&lt;$E45</formula>
    </cfRule>
  </conditionalFormatting>
  <conditionalFormatting sqref="E45">
    <cfRule type="expression" dxfId="113" priority="114">
      <formula>$C45&lt;$E45</formula>
    </cfRule>
  </conditionalFormatting>
  <conditionalFormatting sqref="E45">
    <cfRule type="expression" dxfId="112" priority="113">
      <formula>$C45&gt;$E45</formula>
    </cfRule>
  </conditionalFormatting>
  <conditionalFormatting sqref="C46">
    <cfRule type="expression" dxfId="111" priority="112">
      <formula>$C46&gt;$E46</formula>
    </cfRule>
  </conditionalFormatting>
  <conditionalFormatting sqref="C46">
    <cfRule type="expression" dxfId="110" priority="111">
      <formula>$C46&lt;$E46</formula>
    </cfRule>
  </conditionalFormatting>
  <conditionalFormatting sqref="E46">
    <cfRule type="expression" dxfId="109" priority="110">
      <formula>$C46&lt;$E46</formula>
    </cfRule>
  </conditionalFormatting>
  <conditionalFormatting sqref="E46">
    <cfRule type="expression" dxfId="108" priority="109">
      <formula>$C46&gt;$E46</formula>
    </cfRule>
  </conditionalFormatting>
  <conditionalFormatting sqref="C47">
    <cfRule type="expression" dxfId="107" priority="108">
      <formula>$C47&gt;$E47</formula>
    </cfRule>
  </conditionalFormatting>
  <conditionalFormatting sqref="C47">
    <cfRule type="expression" dxfId="106" priority="107">
      <formula>$C47&lt;$E47</formula>
    </cfRule>
  </conditionalFormatting>
  <conditionalFormatting sqref="E47">
    <cfRule type="expression" dxfId="105" priority="106">
      <formula>$C47&lt;$E47</formula>
    </cfRule>
  </conditionalFormatting>
  <conditionalFormatting sqref="E47">
    <cfRule type="expression" dxfId="104" priority="105">
      <formula>$C47&gt;$E47</formula>
    </cfRule>
  </conditionalFormatting>
  <conditionalFormatting sqref="C48">
    <cfRule type="expression" dxfId="103" priority="104">
      <formula>$C48&gt;$E48</formula>
    </cfRule>
  </conditionalFormatting>
  <conditionalFormatting sqref="C48">
    <cfRule type="expression" dxfId="102" priority="103">
      <formula>$C48&lt;$E48</formula>
    </cfRule>
  </conditionalFormatting>
  <conditionalFormatting sqref="E48">
    <cfRule type="expression" dxfId="101" priority="102">
      <formula>$C48&lt;$E48</formula>
    </cfRule>
  </conditionalFormatting>
  <conditionalFormatting sqref="E48">
    <cfRule type="expression" dxfId="100" priority="101">
      <formula>$C48&gt;$E48</formula>
    </cfRule>
  </conditionalFormatting>
  <conditionalFormatting sqref="C50">
    <cfRule type="expression" dxfId="99" priority="100">
      <formula>$C50&gt;$E50</formula>
    </cfRule>
  </conditionalFormatting>
  <conditionalFormatting sqref="C50">
    <cfRule type="expression" dxfId="98" priority="99">
      <formula>$C50&lt;$E50</formula>
    </cfRule>
  </conditionalFormatting>
  <conditionalFormatting sqref="E50">
    <cfRule type="expression" dxfId="97" priority="98">
      <formula>$C50&lt;$E50</formula>
    </cfRule>
  </conditionalFormatting>
  <conditionalFormatting sqref="E50">
    <cfRule type="expression" dxfId="96" priority="97">
      <formula>$C50&gt;$E50</formula>
    </cfRule>
  </conditionalFormatting>
  <conditionalFormatting sqref="C51">
    <cfRule type="expression" dxfId="95" priority="96">
      <formula>$C51&gt;$E51</formula>
    </cfRule>
  </conditionalFormatting>
  <conditionalFormatting sqref="C51">
    <cfRule type="expression" dxfId="94" priority="95">
      <formula>$C51&lt;$E51</formula>
    </cfRule>
  </conditionalFormatting>
  <conditionalFormatting sqref="E51">
    <cfRule type="expression" dxfId="93" priority="94">
      <formula>$C51&lt;$E51</formula>
    </cfRule>
  </conditionalFormatting>
  <conditionalFormatting sqref="E51">
    <cfRule type="expression" dxfId="92" priority="93">
      <formula>$C51&gt;$E51</formula>
    </cfRule>
  </conditionalFormatting>
  <conditionalFormatting sqref="C52">
    <cfRule type="expression" dxfId="91" priority="92">
      <formula>$C52&gt;$E52</formula>
    </cfRule>
  </conditionalFormatting>
  <conditionalFormatting sqref="C52">
    <cfRule type="expression" dxfId="90" priority="91">
      <formula>$C52&lt;$E52</formula>
    </cfRule>
  </conditionalFormatting>
  <conditionalFormatting sqref="E52">
    <cfRule type="expression" dxfId="89" priority="90">
      <formula>$C52&lt;$E52</formula>
    </cfRule>
  </conditionalFormatting>
  <conditionalFormatting sqref="E52">
    <cfRule type="expression" dxfId="88" priority="89">
      <formula>$C52&gt;$E52</formula>
    </cfRule>
  </conditionalFormatting>
  <conditionalFormatting sqref="C53">
    <cfRule type="expression" dxfId="87" priority="88">
      <formula>$C53&gt;$E53</formula>
    </cfRule>
  </conditionalFormatting>
  <conditionalFormatting sqref="C53">
    <cfRule type="expression" dxfId="86" priority="87">
      <formula>$C53&lt;$E53</formula>
    </cfRule>
  </conditionalFormatting>
  <conditionalFormatting sqref="E53">
    <cfRule type="expression" dxfId="85" priority="86">
      <formula>$C53&lt;$E53</formula>
    </cfRule>
  </conditionalFormatting>
  <conditionalFormatting sqref="E53">
    <cfRule type="expression" dxfId="84" priority="85">
      <formula>$C53&gt;$E53</formula>
    </cfRule>
  </conditionalFormatting>
  <conditionalFormatting sqref="C54">
    <cfRule type="expression" dxfId="83" priority="84">
      <formula>$C54&gt;$E54</formula>
    </cfRule>
  </conditionalFormatting>
  <conditionalFormatting sqref="C54">
    <cfRule type="expression" dxfId="82" priority="83">
      <formula>$C54&lt;$E54</formula>
    </cfRule>
  </conditionalFormatting>
  <conditionalFormatting sqref="E54">
    <cfRule type="expression" dxfId="81" priority="82">
      <formula>$C54&lt;$E54</formula>
    </cfRule>
  </conditionalFormatting>
  <conditionalFormatting sqref="E54">
    <cfRule type="expression" dxfId="80" priority="81">
      <formula>$C54&gt;$E54</formula>
    </cfRule>
  </conditionalFormatting>
  <conditionalFormatting sqref="C56">
    <cfRule type="expression" dxfId="79" priority="80">
      <formula>$C56&gt;$E56</formula>
    </cfRule>
  </conditionalFormatting>
  <conditionalFormatting sqref="C56">
    <cfRule type="expression" dxfId="78" priority="79">
      <formula>$C56&lt;$E56</formula>
    </cfRule>
  </conditionalFormatting>
  <conditionalFormatting sqref="E56">
    <cfRule type="expression" dxfId="77" priority="78">
      <formula>$C56&lt;$E56</formula>
    </cfRule>
  </conditionalFormatting>
  <conditionalFormatting sqref="E56">
    <cfRule type="expression" dxfId="76" priority="77">
      <formula>$C56&gt;$E56</formula>
    </cfRule>
  </conditionalFormatting>
  <conditionalFormatting sqref="C57">
    <cfRule type="expression" dxfId="75" priority="76">
      <formula>$C57&gt;$E57</formula>
    </cfRule>
  </conditionalFormatting>
  <conditionalFormatting sqref="C57">
    <cfRule type="expression" dxfId="74" priority="75">
      <formula>$C57&lt;$E57</formula>
    </cfRule>
  </conditionalFormatting>
  <conditionalFormatting sqref="E57">
    <cfRule type="expression" dxfId="73" priority="74">
      <formula>$C57&lt;$E57</formula>
    </cfRule>
  </conditionalFormatting>
  <conditionalFormatting sqref="E57">
    <cfRule type="expression" dxfId="72" priority="73">
      <formula>$C57&gt;$E57</formula>
    </cfRule>
  </conditionalFormatting>
  <conditionalFormatting sqref="C58">
    <cfRule type="expression" dxfId="71" priority="72">
      <formula>$C58&gt;$E58</formula>
    </cfRule>
  </conditionalFormatting>
  <conditionalFormatting sqref="C58">
    <cfRule type="expression" dxfId="70" priority="71">
      <formula>$C58&lt;$E58</formula>
    </cfRule>
  </conditionalFormatting>
  <conditionalFormatting sqref="E58">
    <cfRule type="expression" dxfId="69" priority="70">
      <formula>$C58&lt;$E58</formula>
    </cfRule>
  </conditionalFormatting>
  <conditionalFormatting sqref="E58">
    <cfRule type="expression" dxfId="68" priority="69">
      <formula>$C58&gt;$E58</formula>
    </cfRule>
  </conditionalFormatting>
  <conditionalFormatting sqref="C59">
    <cfRule type="expression" dxfId="67" priority="68">
      <formula>$C59&gt;$E59</formula>
    </cfRule>
  </conditionalFormatting>
  <conditionalFormatting sqref="C59">
    <cfRule type="expression" dxfId="66" priority="67">
      <formula>$C59&lt;$E59</formula>
    </cfRule>
  </conditionalFormatting>
  <conditionalFormatting sqref="E59">
    <cfRule type="expression" dxfId="65" priority="66">
      <formula>$C59&lt;$E59</formula>
    </cfRule>
  </conditionalFormatting>
  <conditionalFormatting sqref="E59">
    <cfRule type="expression" dxfId="64" priority="65">
      <formula>$C59&gt;$E59</formula>
    </cfRule>
  </conditionalFormatting>
  <conditionalFormatting sqref="C60">
    <cfRule type="expression" dxfId="63" priority="64">
      <formula>$C60&gt;$E60</formula>
    </cfRule>
  </conditionalFormatting>
  <conditionalFormatting sqref="C60">
    <cfRule type="expression" dxfId="62" priority="63">
      <formula>$C60&lt;$E60</formula>
    </cfRule>
  </conditionalFormatting>
  <conditionalFormatting sqref="E60">
    <cfRule type="expression" dxfId="61" priority="62">
      <formula>$C60&lt;$E60</formula>
    </cfRule>
  </conditionalFormatting>
  <conditionalFormatting sqref="E60">
    <cfRule type="expression" dxfId="60" priority="61">
      <formula>$C60&gt;$E60</formula>
    </cfRule>
  </conditionalFormatting>
  <conditionalFormatting sqref="C62">
    <cfRule type="expression" dxfId="59" priority="60">
      <formula>$C62&gt;$E62</formula>
    </cfRule>
  </conditionalFormatting>
  <conditionalFormatting sqref="C62">
    <cfRule type="expression" dxfId="58" priority="59">
      <formula>$C62&lt;$E62</formula>
    </cfRule>
  </conditionalFormatting>
  <conditionalFormatting sqref="E62">
    <cfRule type="expression" dxfId="57" priority="58">
      <formula>$C62&lt;$E62</formula>
    </cfRule>
  </conditionalFormatting>
  <conditionalFormatting sqref="E62">
    <cfRule type="expression" dxfId="56" priority="57">
      <formula>$C62&gt;$E62</formula>
    </cfRule>
  </conditionalFormatting>
  <conditionalFormatting sqref="C63">
    <cfRule type="expression" dxfId="55" priority="56">
      <formula>$C63&gt;$E63</formula>
    </cfRule>
  </conditionalFormatting>
  <conditionalFormatting sqref="C63">
    <cfRule type="expression" dxfId="54" priority="55">
      <formula>$C63&lt;$E63</formula>
    </cfRule>
  </conditionalFormatting>
  <conditionalFormatting sqref="E63">
    <cfRule type="expression" dxfId="53" priority="54">
      <formula>$C63&lt;$E63</formula>
    </cfRule>
  </conditionalFormatting>
  <conditionalFormatting sqref="E63">
    <cfRule type="expression" dxfId="52" priority="53">
      <formula>$C63&gt;$E63</formula>
    </cfRule>
  </conditionalFormatting>
  <conditionalFormatting sqref="C64">
    <cfRule type="expression" dxfId="51" priority="52">
      <formula>$C64&gt;$E64</formula>
    </cfRule>
  </conditionalFormatting>
  <conditionalFormatting sqref="C64">
    <cfRule type="expression" dxfId="50" priority="51">
      <formula>$C64&lt;$E64</formula>
    </cfRule>
  </conditionalFormatting>
  <conditionalFormatting sqref="E64">
    <cfRule type="expression" dxfId="49" priority="50">
      <formula>$C64&lt;$E64</formula>
    </cfRule>
  </conditionalFormatting>
  <conditionalFormatting sqref="E64">
    <cfRule type="expression" dxfId="48" priority="49">
      <formula>$C64&gt;$E64</formula>
    </cfRule>
  </conditionalFormatting>
  <conditionalFormatting sqref="C65">
    <cfRule type="expression" dxfId="47" priority="48">
      <formula>$C65&gt;$E65</formula>
    </cfRule>
  </conditionalFormatting>
  <conditionalFormatting sqref="C65">
    <cfRule type="expression" dxfId="46" priority="47">
      <formula>$C65&lt;$E65</formula>
    </cfRule>
  </conditionalFormatting>
  <conditionalFormatting sqref="E65">
    <cfRule type="expression" dxfId="45" priority="46">
      <formula>$C65&lt;$E65</formula>
    </cfRule>
  </conditionalFormatting>
  <conditionalFormatting sqref="E65">
    <cfRule type="expression" dxfId="44" priority="45">
      <formula>$C65&gt;$E65</formula>
    </cfRule>
  </conditionalFormatting>
  <conditionalFormatting sqref="C66">
    <cfRule type="expression" dxfId="43" priority="44">
      <formula>$C66&gt;$E66</formula>
    </cfRule>
  </conditionalFormatting>
  <conditionalFormatting sqref="C66">
    <cfRule type="expression" dxfId="42" priority="43">
      <formula>$C66&lt;$E66</formula>
    </cfRule>
  </conditionalFormatting>
  <conditionalFormatting sqref="E66">
    <cfRule type="expression" dxfId="41" priority="42">
      <formula>$C66&lt;$E66</formula>
    </cfRule>
  </conditionalFormatting>
  <conditionalFormatting sqref="E66">
    <cfRule type="expression" dxfId="40" priority="41">
      <formula>$C66&gt;$E66</formula>
    </cfRule>
  </conditionalFormatting>
  <conditionalFormatting sqref="C68">
    <cfRule type="expression" dxfId="39" priority="40">
      <formula>$C68&gt;$E68</formula>
    </cfRule>
  </conditionalFormatting>
  <conditionalFormatting sqref="C68">
    <cfRule type="expression" dxfId="38" priority="39">
      <formula>$C68&lt;$E68</formula>
    </cfRule>
  </conditionalFormatting>
  <conditionalFormatting sqref="E68">
    <cfRule type="expression" dxfId="37" priority="38">
      <formula>$C68&lt;$E68</formula>
    </cfRule>
  </conditionalFormatting>
  <conditionalFormatting sqref="E68">
    <cfRule type="expression" dxfId="36" priority="37">
      <formula>$C68&gt;$E68</formula>
    </cfRule>
  </conditionalFormatting>
  <conditionalFormatting sqref="C69">
    <cfRule type="expression" dxfId="35" priority="36">
      <formula>$C69&gt;$E69</formula>
    </cfRule>
  </conditionalFormatting>
  <conditionalFormatting sqref="C69">
    <cfRule type="expression" dxfId="34" priority="35">
      <formula>$C69&lt;$E69</formula>
    </cfRule>
  </conditionalFormatting>
  <conditionalFormatting sqref="E69">
    <cfRule type="expression" dxfId="33" priority="34">
      <formula>$C69&lt;$E69</formula>
    </cfRule>
  </conditionalFormatting>
  <conditionalFormatting sqref="E69">
    <cfRule type="expression" dxfId="32" priority="33">
      <formula>$C69&gt;$E69</formula>
    </cfRule>
  </conditionalFormatting>
  <conditionalFormatting sqref="C70">
    <cfRule type="expression" dxfId="31" priority="32">
      <formula>$C70&gt;$E70</formula>
    </cfRule>
  </conditionalFormatting>
  <conditionalFormatting sqref="C70">
    <cfRule type="expression" dxfId="30" priority="31">
      <formula>$C70&lt;$E70</formula>
    </cfRule>
  </conditionalFormatting>
  <conditionalFormatting sqref="E70">
    <cfRule type="expression" dxfId="29" priority="30">
      <formula>$C70&lt;$E70</formula>
    </cfRule>
  </conditionalFormatting>
  <conditionalFormatting sqref="E70">
    <cfRule type="expression" dxfId="28" priority="29">
      <formula>$C70&gt;$E70</formula>
    </cfRule>
  </conditionalFormatting>
  <conditionalFormatting sqref="C71">
    <cfRule type="expression" dxfId="27" priority="28">
      <formula>$C71&gt;$E71</formula>
    </cfRule>
  </conditionalFormatting>
  <conditionalFormatting sqref="C71">
    <cfRule type="expression" dxfId="26" priority="27">
      <formula>$C71&lt;$E71</formula>
    </cfRule>
  </conditionalFormatting>
  <conditionalFormatting sqref="E71">
    <cfRule type="expression" dxfId="25" priority="26">
      <formula>$C71&lt;$E71</formula>
    </cfRule>
  </conditionalFormatting>
  <conditionalFormatting sqref="E71">
    <cfRule type="expression" dxfId="24" priority="25">
      <formula>$C71&gt;$E71</formula>
    </cfRule>
  </conditionalFormatting>
  <conditionalFormatting sqref="C72">
    <cfRule type="expression" dxfId="23" priority="24">
      <formula>$C72&gt;$E72</formula>
    </cfRule>
  </conditionalFormatting>
  <conditionalFormatting sqref="C72">
    <cfRule type="expression" dxfId="22" priority="23">
      <formula>$C72&lt;$E72</formula>
    </cfRule>
  </conditionalFormatting>
  <conditionalFormatting sqref="E72">
    <cfRule type="expression" dxfId="21" priority="22">
      <formula>$C72&lt;$E72</formula>
    </cfRule>
  </conditionalFormatting>
  <conditionalFormatting sqref="E72">
    <cfRule type="expression" dxfId="20" priority="21">
      <formula>$C72&gt;$E72</formula>
    </cfRule>
  </conditionalFormatting>
  <conditionalFormatting sqref="C74">
    <cfRule type="expression" dxfId="19" priority="20">
      <formula>$C74&gt;$E74</formula>
    </cfRule>
  </conditionalFormatting>
  <conditionalFormatting sqref="C74">
    <cfRule type="expression" dxfId="18" priority="19">
      <formula>$C74&lt;$E74</formula>
    </cfRule>
  </conditionalFormatting>
  <conditionalFormatting sqref="E74">
    <cfRule type="expression" dxfId="17" priority="18">
      <formula>$C74&lt;$E74</formula>
    </cfRule>
  </conditionalFormatting>
  <conditionalFormatting sqref="E74">
    <cfRule type="expression" dxfId="16" priority="17">
      <formula>$C74&gt;$E74</formula>
    </cfRule>
  </conditionalFormatting>
  <conditionalFormatting sqref="C75">
    <cfRule type="expression" dxfId="15" priority="16">
      <formula>$C75&gt;$E75</formula>
    </cfRule>
  </conditionalFormatting>
  <conditionalFormatting sqref="C75">
    <cfRule type="expression" dxfId="14" priority="15">
      <formula>$C75&lt;$E75</formula>
    </cfRule>
  </conditionalFormatting>
  <conditionalFormatting sqref="E75">
    <cfRule type="expression" dxfId="13" priority="14">
      <formula>$C75&lt;$E75</formula>
    </cfRule>
  </conditionalFormatting>
  <conditionalFormatting sqref="E75">
    <cfRule type="expression" dxfId="12" priority="13">
      <formula>$C75&gt;$E75</formula>
    </cfRule>
  </conditionalFormatting>
  <conditionalFormatting sqref="C76">
    <cfRule type="expression" dxfId="11" priority="12">
      <formula>$C76&gt;$E76</formula>
    </cfRule>
  </conditionalFormatting>
  <conditionalFormatting sqref="C76">
    <cfRule type="expression" dxfId="10" priority="11">
      <formula>$C76&lt;$E76</formula>
    </cfRule>
  </conditionalFormatting>
  <conditionalFormatting sqref="E76">
    <cfRule type="expression" dxfId="9" priority="10">
      <formula>$C76&lt;$E76</formula>
    </cfRule>
  </conditionalFormatting>
  <conditionalFormatting sqref="E76">
    <cfRule type="expression" dxfId="8" priority="9">
      <formula>$C76&gt;$E76</formula>
    </cfRule>
  </conditionalFormatting>
  <conditionalFormatting sqref="C77">
    <cfRule type="expression" dxfId="7" priority="8">
      <formula>$C77&gt;$E77</formula>
    </cfRule>
  </conditionalFormatting>
  <conditionalFormatting sqref="C77">
    <cfRule type="expression" dxfId="6" priority="7">
      <formula>$C77&lt;$E77</formula>
    </cfRule>
  </conditionalFormatting>
  <conditionalFormatting sqref="E77">
    <cfRule type="expression" dxfId="5" priority="6">
      <formula>$C77&lt;$E77</formula>
    </cfRule>
  </conditionalFormatting>
  <conditionalFormatting sqref="E77">
    <cfRule type="expression" dxfId="4" priority="5">
      <formula>$C77&gt;$E77</formula>
    </cfRule>
  </conditionalFormatting>
  <conditionalFormatting sqref="C78">
    <cfRule type="expression" dxfId="3" priority="4">
      <formula>$C78&gt;$E78</formula>
    </cfRule>
  </conditionalFormatting>
  <conditionalFormatting sqref="C78">
    <cfRule type="expression" dxfId="2" priority="3">
      <formula>$C78&lt;$E78</formula>
    </cfRule>
  </conditionalFormatting>
  <conditionalFormatting sqref="E78">
    <cfRule type="expression" dxfId="1" priority="2">
      <formula>$C78&lt;$E78</formula>
    </cfRule>
  </conditionalFormatting>
  <conditionalFormatting sqref="E78">
    <cfRule type="expression" dxfId="0" priority="1">
      <formula>$C78&gt;$E78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0FA68353-8347-4321-81ED-B3B80FA1CE2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4" name="C4PPMatch">
              <controlPr defaultSize="0" print="0" autoFill="0" autoPict="0" macro="[0]!'copyimage &quot;B1:F7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5" name="C4IMPMatch">
              <controlPr defaultSize="0" print="0" autoFill="0" autoPict="0" macro="[0]!'copyimprimer &quot;MATCHS&quot;,&quot;B1:F78&quot;'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107F6-30EA-48FD-AA7D-81B252859203}">
  <dimension ref="A1:N23"/>
  <sheetViews>
    <sheetView workbookViewId="0"/>
  </sheetViews>
  <sheetFormatPr baseColWidth="10" defaultRowHeight="15" x14ac:dyDescent="0.25"/>
  <cols>
    <col min="1" max="2" width="11.42578125" style="178"/>
    <col min="3" max="3" width="0" style="178" hidden="1" customWidth="1"/>
    <col min="4" max="4" width="43.5703125" style="178" customWidth="1"/>
    <col min="5" max="5" width="11.42578125" style="195"/>
    <col min="6" max="6" width="11.42578125" style="178"/>
    <col min="7" max="7" width="0" style="178" hidden="1" customWidth="1"/>
    <col min="8" max="11" width="11.42578125" style="178"/>
    <col min="12" max="12" width="0" style="178" hidden="1" customWidth="1"/>
    <col min="13" max="13" width="6" style="178" customWidth="1"/>
    <col min="14" max="16384" width="11.42578125" style="178"/>
  </cols>
  <sheetData>
    <row r="1" spans="1:14" ht="15.75" thickBot="1" x14ac:dyDescent="0.3"/>
    <row r="2" spans="1:14" ht="30.95" customHeight="1" thickBot="1" x14ac:dyDescent="0.3">
      <c r="C2" s="191" t="s">
        <v>170</v>
      </c>
      <c r="D2" s="191" t="s">
        <v>171</v>
      </c>
      <c r="E2" s="196" t="s">
        <v>172</v>
      </c>
      <c r="F2" s="191" t="s">
        <v>173</v>
      </c>
      <c r="G2" s="191" t="s">
        <v>174</v>
      </c>
      <c r="H2" s="191" t="s">
        <v>175</v>
      </c>
      <c r="I2" s="191" t="s">
        <v>176</v>
      </c>
      <c r="J2" s="191" t="s">
        <v>177</v>
      </c>
      <c r="K2" s="192" t="s">
        <v>178</v>
      </c>
      <c r="L2" s="191" t="s">
        <v>179</v>
      </c>
      <c r="M2" s="192" t="s">
        <v>180</v>
      </c>
    </row>
    <row r="4" spans="1:14" ht="15.75" x14ac:dyDescent="0.25">
      <c r="A4" s="193" t="s">
        <v>152</v>
      </c>
      <c r="B4" s="194">
        <v>1</v>
      </c>
      <c r="C4" s="194" t="s">
        <v>121</v>
      </c>
      <c r="D4" s="194" t="str">
        <f>INSCRITS!C2</f>
        <v>1A</v>
      </c>
      <c r="E4" s="197">
        <f ca="1">SUM(IF(INDIRECT(ADDRESS(2,3,,,"MATCHS"))&gt;INDIRECT(ADDRESS(2,5,,,"MATCHS")),1,0),IF(INDIRECT(ADDRESS(8,3,,,"MATCHS"))&gt;INDIRECT(ADDRESS(8,5,,,"MATCHS")),1,0),IF(INDIRECT(ADDRESS(14,3,,,"MATCHS"))&gt;INDIRECT(ADDRESS(14,5,,,"MATCHS")),1,0),IF(INDIRECT(ADDRESS(20,3,,,"MATCHS"))&gt;INDIRECT(ADDRESS(20,5,,,"MATCHS")),1,0),IF(INDIRECT(ADDRESS(26,3,,,"MATCHS"))&gt;INDIRECT(ADDRESS(26,5,,,"MATCHS")),1,0),IF(INDIRECT(ADDRESS(32,3,,,"MATCHS"))&gt;INDIRECT(ADDRESS(32,5,,,"MATCHS")),1,0),IF(INDIRECT(ADDRESS(38,3,,,"MATCHS"))&gt;INDIRECT(ADDRESS(38,5,,,"MATCHS")),1,0),IF(INDIRECT(ADDRESS(44,3,,,"MATCHS"))&gt;INDIRECT(ADDRESS(44,5,,,"MATCHS")),1,0),IF(INDIRECT(ADDRESS(50,3,,,"MATCHS"))&gt;INDIRECT(ADDRESS(50,5,,,"MATCHS")),1,0),IF(INDIRECT(ADDRESS(56,3,,,"MATCHS"))&gt;INDIRECT(ADDRESS(56,5,,,"MATCHS")),1,0),IF(INDIRECT(ADDRESS(62,3,,,"MATCHS"))&gt;INDIRECT(ADDRESS(62,5,,,"MATCHS")),1,0),IF(INDIRECT(ADDRESS(68,3,,,"MATCHS"))&gt;INDIRECT(ADDRESS(68,5,,,"MATCHS")),1,0),IF(INDIRECT(ADDRESS(74,3,,,"MATCHS"))&gt;INDIRECT(ADDRESS(74,5,,,"MATCHS")),1,0),,,,,,,,,,,,,,,,,,,,,,,,,) + 0.01 * K4</f>
        <v>0</v>
      </c>
      <c r="F4" s="194">
        <f ca="1">SUM(IF(INDIRECT(ADDRESS(2,3,,,"MATCHS"))&lt;INDIRECT(ADDRESS(2,5,,,"MATCHS")),1,0),IF(INDIRECT(ADDRESS(8,3,,,"MATCHS"))&lt;INDIRECT(ADDRESS(8,5,,,"MATCHS")),1,0),IF(INDIRECT(ADDRESS(14,3,,,"MATCHS"))&lt;INDIRECT(ADDRESS(14,5,,,"MATCHS")),1,0),IF(INDIRECT(ADDRESS(20,3,,,"MATCHS"))&lt;INDIRECT(ADDRESS(20,5,,,"MATCHS")),1,0),IF(INDIRECT(ADDRESS(26,3,,,"MATCHS"))&lt;INDIRECT(ADDRESS(26,5,,,"MATCHS")),1,0),IF(INDIRECT(ADDRESS(32,3,,,"MATCHS"))&lt;INDIRECT(ADDRESS(32,5,,,"MATCHS")),1,0),IF(INDIRECT(ADDRESS(38,3,,,"MATCHS"))&lt;INDIRECT(ADDRESS(38,5,,,"MATCHS")),1,0),IF(INDIRECT(ADDRESS(44,3,,,"MATCHS"))&lt;INDIRECT(ADDRESS(44,5,,,"MATCHS")),1,0),IF(INDIRECT(ADDRESS(50,3,,,"MATCHS"))&lt;INDIRECT(ADDRESS(50,5,,,"MATCHS")),1,0),IF(INDIRECT(ADDRESS(56,3,,,"MATCHS"))&lt;INDIRECT(ADDRESS(56,5,,,"MATCHS")),1,0),IF(INDIRECT(ADDRESS(62,3,,,"MATCHS"))&lt;INDIRECT(ADDRESS(62,5,,,"MATCHS")),1,0),IF(INDIRECT(ADDRESS(68,3,,,"MATCHS"))&lt;INDIRECT(ADDRESS(68,5,,,"MATCHS")),1,0),IF(INDIRECT(ADDRESS(74,3,,,"MATCHS"))&lt;INDIRECT(ADDRESS(74,5,,,"MATCHS")),1,0),,,,,,,,,,,,,,,,,,,,,,,,,)</f>
        <v>0</v>
      </c>
      <c r="G4" s="194"/>
      <c r="H4" s="194">
        <f ca="1">SUM(IF(IFERROR(FIND("--",INDIRECT(ADDRESS(2,3,,,"MATCHS"))),FALSE),RIGHT(INDIRECT(ADDRESS(2,3,,,"MATCHS")), FIND("--",INDIRECT(ADDRESS(2,3,,,"MATCHS")),1)),INDIRECT(ADDRESS(2,3,,,"MATCHS"))),IF(IFERROR(FIND("--",INDIRECT(ADDRESS(8,3,,,"MATCHS"))),FALSE),RIGHT(INDIRECT(ADDRESS(8,3,,,"MATCHS")), FIND("--",INDIRECT(ADDRESS(8,3,,,"MATCHS")),1)),INDIRECT(ADDRESS(8,3,,,"MATCHS"))),IF(IFERROR(FIND("--",INDIRECT(ADDRESS(14,3,,,"MATCHS"))),FALSE),RIGHT(INDIRECT(ADDRESS(14,3,,,"MATCHS")), FIND("--",INDIRECT(ADDRESS(14,3,,,"MATCHS")),1)),INDIRECT(ADDRESS(14,3,,,"MATCHS"))),IF(IFERROR(FIND("--",INDIRECT(ADDRESS(20,3,,,"MATCHS"))),FALSE),RIGHT(INDIRECT(ADDRESS(20,3,,,"MATCHS")), FIND("--",INDIRECT(ADDRESS(20,3,,,"MATCHS")),1)),INDIRECT(ADDRESS(20,3,,,"MATCHS"))),IF(IFERROR(FIND("--",INDIRECT(ADDRESS(26,3,,,"MATCHS"))),FALSE),RIGHT(INDIRECT(ADDRESS(26,3,,,"MATCHS")), FIND("--",INDIRECT(ADDRESS(26,3,,,"MATCHS")),1)),INDIRECT(ADDRESS(26,3,,,"MATCHS"))),IF(IFERROR(FIND("--",INDIRECT(ADDRESS(32,3,,,"MATCHS"))),FALSE),RIGHT(INDIRECT(ADDRESS(32,3,,,"MATCHS")), FIND("--",INDIRECT(ADDRESS(32,3,,,"MATCHS")),1)),INDIRECT(ADDRESS(32,3,,,"MATCHS"))),IF(IFERROR(FIND("--",INDIRECT(ADDRESS(38,3,,,"MATCHS"))),FALSE),RIGHT(INDIRECT(ADDRESS(38,3,,,"MATCHS")), FIND("--",INDIRECT(ADDRESS(38,3,,,"MATCHS")),1)),INDIRECT(ADDRESS(38,3,,,"MATCHS"))),IF(IFERROR(FIND("--",INDIRECT(ADDRESS(44,3,,,"MATCHS"))),FALSE),RIGHT(INDIRECT(ADDRESS(44,3,,,"MATCHS")), FIND("--",INDIRECT(ADDRESS(44,3,,,"MATCHS")),1)),INDIRECT(ADDRESS(44,3,,,"MATCHS"))),IF(IFERROR(FIND("--",INDIRECT(ADDRESS(50,3,,,"MATCHS"))),FALSE),RIGHT(INDIRECT(ADDRESS(50,3,,,"MATCHS")), FIND("--",INDIRECT(ADDRESS(50,3,,,"MATCHS")),1)),INDIRECT(ADDRESS(50,3,,,"MATCHS"))),IF(IFERROR(FIND("--",INDIRECT(ADDRESS(56,3,,,"MATCHS"))),FALSE),RIGHT(INDIRECT(ADDRESS(56,3,,,"MATCHS")), FIND("--",INDIRECT(ADDRESS(56,3,,,"MATCHS")),1)),INDIRECT(ADDRESS(56,3,,,"MATCHS"))),IF(IFERROR(FIND("--",INDIRECT(ADDRESS(62,3,,,"MATCHS"))),FALSE),RIGHT(INDIRECT(ADDRESS(62,3,,,"MATCHS")), FIND("--",INDIRECT(ADDRESS(62,3,,,"MATCHS")),1)),INDIRECT(ADDRESS(62,3,,,"MATCHS"))),IF(IFERROR(FIND("--",INDIRECT(ADDRESS(68,3,,,"MATCHS"))),FALSE),RIGHT(INDIRECT(ADDRESS(68,3,,,"MATCHS")), FIND("--",INDIRECT(ADDRESS(68,3,,,"MATCHS")),1)),INDIRECT(ADDRESS(68,3,,,"MATCHS"))),IF(IFERROR(FIND("--",INDIRECT(ADDRESS(74,3,,,"MATCHS"))),FALSE),RIGHT(INDIRECT(ADDRESS(74,3,,,"MATCHS")), FIND("--",INDIRECT(ADDRESS(74,3,,,"MATCHS")),1)),INDIRECT(ADDRESS(74,3,,,"MATCHS"))),,,,,,,,,,,,,,,,,,,,,,,,,)</f>
        <v>0</v>
      </c>
      <c r="I4" s="194">
        <f ca="1">SUM(IF(IFERROR(FIND("--",INDIRECT(ADDRESS(2,5,,,"MATCHS"))),FALSE),RIGHT(INDIRECT(ADDRESS(2,5,,,"MATCHS")), FIND("--",INDIRECT(ADDRESS(2,5,,,"MATCHS")),1)),INDIRECT(ADDRESS(2,5,,,"MATCHS"))),IF(IFERROR(FIND("--",INDIRECT(ADDRESS(8,5,,,"MATCHS"))),FALSE),RIGHT(INDIRECT(ADDRESS(8,5,,,"MATCHS")), FIND("--",INDIRECT(ADDRESS(8,5,,,"MATCHS")),1)),INDIRECT(ADDRESS(8,5,,,"MATCHS"))),IF(IFERROR(FIND("--",INDIRECT(ADDRESS(14,5,,,"MATCHS"))),FALSE),RIGHT(INDIRECT(ADDRESS(14,5,,,"MATCHS")), FIND("--",INDIRECT(ADDRESS(14,5,,,"MATCHS")),1)),INDIRECT(ADDRESS(14,5,,,"MATCHS"))),IF(IFERROR(FIND("--",INDIRECT(ADDRESS(20,5,,,"MATCHS"))),FALSE),RIGHT(INDIRECT(ADDRESS(20,5,,,"MATCHS")), FIND("--",INDIRECT(ADDRESS(20,5,,,"MATCHS")),1)),INDIRECT(ADDRESS(20,5,,,"MATCHS"))),IF(IFERROR(FIND("--",INDIRECT(ADDRESS(26,5,,,"MATCHS"))),FALSE),RIGHT(INDIRECT(ADDRESS(26,5,,,"MATCHS")), FIND("--",INDIRECT(ADDRESS(26,5,,,"MATCHS")),1)),INDIRECT(ADDRESS(26,5,,,"MATCHS"))),IF(IFERROR(FIND("--",INDIRECT(ADDRESS(32,5,,,"MATCHS"))),FALSE),RIGHT(INDIRECT(ADDRESS(32,5,,,"MATCHS")), FIND("--",INDIRECT(ADDRESS(32,5,,,"MATCHS")),1)),INDIRECT(ADDRESS(32,5,,,"MATCHS"))),IF(IFERROR(FIND("--",INDIRECT(ADDRESS(38,5,,,"MATCHS"))),FALSE),RIGHT(INDIRECT(ADDRESS(38,5,,,"MATCHS")), FIND("--",INDIRECT(ADDRESS(38,5,,,"MATCHS")),1)),INDIRECT(ADDRESS(38,5,,,"MATCHS"))),IF(IFERROR(FIND("--",INDIRECT(ADDRESS(44,5,,,"MATCHS"))),FALSE),RIGHT(INDIRECT(ADDRESS(44,5,,,"MATCHS")), FIND("--",INDIRECT(ADDRESS(44,5,,,"MATCHS")),1)),INDIRECT(ADDRESS(44,5,,,"MATCHS"))),IF(IFERROR(FIND("--",INDIRECT(ADDRESS(50,5,,,"MATCHS"))),FALSE),RIGHT(INDIRECT(ADDRESS(50,5,,,"MATCHS")), FIND("--",INDIRECT(ADDRESS(50,5,,,"MATCHS")),1)),INDIRECT(ADDRESS(50,5,,,"MATCHS"))),IF(IFERROR(FIND("--",INDIRECT(ADDRESS(56,5,,,"MATCHS"))),FALSE),RIGHT(INDIRECT(ADDRESS(56,5,,,"MATCHS")), FIND("--",INDIRECT(ADDRESS(56,5,,,"MATCHS")),1)),INDIRECT(ADDRESS(56,5,,,"MATCHS"))),IF(IFERROR(FIND("--",INDIRECT(ADDRESS(62,5,,,"MATCHS"))),FALSE),RIGHT(INDIRECT(ADDRESS(62,5,,,"MATCHS")), FIND("--",INDIRECT(ADDRESS(62,5,,,"MATCHS")),1)),INDIRECT(ADDRESS(62,5,,,"MATCHS"))),IF(IFERROR(FIND("--",INDIRECT(ADDRESS(68,5,,,"MATCHS"))),FALSE),RIGHT(INDIRECT(ADDRESS(68,5,,,"MATCHS")), FIND("--",INDIRECT(ADDRESS(68,5,,,"MATCHS")),1)),INDIRECT(ADDRESS(68,5,,,"MATCHS"))),IF(IFERROR(FIND("--",INDIRECT(ADDRESS(74,5,,,"MATCHS"))),FALSE),RIGHT(INDIRECT(ADDRESS(74,5,,,"MATCHS")), FIND("--",INDIRECT(ADDRESS(74,5,,,"MATCHS")),1)),INDIRECT(ADDRESS(74,5,,,"MATCHS"))),,,,,,,,,,,,,,,,,,,,,,,,,)</f>
        <v>0</v>
      </c>
      <c r="J4" s="194">
        <f ca="1">H4 - I4</f>
        <v>0</v>
      </c>
      <c r="K4" s="194">
        <v>0</v>
      </c>
      <c r="L4" s="194">
        <v>1</v>
      </c>
      <c r="M4" s="194"/>
      <c r="N4" s="190"/>
    </row>
    <row r="5" spans="1:14" ht="15.75" x14ac:dyDescent="0.25">
      <c r="A5" s="193"/>
      <c r="B5" s="194">
        <v>2</v>
      </c>
      <c r="C5" s="194" t="s">
        <v>122</v>
      </c>
      <c r="D5" s="194" t="str">
        <f>INSCRITS!C3</f>
        <v>2A</v>
      </c>
      <c r="E5" s="197">
        <f ca="1">SUM(IF(INDIRECT(ADDRESS(2,5,,,"MATCHS"))&gt;INDIRECT(ADDRESS(2,3,,,"MATCHS")),1,0),IF(INDIRECT(ADDRESS(9,3,,,"MATCHS"))&gt;INDIRECT(ADDRESS(9,5,,,"MATCHS")),1,0),IF(INDIRECT(ADDRESS(15,5,,,"MATCHS"))&gt;INDIRECT(ADDRESS(15,3,,,"MATCHS")),1,0),IF(INDIRECT(ADDRESS(22,3,,,"MATCHS"))&gt;INDIRECT(ADDRESS(22,5,,,"MATCHS")),1,0),IF(INDIRECT(ADDRESS(28,5,,,"MATCHS"))&gt;INDIRECT(ADDRESS(28,3,,,"MATCHS")),1,0),IF(INDIRECT(ADDRESS(35,3,,,"MATCHS"))&gt;INDIRECT(ADDRESS(35,5,,,"MATCHS")),1,0),IF(INDIRECT(ADDRESS(41,5,,,"MATCHS"))&gt;INDIRECT(ADDRESS(41,3,,,"MATCHS")),1,0),IF(INDIRECT(ADDRESS(48,3,,,"MATCHS"))&gt;INDIRECT(ADDRESS(48,5,,,"MATCHS")),1,0),IF(INDIRECT(ADDRESS(54,5,,,"MATCHS"))&gt;INDIRECT(ADDRESS(54,3,,,"MATCHS")),1,0),IF(INDIRECT(ADDRESS(60,5,,,"MATCHS"))&gt;INDIRECT(ADDRESS(60,3,,,"MATCHS")),1,0),IF(INDIRECT(ADDRESS(66,3,,,"MATCHS"))&gt;INDIRECT(ADDRESS(66,5,,,"MATCHS")),1,0),IF(INDIRECT(ADDRESS(71,5,,,"MATCHS"))&gt;INDIRECT(ADDRESS(71,3,,,"MATCHS")),1,0),,,,,,,,,,,,,,,,,,,,,,,,,,) + 0.01 * K5</f>
        <v>0</v>
      </c>
      <c r="F5" s="194">
        <f ca="1">SUM(IF(INDIRECT(ADDRESS(2,5,,,"MATCHS"))&lt;INDIRECT(ADDRESS(2,3,,,"MATCHS")),1,0),IF(INDIRECT(ADDRESS(9,3,,,"MATCHS"))&lt;INDIRECT(ADDRESS(9,5,,,"MATCHS")),1,0),IF(INDIRECT(ADDRESS(15,5,,,"MATCHS"))&lt;INDIRECT(ADDRESS(15,3,,,"MATCHS")),1,0),IF(INDIRECT(ADDRESS(22,3,,,"MATCHS"))&lt;INDIRECT(ADDRESS(22,5,,,"MATCHS")),1,0),IF(INDIRECT(ADDRESS(28,5,,,"MATCHS"))&lt;INDIRECT(ADDRESS(28,3,,,"MATCHS")),1,0),IF(INDIRECT(ADDRESS(35,3,,,"MATCHS"))&lt;INDIRECT(ADDRESS(35,5,,,"MATCHS")),1,0),IF(INDIRECT(ADDRESS(41,5,,,"MATCHS"))&lt;INDIRECT(ADDRESS(41,3,,,"MATCHS")),1,0),IF(INDIRECT(ADDRESS(48,3,,,"MATCHS"))&lt;INDIRECT(ADDRESS(48,5,,,"MATCHS")),1,0),IF(INDIRECT(ADDRESS(54,5,,,"MATCHS"))&lt;INDIRECT(ADDRESS(54,3,,,"MATCHS")),1,0),IF(INDIRECT(ADDRESS(60,5,,,"MATCHS"))&lt;INDIRECT(ADDRESS(60,3,,,"MATCHS")),1,0),IF(INDIRECT(ADDRESS(66,3,,,"MATCHS"))&lt;INDIRECT(ADDRESS(66,5,,,"MATCHS")),1,0),IF(INDIRECT(ADDRESS(71,5,,,"MATCHS"))&lt;INDIRECT(ADDRESS(71,3,,,"MATCHS")),1,0),,,,,,,,,,,,,,,,,,,,,,,,,,)</f>
        <v>0</v>
      </c>
      <c r="G5" s="194"/>
      <c r="H5" s="194">
        <f ca="1">SUM(IF(IFERROR(FIND("--",INDIRECT(ADDRESS(2,5,,,"MATCHS"))),FALSE),RIGHT(INDIRECT(ADDRESS(2,5,,,"MATCHS")), FIND("--",INDIRECT(ADDRESS(2,5,,,"MATCHS")),1)),INDIRECT(ADDRESS(2,5,,,"MATCHS"))),IF(IFERROR(FIND("--",INDIRECT(ADDRESS(9,3,,,"MATCHS"))),FALSE),RIGHT(INDIRECT(ADDRESS(9,3,,,"MATCHS")), FIND("--",INDIRECT(ADDRESS(9,3,,,"MATCHS")),1)),INDIRECT(ADDRESS(9,3,,,"MATCHS"))),IF(IFERROR(FIND("--",INDIRECT(ADDRESS(15,5,,,"MATCHS"))),FALSE),RIGHT(INDIRECT(ADDRESS(15,5,,,"MATCHS")), FIND("--",INDIRECT(ADDRESS(15,5,,,"MATCHS")),1)),INDIRECT(ADDRESS(15,5,,,"MATCHS"))),IF(IFERROR(FIND("--",INDIRECT(ADDRESS(22,3,,,"MATCHS"))),FALSE),RIGHT(INDIRECT(ADDRESS(22,3,,,"MATCHS")), FIND("--",INDIRECT(ADDRESS(22,3,,,"MATCHS")),1)),INDIRECT(ADDRESS(22,3,,,"MATCHS"))),IF(IFERROR(FIND("--",INDIRECT(ADDRESS(28,5,,,"MATCHS"))),FALSE),RIGHT(INDIRECT(ADDRESS(28,5,,,"MATCHS")), FIND("--",INDIRECT(ADDRESS(28,5,,,"MATCHS")),1)),INDIRECT(ADDRESS(28,5,,,"MATCHS"))),IF(IFERROR(FIND("--",INDIRECT(ADDRESS(35,3,,,"MATCHS"))),FALSE),RIGHT(INDIRECT(ADDRESS(35,3,,,"MATCHS")), FIND("--",INDIRECT(ADDRESS(35,3,,,"MATCHS")),1)),INDIRECT(ADDRESS(35,3,,,"MATCHS"))),IF(IFERROR(FIND("--",INDIRECT(ADDRESS(41,5,,,"MATCHS"))),FALSE),RIGHT(INDIRECT(ADDRESS(41,5,,,"MATCHS")), FIND("--",INDIRECT(ADDRESS(41,5,,,"MATCHS")),1)),INDIRECT(ADDRESS(41,5,,,"MATCHS"))),IF(IFERROR(FIND("--",INDIRECT(ADDRESS(48,3,,,"MATCHS"))),FALSE),RIGHT(INDIRECT(ADDRESS(48,3,,,"MATCHS")), FIND("--",INDIRECT(ADDRESS(48,3,,,"MATCHS")),1)),INDIRECT(ADDRESS(48,3,,,"MATCHS"))),IF(IFERROR(FIND("--",INDIRECT(ADDRESS(54,5,,,"MATCHS"))),FALSE),RIGHT(INDIRECT(ADDRESS(54,5,,,"MATCHS")), FIND("--",INDIRECT(ADDRESS(54,5,,,"MATCHS")),1)),INDIRECT(ADDRESS(54,5,,,"MATCHS"))),IF(IFERROR(FIND("--",INDIRECT(ADDRESS(60,5,,,"MATCHS"))),FALSE),RIGHT(INDIRECT(ADDRESS(60,5,,,"MATCHS")), FIND("--",INDIRECT(ADDRESS(60,5,,,"MATCHS")),1)),INDIRECT(ADDRESS(60,5,,,"MATCHS"))),IF(IFERROR(FIND("--",INDIRECT(ADDRESS(66,3,,,"MATCHS"))),FALSE),RIGHT(INDIRECT(ADDRESS(66,3,,,"MATCHS")), FIND("--",INDIRECT(ADDRESS(66,3,,,"MATCHS")),1)),INDIRECT(ADDRESS(66,3,,,"MATCHS"))),IF(IFERROR(FIND("--",INDIRECT(ADDRESS(71,5,,,"MATCHS"))),FALSE),RIGHT(INDIRECT(ADDRESS(71,5,,,"MATCHS")), FIND("--",INDIRECT(ADDRESS(71,5,,,"MATCHS")),1)),INDIRECT(ADDRESS(71,5,,,"MATCHS"))),,,,,,,,,,,,,,,,,,,,,,,,,,)</f>
        <v>0</v>
      </c>
      <c r="I5" s="194">
        <f ca="1">SUM(IF(IFERROR(FIND("--",INDIRECT(ADDRESS(2,3,,,"MATCHS"))),FALSE),RIGHT(INDIRECT(ADDRESS(2,3,,,"MATCHS")), FIND("--",INDIRECT(ADDRESS(2,3,,,"MATCHS")),1)),INDIRECT(ADDRESS(2,3,,,"MATCHS"))),IF(IFERROR(FIND("--",INDIRECT(ADDRESS(9,5,,,"MATCHS"))),FALSE),RIGHT(INDIRECT(ADDRESS(9,5,,,"MATCHS")), FIND("--",INDIRECT(ADDRESS(9,5,,,"MATCHS")),1)),INDIRECT(ADDRESS(9,5,,,"MATCHS"))),IF(IFERROR(FIND("--",INDIRECT(ADDRESS(15,3,,,"MATCHS"))),FALSE),RIGHT(INDIRECT(ADDRESS(15,3,,,"MATCHS")), FIND("--",INDIRECT(ADDRESS(15,3,,,"MATCHS")),1)),INDIRECT(ADDRESS(15,3,,,"MATCHS"))),IF(IFERROR(FIND("--",INDIRECT(ADDRESS(22,5,,,"MATCHS"))),FALSE),RIGHT(INDIRECT(ADDRESS(22,5,,,"MATCHS")), FIND("--",INDIRECT(ADDRESS(22,5,,,"MATCHS")),1)),INDIRECT(ADDRESS(22,5,,,"MATCHS"))),IF(IFERROR(FIND("--",INDIRECT(ADDRESS(28,3,,,"MATCHS"))),FALSE),RIGHT(INDIRECT(ADDRESS(28,3,,,"MATCHS")), FIND("--",INDIRECT(ADDRESS(28,3,,,"MATCHS")),1)),INDIRECT(ADDRESS(28,3,,,"MATCHS"))),IF(IFERROR(FIND("--",INDIRECT(ADDRESS(35,5,,,"MATCHS"))),FALSE),RIGHT(INDIRECT(ADDRESS(35,5,,,"MATCHS")), FIND("--",INDIRECT(ADDRESS(35,5,,,"MATCHS")),1)),INDIRECT(ADDRESS(35,5,,,"MATCHS"))),IF(IFERROR(FIND("--",INDIRECT(ADDRESS(41,3,,,"MATCHS"))),FALSE),RIGHT(INDIRECT(ADDRESS(41,3,,,"MATCHS")), FIND("--",INDIRECT(ADDRESS(41,3,,,"MATCHS")),1)),INDIRECT(ADDRESS(41,3,,,"MATCHS"))),IF(IFERROR(FIND("--",INDIRECT(ADDRESS(48,5,,,"MATCHS"))),FALSE),RIGHT(INDIRECT(ADDRESS(48,5,,,"MATCHS")), FIND("--",INDIRECT(ADDRESS(48,5,,,"MATCHS")),1)),INDIRECT(ADDRESS(48,5,,,"MATCHS"))),IF(IFERROR(FIND("--",INDIRECT(ADDRESS(54,3,,,"MATCHS"))),FALSE),RIGHT(INDIRECT(ADDRESS(54,3,,,"MATCHS")), FIND("--",INDIRECT(ADDRESS(54,3,,,"MATCHS")),1)),INDIRECT(ADDRESS(54,3,,,"MATCHS"))),IF(IFERROR(FIND("--",INDIRECT(ADDRESS(60,3,,,"MATCHS"))),FALSE),RIGHT(INDIRECT(ADDRESS(60,3,,,"MATCHS")), FIND("--",INDIRECT(ADDRESS(60,3,,,"MATCHS")),1)),INDIRECT(ADDRESS(60,3,,,"MATCHS"))),IF(IFERROR(FIND("--",INDIRECT(ADDRESS(66,5,,,"MATCHS"))),FALSE),RIGHT(INDIRECT(ADDRESS(66,5,,,"MATCHS")), FIND("--",INDIRECT(ADDRESS(66,5,,,"MATCHS")),1)),INDIRECT(ADDRESS(66,5,,,"MATCHS"))),IF(IFERROR(FIND("--",INDIRECT(ADDRESS(71,3,,,"MATCHS"))),FALSE),RIGHT(INDIRECT(ADDRESS(71,3,,,"MATCHS")), FIND("--",INDIRECT(ADDRESS(71,3,,,"MATCHS")),1)),INDIRECT(ADDRESS(71,3,,,"MATCHS"))),,,,,,,,,,,,,,,,,,,,,,,,,,)</f>
        <v>0</v>
      </c>
      <c r="J5" s="194">
        <f ca="1">H5 - I5</f>
        <v>0</v>
      </c>
      <c r="K5" s="194">
        <v>0</v>
      </c>
      <c r="L5" s="194">
        <v>2</v>
      </c>
      <c r="M5" s="194"/>
      <c r="N5" s="190"/>
    </row>
    <row r="6" spans="1:14" ht="15.75" x14ac:dyDescent="0.25">
      <c r="A6" s="193"/>
      <c r="B6" s="194">
        <v>3</v>
      </c>
      <c r="C6" s="194" t="s">
        <v>123</v>
      </c>
      <c r="D6" s="194" t="str">
        <f>INSCRITS!C4</f>
        <v>3A</v>
      </c>
      <c r="E6" s="197">
        <f ca="1">SUM(IF(INDIRECT(ADDRESS(3,3,,,"MATCHS"))&gt;INDIRECT(ADDRESS(3,5,,,"MATCHS")),1,0),IF(INDIRECT(ADDRESS(9,5,,,"MATCHS"))&gt;INDIRECT(ADDRESS(9,3,,,"MATCHS")),1,0),IF(INDIRECT(ADDRESS(16,3,,,"MATCHS"))&gt;INDIRECT(ADDRESS(16,5,,,"MATCHS")),1,0),IF(INDIRECT(ADDRESS(22,5,,,"MATCHS"))&gt;INDIRECT(ADDRESS(22,3,,,"MATCHS")),1,0),IF(INDIRECT(ADDRESS(29,3,,,"MATCHS"))&gt;INDIRECT(ADDRESS(29,5,,,"MATCHS")),1,0),IF(INDIRECT(ADDRESS(35,5,,,"MATCHS"))&gt;INDIRECT(ADDRESS(35,3,,,"MATCHS")),1,0),IF(INDIRECT(ADDRESS(42,3,,,"MATCHS"))&gt;INDIRECT(ADDRESS(42,5,,,"MATCHS")),1,0),IF(INDIRECT(ADDRESS(48,5,,,"MATCHS"))&gt;INDIRECT(ADDRESS(48,3,,,"MATCHS")),1,0),IF(INDIRECT(ADDRESS(54,5,,,"MATCHS"))&gt;INDIRECT(ADDRESS(54,3,,,"MATCHS")),1,0),IF(INDIRECT(ADDRESS(60,3,,,"MATCHS"))&gt;INDIRECT(ADDRESS(60,5,,,"MATCHS")),1,0),IF(INDIRECT(ADDRESS(65,5,,,"MATCHS"))&gt;INDIRECT(ADDRESS(65,3,,,"MATCHS")),1,0),IF(INDIRECT(ADDRESS(71,3,,,"MATCHS"))&gt;INDIRECT(ADDRESS(71,5,,,"MATCHS")),1,0),IF(INDIRECT(ADDRESS(76,5,,,"MATCHS"))&gt;INDIRECT(ADDRESS(76,3,,,"MATCHS")),1,0),,,,,,,,,,,,,,,,,,,,,,,,,) + 0.01 * K6</f>
        <v>0</v>
      </c>
      <c r="F6" s="194">
        <f ca="1">SUM(IF(INDIRECT(ADDRESS(3,3,,,"MATCHS"))&lt;INDIRECT(ADDRESS(3,5,,,"MATCHS")),1,0),IF(INDIRECT(ADDRESS(9,5,,,"MATCHS"))&lt;INDIRECT(ADDRESS(9,3,,,"MATCHS")),1,0),IF(INDIRECT(ADDRESS(16,3,,,"MATCHS"))&lt;INDIRECT(ADDRESS(16,5,,,"MATCHS")),1,0),IF(INDIRECT(ADDRESS(22,5,,,"MATCHS"))&lt;INDIRECT(ADDRESS(22,3,,,"MATCHS")),1,0),IF(INDIRECT(ADDRESS(29,3,,,"MATCHS"))&lt;INDIRECT(ADDRESS(29,5,,,"MATCHS")),1,0),IF(INDIRECT(ADDRESS(35,5,,,"MATCHS"))&lt;INDIRECT(ADDRESS(35,3,,,"MATCHS")),1,0),IF(INDIRECT(ADDRESS(42,3,,,"MATCHS"))&lt;INDIRECT(ADDRESS(42,5,,,"MATCHS")),1,0),IF(INDIRECT(ADDRESS(48,5,,,"MATCHS"))&lt;INDIRECT(ADDRESS(48,3,,,"MATCHS")),1,0),IF(INDIRECT(ADDRESS(54,5,,,"MATCHS"))&lt;INDIRECT(ADDRESS(54,3,,,"MATCHS")),1,0),IF(INDIRECT(ADDRESS(60,3,,,"MATCHS"))&lt;INDIRECT(ADDRESS(60,5,,,"MATCHS")),1,0),IF(INDIRECT(ADDRESS(65,5,,,"MATCHS"))&lt;INDIRECT(ADDRESS(65,3,,,"MATCHS")),1,0),IF(INDIRECT(ADDRESS(71,3,,,"MATCHS"))&lt;INDIRECT(ADDRESS(71,5,,,"MATCHS")),1,0),IF(INDIRECT(ADDRESS(76,5,,,"MATCHS"))&lt;INDIRECT(ADDRESS(76,3,,,"MATCHS")),1,0),,,,,,,,,,,,,,,,,,,,,,,,,)</f>
        <v>0</v>
      </c>
      <c r="G6" s="194"/>
      <c r="H6" s="194">
        <f ca="1">SUM(IF(IFERROR(FIND("--",INDIRECT(ADDRESS(3,3,,,"MATCHS"))),FALSE),RIGHT(INDIRECT(ADDRESS(3,3,,,"MATCHS")), FIND("--",INDIRECT(ADDRESS(3,3,,,"MATCHS")),1)),INDIRECT(ADDRESS(3,3,,,"MATCHS"))),IF(IFERROR(FIND("--",INDIRECT(ADDRESS(9,5,,,"MATCHS"))),FALSE),RIGHT(INDIRECT(ADDRESS(9,5,,,"MATCHS")), FIND("--",INDIRECT(ADDRESS(9,5,,,"MATCHS")),1)),INDIRECT(ADDRESS(9,5,,,"MATCHS"))),IF(IFERROR(FIND("--",INDIRECT(ADDRESS(16,3,,,"MATCHS"))),FALSE),RIGHT(INDIRECT(ADDRESS(16,3,,,"MATCHS")), FIND("--",INDIRECT(ADDRESS(16,3,,,"MATCHS")),1)),INDIRECT(ADDRESS(16,3,,,"MATCHS"))),IF(IFERROR(FIND("--",INDIRECT(ADDRESS(22,5,,,"MATCHS"))),FALSE),RIGHT(INDIRECT(ADDRESS(22,5,,,"MATCHS")), FIND("--",INDIRECT(ADDRESS(22,5,,,"MATCHS")),1)),INDIRECT(ADDRESS(22,5,,,"MATCHS"))),IF(IFERROR(FIND("--",INDIRECT(ADDRESS(29,3,,,"MATCHS"))),FALSE),RIGHT(INDIRECT(ADDRESS(29,3,,,"MATCHS")), FIND("--",INDIRECT(ADDRESS(29,3,,,"MATCHS")),1)),INDIRECT(ADDRESS(29,3,,,"MATCHS"))),IF(IFERROR(FIND("--",INDIRECT(ADDRESS(35,5,,,"MATCHS"))),FALSE),RIGHT(INDIRECT(ADDRESS(35,5,,,"MATCHS")), FIND("--",INDIRECT(ADDRESS(35,5,,,"MATCHS")),1)),INDIRECT(ADDRESS(35,5,,,"MATCHS"))),IF(IFERROR(FIND("--",INDIRECT(ADDRESS(42,3,,,"MATCHS"))),FALSE),RIGHT(INDIRECT(ADDRESS(42,3,,,"MATCHS")), FIND("--",INDIRECT(ADDRESS(42,3,,,"MATCHS")),1)),INDIRECT(ADDRESS(42,3,,,"MATCHS"))),IF(IFERROR(FIND("--",INDIRECT(ADDRESS(48,5,,,"MATCHS"))),FALSE),RIGHT(INDIRECT(ADDRESS(48,5,,,"MATCHS")), FIND("--",INDIRECT(ADDRESS(48,5,,,"MATCHS")),1)),INDIRECT(ADDRESS(48,5,,,"MATCHS"))),IF(IFERROR(FIND("--",INDIRECT(ADDRESS(54,5,,,"MATCHS"))),FALSE),RIGHT(INDIRECT(ADDRESS(54,5,,,"MATCHS")), FIND("--",INDIRECT(ADDRESS(54,5,,,"MATCHS")),1)),INDIRECT(ADDRESS(54,5,,,"MATCHS"))),IF(IFERROR(FIND("--",INDIRECT(ADDRESS(60,3,,,"MATCHS"))),FALSE),RIGHT(INDIRECT(ADDRESS(60,3,,,"MATCHS")), FIND("--",INDIRECT(ADDRESS(60,3,,,"MATCHS")),1)),INDIRECT(ADDRESS(60,3,,,"MATCHS"))),IF(IFERROR(FIND("--",INDIRECT(ADDRESS(65,5,,,"MATCHS"))),FALSE),RIGHT(INDIRECT(ADDRESS(65,5,,,"MATCHS")), FIND("--",INDIRECT(ADDRESS(65,5,,,"MATCHS")),1)),INDIRECT(ADDRESS(65,5,,,"MATCHS"))),IF(IFERROR(FIND("--",INDIRECT(ADDRESS(71,3,,,"MATCHS"))),FALSE),RIGHT(INDIRECT(ADDRESS(71,3,,,"MATCHS")), FIND("--",INDIRECT(ADDRESS(71,3,,,"MATCHS")),1)),INDIRECT(ADDRESS(71,3,,,"MATCHS"))),IF(IFERROR(FIND("--",INDIRECT(ADDRESS(76,5,,,"MATCHS"))),FALSE),RIGHT(INDIRECT(ADDRESS(76,5,,,"MATCHS")), FIND("--",INDIRECT(ADDRESS(76,5,,,"MATCHS")),1)),INDIRECT(ADDRESS(76,5,,,"MATCHS"))),,,,,,,,,,,,,,,,,,,,,,,,,)</f>
        <v>0</v>
      </c>
      <c r="I6" s="194">
        <f ca="1">SUM(IF(IFERROR(FIND("--",INDIRECT(ADDRESS(3,5,,,"MATCHS"))),FALSE),RIGHT(INDIRECT(ADDRESS(3,5,,,"MATCHS")), FIND("--",INDIRECT(ADDRESS(3,5,,,"MATCHS")),1)),INDIRECT(ADDRESS(3,5,,,"MATCHS"))),IF(IFERROR(FIND("--",INDIRECT(ADDRESS(9,3,,,"MATCHS"))),FALSE),RIGHT(INDIRECT(ADDRESS(9,3,,,"MATCHS")), FIND("--",INDIRECT(ADDRESS(9,3,,,"MATCHS")),1)),INDIRECT(ADDRESS(9,3,,,"MATCHS"))),IF(IFERROR(FIND("--",INDIRECT(ADDRESS(16,5,,,"MATCHS"))),FALSE),RIGHT(INDIRECT(ADDRESS(16,5,,,"MATCHS")), FIND("--",INDIRECT(ADDRESS(16,5,,,"MATCHS")),1)),INDIRECT(ADDRESS(16,5,,,"MATCHS"))),IF(IFERROR(FIND("--",INDIRECT(ADDRESS(22,3,,,"MATCHS"))),FALSE),RIGHT(INDIRECT(ADDRESS(22,3,,,"MATCHS")), FIND("--",INDIRECT(ADDRESS(22,3,,,"MATCHS")),1)),INDIRECT(ADDRESS(22,3,,,"MATCHS"))),IF(IFERROR(FIND("--",INDIRECT(ADDRESS(29,5,,,"MATCHS"))),FALSE),RIGHT(INDIRECT(ADDRESS(29,5,,,"MATCHS")), FIND("--",INDIRECT(ADDRESS(29,5,,,"MATCHS")),1)),INDIRECT(ADDRESS(29,5,,,"MATCHS"))),IF(IFERROR(FIND("--",INDIRECT(ADDRESS(35,3,,,"MATCHS"))),FALSE),RIGHT(INDIRECT(ADDRESS(35,3,,,"MATCHS")), FIND("--",INDIRECT(ADDRESS(35,3,,,"MATCHS")),1)),INDIRECT(ADDRESS(35,3,,,"MATCHS"))),IF(IFERROR(FIND("--",INDIRECT(ADDRESS(42,5,,,"MATCHS"))),FALSE),RIGHT(INDIRECT(ADDRESS(42,5,,,"MATCHS")), FIND("--",INDIRECT(ADDRESS(42,5,,,"MATCHS")),1)),INDIRECT(ADDRESS(42,5,,,"MATCHS"))),IF(IFERROR(FIND("--",INDIRECT(ADDRESS(48,3,,,"MATCHS"))),FALSE),RIGHT(INDIRECT(ADDRESS(48,3,,,"MATCHS")), FIND("--",INDIRECT(ADDRESS(48,3,,,"MATCHS")),1)),INDIRECT(ADDRESS(48,3,,,"MATCHS"))),IF(IFERROR(FIND("--",INDIRECT(ADDRESS(54,3,,,"MATCHS"))),FALSE),RIGHT(INDIRECT(ADDRESS(54,3,,,"MATCHS")), FIND("--",INDIRECT(ADDRESS(54,3,,,"MATCHS")),1)),INDIRECT(ADDRESS(54,3,,,"MATCHS"))),IF(IFERROR(FIND("--",INDIRECT(ADDRESS(60,5,,,"MATCHS"))),FALSE),RIGHT(INDIRECT(ADDRESS(60,5,,,"MATCHS")), FIND("--",INDIRECT(ADDRESS(60,5,,,"MATCHS")),1)),INDIRECT(ADDRESS(60,5,,,"MATCHS"))),IF(IFERROR(FIND("--",INDIRECT(ADDRESS(65,3,,,"MATCHS"))),FALSE),RIGHT(INDIRECT(ADDRESS(65,3,,,"MATCHS")), FIND("--",INDIRECT(ADDRESS(65,3,,,"MATCHS")),1)),INDIRECT(ADDRESS(65,3,,,"MATCHS"))),IF(IFERROR(FIND("--",INDIRECT(ADDRESS(71,5,,,"MATCHS"))),FALSE),RIGHT(INDIRECT(ADDRESS(71,5,,,"MATCHS")), FIND("--",INDIRECT(ADDRESS(71,5,,,"MATCHS")),1)),INDIRECT(ADDRESS(71,5,,,"MATCHS"))),IF(IFERROR(FIND("--",INDIRECT(ADDRESS(76,3,,,"MATCHS"))),FALSE),RIGHT(INDIRECT(ADDRESS(76,3,,,"MATCHS")), FIND("--",INDIRECT(ADDRESS(76,3,,,"MATCHS")),1)),INDIRECT(ADDRESS(76,3,,,"MATCHS"))),,,,,,,,,,,,,,,,,,,,,,,,,)</f>
        <v>0</v>
      </c>
      <c r="J6" s="194">
        <f ca="1">H6 - I6</f>
        <v>0</v>
      </c>
      <c r="K6" s="194">
        <v>0</v>
      </c>
      <c r="L6" s="194">
        <v>3</v>
      </c>
      <c r="M6" s="194"/>
      <c r="N6" s="190"/>
    </row>
    <row r="7" spans="1:14" ht="15.75" x14ac:dyDescent="0.25">
      <c r="A7" s="193"/>
      <c r="B7" s="194">
        <v>4</v>
      </c>
      <c r="C7" s="194" t="s">
        <v>124</v>
      </c>
      <c r="D7" s="194" t="str">
        <f>INSCRITS!C5</f>
        <v>4A</v>
      </c>
      <c r="E7" s="197">
        <f ca="1">SUM(IF(INDIRECT(ADDRESS(3,5,,,"MATCHS"))&gt;INDIRECT(ADDRESS(3,3,,,"MATCHS")),1,0),IF(INDIRECT(ADDRESS(10,3,,,"MATCHS"))&gt;INDIRECT(ADDRESS(10,5,,,"MATCHS")),1,0),IF(INDIRECT(ADDRESS(16,5,,,"MATCHS"))&gt;INDIRECT(ADDRESS(16,3,,,"MATCHS")),1,0),IF(INDIRECT(ADDRESS(23,3,,,"MATCHS"))&gt;INDIRECT(ADDRESS(23,5,,,"MATCHS")),1,0),IF(INDIRECT(ADDRESS(29,5,,,"MATCHS"))&gt;INDIRECT(ADDRESS(29,3,,,"MATCHS")),1,0),IF(INDIRECT(ADDRESS(36,3,,,"MATCHS"))&gt;INDIRECT(ADDRESS(36,5,,,"MATCHS")),1,0),IF(INDIRECT(ADDRESS(42,5,,,"MATCHS"))&gt;INDIRECT(ADDRESS(42,3,,,"MATCHS")),1,0),IF(INDIRECT(ADDRESS(48,5,,,"MATCHS"))&gt;INDIRECT(ADDRESS(48,3,,,"MATCHS")),1,0),IF(INDIRECT(ADDRESS(54,3,,,"MATCHS"))&gt;INDIRECT(ADDRESS(54,5,,,"MATCHS")),1,0),IF(INDIRECT(ADDRESS(59,5,,,"MATCHS"))&gt;INDIRECT(ADDRESS(59,3,,,"MATCHS")),1,0),IF(INDIRECT(ADDRESS(65,3,,,"MATCHS"))&gt;INDIRECT(ADDRESS(65,5,,,"MATCHS")),1,0),IF(INDIRECT(ADDRESS(70,5,,,"MATCHS"))&gt;INDIRECT(ADDRESS(70,3,,,"MATCHS")),1,0),IF(INDIRECT(ADDRESS(76,3,,,"MATCHS"))&gt;INDIRECT(ADDRESS(76,5,,,"MATCHS")),1,0),,,,,,,,,,,,,,,,,,,,,,,,,) + 0.01 * K7</f>
        <v>0</v>
      </c>
      <c r="F7" s="194">
        <f ca="1">SUM(IF(INDIRECT(ADDRESS(3,5,,,"MATCHS"))&lt;INDIRECT(ADDRESS(3,3,,,"MATCHS")),1,0),IF(INDIRECT(ADDRESS(10,3,,,"MATCHS"))&lt;INDIRECT(ADDRESS(10,5,,,"MATCHS")),1,0),IF(INDIRECT(ADDRESS(16,5,,,"MATCHS"))&lt;INDIRECT(ADDRESS(16,3,,,"MATCHS")),1,0),IF(INDIRECT(ADDRESS(23,3,,,"MATCHS"))&lt;INDIRECT(ADDRESS(23,5,,,"MATCHS")),1,0),IF(INDIRECT(ADDRESS(29,5,,,"MATCHS"))&lt;INDIRECT(ADDRESS(29,3,,,"MATCHS")),1,0),IF(INDIRECT(ADDRESS(36,3,,,"MATCHS"))&lt;INDIRECT(ADDRESS(36,5,,,"MATCHS")),1,0),IF(INDIRECT(ADDRESS(42,5,,,"MATCHS"))&lt;INDIRECT(ADDRESS(42,3,,,"MATCHS")),1,0),IF(INDIRECT(ADDRESS(48,5,,,"MATCHS"))&lt;INDIRECT(ADDRESS(48,3,,,"MATCHS")),1,0),IF(INDIRECT(ADDRESS(54,3,,,"MATCHS"))&lt;INDIRECT(ADDRESS(54,5,,,"MATCHS")),1,0),IF(INDIRECT(ADDRESS(59,5,,,"MATCHS"))&lt;INDIRECT(ADDRESS(59,3,,,"MATCHS")),1,0),IF(INDIRECT(ADDRESS(65,3,,,"MATCHS"))&lt;INDIRECT(ADDRESS(65,5,,,"MATCHS")),1,0),IF(INDIRECT(ADDRESS(70,5,,,"MATCHS"))&lt;INDIRECT(ADDRESS(70,3,,,"MATCHS")),1,0),IF(INDIRECT(ADDRESS(76,3,,,"MATCHS"))&lt;INDIRECT(ADDRESS(76,5,,,"MATCHS")),1,0),,,,,,,,,,,,,,,,,,,,,,,,,)</f>
        <v>0</v>
      </c>
      <c r="G7" s="194"/>
      <c r="H7" s="194">
        <f ca="1">SUM(IF(IFERROR(FIND("--",INDIRECT(ADDRESS(3,5,,,"MATCHS"))),FALSE),RIGHT(INDIRECT(ADDRESS(3,5,,,"MATCHS")), FIND("--",INDIRECT(ADDRESS(3,5,,,"MATCHS")),1)),INDIRECT(ADDRESS(3,5,,,"MATCHS"))),IF(IFERROR(FIND("--",INDIRECT(ADDRESS(10,3,,,"MATCHS"))),FALSE),RIGHT(INDIRECT(ADDRESS(10,3,,,"MATCHS")), FIND("--",INDIRECT(ADDRESS(10,3,,,"MATCHS")),1)),INDIRECT(ADDRESS(10,3,,,"MATCHS"))),IF(IFERROR(FIND("--",INDIRECT(ADDRESS(16,5,,,"MATCHS"))),FALSE),RIGHT(INDIRECT(ADDRESS(16,5,,,"MATCHS")), FIND("--",INDIRECT(ADDRESS(16,5,,,"MATCHS")),1)),INDIRECT(ADDRESS(16,5,,,"MATCHS"))),IF(IFERROR(FIND("--",INDIRECT(ADDRESS(23,3,,,"MATCHS"))),FALSE),RIGHT(INDIRECT(ADDRESS(23,3,,,"MATCHS")), FIND("--",INDIRECT(ADDRESS(23,3,,,"MATCHS")),1)),INDIRECT(ADDRESS(23,3,,,"MATCHS"))),IF(IFERROR(FIND("--",INDIRECT(ADDRESS(29,5,,,"MATCHS"))),FALSE),RIGHT(INDIRECT(ADDRESS(29,5,,,"MATCHS")), FIND("--",INDIRECT(ADDRESS(29,5,,,"MATCHS")),1)),INDIRECT(ADDRESS(29,5,,,"MATCHS"))),IF(IFERROR(FIND("--",INDIRECT(ADDRESS(36,3,,,"MATCHS"))),FALSE),RIGHT(INDIRECT(ADDRESS(36,3,,,"MATCHS")), FIND("--",INDIRECT(ADDRESS(36,3,,,"MATCHS")),1)),INDIRECT(ADDRESS(36,3,,,"MATCHS"))),IF(IFERROR(FIND("--",INDIRECT(ADDRESS(42,5,,,"MATCHS"))),FALSE),RIGHT(INDIRECT(ADDRESS(42,5,,,"MATCHS")), FIND("--",INDIRECT(ADDRESS(42,5,,,"MATCHS")),1)),INDIRECT(ADDRESS(42,5,,,"MATCHS"))),IF(IFERROR(FIND("--",INDIRECT(ADDRESS(48,5,,,"MATCHS"))),FALSE),RIGHT(INDIRECT(ADDRESS(48,5,,,"MATCHS")), FIND("--",INDIRECT(ADDRESS(48,5,,,"MATCHS")),1)),INDIRECT(ADDRESS(48,5,,,"MATCHS"))),IF(IFERROR(FIND("--",INDIRECT(ADDRESS(54,3,,,"MATCHS"))),FALSE),RIGHT(INDIRECT(ADDRESS(54,3,,,"MATCHS")), FIND("--",INDIRECT(ADDRESS(54,3,,,"MATCHS")),1)),INDIRECT(ADDRESS(54,3,,,"MATCHS"))),IF(IFERROR(FIND("--",INDIRECT(ADDRESS(59,5,,,"MATCHS"))),FALSE),RIGHT(INDIRECT(ADDRESS(59,5,,,"MATCHS")), FIND("--",INDIRECT(ADDRESS(59,5,,,"MATCHS")),1)),INDIRECT(ADDRESS(59,5,,,"MATCHS"))),IF(IFERROR(FIND("--",INDIRECT(ADDRESS(65,3,,,"MATCHS"))),FALSE),RIGHT(INDIRECT(ADDRESS(65,3,,,"MATCHS")), FIND("--",INDIRECT(ADDRESS(65,3,,,"MATCHS")),1)),INDIRECT(ADDRESS(65,3,,,"MATCHS"))),IF(IFERROR(FIND("--",INDIRECT(ADDRESS(70,5,,,"MATCHS"))),FALSE),RIGHT(INDIRECT(ADDRESS(70,5,,,"MATCHS")), FIND("--",INDIRECT(ADDRESS(70,5,,,"MATCHS")),1)),INDIRECT(ADDRESS(70,5,,,"MATCHS"))),IF(IFERROR(FIND("--",INDIRECT(ADDRESS(76,3,,,"MATCHS"))),FALSE),RIGHT(INDIRECT(ADDRESS(76,3,,,"MATCHS")), FIND("--",INDIRECT(ADDRESS(76,3,,,"MATCHS")),1)),INDIRECT(ADDRESS(76,3,,,"MATCHS"))),,,,,,,,,,,,,,,,,,,,,,,,,)</f>
        <v>0</v>
      </c>
      <c r="I7" s="194">
        <f ca="1">SUM(IF(IFERROR(FIND("--",INDIRECT(ADDRESS(3,3,,,"MATCHS"))),FALSE),RIGHT(INDIRECT(ADDRESS(3,3,,,"MATCHS")), FIND("--",INDIRECT(ADDRESS(3,3,,,"MATCHS")),1)),INDIRECT(ADDRESS(3,3,,,"MATCHS"))),IF(IFERROR(FIND("--",INDIRECT(ADDRESS(10,5,,,"MATCHS"))),FALSE),RIGHT(INDIRECT(ADDRESS(10,5,,,"MATCHS")), FIND("--",INDIRECT(ADDRESS(10,5,,,"MATCHS")),1)),INDIRECT(ADDRESS(10,5,,,"MATCHS"))),IF(IFERROR(FIND("--",INDIRECT(ADDRESS(16,3,,,"MATCHS"))),FALSE),RIGHT(INDIRECT(ADDRESS(16,3,,,"MATCHS")), FIND("--",INDIRECT(ADDRESS(16,3,,,"MATCHS")),1)),INDIRECT(ADDRESS(16,3,,,"MATCHS"))),IF(IFERROR(FIND("--",INDIRECT(ADDRESS(23,5,,,"MATCHS"))),FALSE),RIGHT(INDIRECT(ADDRESS(23,5,,,"MATCHS")), FIND("--",INDIRECT(ADDRESS(23,5,,,"MATCHS")),1)),INDIRECT(ADDRESS(23,5,,,"MATCHS"))),IF(IFERROR(FIND("--",INDIRECT(ADDRESS(29,3,,,"MATCHS"))),FALSE),RIGHT(INDIRECT(ADDRESS(29,3,,,"MATCHS")), FIND("--",INDIRECT(ADDRESS(29,3,,,"MATCHS")),1)),INDIRECT(ADDRESS(29,3,,,"MATCHS"))),IF(IFERROR(FIND("--",INDIRECT(ADDRESS(36,5,,,"MATCHS"))),FALSE),RIGHT(INDIRECT(ADDRESS(36,5,,,"MATCHS")), FIND("--",INDIRECT(ADDRESS(36,5,,,"MATCHS")),1)),INDIRECT(ADDRESS(36,5,,,"MATCHS"))),IF(IFERROR(FIND("--",INDIRECT(ADDRESS(42,3,,,"MATCHS"))),FALSE),RIGHT(INDIRECT(ADDRESS(42,3,,,"MATCHS")), FIND("--",INDIRECT(ADDRESS(42,3,,,"MATCHS")),1)),INDIRECT(ADDRESS(42,3,,,"MATCHS"))),IF(IFERROR(FIND("--",INDIRECT(ADDRESS(48,3,,,"MATCHS"))),FALSE),RIGHT(INDIRECT(ADDRESS(48,3,,,"MATCHS")), FIND("--",INDIRECT(ADDRESS(48,3,,,"MATCHS")),1)),INDIRECT(ADDRESS(48,3,,,"MATCHS"))),IF(IFERROR(FIND("--",INDIRECT(ADDRESS(54,5,,,"MATCHS"))),FALSE),RIGHT(INDIRECT(ADDRESS(54,5,,,"MATCHS")), FIND("--",INDIRECT(ADDRESS(54,5,,,"MATCHS")),1)),INDIRECT(ADDRESS(54,5,,,"MATCHS"))),IF(IFERROR(FIND("--",INDIRECT(ADDRESS(59,3,,,"MATCHS"))),FALSE),RIGHT(INDIRECT(ADDRESS(59,3,,,"MATCHS")), FIND("--",INDIRECT(ADDRESS(59,3,,,"MATCHS")),1)),INDIRECT(ADDRESS(59,3,,,"MATCHS"))),IF(IFERROR(FIND("--",INDIRECT(ADDRESS(65,5,,,"MATCHS"))),FALSE),RIGHT(INDIRECT(ADDRESS(65,5,,,"MATCHS")), FIND("--",INDIRECT(ADDRESS(65,5,,,"MATCHS")),1)),INDIRECT(ADDRESS(65,5,,,"MATCHS"))),IF(IFERROR(FIND("--",INDIRECT(ADDRESS(70,3,,,"MATCHS"))),FALSE),RIGHT(INDIRECT(ADDRESS(70,3,,,"MATCHS")), FIND("--",INDIRECT(ADDRESS(70,3,,,"MATCHS")),1)),INDIRECT(ADDRESS(70,3,,,"MATCHS"))),IF(IFERROR(FIND("--",INDIRECT(ADDRESS(76,5,,,"MATCHS"))),FALSE),RIGHT(INDIRECT(ADDRESS(76,5,,,"MATCHS")), FIND("--",INDIRECT(ADDRESS(76,5,,,"MATCHS")),1)),INDIRECT(ADDRESS(76,5,,,"MATCHS"))),,,,,,,,,,,,,,,,,,,,,,,,,)</f>
        <v>0</v>
      </c>
      <c r="J7" s="194">
        <f ca="1">H7 - I7</f>
        <v>0</v>
      </c>
      <c r="K7" s="194">
        <v>0</v>
      </c>
      <c r="L7" s="194">
        <v>4</v>
      </c>
      <c r="M7" s="194"/>
      <c r="N7" s="190"/>
    </row>
    <row r="8" spans="1:14" ht="15.75" x14ac:dyDescent="0.25">
      <c r="A8" s="193"/>
      <c r="B8" s="194">
        <v>5</v>
      </c>
      <c r="C8" s="194" t="s">
        <v>153</v>
      </c>
      <c r="D8" s="194" t="str">
        <f>INSCRITS!C6</f>
        <v>5A</v>
      </c>
      <c r="E8" s="197">
        <f ca="1">SUM(IF(INDIRECT(ADDRESS(4,3,,,"MATCHS"))&gt;INDIRECT(ADDRESS(4,5,,,"MATCHS")),1,0),IF(INDIRECT(ADDRESS(10,5,,,"MATCHS"))&gt;INDIRECT(ADDRESS(10,3,,,"MATCHS")),1,0),IF(INDIRECT(ADDRESS(17,3,,,"MATCHS"))&gt;INDIRECT(ADDRESS(17,5,,,"MATCHS")),1,0),IF(INDIRECT(ADDRESS(23,5,,,"MATCHS"))&gt;INDIRECT(ADDRESS(23,3,,,"MATCHS")),1,0),IF(INDIRECT(ADDRESS(30,3,,,"MATCHS"))&gt;INDIRECT(ADDRESS(30,5,,,"MATCHS")),1,0),IF(INDIRECT(ADDRESS(36,5,,,"MATCHS"))&gt;INDIRECT(ADDRESS(36,3,,,"MATCHS")),1,0),IF(INDIRECT(ADDRESS(42,5,,,"MATCHS"))&gt;INDIRECT(ADDRESS(42,3,,,"MATCHS")),1,0),IF(INDIRECT(ADDRESS(48,3,,,"MATCHS"))&gt;INDIRECT(ADDRESS(48,5,,,"MATCHS")),1,0),IF(INDIRECT(ADDRESS(53,5,,,"MATCHS"))&gt;INDIRECT(ADDRESS(53,3,,,"MATCHS")),1,0),IF(INDIRECT(ADDRESS(59,3,,,"MATCHS"))&gt;INDIRECT(ADDRESS(59,5,,,"MATCHS")),1,0),IF(INDIRECT(ADDRESS(64,5,,,"MATCHS"))&gt;INDIRECT(ADDRESS(64,3,,,"MATCHS")),1,0),IF(INDIRECT(ADDRESS(70,3,,,"MATCHS"))&gt;INDIRECT(ADDRESS(70,5,,,"MATCHS")),1,0),IF(INDIRECT(ADDRESS(75,5,,,"MATCHS"))&gt;INDIRECT(ADDRESS(75,3,,,"MATCHS")),1,0),,,,,,,,,,,,,,,,,,,,,,,,,) + 0.01 * K8</f>
        <v>0</v>
      </c>
      <c r="F8" s="194">
        <f ca="1">SUM(IF(INDIRECT(ADDRESS(4,3,,,"MATCHS"))&lt;INDIRECT(ADDRESS(4,5,,,"MATCHS")),1,0),IF(INDIRECT(ADDRESS(10,5,,,"MATCHS"))&lt;INDIRECT(ADDRESS(10,3,,,"MATCHS")),1,0),IF(INDIRECT(ADDRESS(17,3,,,"MATCHS"))&lt;INDIRECT(ADDRESS(17,5,,,"MATCHS")),1,0),IF(INDIRECT(ADDRESS(23,5,,,"MATCHS"))&lt;INDIRECT(ADDRESS(23,3,,,"MATCHS")),1,0),IF(INDIRECT(ADDRESS(30,3,,,"MATCHS"))&lt;INDIRECT(ADDRESS(30,5,,,"MATCHS")),1,0),IF(INDIRECT(ADDRESS(36,5,,,"MATCHS"))&lt;INDIRECT(ADDRESS(36,3,,,"MATCHS")),1,0),IF(INDIRECT(ADDRESS(42,5,,,"MATCHS"))&lt;INDIRECT(ADDRESS(42,3,,,"MATCHS")),1,0),IF(INDIRECT(ADDRESS(48,3,,,"MATCHS"))&lt;INDIRECT(ADDRESS(48,5,,,"MATCHS")),1,0),IF(INDIRECT(ADDRESS(53,5,,,"MATCHS"))&lt;INDIRECT(ADDRESS(53,3,,,"MATCHS")),1,0),IF(INDIRECT(ADDRESS(59,3,,,"MATCHS"))&lt;INDIRECT(ADDRESS(59,5,,,"MATCHS")),1,0),IF(INDIRECT(ADDRESS(64,5,,,"MATCHS"))&lt;INDIRECT(ADDRESS(64,3,,,"MATCHS")),1,0),IF(INDIRECT(ADDRESS(70,3,,,"MATCHS"))&lt;INDIRECT(ADDRESS(70,5,,,"MATCHS")),1,0),IF(INDIRECT(ADDRESS(75,5,,,"MATCHS"))&lt;INDIRECT(ADDRESS(75,3,,,"MATCHS")),1,0),,,,,,,,,,,,,,,,,,,,,,,,,)</f>
        <v>0</v>
      </c>
      <c r="G8" s="194"/>
      <c r="H8" s="194">
        <f ca="1">SUM(IF(IFERROR(FIND("--",INDIRECT(ADDRESS(4,3,,,"MATCHS"))),FALSE),RIGHT(INDIRECT(ADDRESS(4,3,,,"MATCHS")), FIND("--",INDIRECT(ADDRESS(4,3,,,"MATCHS")),1)),INDIRECT(ADDRESS(4,3,,,"MATCHS"))),IF(IFERROR(FIND("--",INDIRECT(ADDRESS(10,5,,,"MATCHS"))),FALSE),RIGHT(INDIRECT(ADDRESS(10,5,,,"MATCHS")), FIND("--",INDIRECT(ADDRESS(10,5,,,"MATCHS")),1)),INDIRECT(ADDRESS(10,5,,,"MATCHS"))),IF(IFERROR(FIND("--",INDIRECT(ADDRESS(17,3,,,"MATCHS"))),FALSE),RIGHT(INDIRECT(ADDRESS(17,3,,,"MATCHS")), FIND("--",INDIRECT(ADDRESS(17,3,,,"MATCHS")),1)),INDIRECT(ADDRESS(17,3,,,"MATCHS"))),IF(IFERROR(FIND("--",INDIRECT(ADDRESS(23,5,,,"MATCHS"))),FALSE),RIGHT(INDIRECT(ADDRESS(23,5,,,"MATCHS")), FIND("--",INDIRECT(ADDRESS(23,5,,,"MATCHS")),1)),INDIRECT(ADDRESS(23,5,,,"MATCHS"))),IF(IFERROR(FIND("--",INDIRECT(ADDRESS(30,3,,,"MATCHS"))),FALSE),RIGHT(INDIRECT(ADDRESS(30,3,,,"MATCHS")), FIND("--",INDIRECT(ADDRESS(30,3,,,"MATCHS")),1)),INDIRECT(ADDRESS(30,3,,,"MATCHS"))),IF(IFERROR(FIND("--",INDIRECT(ADDRESS(36,5,,,"MATCHS"))),FALSE),RIGHT(INDIRECT(ADDRESS(36,5,,,"MATCHS")), FIND("--",INDIRECT(ADDRESS(36,5,,,"MATCHS")),1)),INDIRECT(ADDRESS(36,5,,,"MATCHS"))),IF(IFERROR(FIND("--",INDIRECT(ADDRESS(42,5,,,"MATCHS"))),FALSE),RIGHT(INDIRECT(ADDRESS(42,5,,,"MATCHS")), FIND("--",INDIRECT(ADDRESS(42,5,,,"MATCHS")),1)),INDIRECT(ADDRESS(42,5,,,"MATCHS"))),IF(IFERROR(FIND("--",INDIRECT(ADDRESS(48,3,,,"MATCHS"))),FALSE),RIGHT(INDIRECT(ADDRESS(48,3,,,"MATCHS")), FIND("--",INDIRECT(ADDRESS(48,3,,,"MATCHS")),1)),INDIRECT(ADDRESS(48,3,,,"MATCHS"))),IF(IFERROR(FIND("--",INDIRECT(ADDRESS(53,5,,,"MATCHS"))),FALSE),RIGHT(INDIRECT(ADDRESS(53,5,,,"MATCHS")), FIND("--",INDIRECT(ADDRESS(53,5,,,"MATCHS")),1)),INDIRECT(ADDRESS(53,5,,,"MATCHS"))),IF(IFERROR(FIND("--",INDIRECT(ADDRESS(59,3,,,"MATCHS"))),FALSE),RIGHT(INDIRECT(ADDRESS(59,3,,,"MATCHS")), FIND("--",INDIRECT(ADDRESS(59,3,,,"MATCHS")),1)),INDIRECT(ADDRESS(59,3,,,"MATCHS"))),IF(IFERROR(FIND("--",INDIRECT(ADDRESS(64,5,,,"MATCHS"))),FALSE),RIGHT(INDIRECT(ADDRESS(64,5,,,"MATCHS")), FIND("--",INDIRECT(ADDRESS(64,5,,,"MATCHS")),1)),INDIRECT(ADDRESS(64,5,,,"MATCHS"))),IF(IFERROR(FIND("--",INDIRECT(ADDRESS(70,3,,,"MATCHS"))),FALSE),RIGHT(INDIRECT(ADDRESS(70,3,,,"MATCHS")), FIND("--",INDIRECT(ADDRESS(70,3,,,"MATCHS")),1)),INDIRECT(ADDRESS(70,3,,,"MATCHS"))),IF(IFERROR(FIND("--",INDIRECT(ADDRESS(75,5,,,"MATCHS"))),FALSE),RIGHT(INDIRECT(ADDRESS(75,5,,,"MATCHS")), FIND("--",INDIRECT(ADDRESS(75,5,,,"MATCHS")),1)),INDIRECT(ADDRESS(75,5,,,"MATCHS"))),,,,,,,,,,,,,,,,,,,,,,,,,)</f>
        <v>0</v>
      </c>
      <c r="I8" s="194">
        <f ca="1">SUM(IF(IFERROR(FIND("--",INDIRECT(ADDRESS(4,5,,,"MATCHS"))),FALSE),RIGHT(INDIRECT(ADDRESS(4,5,,,"MATCHS")), FIND("--",INDIRECT(ADDRESS(4,5,,,"MATCHS")),1)),INDIRECT(ADDRESS(4,5,,,"MATCHS"))),IF(IFERROR(FIND("--",INDIRECT(ADDRESS(10,3,,,"MATCHS"))),FALSE),RIGHT(INDIRECT(ADDRESS(10,3,,,"MATCHS")), FIND("--",INDIRECT(ADDRESS(10,3,,,"MATCHS")),1)),INDIRECT(ADDRESS(10,3,,,"MATCHS"))),IF(IFERROR(FIND("--",INDIRECT(ADDRESS(17,5,,,"MATCHS"))),FALSE),RIGHT(INDIRECT(ADDRESS(17,5,,,"MATCHS")), FIND("--",INDIRECT(ADDRESS(17,5,,,"MATCHS")),1)),INDIRECT(ADDRESS(17,5,,,"MATCHS"))),IF(IFERROR(FIND("--",INDIRECT(ADDRESS(23,3,,,"MATCHS"))),FALSE),RIGHT(INDIRECT(ADDRESS(23,3,,,"MATCHS")), FIND("--",INDIRECT(ADDRESS(23,3,,,"MATCHS")),1)),INDIRECT(ADDRESS(23,3,,,"MATCHS"))),IF(IFERROR(FIND("--",INDIRECT(ADDRESS(30,5,,,"MATCHS"))),FALSE),RIGHT(INDIRECT(ADDRESS(30,5,,,"MATCHS")), FIND("--",INDIRECT(ADDRESS(30,5,,,"MATCHS")),1)),INDIRECT(ADDRESS(30,5,,,"MATCHS"))),IF(IFERROR(FIND("--",INDIRECT(ADDRESS(36,3,,,"MATCHS"))),FALSE),RIGHT(INDIRECT(ADDRESS(36,3,,,"MATCHS")), FIND("--",INDIRECT(ADDRESS(36,3,,,"MATCHS")),1)),INDIRECT(ADDRESS(36,3,,,"MATCHS"))),IF(IFERROR(FIND("--",INDIRECT(ADDRESS(42,3,,,"MATCHS"))),FALSE),RIGHT(INDIRECT(ADDRESS(42,3,,,"MATCHS")), FIND("--",INDIRECT(ADDRESS(42,3,,,"MATCHS")),1)),INDIRECT(ADDRESS(42,3,,,"MATCHS"))),IF(IFERROR(FIND("--",INDIRECT(ADDRESS(48,5,,,"MATCHS"))),FALSE),RIGHT(INDIRECT(ADDRESS(48,5,,,"MATCHS")), FIND("--",INDIRECT(ADDRESS(48,5,,,"MATCHS")),1)),INDIRECT(ADDRESS(48,5,,,"MATCHS"))),IF(IFERROR(FIND("--",INDIRECT(ADDRESS(53,3,,,"MATCHS"))),FALSE),RIGHT(INDIRECT(ADDRESS(53,3,,,"MATCHS")), FIND("--",INDIRECT(ADDRESS(53,3,,,"MATCHS")),1)),INDIRECT(ADDRESS(53,3,,,"MATCHS"))),IF(IFERROR(FIND("--",INDIRECT(ADDRESS(59,5,,,"MATCHS"))),FALSE),RIGHT(INDIRECT(ADDRESS(59,5,,,"MATCHS")), FIND("--",INDIRECT(ADDRESS(59,5,,,"MATCHS")),1)),INDIRECT(ADDRESS(59,5,,,"MATCHS"))),IF(IFERROR(FIND("--",INDIRECT(ADDRESS(64,3,,,"MATCHS"))),FALSE),RIGHT(INDIRECT(ADDRESS(64,3,,,"MATCHS")), FIND("--",INDIRECT(ADDRESS(64,3,,,"MATCHS")),1)),INDIRECT(ADDRESS(64,3,,,"MATCHS"))),IF(IFERROR(FIND("--",INDIRECT(ADDRESS(70,5,,,"MATCHS"))),FALSE),RIGHT(INDIRECT(ADDRESS(70,5,,,"MATCHS")), FIND("--",INDIRECT(ADDRESS(70,5,,,"MATCHS")),1)),INDIRECT(ADDRESS(70,5,,,"MATCHS"))),IF(IFERROR(FIND("--",INDIRECT(ADDRESS(75,3,,,"MATCHS"))),FALSE),RIGHT(INDIRECT(ADDRESS(75,3,,,"MATCHS")), FIND("--",INDIRECT(ADDRESS(75,3,,,"MATCHS")),1)),INDIRECT(ADDRESS(75,3,,,"MATCHS"))),,,,,,,,,,,,,,,,,,,,,,,,,)</f>
        <v>0</v>
      </c>
      <c r="J8" s="194">
        <f ca="1">H8 - I8</f>
        <v>0</v>
      </c>
      <c r="K8" s="194">
        <v>0</v>
      </c>
      <c r="L8" s="194">
        <v>5</v>
      </c>
      <c r="M8" s="194"/>
      <c r="N8" s="190"/>
    </row>
    <row r="9" spans="1:14" ht="15.75" x14ac:dyDescent="0.25">
      <c r="A9" s="193"/>
      <c r="B9" s="194">
        <v>6</v>
      </c>
      <c r="C9" s="194" t="s">
        <v>154</v>
      </c>
      <c r="D9" s="194" t="str">
        <f>INSCRITS!C7</f>
        <v>6A</v>
      </c>
      <c r="E9" s="197">
        <f ca="1">SUM(IF(INDIRECT(ADDRESS(4,5,,,"MATCHS"))&gt;INDIRECT(ADDRESS(4,3,,,"MATCHS")),1,0),IF(INDIRECT(ADDRESS(11,3,,,"MATCHS"))&gt;INDIRECT(ADDRESS(11,5,,,"MATCHS")),1,0),IF(INDIRECT(ADDRESS(17,5,,,"MATCHS"))&gt;INDIRECT(ADDRESS(17,3,,,"MATCHS")),1,0),IF(INDIRECT(ADDRESS(24,3,,,"MATCHS"))&gt;INDIRECT(ADDRESS(24,5,,,"MATCHS")),1,0),IF(INDIRECT(ADDRESS(30,5,,,"MATCHS"))&gt;INDIRECT(ADDRESS(30,3,,,"MATCHS")),1,0),IF(INDIRECT(ADDRESS(36,5,,,"MATCHS"))&gt;INDIRECT(ADDRESS(36,3,,,"MATCHS")),1,0),IF(INDIRECT(ADDRESS(42,3,,,"MATCHS"))&gt;INDIRECT(ADDRESS(42,5,,,"MATCHS")),1,0),IF(INDIRECT(ADDRESS(47,5,,,"MATCHS"))&gt;INDIRECT(ADDRESS(47,3,,,"MATCHS")),1,0),IF(INDIRECT(ADDRESS(53,3,,,"MATCHS"))&gt;INDIRECT(ADDRESS(53,5,,,"MATCHS")),1,0),IF(INDIRECT(ADDRESS(58,5,,,"MATCHS"))&gt;INDIRECT(ADDRESS(58,3,,,"MATCHS")),1,0),IF(INDIRECT(ADDRESS(64,3,,,"MATCHS"))&gt;INDIRECT(ADDRESS(64,5,,,"MATCHS")),1,0),IF(INDIRECT(ADDRESS(69,5,,,"MATCHS"))&gt;INDIRECT(ADDRESS(69,3,,,"MATCHS")),1,0),IF(INDIRECT(ADDRESS(75,3,,,"MATCHS"))&gt;INDIRECT(ADDRESS(75,5,,,"MATCHS")),1,0),,,,,,,,,,,,,,,,,,,,,,,,,) + 0.01 * K9</f>
        <v>0</v>
      </c>
      <c r="F9" s="194">
        <f ca="1">SUM(IF(INDIRECT(ADDRESS(4,5,,,"MATCHS"))&lt;INDIRECT(ADDRESS(4,3,,,"MATCHS")),1,0),IF(INDIRECT(ADDRESS(11,3,,,"MATCHS"))&lt;INDIRECT(ADDRESS(11,5,,,"MATCHS")),1,0),IF(INDIRECT(ADDRESS(17,5,,,"MATCHS"))&lt;INDIRECT(ADDRESS(17,3,,,"MATCHS")),1,0),IF(INDIRECT(ADDRESS(24,3,,,"MATCHS"))&lt;INDIRECT(ADDRESS(24,5,,,"MATCHS")),1,0),IF(INDIRECT(ADDRESS(30,5,,,"MATCHS"))&lt;INDIRECT(ADDRESS(30,3,,,"MATCHS")),1,0),IF(INDIRECT(ADDRESS(36,5,,,"MATCHS"))&lt;INDIRECT(ADDRESS(36,3,,,"MATCHS")),1,0),IF(INDIRECT(ADDRESS(42,3,,,"MATCHS"))&lt;INDIRECT(ADDRESS(42,5,,,"MATCHS")),1,0),IF(INDIRECT(ADDRESS(47,5,,,"MATCHS"))&lt;INDIRECT(ADDRESS(47,3,,,"MATCHS")),1,0),IF(INDIRECT(ADDRESS(53,3,,,"MATCHS"))&lt;INDIRECT(ADDRESS(53,5,,,"MATCHS")),1,0),IF(INDIRECT(ADDRESS(58,5,,,"MATCHS"))&lt;INDIRECT(ADDRESS(58,3,,,"MATCHS")),1,0),IF(INDIRECT(ADDRESS(64,3,,,"MATCHS"))&lt;INDIRECT(ADDRESS(64,5,,,"MATCHS")),1,0),IF(INDIRECT(ADDRESS(69,5,,,"MATCHS"))&lt;INDIRECT(ADDRESS(69,3,,,"MATCHS")),1,0),IF(INDIRECT(ADDRESS(75,3,,,"MATCHS"))&lt;INDIRECT(ADDRESS(75,5,,,"MATCHS")),1,0),,,,,,,,,,,,,,,,,,,,,,,,,)</f>
        <v>0</v>
      </c>
      <c r="G9" s="194"/>
      <c r="H9" s="194">
        <f ca="1">SUM(IF(IFERROR(FIND("--",INDIRECT(ADDRESS(4,5,,,"MATCHS"))),FALSE),RIGHT(INDIRECT(ADDRESS(4,5,,,"MATCHS")), FIND("--",INDIRECT(ADDRESS(4,5,,,"MATCHS")),1)),INDIRECT(ADDRESS(4,5,,,"MATCHS"))),IF(IFERROR(FIND("--",INDIRECT(ADDRESS(11,3,,,"MATCHS"))),FALSE),RIGHT(INDIRECT(ADDRESS(11,3,,,"MATCHS")), FIND("--",INDIRECT(ADDRESS(11,3,,,"MATCHS")),1)),INDIRECT(ADDRESS(11,3,,,"MATCHS"))),IF(IFERROR(FIND("--",INDIRECT(ADDRESS(17,5,,,"MATCHS"))),FALSE),RIGHT(INDIRECT(ADDRESS(17,5,,,"MATCHS")), FIND("--",INDIRECT(ADDRESS(17,5,,,"MATCHS")),1)),INDIRECT(ADDRESS(17,5,,,"MATCHS"))),IF(IFERROR(FIND("--",INDIRECT(ADDRESS(24,3,,,"MATCHS"))),FALSE),RIGHT(INDIRECT(ADDRESS(24,3,,,"MATCHS")), FIND("--",INDIRECT(ADDRESS(24,3,,,"MATCHS")),1)),INDIRECT(ADDRESS(24,3,,,"MATCHS"))),IF(IFERROR(FIND("--",INDIRECT(ADDRESS(30,5,,,"MATCHS"))),FALSE),RIGHT(INDIRECT(ADDRESS(30,5,,,"MATCHS")), FIND("--",INDIRECT(ADDRESS(30,5,,,"MATCHS")),1)),INDIRECT(ADDRESS(30,5,,,"MATCHS"))),IF(IFERROR(FIND("--",INDIRECT(ADDRESS(36,5,,,"MATCHS"))),FALSE),RIGHT(INDIRECT(ADDRESS(36,5,,,"MATCHS")), FIND("--",INDIRECT(ADDRESS(36,5,,,"MATCHS")),1)),INDIRECT(ADDRESS(36,5,,,"MATCHS"))),IF(IFERROR(FIND("--",INDIRECT(ADDRESS(42,3,,,"MATCHS"))),FALSE),RIGHT(INDIRECT(ADDRESS(42,3,,,"MATCHS")), FIND("--",INDIRECT(ADDRESS(42,3,,,"MATCHS")),1)),INDIRECT(ADDRESS(42,3,,,"MATCHS"))),IF(IFERROR(FIND("--",INDIRECT(ADDRESS(47,5,,,"MATCHS"))),FALSE),RIGHT(INDIRECT(ADDRESS(47,5,,,"MATCHS")), FIND("--",INDIRECT(ADDRESS(47,5,,,"MATCHS")),1)),INDIRECT(ADDRESS(47,5,,,"MATCHS"))),IF(IFERROR(FIND("--",INDIRECT(ADDRESS(53,3,,,"MATCHS"))),FALSE),RIGHT(INDIRECT(ADDRESS(53,3,,,"MATCHS")), FIND("--",INDIRECT(ADDRESS(53,3,,,"MATCHS")),1)),INDIRECT(ADDRESS(53,3,,,"MATCHS"))),IF(IFERROR(FIND("--",INDIRECT(ADDRESS(58,5,,,"MATCHS"))),FALSE),RIGHT(INDIRECT(ADDRESS(58,5,,,"MATCHS")), FIND("--",INDIRECT(ADDRESS(58,5,,,"MATCHS")),1)),INDIRECT(ADDRESS(58,5,,,"MATCHS"))),IF(IFERROR(FIND("--",INDIRECT(ADDRESS(64,3,,,"MATCHS"))),FALSE),RIGHT(INDIRECT(ADDRESS(64,3,,,"MATCHS")), FIND("--",INDIRECT(ADDRESS(64,3,,,"MATCHS")),1)),INDIRECT(ADDRESS(64,3,,,"MATCHS"))),IF(IFERROR(FIND("--",INDIRECT(ADDRESS(69,5,,,"MATCHS"))),FALSE),RIGHT(INDIRECT(ADDRESS(69,5,,,"MATCHS")), FIND("--",INDIRECT(ADDRESS(69,5,,,"MATCHS")),1)),INDIRECT(ADDRESS(69,5,,,"MATCHS"))),IF(IFERROR(FIND("--",INDIRECT(ADDRESS(75,3,,,"MATCHS"))),FALSE),RIGHT(INDIRECT(ADDRESS(75,3,,,"MATCHS")), FIND("--",INDIRECT(ADDRESS(75,3,,,"MATCHS")),1)),INDIRECT(ADDRESS(75,3,,,"MATCHS"))),,,,,,,,,,,,,,,,,,,,,,,,,)</f>
        <v>0</v>
      </c>
      <c r="I9" s="194">
        <f ca="1">SUM(IF(IFERROR(FIND("--",INDIRECT(ADDRESS(4,3,,,"MATCHS"))),FALSE),RIGHT(INDIRECT(ADDRESS(4,3,,,"MATCHS")), FIND("--",INDIRECT(ADDRESS(4,3,,,"MATCHS")),1)),INDIRECT(ADDRESS(4,3,,,"MATCHS"))),IF(IFERROR(FIND("--",INDIRECT(ADDRESS(11,5,,,"MATCHS"))),FALSE),RIGHT(INDIRECT(ADDRESS(11,5,,,"MATCHS")), FIND("--",INDIRECT(ADDRESS(11,5,,,"MATCHS")),1)),INDIRECT(ADDRESS(11,5,,,"MATCHS"))),IF(IFERROR(FIND("--",INDIRECT(ADDRESS(17,3,,,"MATCHS"))),FALSE),RIGHT(INDIRECT(ADDRESS(17,3,,,"MATCHS")), FIND("--",INDIRECT(ADDRESS(17,3,,,"MATCHS")),1)),INDIRECT(ADDRESS(17,3,,,"MATCHS"))),IF(IFERROR(FIND("--",INDIRECT(ADDRESS(24,5,,,"MATCHS"))),FALSE),RIGHT(INDIRECT(ADDRESS(24,5,,,"MATCHS")), FIND("--",INDIRECT(ADDRESS(24,5,,,"MATCHS")),1)),INDIRECT(ADDRESS(24,5,,,"MATCHS"))),IF(IFERROR(FIND("--",INDIRECT(ADDRESS(30,3,,,"MATCHS"))),FALSE),RIGHT(INDIRECT(ADDRESS(30,3,,,"MATCHS")), FIND("--",INDIRECT(ADDRESS(30,3,,,"MATCHS")),1)),INDIRECT(ADDRESS(30,3,,,"MATCHS"))),IF(IFERROR(FIND("--",INDIRECT(ADDRESS(36,3,,,"MATCHS"))),FALSE),RIGHT(INDIRECT(ADDRESS(36,3,,,"MATCHS")), FIND("--",INDIRECT(ADDRESS(36,3,,,"MATCHS")),1)),INDIRECT(ADDRESS(36,3,,,"MATCHS"))),IF(IFERROR(FIND("--",INDIRECT(ADDRESS(42,5,,,"MATCHS"))),FALSE),RIGHT(INDIRECT(ADDRESS(42,5,,,"MATCHS")), FIND("--",INDIRECT(ADDRESS(42,5,,,"MATCHS")),1)),INDIRECT(ADDRESS(42,5,,,"MATCHS"))),IF(IFERROR(FIND("--",INDIRECT(ADDRESS(47,3,,,"MATCHS"))),FALSE),RIGHT(INDIRECT(ADDRESS(47,3,,,"MATCHS")), FIND("--",INDIRECT(ADDRESS(47,3,,,"MATCHS")),1)),INDIRECT(ADDRESS(47,3,,,"MATCHS"))),IF(IFERROR(FIND("--",INDIRECT(ADDRESS(53,5,,,"MATCHS"))),FALSE),RIGHT(INDIRECT(ADDRESS(53,5,,,"MATCHS")), FIND("--",INDIRECT(ADDRESS(53,5,,,"MATCHS")),1)),INDIRECT(ADDRESS(53,5,,,"MATCHS"))),IF(IFERROR(FIND("--",INDIRECT(ADDRESS(58,3,,,"MATCHS"))),FALSE),RIGHT(INDIRECT(ADDRESS(58,3,,,"MATCHS")), FIND("--",INDIRECT(ADDRESS(58,3,,,"MATCHS")),1)),INDIRECT(ADDRESS(58,3,,,"MATCHS"))),IF(IFERROR(FIND("--",INDIRECT(ADDRESS(64,5,,,"MATCHS"))),FALSE),RIGHT(INDIRECT(ADDRESS(64,5,,,"MATCHS")), FIND("--",INDIRECT(ADDRESS(64,5,,,"MATCHS")),1)),INDIRECT(ADDRESS(64,5,,,"MATCHS"))),IF(IFERROR(FIND("--",INDIRECT(ADDRESS(69,3,,,"MATCHS"))),FALSE),RIGHT(INDIRECT(ADDRESS(69,3,,,"MATCHS")), FIND("--",INDIRECT(ADDRESS(69,3,,,"MATCHS")),1)),INDIRECT(ADDRESS(69,3,,,"MATCHS"))),IF(IFERROR(FIND("--",INDIRECT(ADDRESS(75,5,,,"MATCHS"))),FALSE),RIGHT(INDIRECT(ADDRESS(75,5,,,"MATCHS")), FIND("--",INDIRECT(ADDRESS(75,5,,,"MATCHS")),1)),INDIRECT(ADDRESS(75,5,,,"MATCHS"))),,,,,,,,,,,,,,,,,,,,,,,,,)</f>
        <v>0</v>
      </c>
      <c r="J9" s="194">
        <f ca="1">H9 - I9</f>
        <v>0</v>
      </c>
      <c r="K9" s="194">
        <v>0</v>
      </c>
      <c r="L9" s="194">
        <v>6</v>
      </c>
      <c r="M9" s="194"/>
      <c r="N9" s="190"/>
    </row>
    <row r="10" spans="1:14" ht="15.75" x14ac:dyDescent="0.25">
      <c r="A10" s="193"/>
      <c r="B10" s="194">
        <v>7</v>
      </c>
      <c r="C10" s="194" t="s">
        <v>155</v>
      </c>
      <c r="D10" s="194" t="str">
        <f>INSCRITS!C8</f>
        <v>7A</v>
      </c>
      <c r="E10" s="197">
        <f ca="1">SUM(IF(INDIRECT(ADDRESS(5,3,,,"MATCHS"))&gt;INDIRECT(ADDRESS(5,5,,,"MATCHS")),1,0),IF(INDIRECT(ADDRESS(11,5,,,"MATCHS"))&gt;INDIRECT(ADDRESS(11,3,,,"MATCHS")),1,0),IF(INDIRECT(ADDRESS(18,3,,,"MATCHS"))&gt;INDIRECT(ADDRESS(18,5,,,"MATCHS")),1,0),IF(INDIRECT(ADDRESS(24,5,,,"MATCHS"))&gt;INDIRECT(ADDRESS(24,3,,,"MATCHS")),1,0),IF(INDIRECT(ADDRESS(30,5,,,"MATCHS"))&gt;INDIRECT(ADDRESS(30,3,,,"MATCHS")),1,0),IF(INDIRECT(ADDRESS(36,3,,,"MATCHS"))&gt;INDIRECT(ADDRESS(36,5,,,"MATCHS")),1,0),IF(INDIRECT(ADDRESS(41,5,,,"MATCHS"))&gt;INDIRECT(ADDRESS(41,3,,,"MATCHS")),1,0),IF(INDIRECT(ADDRESS(47,3,,,"MATCHS"))&gt;INDIRECT(ADDRESS(47,5,,,"MATCHS")),1,0),IF(INDIRECT(ADDRESS(52,5,,,"MATCHS"))&gt;INDIRECT(ADDRESS(52,3,,,"MATCHS")),1,0),IF(INDIRECT(ADDRESS(58,3,,,"MATCHS"))&gt;INDIRECT(ADDRESS(58,5,,,"MATCHS")),1,0),IF(INDIRECT(ADDRESS(63,5,,,"MATCHS"))&gt;INDIRECT(ADDRESS(63,3,,,"MATCHS")),1,0),IF(INDIRECT(ADDRESS(69,3,,,"MATCHS"))&gt;INDIRECT(ADDRESS(69,5,,,"MATCHS")),1,0),IF(INDIRECT(ADDRESS(74,5,,,"MATCHS"))&gt;INDIRECT(ADDRESS(74,3,,,"MATCHS")),1,0),,,,,,,,,,,,,,,,,,,,,,,,,) + 0.01 * K10</f>
        <v>0</v>
      </c>
      <c r="F10" s="194">
        <f ca="1">SUM(IF(INDIRECT(ADDRESS(5,3,,,"MATCHS"))&lt;INDIRECT(ADDRESS(5,5,,,"MATCHS")),1,0),IF(INDIRECT(ADDRESS(11,5,,,"MATCHS"))&lt;INDIRECT(ADDRESS(11,3,,,"MATCHS")),1,0),IF(INDIRECT(ADDRESS(18,3,,,"MATCHS"))&lt;INDIRECT(ADDRESS(18,5,,,"MATCHS")),1,0),IF(INDIRECT(ADDRESS(24,5,,,"MATCHS"))&lt;INDIRECT(ADDRESS(24,3,,,"MATCHS")),1,0),IF(INDIRECT(ADDRESS(30,5,,,"MATCHS"))&lt;INDIRECT(ADDRESS(30,3,,,"MATCHS")),1,0),IF(INDIRECT(ADDRESS(36,3,,,"MATCHS"))&lt;INDIRECT(ADDRESS(36,5,,,"MATCHS")),1,0),IF(INDIRECT(ADDRESS(41,5,,,"MATCHS"))&lt;INDIRECT(ADDRESS(41,3,,,"MATCHS")),1,0),IF(INDIRECT(ADDRESS(47,3,,,"MATCHS"))&lt;INDIRECT(ADDRESS(47,5,,,"MATCHS")),1,0),IF(INDIRECT(ADDRESS(52,5,,,"MATCHS"))&lt;INDIRECT(ADDRESS(52,3,,,"MATCHS")),1,0),IF(INDIRECT(ADDRESS(58,3,,,"MATCHS"))&lt;INDIRECT(ADDRESS(58,5,,,"MATCHS")),1,0),IF(INDIRECT(ADDRESS(63,5,,,"MATCHS"))&lt;INDIRECT(ADDRESS(63,3,,,"MATCHS")),1,0),IF(INDIRECT(ADDRESS(69,3,,,"MATCHS"))&lt;INDIRECT(ADDRESS(69,5,,,"MATCHS")),1,0),IF(INDIRECT(ADDRESS(74,5,,,"MATCHS"))&lt;INDIRECT(ADDRESS(74,3,,,"MATCHS")),1,0),,,,,,,,,,,,,,,,,,,,,,,,,)</f>
        <v>0</v>
      </c>
      <c r="G10" s="194"/>
      <c r="H10" s="194">
        <f ca="1">SUM(IF(IFERROR(FIND("--",INDIRECT(ADDRESS(5,3,,,"MATCHS"))),FALSE),RIGHT(INDIRECT(ADDRESS(5,3,,,"MATCHS")), FIND("--",INDIRECT(ADDRESS(5,3,,,"MATCHS")),1)),INDIRECT(ADDRESS(5,3,,,"MATCHS"))),IF(IFERROR(FIND("--",INDIRECT(ADDRESS(11,5,,,"MATCHS"))),FALSE),RIGHT(INDIRECT(ADDRESS(11,5,,,"MATCHS")), FIND("--",INDIRECT(ADDRESS(11,5,,,"MATCHS")),1)),INDIRECT(ADDRESS(11,5,,,"MATCHS"))),IF(IFERROR(FIND("--",INDIRECT(ADDRESS(18,3,,,"MATCHS"))),FALSE),RIGHT(INDIRECT(ADDRESS(18,3,,,"MATCHS")), FIND("--",INDIRECT(ADDRESS(18,3,,,"MATCHS")),1)),INDIRECT(ADDRESS(18,3,,,"MATCHS"))),IF(IFERROR(FIND("--",INDIRECT(ADDRESS(24,5,,,"MATCHS"))),FALSE),RIGHT(INDIRECT(ADDRESS(24,5,,,"MATCHS")), FIND("--",INDIRECT(ADDRESS(24,5,,,"MATCHS")),1)),INDIRECT(ADDRESS(24,5,,,"MATCHS"))),IF(IFERROR(FIND("--",INDIRECT(ADDRESS(30,5,,,"MATCHS"))),FALSE),RIGHT(INDIRECT(ADDRESS(30,5,,,"MATCHS")), FIND("--",INDIRECT(ADDRESS(30,5,,,"MATCHS")),1)),INDIRECT(ADDRESS(30,5,,,"MATCHS"))),IF(IFERROR(FIND("--",INDIRECT(ADDRESS(36,3,,,"MATCHS"))),FALSE),RIGHT(INDIRECT(ADDRESS(36,3,,,"MATCHS")), FIND("--",INDIRECT(ADDRESS(36,3,,,"MATCHS")),1)),INDIRECT(ADDRESS(36,3,,,"MATCHS"))),IF(IFERROR(FIND("--",INDIRECT(ADDRESS(41,5,,,"MATCHS"))),FALSE),RIGHT(INDIRECT(ADDRESS(41,5,,,"MATCHS")), FIND("--",INDIRECT(ADDRESS(41,5,,,"MATCHS")),1)),INDIRECT(ADDRESS(41,5,,,"MATCHS"))),IF(IFERROR(FIND("--",INDIRECT(ADDRESS(47,3,,,"MATCHS"))),FALSE),RIGHT(INDIRECT(ADDRESS(47,3,,,"MATCHS")), FIND("--",INDIRECT(ADDRESS(47,3,,,"MATCHS")),1)),INDIRECT(ADDRESS(47,3,,,"MATCHS"))),IF(IFERROR(FIND("--",INDIRECT(ADDRESS(52,5,,,"MATCHS"))),FALSE),RIGHT(INDIRECT(ADDRESS(52,5,,,"MATCHS")), FIND("--",INDIRECT(ADDRESS(52,5,,,"MATCHS")),1)),INDIRECT(ADDRESS(52,5,,,"MATCHS"))),IF(IFERROR(FIND("--",INDIRECT(ADDRESS(58,3,,,"MATCHS"))),FALSE),RIGHT(INDIRECT(ADDRESS(58,3,,,"MATCHS")), FIND("--",INDIRECT(ADDRESS(58,3,,,"MATCHS")),1)),INDIRECT(ADDRESS(58,3,,,"MATCHS"))),IF(IFERROR(FIND("--",INDIRECT(ADDRESS(63,5,,,"MATCHS"))),FALSE),RIGHT(INDIRECT(ADDRESS(63,5,,,"MATCHS")), FIND("--",INDIRECT(ADDRESS(63,5,,,"MATCHS")),1)),INDIRECT(ADDRESS(63,5,,,"MATCHS"))),IF(IFERROR(FIND("--",INDIRECT(ADDRESS(69,3,,,"MATCHS"))),FALSE),RIGHT(INDIRECT(ADDRESS(69,3,,,"MATCHS")), FIND("--",INDIRECT(ADDRESS(69,3,,,"MATCHS")),1)),INDIRECT(ADDRESS(69,3,,,"MATCHS"))),IF(IFERROR(FIND("--",INDIRECT(ADDRESS(74,5,,,"MATCHS"))),FALSE),RIGHT(INDIRECT(ADDRESS(74,5,,,"MATCHS")), FIND("--",INDIRECT(ADDRESS(74,5,,,"MATCHS")),1)),INDIRECT(ADDRESS(74,5,,,"MATCHS"))),,,,,,,,,,,,,,,,,,,,,,,,,)</f>
        <v>0</v>
      </c>
      <c r="I10" s="194">
        <f ca="1">SUM(IF(IFERROR(FIND("--",INDIRECT(ADDRESS(5,5,,,"MATCHS"))),FALSE),RIGHT(INDIRECT(ADDRESS(5,5,,,"MATCHS")), FIND("--",INDIRECT(ADDRESS(5,5,,,"MATCHS")),1)),INDIRECT(ADDRESS(5,5,,,"MATCHS"))),IF(IFERROR(FIND("--",INDIRECT(ADDRESS(11,3,,,"MATCHS"))),FALSE),RIGHT(INDIRECT(ADDRESS(11,3,,,"MATCHS")), FIND("--",INDIRECT(ADDRESS(11,3,,,"MATCHS")),1)),INDIRECT(ADDRESS(11,3,,,"MATCHS"))),IF(IFERROR(FIND("--",INDIRECT(ADDRESS(18,5,,,"MATCHS"))),FALSE),RIGHT(INDIRECT(ADDRESS(18,5,,,"MATCHS")), FIND("--",INDIRECT(ADDRESS(18,5,,,"MATCHS")),1)),INDIRECT(ADDRESS(18,5,,,"MATCHS"))),IF(IFERROR(FIND("--",INDIRECT(ADDRESS(24,3,,,"MATCHS"))),FALSE),RIGHT(INDIRECT(ADDRESS(24,3,,,"MATCHS")), FIND("--",INDIRECT(ADDRESS(24,3,,,"MATCHS")),1)),INDIRECT(ADDRESS(24,3,,,"MATCHS"))),IF(IFERROR(FIND("--",INDIRECT(ADDRESS(30,3,,,"MATCHS"))),FALSE),RIGHT(INDIRECT(ADDRESS(30,3,,,"MATCHS")), FIND("--",INDIRECT(ADDRESS(30,3,,,"MATCHS")),1)),INDIRECT(ADDRESS(30,3,,,"MATCHS"))),IF(IFERROR(FIND("--",INDIRECT(ADDRESS(36,5,,,"MATCHS"))),FALSE),RIGHT(INDIRECT(ADDRESS(36,5,,,"MATCHS")), FIND("--",INDIRECT(ADDRESS(36,5,,,"MATCHS")),1)),INDIRECT(ADDRESS(36,5,,,"MATCHS"))),IF(IFERROR(FIND("--",INDIRECT(ADDRESS(41,3,,,"MATCHS"))),FALSE),RIGHT(INDIRECT(ADDRESS(41,3,,,"MATCHS")), FIND("--",INDIRECT(ADDRESS(41,3,,,"MATCHS")),1)),INDIRECT(ADDRESS(41,3,,,"MATCHS"))),IF(IFERROR(FIND("--",INDIRECT(ADDRESS(47,5,,,"MATCHS"))),FALSE),RIGHT(INDIRECT(ADDRESS(47,5,,,"MATCHS")), FIND("--",INDIRECT(ADDRESS(47,5,,,"MATCHS")),1)),INDIRECT(ADDRESS(47,5,,,"MATCHS"))),IF(IFERROR(FIND("--",INDIRECT(ADDRESS(52,3,,,"MATCHS"))),FALSE),RIGHT(INDIRECT(ADDRESS(52,3,,,"MATCHS")), FIND("--",INDIRECT(ADDRESS(52,3,,,"MATCHS")),1)),INDIRECT(ADDRESS(52,3,,,"MATCHS"))),IF(IFERROR(FIND("--",INDIRECT(ADDRESS(58,5,,,"MATCHS"))),FALSE),RIGHT(INDIRECT(ADDRESS(58,5,,,"MATCHS")), FIND("--",INDIRECT(ADDRESS(58,5,,,"MATCHS")),1)),INDIRECT(ADDRESS(58,5,,,"MATCHS"))),IF(IFERROR(FIND("--",INDIRECT(ADDRESS(63,3,,,"MATCHS"))),FALSE),RIGHT(INDIRECT(ADDRESS(63,3,,,"MATCHS")), FIND("--",INDIRECT(ADDRESS(63,3,,,"MATCHS")),1)),INDIRECT(ADDRESS(63,3,,,"MATCHS"))),IF(IFERROR(FIND("--",INDIRECT(ADDRESS(69,5,,,"MATCHS"))),FALSE),RIGHT(INDIRECT(ADDRESS(69,5,,,"MATCHS")), FIND("--",INDIRECT(ADDRESS(69,5,,,"MATCHS")),1)),INDIRECT(ADDRESS(69,5,,,"MATCHS"))),IF(IFERROR(FIND("--",INDIRECT(ADDRESS(74,3,,,"MATCHS"))),FALSE),RIGHT(INDIRECT(ADDRESS(74,3,,,"MATCHS")), FIND("--",INDIRECT(ADDRESS(74,3,,,"MATCHS")),1)),INDIRECT(ADDRESS(74,3,,,"MATCHS"))),,,,,,,,,,,,,,,,,,,,,,,,,)</f>
        <v>0</v>
      </c>
      <c r="J10" s="194">
        <f ca="1">H10 - I10</f>
        <v>0</v>
      </c>
      <c r="K10" s="194">
        <v>0</v>
      </c>
      <c r="L10" s="194">
        <v>7</v>
      </c>
      <c r="M10" s="194"/>
      <c r="N10" s="190"/>
    </row>
    <row r="11" spans="1:14" ht="15.75" x14ac:dyDescent="0.25">
      <c r="A11" s="193"/>
      <c r="B11" s="194">
        <v>8</v>
      </c>
      <c r="C11" s="194" t="s">
        <v>156</v>
      </c>
      <c r="D11" s="194" t="str">
        <f>INSCRITS!C9</f>
        <v>8A</v>
      </c>
      <c r="E11" s="197">
        <f ca="1">SUM(IF(INDIRECT(ADDRESS(5,5,,,"MATCHS"))&gt;INDIRECT(ADDRESS(5,3,,,"MATCHS")),1,0),IF(INDIRECT(ADDRESS(12,3,,,"MATCHS"))&gt;INDIRECT(ADDRESS(12,5,,,"MATCHS")),1,0),IF(INDIRECT(ADDRESS(18,5,,,"MATCHS"))&gt;INDIRECT(ADDRESS(18,3,,,"MATCHS")),1,0),IF(INDIRECT(ADDRESS(24,5,,,"MATCHS"))&gt;INDIRECT(ADDRESS(24,3,,,"MATCHS")),1,0),IF(INDIRECT(ADDRESS(30,3,,,"MATCHS"))&gt;INDIRECT(ADDRESS(30,5,,,"MATCHS")),1,0),IF(INDIRECT(ADDRESS(35,5,,,"MATCHS"))&gt;INDIRECT(ADDRESS(35,3,,,"MATCHS")),1,0),IF(INDIRECT(ADDRESS(41,3,,,"MATCHS"))&gt;INDIRECT(ADDRESS(41,5,,,"MATCHS")),1,0),IF(INDIRECT(ADDRESS(46,5,,,"MATCHS"))&gt;INDIRECT(ADDRESS(46,3,,,"MATCHS")),1,0),IF(INDIRECT(ADDRESS(52,3,,,"MATCHS"))&gt;INDIRECT(ADDRESS(52,5,,,"MATCHS")),1,0),IF(INDIRECT(ADDRESS(57,5,,,"MATCHS"))&gt;INDIRECT(ADDRESS(57,3,,,"MATCHS")),1,0),IF(INDIRECT(ADDRESS(63,3,,,"MATCHS"))&gt;INDIRECT(ADDRESS(63,5,,,"MATCHS")),1,0),IF(INDIRECT(ADDRESS(68,5,,,"MATCHS"))&gt;INDIRECT(ADDRESS(68,3,,,"MATCHS")),1,0),IF(INDIRECT(ADDRESS(74,3,,,"MATCHS"))&gt;INDIRECT(ADDRESS(74,5,,,"MATCHS")),1,0),,,,,,,,,,,,,,,,,,,,,,,,,) + 0.01 * K11</f>
        <v>0</v>
      </c>
      <c r="F11" s="194">
        <f ca="1">SUM(IF(INDIRECT(ADDRESS(5,5,,,"MATCHS"))&lt;INDIRECT(ADDRESS(5,3,,,"MATCHS")),1,0),IF(INDIRECT(ADDRESS(12,3,,,"MATCHS"))&lt;INDIRECT(ADDRESS(12,5,,,"MATCHS")),1,0),IF(INDIRECT(ADDRESS(18,5,,,"MATCHS"))&lt;INDIRECT(ADDRESS(18,3,,,"MATCHS")),1,0),IF(INDIRECT(ADDRESS(24,5,,,"MATCHS"))&lt;INDIRECT(ADDRESS(24,3,,,"MATCHS")),1,0),IF(INDIRECT(ADDRESS(30,3,,,"MATCHS"))&lt;INDIRECT(ADDRESS(30,5,,,"MATCHS")),1,0),IF(INDIRECT(ADDRESS(35,5,,,"MATCHS"))&lt;INDIRECT(ADDRESS(35,3,,,"MATCHS")),1,0),IF(INDIRECT(ADDRESS(41,3,,,"MATCHS"))&lt;INDIRECT(ADDRESS(41,5,,,"MATCHS")),1,0),IF(INDIRECT(ADDRESS(46,5,,,"MATCHS"))&lt;INDIRECT(ADDRESS(46,3,,,"MATCHS")),1,0),IF(INDIRECT(ADDRESS(52,3,,,"MATCHS"))&lt;INDIRECT(ADDRESS(52,5,,,"MATCHS")),1,0),IF(INDIRECT(ADDRESS(57,5,,,"MATCHS"))&lt;INDIRECT(ADDRESS(57,3,,,"MATCHS")),1,0),IF(INDIRECT(ADDRESS(63,3,,,"MATCHS"))&lt;INDIRECT(ADDRESS(63,5,,,"MATCHS")),1,0),IF(INDIRECT(ADDRESS(68,5,,,"MATCHS"))&lt;INDIRECT(ADDRESS(68,3,,,"MATCHS")),1,0),IF(INDIRECT(ADDRESS(74,3,,,"MATCHS"))&lt;INDIRECT(ADDRESS(74,5,,,"MATCHS")),1,0),,,,,,,,,,,,,,,,,,,,,,,,,)</f>
        <v>0</v>
      </c>
      <c r="G11" s="194"/>
      <c r="H11" s="194">
        <f ca="1">SUM(IF(IFERROR(FIND("--",INDIRECT(ADDRESS(5,5,,,"MATCHS"))),FALSE),RIGHT(INDIRECT(ADDRESS(5,5,,,"MATCHS")), FIND("--",INDIRECT(ADDRESS(5,5,,,"MATCHS")),1)),INDIRECT(ADDRESS(5,5,,,"MATCHS"))),IF(IFERROR(FIND("--",INDIRECT(ADDRESS(12,3,,,"MATCHS"))),FALSE),RIGHT(INDIRECT(ADDRESS(12,3,,,"MATCHS")), FIND("--",INDIRECT(ADDRESS(12,3,,,"MATCHS")),1)),INDIRECT(ADDRESS(12,3,,,"MATCHS"))),IF(IFERROR(FIND("--",INDIRECT(ADDRESS(18,5,,,"MATCHS"))),FALSE),RIGHT(INDIRECT(ADDRESS(18,5,,,"MATCHS")), FIND("--",INDIRECT(ADDRESS(18,5,,,"MATCHS")),1)),INDIRECT(ADDRESS(18,5,,,"MATCHS"))),IF(IFERROR(FIND("--",INDIRECT(ADDRESS(24,5,,,"MATCHS"))),FALSE),RIGHT(INDIRECT(ADDRESS(24,5,,,"MATCHS")), FIND("--",INDIRECT(ADDRESS(24,5,,,"MATCHS")),1)),INDIRECT(ADDRESS(24,5,,,"MATCHS"))),IF(IFERROR(FIND("--",INDIRECT(ADDRESS(30,3,,,"MATCHS"))),FALSE),RIGHT(INDIRECT(ADDRESS(30,3,,,"MATCHS")), FIND("--",INDIRECT(ADDRESS(30,3,,,"MATCHS")),1)),INDIRECT(ADDRESS(30,3,,,"MATCHS"))),IF(IFERROR(FIND("--",INDIRECT(ADDRESS(35,5,,,"MATCHS"))),FALSE),RIGHT(INDIRECT(ADDRESS(35,5,,,"MATCHS")), FIND("--",INDIRECT(ADDRESS(35,5,,,"MATCHS")),1)),INDIRECT(ADDRESS(35,5,,,"MATCHS"))),IF(IFERROR(FIND("--",INDIRECT(ADDRESS(41,3,,,"MATCHS"))),FALSE),RIGHT(INDIRECT(ADDRESS(41,3,,,"MATCHS")), FIND("--",INDIRECT(ADDRESS(41,3,,,"MATCHS")),1)),INDIRECT(ADDRESS(41,3,,,"MATCHS"))),IF(IFERROR(FIND("--",INDIRECT(ADDRESS(46,5,,,"MATCHS"))),FALSE),RIGHT(INDIRECT(ADDRESS(46,5,,,"MATCHS")), FIND("--",INDIRECT(ADDRESS(46,5,,,"MATCHS")),1)),INDIRECT(ADDRESS(46,5,,,"MATCHS"))),IF(IFERROR(FIND("--",INDIRECT(ADDRESS(52,3,,,"MATCHS"))),FALSE),RIGHT(INDIRECT(ADDRESS(52,3,,,"MATCHS")), FIND("--",INDIRECT(ADDRESS(52,3,,,"MATCHS")),1)),INDIRECT(ADDRESS(52,3,,,"MATCHS"))),IF(IFERROR(FIND("--",INDIRECT(ADDRESS(57,5,,,"MATCHS"))),FALSE),RIGHT(INDIRECT(ADDRESS(57,5,,,"MATCHS")), FIND("--",INDIRECT(ADDRESS(57,5,,,"MATCHS")),1)),INDIRECT(ADDRESS(57,5,,,"MATCHS"))),IF(IFERROR(FIND("--",INDIRECT(ADDRESS(63,3,,,"MATCHS"))),FALSE),RIGHT(INDIRECT(ADDRESS(63,3,,,"MATCHS")), FIND("--",INDIRECT(ADDRESS(63,3,,,"MATCHS")),1)),INDIRECT(ADDRESS(63,3,,,"MATCHS"))),IF(IFERROR(FIND("--",INDIRECT(ADDRESS(68,5,,,"MATCHS"))),FALSE),RIGHT(INDIRECT(ADDRESS(68,5,,,"MATCHS")), FIND("--",INDIRECT(ADDRESS(68,5,,,"MATCHS")),1)),INDIRECT(ADDRESS(68,5,,,"MATCHS"))),IF(IFERROR(FIND("--",INDIRECT(ADDRESS(74,3,,,"MATCHS"))),FALSE),RIGHT(INDIRECT(ADDRESS(74,3,,,"MATCHS")), FIND("--",INDIRECT(ADDRESS(74,3,,,"MATCHS")),1)),INDIRECT(ADDRESS(74,3,,,"MATCHS"))),,,,,,,,,,,,,,,,,,,,,,,,,)</f>
        <v>0</v>
      </c>
      <c r="I11" s="194">
        <f ca="1">SUM(IF(IFERROR(FIND("--",INDIRECT(ADDRESS(5,3,,,"MATCHS"))),FALSE),RIGHT(INDIRECT(ADDRESS(5,3,,,"MATCHS")), FIND("--",INDIRECT(ADDRESS(5,3,,,"MATCHS")),1)),INDIRECT(ADDRESS(5,3,,,"MATCHS"))),IF(IFERROR(FIND("--",INDIRECT(ADDRESS(12,5,,,"MATCHS"))),FALSE),RIGHT(INDIRECT(ADDRESS(12,5,,,"MATCHS")), FIND("--",INDIRECT(ADDRESS(12,5,,,"MATCHS")),1)),INDIRECT(ADDRESS(12,5,,,"MATCHS"))),IF(IFERROR(FIND("--",INDIRECT(ADDRESS(18,3,,,"MATCHS"))),FALSE),RIGHT(INDIRECT(ADDRESS(18,3,,,"MATCHS")), FIND("--",INDIRECT(ADDRESS(18,3,,,"MATCHS")),1)),INDIRECT(ADDRESS(18,3,,,"MATCHS"))),IF(IFERROR(FIND("--",INDIRECT(ADDRESS(24,3,,,"MATCHS"))),FALSE),RIGHT(INDIRECT(ADDRESS(24,3,,,"MATCHS")), FIND("--",INDIRECT(ADDRESS(24,3,,,"MATCHS")),1)),INDIRECT(ADDRESS(24,3,,,"MATCHS"))),IF(IFERROR(FIND("--",INDIRECT(ADDRESS(30,5,,,"MATCHS"))),FALSE),RIGHT(INDIRECT(ADDRESS(30,5,,,"MATCHS")), FIND("--",INDIRECT(ADDRESS(30,5,,,"MATCHS")),1)),INDIRECT(ADDRESS(30,5,,,"MATCHS"))),IF(IFERROR(FIND("--",INDIRECT(ADDRESS(35,3,,,"MATCHS"))),FALSE),RIGHT(INDIRECT(ADDRESS(35,3,,,"MATCHS")), FIND("--",INDIRECT(ADDRESS(35,3,,,"MATCHS")),1)),INDIRECT(ADDRESS(35,3,,,"MATCHS"))),IF(IFERROR(FIND("--",INDIRECT(ADDRESS(41,5,,,"MATCHS"))),FALSE),RIGHT(INDIRECT(ADDRESS(41,5,,,"MATCHS")), FIND("--",INDIRECT(ADDRESS(41,5,,,"MATCHS")),1)),INDIRECT(ADDRESS(41,5,,,"MATCHS"))),IF(IFERROR(FIND("--",INDIRECT(ADDRESS(46,3,,,"MATCHS"))),FALSE),RIGHT(INDIRECT(ADDRESS(46,3,,,"MATCHS")), FIND("--",INDIRECT(ADDRESS(46,3,,,"MATCHS")),1)),INDIRECT(ADDRESS(46,3,,,"MATCHS"))),IF(IFERROR(FIND("--",INDIRECT(ADDRESS(52,5,,,"MATCHS"))),FALSE),RIGHT(INDIRECT(ADDRESS(52,5,,,"MATCHS")), FIND("--",INDIRECT(ADDRESS(52,5,,,"MATCHS")),1)),INDIRECT(ADDRESS(52,5,,,"MATCHS"))),IF(IFERROR(FIND("--",INDIRECT(ADDRESS(57,3,,,"MATCHS"))),FALSE),RIGHT(INDIRECT(ADDRESS(57,3,,,"MATCHS")), FIND("--",INDIRECT(ADDRESS(57,3,,,"MATCHS")),1)),INDIRECT(ADDRESS(57,3,,,"MATCHS"))),IF(IFERROR(FIND("--",INDIRECT(ADDRESS(63,5,,,"MATCHS"))),FALSE),RIGHT(INDIRECT(ADDRESS(63,5,,,"MATCHS")), FIND("--",INDIRECT(ADDRESS(63,5,,,"MATCHS")),1)),INDIRECT(ADDRESS(63,5,,,"MATCHS"))),IF(IFERROR(FIND("--",INDIRECT(ADDRESS(68,3,,,"MATCHS"))),FALSE),RIGHT(INDIRECT(ADDRESS(68,3,,,"MATCHS")), FIND("--",INDIRECT(ADDRESS(68,3,,,"MATCHS")),1)),INDIRECT(ADDRESS(68,3,,,"MATCHS"))),IF(IFERROR(FIND("--",INDIRECT(ADDRESS(74,5,,,"MATCHS"))),FALSE),RIGHT(INDIRECT(ADDRESS(74,5,,,"MATCHS")), FIND("--",INDIRECT(ADDRESS(74,5,,,"MATCHS")),1)),INDIRECT(ADDRESS(74,5,,,"MATCHS"))),,,,,,,,,,,,,,,,,,,,,,,,,)</f>
        <v>0</v>
      </c>
      <c r="J11" s="194">
        <f ca="1">H11 - I11</f>
        <v>0</v>
      </c>
      <c r="K11" s="194">
        <v>0</v>
      </c>
      <c r="L11" s="194">
        <v>8</v>
      </c>
      <c r="M11" s="194"/>
      <c r="N11" s="190"/>
    </row>
    <row r="12" spans="1:14" ht="15.75" x14ac:dyDescent="0.25">
      <c r="A12" s="193"/>
      <c r="B12" s="194">
        <v>9</v>
      </c>
      <c r="C12" s="194" t="s">
        <v>157</v>
      </c>
      <c r="D12" s="194" t="str">
        <f>INSCRITS!C10</f>
        <v>9A</v>
      </c>
      <c r="E12" s="197">
        <f ca="1">SUM(IF(INDIRECT(ADDRESS(6,3,,,"MATCHS"))&gt;INDIRECT(ADDRESS(6,5,,,"MATCHS")),1,0),IF(INDIRECT(ADDRESS(12,5,,,"MATCHS"))&gt;INDIRECT(ADDRESS(12,3,,,"MATCHS")),1,0),IF(INDIRECT(ADDRESS(18,5,,,"MATCHS"))&gt;INDIRECT(ADDRESS(18,3,,,"MATCHS")),1,0),IF(INDIRECT(ADDRESS(24,3,,,"MATCHS"))&gt;INDIRECT(ADDRESS(24,5,,,"MATCHS")),1,0),IF(INDIRECT(ADDRESS(29,5,,,"MATCHS"))&gt;INDIRECT(ADDRESS(29,3,,,"MATCHS")),1,0),IF(INDIRECT(ADDRESS(35,3,,,"MATCHS"))&gt;INDIRECT(ADDRESS(35,5,,,"MATCHS")),1,0),IF(INDIRECT(ADDRESS(40,5,,,"MATCHS"))&gt;INDIRECT(ADDRESS(40,3,,,"MATCHS")),1,0),IF(INDIRECT(ADDRESS(46,3,,,"MATCHS"))&gt;INDIRECT(ADDRESS(46,5,,,"MATCHS")),1,0),IF(INDIRECT(ADDRESS(51,5,,,"MATCHS"))&gt;INDIRECT(ADDRESS(51,3,,,"MATCHS")),1,0),IF(INDIRECT(ADDRESS(57,3,,,"MATCHS"))&gt;INDIRECT(ADDRESS(57,5,,,"MATCHS")),1,0),IF(INDIRECT(ADDRESS(62,5,,,"MATCHS"))&gt;INDIRECT(ADDRESS(62,3,,,"MATCHS")),1,0),IF(INDIRECT(ADDRESS(68,3,,,"MATCHS"))&gt;INDIRECT(ADDRESS(68,5,,,"MATCHS")),1,0),IF(INDIRECT(ADDRESS(74,5,,,"MATCHS"))&gt;INDIRECT(ADDRESS(74,3,,,"MATCHS")),1,0),,,,,,,,,,,,,,,,,,,,,,,,,) + 0.01 * K12</f>
        <v>0</v>
      </c>
      <c r="F12" s="194">
        <f ca="1">SUM(IF(INDIRECT(ADDRESS(6,3,,,"MATCHS"))&lt;INDIRECT(ADDRESS(6,5,,,"MATCHS")),1,0),IF(INDIRECT(ADDRESS(12,5,,,"MATCHS"))&lt;INDIRECT(ADDRESS(12,3,,,"MATCHS")),1,0),IF(INDIRECT(ADDRESS(18,5,,,"MATCHS"))&lt;INDIRECT(ADDRESS(18,3,,,"MATCHS")),1,0),IF(INDIRECT(ADDRESS(24,3,,,"MATCHS"))&lt;INDIRECT(ADDRESS(24,5,,,"MATCHS")),1,0),IF(INDIRECT(ADDRESS(29,5,,,"MATCHS"))&lt;INDIRECT(ADDRESS(29,3,,,"MATCHS")),1,0),IF(INDIRECT(ADDRESS(35,3,,,"MATCHS"))&lt;INDIRECT(ADDRESS(35,5,,,"MATCHS")),1,0),IF(INDIRECT(ADDRESS(40,5,,,"MATCHS"))&lt;INDIRECT(ADDRESS(40,3,,,"MATCHS")),1,0),IF(INDIRECT(ADDRESS(46,3,,,"MATCHS"))&lt;INDIRECT(ADDRESS(46,5,,,"MATCHS")),1,0),IF(INDIRECT(ADDRESS(51,5,,,"MATCHS"))&lt;INDIRECT(ADDRESS(51,3,,,"MATCHS")),1,0),IF(INDIRECT(ADDRESS(57,3,,,"MATCHS"))&lt;INDIRECT(ADDRESS(57,5,,,"MATCHS")),1,0),IF(INDIRECT(ADDRESS(62,5,,,"MATCHS"))&lt;INDIRECT(ADDRESS(62,3,,,"MATCHS")),1,0),IF(INDIRECT(ADDRESS(68,3,,,"MATCHS"))&lt;INDIRECT(ADDRESS(68,5,,,"MATCHS")),1,0),IF(INDIRECT(ADDRESS(74,5,,,"MATCHS"))&lt;INDIRECT(ADDRESS(74,3,,,"MATCHS")),1,0),,,,,,,,,,,,,,,,,,,,,,,,,)</f>
        <v>0</v>
      </c>
      <c r="G12" s="194"/>
      <c r="H12" s="194">
        <f ca="1">SUM(IF(IFERROR(FIND("--",INDIRECT(ADDRESS(6,3,,,"MATCHS"))),FALSE),RIGHT(INDIRECT(ADDRESS(6,3,,,"MATCHS")), FIND("--",INDIRECT(ADDRESS(6,3,,,"MATCHS")),1)),INDIRECT(ADDRESS(6,3,,,"MATCHS"))),IF(IFERROR(FIND("--",INDIRECT(ADDRESS(12,5,,,"MATCHS"))),FALSE),RIGHT(INDIRECT(ADDRESS(12,5,,,"MATCHS")), FIND("--",INDIRECT(ADDRESS(12,5,,,"MATCHS")),1)),INDIRECT(ADDRESS(12,5,,,"MATCHS"))),IF(IFERROR(FIND("--",INDIRECT(ADDRESS(18,5,,,"MATCHS"))),FALSE),RIGHT(INDIRECT(ADDRESS(18,5,,,"MATCHS")), FIND("--",INDIRECT(ADDRESS(18,5,,,"MATCHS")),1)),INDIRECT(ADDRESS(18,5,,,"MATCHS"))),IF(IFERROR(FIND("--",INDIRECT(ADDRESS(24,3,,,"MATCHS"))),FALSE),RIGHT(INDIRECT(ADDRESS(24,3,,,"MATCHS")), FIND("--",INDIRECT(ADDRESS(24,3,,,"MATCHS")),1)),INDIRECT(ADDRESS(24,3,,,"MATCHS"))),IF(IFERROR(FIND("--",INDIRECT(ADDRESS(29,5,,,"MATCHS"))),FALSE),RIGHT(INDIRECT(ADDRESS(29,5,,,"MATCHS")), FIND("--",INDIRECT(ADDRESS(29,5,,,"MATCHS")),1)),INDIRECT(ADDRESS(29,5,,,"MATCHS"))),IF(IFERROR(FIND("--",INDIRECT(ADDRESS(35,3,,,"MATCHS"))),FALSE),RIGHT(INDIRECT(ADDRESS(35,3,,,"MATCHS")), FIND("--",INDIRECT(ADDRESS(35,3,,,"MATCHS")),1)),INDIRECT(ADDRESS(35,3,,,"MATCHS"))),IF(IFERROR(FIND("--",INDIRECT(ADDRESS(40,5,,,"MATCHS"))),FALSE),RIGHT(INDIRECT(ADDRESS(40,5,,,"MATCHS")), FIND("--",INDIRECT(ADDRESS(40,5,,,"MATCHS")),1)),INDIRECT(ADDRESS(40,5,,,"MATCHS"))),IF(IFERROR(FIND("--",INDIRECT(ADDRESS(46,3,,,"MATCHS"))),FALSE),RIGHT(INDIRECT(ADDRESS(46,3,,,"MATCHS")), FIND("--",INDIRECT(ADDRESS(46,3,,,"MATCHS")),1)),INDIRECT(ADDRESS(46,3,,,"MATCHS"))),IF(IFERROR(FIND("--",INDIRECT(ADDRESS(51,5,,,"MATCHS"))),FALSE),RIGHT(INDIRECT(ADDRESS(51,5,,,"MATCHS")), FIND("--",INDIRECT(ADDRESS(51,5,,,"MATCHS")),1)),INDIRECT(ADDRESS(51,5,,,"MATCHS"))),IF(IFERROR(FIND("--",INDIRECT(ADDRESS(57,3,,,"MATCHS"))),FALSE),RIGHT(INDIRECT(ADDRESS(57,3,,,"MATCHS")), FIND("--",INDIRECT(ADDRESS(57,3,,,"MATCHS")),1)),INDIRECT(ADDRESS(57,3,,,"MATCHS"))),IF(IFERROR(FIND("--",INDIRECT(ADDRESS(62,5,,,"MATCHS"))),FALSE),RIGHT(INDIRECT(ADDRESS(62,5,,,"MATCHS")), FIND("--",INDIRECT(ADDRESS(62,5,,,"MATCHS")),1)),INDIRECT(ADDRESS(62,5,,,"MATCHS"))),IF(IFERROR(FIND("--",INDIRECT(ADDRESS(68,3,,,"MATCHS"))),FALSE),RIGHT(INDIRECT(ADDRESS(68,3,,,"MATCHS")), FIND("--",INDIRECT(ADDRESS(68,3,,,"MATCHS")),1)),INDIRECT(ADDRESS(68,3,,,"MATCHS"))),IF(IFERROR(FIND("--",INDIRECT(ADDRESS(74,5,,,"MATCHS"))),FALSE),RIGHT(INDIRECT(ADDRESS(74,5,,,"MATCHS")), FIND("--",INDIRECT(ADDRESS(74,5,,,"MATCHS")),1)),INDIRECT(ADDRESS(74,5,,,"MATCHS"))),,,,,,,,,,,,,,,,,,,,,,,,,)</f>
        <v>0</v>
      </c>
      <c r="I12" s="194">
        <f ca="1">SUM(IF(IFERROR(FIND("--",INDIRECT(ADDRESS(6,5,,,"MATCHS"))),FALSE),RIGHT(INDIRECT(ADDRESS(6,5,,,"MATCHS")), FIND("--",INDIRECT(ADDRESS(6,5,,,"MATCHS")),1)),INDIRECT(ADDRESS(6,5,,,"MATCHS"))),IF(IFERROR(FIND("--",INDIRECT(ADDRESS(12,3,,,"MATCHS"))),FALSE),RIGHT(INDIRECT(ADDRESS(12,3,,,"MATCHS")), FIND("--",INDIRECT(ADDRESS(12,3,,,"MATCHS")),1)),INDIRECT(ADDRESS(12,3,,,"MATCHS"))),IF(IFERROR(FIND("--",INDIRECT(ADDRESS(18,3,,,"MATCHS"))),FALSE),RIGHT(INDIRECT(ADDRESS(18,3,,,"MATCHS")), FIND("--",INDIRECT(ADDRESS(18,3,,,"MATCHS")),1)),INDIRECT(ADDRESS(18,3,,,"MATCHS"))),IF(IFERROR(FIND("--",INDIRECT(ADDRESS(24,5,,,"MATCHS"))),FALSE),RIGHT(INDIRECT(ADDRESS(24,5,,,"MATCHS")), FIND("--",INDIRECT(ADDRESS(24,5,,,"MATCHS")),1)),INDIRECT(ADDRESS(24,5,,,"MATCHS"))),IF(IFERROR(FIND("--",INDIRECT(ADDRESS(29,3,,,"MATCHS"))),FALSE),RIGHT(INDIRECT(ADDRESS(29,3,,,"MATCHS")), FIND("--",INDIRECT(ADDRESS(29,3,,,"MATCHS")),1)),INDIRECT(ADDRESS(29,3,,,"MATCHS"))),IF(IFERROR(FIND("--",INDIRECT(ADDRESS(35,5,,,"MATCHS"))),FALSE),RIGHT(INDIRECT(ADDRESS(35,5,,,"MATCHS")), FIND("--",INDIRECT(ADDRESS(35,5,,,"MATCHS")),1)),INDIRECT(ADDRESS(35,5,,,"MATCHS"))),IF(IFERROR(FIND("--",INDIRECT(ADDRESS(40,3,,,"MATCHS"))),FALSE),RIGHT(INDIRECT(ADDRESS(40,3,,,"MATCHS")), FIND("--",INDIRECT(ADDRESS(40,3,,,"MATCHS")),1)),INDIRECT(ADDRESS(40,3,,,"MATCHS"))),IF(IFERROR(FIND("--",INDIRECT(ADDRESS(46,5,,,"MATCHS"))),FALSE),RIGHT(INDIRECT(ADDRESS(46,5,,,"MATCHS")), FIND("--",INDIRECT(ADDRESS(46,5,,,"MATCHS")),1)),INDIRECT(ADDRESS(46,5,,,"MATCHS"))),IF(IFERROR(FIND("--",INDIRECT(ADDRESS(51,3,,,"MATCHS"))),FALSE),RIGHT(INDIRECT(ADDRESS(51,3,,,"MATCHS")), FIND("--",INDIRECT(ADDRESS(51,3,,,"MATCHS")),1)),INDIRECT(ADDRESS(51,3,,,"MATCHS"))),IF(IFERROR(FIND("--",INDIRECT(ADDRESS(57,5,,,"MATCHS"))),FALSE),RIGHT(INDIRECT(ADDRESS(57,5,,,"MATCHS")), FIND("--",INDIRECT(ADDRESS(57,5,,,"MATCHS")),1)),INDIRECT(ADDRESS(57,5,,,"MATCHS"))),IF(IFERROR(FIND("--",INDIRECT(ADDRESS(62,3,,,"MATCHS"))),FALSE),RIGHT(INDIRECT(ADDRESS(62,3,,,"MATCHS")), FIND("--",INDIRECT(ADDRESS(62,3,,,"MATCHS")),1)),INDIRECT(ADDRESS(62,3,,,"MATCHS"))),IF(IFERROR(FIND("--",INDIRECT(ADDRESS(68,5,,,"MATCHS"))),FALSE),RIGHT(INDIRECT(ADDRESS(68,5,,,"MATCHS")), FIND("--",INDIRECT(ADDRESS(68,5,,,"MATCHS")),1)),INDIRECT(ADDRESS(68,5,,,"MATCHS"))),IF(IFERROR(FIND("--",INDIRECT(ADDRESS(74,3,,,"MATCHS"))),FALSE),RIGHT(INDIRECT(ADDRESS(74,3,,,"MATCHS")), FIND("--",INDIRECT(ADDRESS(74,3,,,"MATCHS")),1)),INDIRECT(ADDRESS(74,3,,,"MATCHS"))),,,,,,,,,,,,,,,,,,,,,,,,,)</f>
        <v>0</v>
      </c>
      <c r="J12" s="194">
        <f ca="1">H12 - I12</f>
        <v>0</v>
      </c>
      <c r="K12" s="194">
        <v>0</v>
      </c>
      <c r="L12" s="194">
        <v>9</v>
      </c>
      <c r="M12" s="194"/>
      <c r="N12" s="190"/>
    </row>
    <row r="13" spans="1:14" ht="15.75" x14ac:dyDescent="0.25">
      <c r="A13" s="193"/>
      <c r="B13" s="194">
        <v>10</v>
      </c>
      <c r="C13" s="194" t="s">
        <v>158</v>
      </c>
      <c r="D13" s="194" t="str">
        <f>INSCRITS!C11</f>
        <v>10A</v>
      </c>
      <c r="E13" s="197">
        <f ca="1">SUM(IF(INDIRECT(ADDRESS(6,5,,,"MATCHS"))&gt;INDIRECT(ADDRESS(6,3,,,"MATCHS")),1,0),IF(INDIRECT(ADDRESS(12,5,,,"MATCHS"))&gt;INDIRECT(ADDRESS(12,3,,,"MATCHS")),1,0),IF(INDIRECT(ADDRESS(18,3,,,"MATCHS"))&gt;INDIRECT(ADDRESS(18,5,,,"MATCHS")),1,0),IF(INDIRECT(ADDRESS(23,5,,,"MATCHS"))&gt;INDIRECT(ADDRESS(23,3,,,"MATCHS")),1,0),IF(INDIRECT(ADDRESS(29,3,,,"MATCHS"))&gt;INDIRECT(ADDRESS(29,5,,,"MATCHS")),1,0),IF(INDIRECT(ADDRESS(34,5,,,"MATCHS"))&gt;INDIRECT(ADDRESS(34,3,,,"MATCHS")),1,0),IF(INDIRECT(ADDRESS(40,3,,,"MATCHS"))&gt;INDIRECT(ADDRESS(40,5,,,"MATCHS")),1,0),IF(INDIRECT(ADDRESS(45,5,,,"MATCHS"))&gt;INDIRECT(ADDRESS(45,3,,,"MATCHS")),1,0),IF(INDIRECT(ADDRESS(51,3,,,"MATCHS"))&gt;INDIRECT(ADDRESS(51,5,,,"MATCHS")),1,0),IF(INDIRECT(ADDRESS(56,5,,,"MATCHS"))&gt;INDIRECT(ADDRESS(56,3,,,"MATCHS")),1,0),IF(INDIRECT(ADDRESS(62,3,,,"MATCHS"))&gt;INDIRECT(ADDRESS(62,5,,,"MATCHS")),1,0),IF(INDIRECT(ADDRESS(68,5,,,"MATCHS"))&gt;INDIRECT(ADDRESS(68,3,,,"MATCHS")),1,0),IF(INDIRECT(ADDRESS(75,3,,,"MATCHS"))&gt;INDIRECT(ADDRESS(75,5,,,"MATCHS")),1,0),,,,,,,,,,,,,,,,,,,,,,,,,) + 0.01 * K13</f>
        <v>0</v>
      </c>
      <c r="F13" s="194">
        <f ca="1">SUM(IF(INDIRECT(ADDRESS(6,5,,,"MATCHS"))&lt;INDIRECT(ADDRESS(6,3,,,"MATCHS")),1,0),IF(INDIRECT(ADDRESS(12,5,,,"MATCHS"))&lt;INDIRECT(ADDRESS(12,3,,,"MATCHS")),1,0),IF(INDIRECT(ADDRESS(18,3,,,"MATCHS"))&lt;INDIRECT(ADDRESS(18,5,,,"MATCHS")),1,0),IF(INDIRECT(ADDRESS(23,5,,,"MATCHS"))&lt;INDIRECT(ADDRESS(23,3,,,"MATCHS")),1,0),IF(INDIRECT(ADDRESS(29,3,,,"MATCHS"))&lt;INDIRECT(ADDRESS(29,5,,,"MATCHS")),1,0),IF(INDIRECT(ADDRESS(34,5,,,"MATCHS"))&lt;INDIRECT(ADDRESS(34,3,,,"MATCHS")),1,0),IF(INDIRECT(ADDRESS(40,3,,,"MATCHS"))&lt;INDIRECT(ADDRESS(40,5,,,"MATCHS")),1,0),IF(INDIRECT(ADDRESS(45,5,,,"MATCHS"))&lt;INDIRECT(ADDRESS(45,3,,,"MATCHS")),1,0),IF(INDIRECT(ADDRESS(51,3,,,"MATCHS"))&lt;INDIRECT(ADDRESS(51,5,,,"MATCHS")),1,0),IF(INDIRECT(ADDRESS(56,5,,,"MATCHS"))&lt;INDIRECT(ADDRESS(56,3,,,"MATCHS")),1,0),IF(INDIRECT(ADDRESS(62,3,,,"MATCHS"))&lt;INDIRECT(ADDRESS(62,5,,,"MATCHS")),1,0),IF(INDIRECT(ADDRESS(68,5,,,"MATCHS"))&lt;INDIRECT(ADDRESS(68,3,,,"MATCHS")),1,0),IF(INDIRECT(ADDRESS(75,3,,,"MATCHS"))&lt;INDIRECT(ADDRESS(75,5,,,"MATCHS")),1,0),,,,,,,,,,,,,,,,,,,,,,,,,)</f>
        <v>0</v>
      </c>
      <c r="G13" s="194"/>
      <c r="H13" s="194">
        <f ca="1">SUM(IF(IFERROR(FIND("--",INDIRECT(ADDRESS(6,5,,,"MATCHS"))),FALSE),RIGHT(INDIRECT(ADDRESS(6,5,,,"MATCHS")), FIND("--",INDIRECT(ADDRESS(6,5,,,"MATCHS")),1)),INDIRECT(ADDRESS(6,5,,,"MATCHS"))),IF(IFERROR(FIND("--",INDIRECT(ADDRESS(12,5,,,"MATCHS"))),FALSE),RIGHT(INDIRECT(ADDRESS(12,5,,,"MATCHS")), FIND("--",INDIRECT(ADDRESS(12,5,,,"MATCHS")),1)),INDIRECT(ADDRESS(12,5,,,"MATCHS"))),IF(IFERROR(FIND("--",INDIRECT(ADDRESS(18,3,,,"MATCHS"))),FALSE),RIGHT(INDIRECT(ADDRESS(18,3,,,"MATCHS")), FIND("--",INDIRECT(ADDRESS(18,3,,,"MATCHS")),1)),INDIRECT(ADDRESS(18,3,,,"MATCHS"))),IF(IFERROR(FIND("--",INDIRECT(ADDRESS(23,5,,,"MATCHS"))),FALSE),RIGHT(INDIRECT(ADDRESS(23,5,,,"MATCHS")), FIND("--",INDIRECT(ADDRESS(23,5,,,"MATCHS")),1)),INDIRECT(ADDRESS(23,5,,,"MATCHS"))),IF(IFERROR(FIND("--",INDIRECT(ADDRESS(29,3,,,"MATCHS"))),FALSE),RIGHT(INDIRECT(ADDRESS(29,3,,,"MATCHS")), FIND("--",INDIRECT(ADDRESS(29,3,,,"MATCHS")),1)),INDIRECT(ADDRESS(29,3,,,"MATCHS"))),IF(IFERROR(FIND("--",INDIRECT(ADDRESS(34,5,,,"MATCHS"))),FALSE),RIGHT(INDIRECT(ADDRESS(34,5,,,"MATCHS")), FIND("--",INDIRECT(ADDRESS(34,5,,,"MATCHS")),1)),INDIRECT(ADDRESS(34,5,,,"MATCHS"))),IF(IFERROR(FIND("--",INDIRECT(ADDRESS(40,3,,,"MATCHS"))),FALSE),RIGHT(INDIRECT(ADDRESS(40,3,,,"MATCHS")), FIND("--",INDIRECT(ADDRESS(40,3,,,"MATCHS")),1)),INDIRECT(ADDRESS(40,3,,,"MATCHS"))),IF(IFERROR(FIND("--",INDIRECT(ADDRESS(45,5,,,"MATCHS"))),FALSE),RIGHT(INDIRECT(ADDRESS(45,5,,,"MATCHS")), FIND("--",INDIRECT(ADDRESS(45,5,,,"MATCHS")),1)),INDIRECT(ADDRESS(45,5,,,"MATCHS"))),IF(IFERROR(FIND("--",INDIRECT(ADDRESS(51,3,,,"MATCHS"))),FALSE),RIGHT(INDIRECT(ADDRESS(51,3,,,"MATCHS")), FIND("--",INDIRECT(ADDRESS(51,3,,,"MATCHS")),1)),INDIRECT(ADDRESS(51,3,,,"MATCHS"))),IF(IFERROR(FIND("--",INDIRECT(ADDRESS(56,5,,,"MATCHS"))),FALSE),RIGHT(INDIRECT(ADDRESS(56,5,,,"MATCHS")), FIND("--",INDIRECT(ADDRESS(56,5,,,"MATCHS")),1)),INDIRECT(ADDRESS(56,5,,,"MATCHS"))),IF(IFERROR(FIND("--",INDIRECT(ADDRESS(62,3,,,"MATCHS"))),FALSE),RIGHT(INDIRECT(ADDRESS(62,3,,,"MATCHS")), FIND("--",INDIRECT(ADDRESS(62,3,,,"MATCHS")),1)),INDIRECT(ADDRESS(62,3,,,"MATCHS"))),IF(IFERROR(FIND("--",INDIRECT(ADDRESS(68,5,,,"MATCHS"))),FALSE),RIGHT(INDIRECT(ADDRESS(68,5,,,"MATCHS")), FIND("--",INDIRECT(ADDRESS(68,5,,,"MATCHS")),1)),INDIRECT(ADDRESS(68,5,,,"MATCHS"))),IF(IFERROR(FIND("--",INDIRECT(ADDRESS(75,3,,,"MATCHS"))),FALSE),RIGHT(INDIRECT(ADDRESS(75,3,,,"MATCHS")), FIND("--",INDIRECT(ADDRESS(75,3,,,"MATCHS")),1)),INDIRECT(ADDRESS(75,3,,,"MATCHS"))),,,,,,,,,,,,,,,,,,,,,,,,,)</f>
        <v>0</v>
      </c>
      <c r="I13" s="194">
        <f ca="1">SUM(IF(IFERROR(FIND("--",INDIRECT(ADDRESS(6,3,,,"MATCHS"))),FALSE),RIGHT(INDIRECT(ADDRESS(6,3,,,"MATCHS")), FIND("--",INDIRECT(ADDRESS(6,3,,,"MATCHS")),1)),INDIRECT(ADDRESS(6,3,,,"MATCHS"))),IF(IFERROR(FIND("--",INDIRECT(ADDRESS(12,3,,,"MATCHS"))),FALSE),RIGHT(INDIRECT(ADDRESS(12,3,,,"MATCHS")), FIND("--",INDIRECT(ADDRESS(12,3,,,"MATCHS")),1)),INDIRECT(ADDRESS(12,3,,,"MATCHS"))),IF(IFERROR(FIND("--",INDIRECT(ADDRESS(18,5,,,"MATCHS"))),FALSE),RIGHT(INDIRECT(ADDRESS(18,5,,,"MATCHS")), FIND("--",INDIRECT(ADDRESS(18,5,,,"MATCHS")),1)),INDIRECT(ADDRESS(18,5,,,"MATCHS"))),IF(IFERROR(FIND("--",INDIRECT(ADDRESS(23,3,,,"MATCHS"))),FALSE),RIGHT(INDIRECT(ADDRESS(23,3,,,"MATCHS")), FIND("--",INDIRECT(ADDRESS(23,3,,,"MATCHS")),1)),INDIRECT(ADDRESS(23,3,,,"MATCHS"))),IF(IFERROR(FIND("--",INDIRECT(ADDRESS(29,5,,,"MATCHS"))),FALSE),RIGHT(INDIRECT(ADDRESS(29,5,,,"MATCHS")), FIND("--",INDIRECT(ADDRESS(29,5,,,"MATCHS")),1)),INDIRECT(ADDRESS(29,5,,,"MATCHS"))),IF(IFERROR(FIND("--",INDIRECT(ADDRESS(34,3,,,"MATCHS"))),FALSE),RIGHT(INDIRECT(ADDRESS(34,3,,,"MATCHS")), FIND("--",INDIRECT(ADDRESS(34,3,,,"MATCHS")),1)),INDIRECT(ADDRESS(34,3,,,"MATCHS"))),IF(IFERROR(FIND("--",INDIRECT(ADDRESS(40,5,,,"MATCHS"))),FALSE),RIGHT(INDIRECT(ADDRESS(40,5,,,"MATCHS")), FIND("--",INDIRECT(ADDRESS(40,5,,,"MATCHS")),1)),INDIRECT(ADDRESS(40,5,,,"MATCHS"))),IF(IFERROR(FIND("--",INDIRECT(ADDRESS(45,3,,,"MATCHS"))),FALSE),RIGHT(INDIRECT(ADDRESS(45,3,,,"MATCHS")), FIND("--",INDIRECT(ADDRESS(45,3,,,"MATCHS")),1)),INDIRECT(ADDRESS(45,3,,,"MATCHS"))),IF(IFERROR(FIND("--",INDIRECT(ADDRESS(51,5,,,"MATCHS"))),FALSE),RIGHT(INDIRECT(ADDRESS(51,5,,,"MATCHS")), FIND("--",INDIRECT(ADDRESS(51,5,,,"MATCHS")),1)),INDIRECT(ADDRESS(51,5,,,"MATCHS"))),IF(IFERROR(FIND("--",INDIRECT(ADDRESS(56,3,,,"MATCHS"))),FALSE),RIGHT(INDIRECT(ADDRESS(56,3,,,"MATCHS")), FIND("--",INDIRECT(ADDRESS(56,3,,,"MATCHS")),1)),INDIRECT(ADDRESS(56,3,,,"MATCHS"))),IF(IFERROR(FIND("--",INDIRECT(ADDRESS(62,5,,,"MATCHS"))),FALSE),RIGHT(INDIRECT(ADDRESS(62,5,,,"MATCHS")), FIND("--",INDIRECT(ADDRESS(62,5,,,"MATCHS")),1)),INDIRECT(ADDRESS(62,5,,,"MATCHS"))),IF(IFERROR(FIND("--",INDIRECT(ADDRESS(68,3,,,"MATCHS"))),FALSE),RIGHT(INDIRECT(ADDRESS(68,3,,,"MATCHS")), FIND("--",INDIRECT(ADDRESS(68,3,,,"MATCHS")),1)),INDIRECT(ADDRESS(68,3,,,"MATCHS"))),IF(IFERROR(FIND("--",INDIRECT(ADDRESS(75,5,,,"MATCHS"))),FALSE),RIGHT(INDIRECT(ADDRESS(75,5,,,"MATCHS")), FIND("--",INDIRECT(ADDRESS(75,5,,,"MATCHS")),1)),INDIRECT(ADDRESS(75,5,,,"MATCHS"))),,,,,,,,,,,,,,,,,,,,,,,,,)</f>
        <v>0</v>
      </c>
      <c r="J13" s="194">
        <f ca="1">H13 - I13</f>
        <v>0</v>
      </c>
      <c r="K13" s="194">
        <v>0</v>
      </c>
      <c r="L13" s="194">
        <v>10</v>
      </c>
      <c r="M13" s="194"/>
      <c r="N13" s="190"/>
    </row>
    <row r="14" spans="1:14" ht="15.75" x14ac:dyDescent="0.25">
      <c r="A14" s="193"/>
      <c r="B14" s="194">
        <v>11</v>
      </c>
      <c r="C14" s="194" t="s">
        <v>159</v>
      </c>
      <c r="D14" s="194" t="str">
        <f>INSCRITS!C12</f>
        <v>11A</v>
      </c>
      <c r="E14" s="197">
        <f ca="1">SUM(IF(INDIRECT(ADDRESS(6,5,,,"MATCHS"))&gt;INDIRECT(ADDRESS(6,3,,,"MATCHS")),1,0),IF(INDIRECT(ADDRESS(12,3,,,"MATCHS"))&gt;INDIRECT(ADDRESS(12,5,,,"MATCHS")),1,0),IF(INDIRECT(ADDRESS(17,5,,,"MATCHS"))&gt;INDIRECT(ADDRESS(17,3,,,"MATCHS")),1,0),IF(INDIRECT(ADDRESS(23,3,,,"MATCHS"))&gt;INDIRECT(ADDRESS(23,5,,,"MATCHS")),1,0),IF(INDIRECT(ADDRESS(28,5,,,"MATCHS"))&gt;INDIRECT(ADDRESS(28,3,,,"MATCHS")),1,0),IF(INDIRECT(ADDRESS(34,3,,,"MATCHS"))&gt;INDIRECT(ADDRESS(34,5,,,"MATCHS")),1,0),IF(INDIRECT(ADDRESS(39,5,,,"MATCHS"))&gt;INDIRECT(ADDRESS(39,3,,,"MATCHS")),1,0),IF(INDIRECT(ADDRESS(45,3,,,"MATCHS"))&gt;INDIRECT(ADDRESS(45,5,,,"MATCHS")),1,0),IF(INDIRECT(ADDRESS(50,5,,,"MATCHS"))&gt;INDIRECT(ADDRESS(50,3,,,"MATCHS")),1,0),IF(INDIRECT(ADDRESS(56,3,,,"MATCHS"))&gt;INDIRECT(ADDRESS(56,5,,,"MATCHS")),1,0),IF(INDIRECT(ADDRESS(62,5,,,"MATCHS"))&gt;INDIRECT(ADDRESS(62,3,,,"MATCHS")),1,0),IF(INDIRECT(ADDRESS(69,3,,,"MATCHS"))&gt;INDIRECT(ADDRESS(69,5,,,"MATCHS")),1,0),IF(INDIRECT(ADDRESS(75,5,,,"MATCHS"))&gt;INDIRECT(ADDRESS(75,3,,,"MATCHS")),1,0),,,,,,,,,,,,,,,,,,,,,,,,,) + 0.01 * K14</f>
        <v>0</v>
      </c>
      <c r="F14" s="194">
        <f ca="1">SUM(IF(INDIRECT(ADDRESS(6,5,,,"MATCHS"))&lt;INDIRECT(ADDRESS(6,3,,,"MATCHS")),1,0),IF(INDIRECT(ADDRESS(12,3,,,"MATCHS"))&lt;INDIRECT(ADDRESS(12,5,,,"MATCHS")),1,0),IF(INDIRECT(ADDRESS(17,5,,,"MATCHS"))&lt;INDIRECT(ADDRESS(17,3,,,"MATCHS")),1,0),IF(INDIRECT(ADDRESS(23,3,,,"MATCHS"))&lt;INDIRECT(ADDRESS(23,5,,,"MATCHS")),1,0),IF(INDIRECT(ADDRESS(28,5,,,"MATCHS"))&lt;INDIRECT(ADDRESS(28,3,,,"MATCHS")),1,0),IF(INDIRECT(ADDRESS(34,3,,,"MATCHS"))&lt;INDIRECT(ADDRESS(34,5,,,"MATCHS")),1,0),IF(INDIRECT(ADDRESS(39,5,,,"MATCHS"))&lt;INDIRECT(ADDRESS(39,3,,,"MATCHS")),1,0),IF(INDIRECT(ADDRESS(45,3,,,"MATCHS"))&lt;INDIRECT(ADDRESS(45,5,,,"MATCHS")),1,0),IF(INDIRECT(ADDRESS(50,5,,,"MATCHS"))&lt;INDIRECT(ADDRESS(50,3,,,"MATCHS")),1,0),IF(INDIRECT(ADDRESS(56,3,,,"MATCHS"))&lt;INDIRECT(ADDRESS(56,5,,,"MATCHS")),1,0),IF(INDIRECT(ADDRESS(62,5,,,"MATCHS"))&lt;INDIRECT(ADDRESS(62,3,,,"MATCHS")),1,0),IF(INDIRECT(ADDRESS(69,3,,,"MATCHS"))&lt;INDIRECT(ADDRESS(69,5,,,"MATCHS")),1,0),IF(INDIRECT(ADDRESS(75,5,,,"MATCHS"))&lt;INDIRECT(ADDRESS(75,3,,,"MATCHS")),1,0),,,,,,,,,,,,,,,,,,,,,,,,,)</f>
        <v>0</v>
      </c>
      <c r="G14" s="194"/>
      <c r="H14" s="194">
        <f ca="1">SUM(IF(IFERROR(FIND("--",INDIRECT(ADDRESS(6,5,,,"MATCHS"))),FALSE),RIGHT(INDIRECT(ADDRESS(6,5,,,"MATCHS")), FIND("--",INDIRECT(ADDRESS(6,5,,,"MATCHS")),1)),INDIRECT(ADDRESS(6,5,,,"MATCHS"))),IF(IFERROR(FIND("--",INDIRECT(ADDRESS(12,3,,,"MATCHS"))),FALSE),RIGHT(INDIRECT(ADDRESS(12,3,,,"MATCHS")), FIND("--",INDIRECT(ADDRESS(12,3,,,"MATCHS")),1)),INDIRECT(ADDRESS(12,3,,,"MATCHS"))),IF(IFERROR(FIND("--",INDIRECT(ADDRESS(17,5,,,"MATCHS"))),FALSE),RIGHT(INDIRECT(ADDRESS(17,5,,,"MATCHS")), FIND("--",INDIRECT(ADDRESS(17,5,,,"MATCHS")),1)),INDIRECT(ADDRESS(17,5,,,"MATCHS"))),IF(IFERROR(FIND("--",INDIRECT(ADDRESS(23,3,,,"MATCHS"))),FALSE),RIGHT(INDIRECT(ADDRESS(23,3,,,"MATCHS")), FIND("--",INDIRECT(ADDRESS(23,3,,,"MATCHS")),1)),INDIRECT(ADDRESS(23,3,,,"MATCHS"))),IF(IFERROR(FIND("--",INDIRECT(ADDRESS(28,5,,,"MATCHS"))),FALSE),RIGHT(INDIRECT(ADDRESS(28,5,,,"MATCHS")), FIND("--",INDIRECT(ADDRESS(28,5,,,"MATCHS")),1)),INDIRECT(ADDRESS(28,5,,,"MATCHS"))),IF(IFERROR(FIND("--",INDIRECT(ADDRESS(34,3,,,"MATCHS"))),FALSE),RIGHT(INDIRECT(ADDRESS(34,3,,,"MATCHS")), FIND("--",INDIRECT(ADDRESS(34,3,,,"MATCHS")),1)),INDIRECT(ADDRESS(34,3,,,"MATCHS"))),IF(IFERROR(FIND("--",INDIRECT(ADDRESS(39,5,,,"MATCHS"))),FALSE),RIGHT(INDIRECT(ADDRESS(39,5,,,"MATCHS")), FIND("--",INDIRECT(ADDRESS(39,5,,,"MATCHS")),1)),INDIRECT(ADDRESS(39,5,,,"MATCHS"))),IF(IFERROR(FIND("--",INDIRECT(ADDRESS(45,3,,,"MATCHS"))),FALSE),RIGHT(INDIRECT(ADDRESS(45,3,,,"MATCHS")), FIND("--",INDIRECT(ADDRESS(45,3,,,"MATCHS")),1)),INDIRECT(ADDRESS(45,3,,,"MATCHS"))),IF(IFERROR(FIND("--",INDIRECT(ADDRESS(50,5,,,"MATCHS"))),FALSE),RIGHT(INDIRECT(ADDRESS(50,5,,,"MATCHS")), FIND("--",INDIRECT(ADDRESS(50,5,,,"MATCHS")),1)),INDIRECT(ADDRESS(50,5,,,"MATCHS"))),IF(IFERROR(FIND("--",INDIRECT(ADDRESS(56,3,,,"MATCHS"))),FALSE),RIGHT(INDIRECT(ADDRESS(56,3,,,"MATCHS")), FIND("--",INDIRECT(ADDRESS(56,3,,,"MATCHS")),1)),INDIRECT(ADDRESS(56,3,,,"MATCHS"))),IF(IFERROR(FIND("--",INDIRECT(ADDRESS(62,5,,,"MATCHS"))),FALSE),RIGHT(INDIRECT(ADDRESS(62,5,,,"MATCHS")), FIND("--",INDIRECT(ADDRESS(62,5,,,"MATCHS")),1)),INDIRECT(ADDRESS(62,5,,,"MATCHS"))),IF(IFERROR(FIND("--",INDIRECT(ADDRESS(69,3,,,"MATCHS"))),FALSE),RIGHT(INDIRECT(ADDRESS(69,3,,,"MATCHS")), FIND("--",INDIRECT(ADDRESS(69,3,,,"MATCHS")),1)),INDIRECT(ADDRESS(69,3,,,"MATCHS"))),IF(IFERROR(FIND("--",INDIRECT(ADDRESS(75,5,,,"MATCHS"))),FALSE),RIGHT(INDIRECT(ADDRESS(75,5,,,"MATCHS")), FIND("--",INDIRECT(ADDRESS(75,5,,,"MATCHS")),1)),INDIRECT(ADDRESS(75,5,,,"MATCHS"))),,,,,,,,,,,,,,,,,,,,,,,,,)</f>
        <v>0</v>
      </c>
      <c r="I14" s="194">
        <f ca="1">SUM(IF(IFERROR(FIND("--",INDIRECT(ADDRESS(6,3,,,"MATCHS"))),FALSE),RIGHT(INDIRECT(ADDRESS(6,3,,,"MATCHS")), FIND("--",INDIRECT(ADDRESS(6,3,,,"MATCHS")),1)),INDIRECT(ADDRESS(6,3,,,"MATCHS"))),IF(IFERROR(FIND("--",INDIRECT(ADDRESS(12,5,,,"MATCHS"))),FALSE),RIGHT(INDIRECT(ADDRESS(12,5,,,"MATCHS")), FIND("--",INDIRECT(ADDRESS(12,5,,,"MATCHS")),1)),INDIRECT(ADDRESS(12,5,,,"MATCHS"))),IF(IFERROR(FIND("--",INDIRECT(ADDRESS(17,3,,,"MATCHS"))),FALSE),RIGHT(INDIRECT(ADDRESS(17,3,,,"MATCHS")), FIND("--",INDIRECT(ADDRESS(17,3,,,"MATCHS")),1)),INDIRECT(ADDRESS(17,3,,,"MATCHS"))),IF(IFERROR(FIND("--",INDIRECT(ADDRESS(23,5,,,"MATCHS"))),FALSE),RIGHT(INDIRECT(ADDRESS(23,5,,,"MATCHS")), FIND("--",INDIRECT(ADDRESS(23,5,,,"MATCHS")),1)),INDIRECT(ADDRESS(23,5,,,"MATCHS"))),IF(IFERROR(FIND("--",INDIRECT(ADDRESS(28,3,,,"MATCHS"))),FALSE),RIGHT(INDIRECT(ADDRESS(28,3,,,"MATCHS")), FIND("--",INDIRECT(ADDRESS(28,3,,,"MATCHS")),1)),INDIRECT(ADDRESS(28,3,,,"MATCHS"))),IF(IFERROR(FIND("--",INDIRECT(ADDRESS(34,5,,,"MATCHS"))),FALSE),RIGHT(INDIRECT(ADDRESS(34,5,,,"MATCHS")), FIND("--",INDIRECT(ADDRESS(34,5,,,"MATCHS")),1)),INDIRECT(ADDRESS(34,5,,,"MATCHS"))),IF(IFERROR(FIND("--",INDIRECT(ADDRESS(39,3,,,"MATCHS"))),FALSE),RIGHT(INDIRECT(ADDRESS(39,3,,,"MATCHS")), FIND("--",INDIRECT(ADDRESS(39,3,,,"MATCHS")),1)),INDIRECT(ADDRESS(39,3,,,"MATCHS"))),IF(IFERROR(FIND("--",INDIRECT(ADDRESS(45,5,,,"MATCHS"))),FALSE),RIGHT(INDIRECT(ADDRESS(45,5,,,"MATCHS")), FIND("--",INDIRECT(ADDRESS(45,5,,,"MATCHS")),1)),INDIRECT(ADDRESS(45,5,,,"MATCHS"))),IF(IFERROR(FIND("--",INDIRECT(ADDRESS(50,3,,,"MATCHS"))),FALSE),RIGHT(INDIRECT(ADDRESS(50,3,,,"MATCHS")), FIND("--",INDIRECT(ADDRESS(50,3,,,"MATCHS")),1)),INDIRECT(ADDRESS(50,3,,,"MATCHS"))),IF(IFERROR(FIND("--",INDIRECT(ADDRESS(56,5,,,"MATCHS"))),FALSE),RIGHT(INDIRECT(ADDRESS(56,5,,,"MATCHS")), FIND("--",INDIRECT(ADDRESS(56,5,,,"MATCHS")),1)),INDIRECT(ADDRESS(56,5,,,"MATCHS"))),IF(IFERROR(FIND("--",INDIRECT(ADDRESS(62,3,,,"MATCHS"))),FALSE),RIGHT(INDIRECT(ADDRESS(62,3,,,"MATCHS")), FIND("--",INDIRECT(ADDRESS(62,3,,,"MATCHS")),1)),INDIRECT(ADDRESS(62,3,,,"MATCHS"))),IF(IFERROR(FIND("--",INDIRECT(ADDRESS(69,5,,,"MATCHS"))),FALSE),RIGHT(INDIRECT(ADDRESS(69,5,,,"MATCHS")), FIND("--",INDIRECT(ADDRESS(69,5,,,"MATCHS")),1)),INDIRECT(ADDRESS(69,5,,,"MATCHS"))),IF(IFERROR(FIND("--",INDIRECT(ADDRESS(75,3,,,"MATCHS"))),FALSE),RIGHT(INDIRECT(ADDRESS(75,3,,,"MATCHS")), FIND("--",INDIRECT(ADDRESS(75,3,,,"MATCHS")),1)),INDIRECT(ADDRESS(75,3,,,"MATCHS"))),,,,,,,,,,,,,,,,,,,,,,,,,)</f>
        <v>0</v>
      </c>
      <c r="J14" s="194">
        <f ca="1">H14 - I14</f>
        <v>0</v>
      </c>
      <c r="K14" s="194">
        <v>0</v>
      </c>
      <c r="L14" s="194">
        <v>11</v>
      </c>
      <c r="M14" s="194"/>
      <c r="N14" s="190"/>
    </row>
    <row r="15" spans="1:14" ht="15.75" x14ac:dyDescent="0.25">
      <c r="A15" s="193"/>
      <c r="B15" s="194">
        <v>12</v>
      </c>
      <c r="C15" s="194" t="s">
        <v>160</v>
      </c>
      <c r="D15" s="194" t="str">
        <f>INSCRITS!C13</f>
        <v>12A</v>
      </c>
      <c r="E15" s="197">
        <f ca="1">SUM(IF(INDIRECT(ADDRESS(6,3,,,"MATCHS"))&gt;INDIRECT(ADDRESS(6,5,,,"MATCHS")),1,0),IF(INDIRECT(ADDRESS(11,5,,,"MATCHS"))&gt;INDIRECT(ADDRESS(11,3,,,"MATCHS")),1,0),IF(INDIRECT(ADDRESS(17,3,,,"MATCHS"))&gt;INDIRECT(ADDRESS(17,5,,,"MATCHS")),1,0),IF(INDIRECT(ADDRESS(22,5,,,"MATCHS"))&gt;INDIRECT(ADDRESS(22,3,,,"MATCHS")),1,0),IF(INDIRECT(ADDRESS(28,3,,,"MATCHS"))&gt;INDIRECT(ADDRESS(28,5,,,"MATCHS")),1,0),IF(INDIRECT(ADDRESS(33,5,,,"MATCHS"))&gt;INDIRECT(ADDRESS(33,3,,,"MATCHS")),1,0),IF(INDIRECT(ADDRESS(39,3,,,"MATCHS"))&gt;INDIRECT(ADDRESS(39,5,,,"MATCHS")),1,0),IF(INDIRECT(ADDRESS(44,5,,,"MATCHS"))&gt;INDIRECT(ADDRESS(44,3,,,"MATCHS")),1,0),IF(INDIRECT(ADDRESS(50,3,,,"MATCHS"))&gt;INDIRECT(ADDRESS(50,5,,,"MATCHS")),1,0),IF(INDIRECT(ADDRESS(56,5,,,"MATCHS"))&gt;INDIRECT(ADDRESS(56,3,,,"MATCHS")),1,0),IF(INDIRECT(ADDRESS(63,3,,,"MATCHS"))&gt;INDIRECT(ADDRESS(63,5,,,"MATCHS")),1,0),IF(INDIRECT(ADDRESS(69,5,,,"MATCHS"))&gt;INDIRECT(ADDRESS(69,3,,,"MATCHS")),1,0),IF(INDIRECT(ADDRESS(76,3,,,"MATCHS"))&gt;INDIRECT(ADDRESS(76,5,,,"MATCHS")),1,0),,,,,,,,,,,,,,,,,,,,,,,,,) + 0.01 * K15</f>
        <v>0</v>
      </c>
      <c r="F15" s="194">
        <f ca="1">SUM(IF(INDIRECT(ADDRESS(6,3,,,"MATCHS"))&lt;INDIRECT(ADDRESS(6,5,,,"MATCHS")),1,0),IF(INDIRECT(ADDRESS(11,5,,,"MATCHS"))&lt;INDIRECT(ADDRESS(11,3,,,"MATCHS")),1,0),IF(INDIRECT(ADDRESS(17,3,,,"MATCHS"))&lt;INDIRECT(ADDRESS(17,5,,,"MATCHS")),1,0),IF(INDIRECT(ADDRESS(22,5,,,"MATCHS"))&lt;INDIRECT(ADDRESS(22,3,,,"MATCHS")),1,0),IF(INDIRECT(ADDRESS(28,3,,,"MATCHS"))&lt;INDIRECT(ADDRESS(28,5,,,"MATCHS")),1,0),IF(INDIRECT(ADDRESS(33,5,,,"MATCHS"))&lt;INDIRECT(ADDRESS(33,3,,,"MATCHS")),1,0),IF(INDIRECT(ADDRESS(39,3,,,"MATCHS"))&lt;INDIRECT(ADDRESS(39,5,,,"MATCHS")),1,0),IF(INDIRECT(ADDRESS(44,5,,,"MATCHS"))&lt;INDIRECT(ADDRESS(44,3,,,"MATCHS")),1,0),IF(INDIRECT(ADDRESS(50,3,,,"MATCHS"))&lt;INDIRECT(ADDRESS(50,5,,,"MATCHS")),1,0),IF(INDIRECT(ADDRESS(56,5,,,"MATCHS"))&lt;INDIRECT(ADDRESS(56,3,,,"MATCHS")),1,0),IF(INDIRECT(ADDRESS(63,3,,,"MATCHS"))&lt;INDIRECT(ADDRESS(63,5,,,"MATCHS")),1,0),IF(INDIRECT(ADDRESS(69,5,,,"MATCHS"))&lt;INDIRECT(ADDRESS(69,3,,,"MATCHS")),1,0),IF(INDIRECT(ADDRESS(76,3,,,"MATCHS"))&lt;INDIRECT(ADDRESS(76,5,,,"MATCHS")),1,0),,,,,,,,,,,,,,,,,,,,,,,,,)</f>
        <v>0</v>
      </c>
      <c r="G15" s="194"/>
      <c r="H15" s="194">
        <f ca="1">SUM(IF(IFERROR(FIND("--",INDIRECT(ADDRESS(6,3,,,"MATCHS"))),FALSE),RIGHT(INDIRECT(ADDRESS(6,3,,,"MATCHS")), FIND("--",INDIRECT(ADDRESS(6,3,,,"MATCHS")),1)),INDIRECT(ADDRESS(6,3,,,"MATCHS"))),IF(IFERROR(FIND("--",INDIRECT(ADDRESS(11,5,,,"MATCHS"))),FALSE),RIGHT(INDIRECT(ADDRESS(11,5,,,"MATCHS")), FIND("--",INDIRECT(ADDRESS(11,5,,,"MATCHS")),1)),INDIRECT(ADDRESS(11,5,,,"MATCHS"))),IF(IFERROR(FIND("--",INDIRECT(ADDRESS(17,3,,,"MATCHS"))),FALSE),RIGHT(INDIRECT(ADDRESS(17,3,,,"MATCHS")), FIND("--",INDIRECT(ADDRESS(17,3,,,"MATCHS")),1)),INDIRECT(ADDRESS(17,3,,,"MATCHS"))),IF(IFERROR(FIND("--",INDIRECT(ADDRESS(22,5,,,"MATCHS"))),FALSE),RIGHT(INDIRECT(ADDRESS(22,5,,,"MATCHS")), FIND("--",INDIRECT(ADDRESS(22,5,,,"MATCHS")),1)),INDIRECT(ADDRESS(22,5,,,"MATCHS"))),IF(IFERROR(FIND("--",INDIRECT(ADDRESS(28,3,,,"MATCHS"))),FALSE),RIGHT(INDIRECT(ADDRESS(28,3,,,"MATCHS")), FIND("--",INDIRECT(ADDRESS(28,3,,,"MATCHS")),1)),INDIRECT(ADDRESS(28,3,,,"MATCHS"))),IF(IFERROR(FIND("--",INDIRECT(ADDRESS(33,5,,,"MATCHS"))),FALSE),RIGHT(INDIRECT(ADDRESS(33,5,,,"MATCHS")), FIND("--",INDIRECT(ADDRESS(33,5,,,"MATCHS")),1)),INDIRECT(ADDRESS(33,5,,,"MATCHS"))),IF(IFERROR(FIND("--",INDIRECT(ADDRESS(39,3,,,"MATCHS"))),FALSE),RIGHT(INDIRECT(ADDRESS(39,3,,,"MATCHS")), FIND("--",INDIRECT(ADDRESS(39,3,,,"MATCHS")),1)),INDIRECT(ADDRESS(39,3,,,"MATCHS"))),IF(IFERROR(FIND("--",INDIRECT(ADDRESS(44,5,,,"MATCHS"))),FALSE),RIGHT(INDIRECT(ADDRESS(44,5,,,"MATCHS")), FIND("--",INDIRECT(ADDRESS(44,5,,,"MATCHS")),1)),INDIRECT(ADDRESS(44,5,,,"MATCHS"))),IF(IFERROR(FIND("--",INDIRECT(ADDRESS(50,3,,,"MATCHS"))),FALSE),RIGHT(INDIRECT(ADDRESS(50,3,,,"MATCHS")), FIND("--",INDIRECT(ADDRESS(50,3,,,"MATCHS")),1)),INDIRECT(ADDRESS(50,3,,,"MATCHS"))),IF(IFERROR(FIND("--",INDIRECT(ADDRESS(56,5,,,"MATCHS"))),FALSE),RIGHT(INDIRECT(ADDRESS(56,5,,,"MATCHS")), FIND("--",INDIRECT(ADDRESS(56,5,,,"MATCHS")),1)),INDIRECT(ADDRESS(56,5,,,"MATCHS"))),IF(IFERROR(FIND("--",INDIRECT(ADDRESS(63,3,,,"MATCHS"))),FALSE),RIGHT(INDIRECT(ADDRESS(63,3,,,"MATCHS")), FIND("--",INDIRECT(ADDRESS(63,3,,,"MATCHS")),1)),INDIRECT(ADDRESS(63,3,,,"MATCHS"))),IF(IFERROR(FIND("--",INDIRECT(ADDRESS(69,5,,,"MATCHS"))),FALSE),RIGHT(INDIRECT(ADDRESS(69,5,,,"MATCHS")), FIND("--",INDIRECT(ADDRESS(69,5,,,"MATCHS")),1)),INDIRECT(ADDRESS(69,5,,,"MATCHS"))),IF(IFERROR(FIND("--",INDIRECT(ADDRESS(76,3,,,"MATCHS"))),FALSE),RIGHT(INDIRECT(ADDRESS(76,3,,,"MATCHS")), FIND("--",INDIRECT(ADDRESS(76,3,,,"MATCHS")),1)),INDIRECT(ADDRESS(76,3,,,"MATCHS"))),,,,,,,,,,,,,,,,,,,,,,,,,)</f>
        <v>0</v>
      </c>
      <c r="I15" s="194">
        <f ca="1">SUM(IF(IFERROR(FIND("--",INDIRECT(ADDRESS(6,5,,,"MATCHS"))),FALSE),RIGHT(INDIRECT(ADDRESS(6,5,,,"MATCHS")), FIND("--",INDIRECT(ADDRESS(6,5,,,"MATCHS")),1)),INDIRECT(ADDRESS(6,5,,,"MATCHS"))),IF(IFERROR(FIND("--",INDIRECT(ADDRESS(11,3,,,"MATCHS"))),FALSE),RIGHT(INDIRECT(ADDRESS(11,3,,,"MATCHS")), FIND("--",INDIRECT(ADDRESS(11,3,,,"MATCHS")),1)),INDIRECT(ADDRESS(11,3,,,"MATCHS"))),IF(IFERROR(FIND("--",INDIRECT(ADDRESS(17,5,,,"MATCHS"))),FALSE),RIGHT(INDIRECT(ADDRESS(17,5,,,"MATCHS")), FIND("--",INDIRECT(ADDRESS(17,5,,,"MATCHS")),1)),INDIRECT(ADDRESS(17,5,,,"MATCHS"))),IF(IFERROR(FIND("--",INDIRECT(ADDRESS(22,3,,,"MATCHS"))),FALSE),RIGHT(INDIRECT(ADDRESS(22,3,,,"MATCHS")), FIND("--",INDIRECT(ADDRESS(22,3,,,"MATCHS")),1)),INDIRECT(ADDRESS(22,3,,,"MATCHS"))),IF(IFERROR(FIND("--",INDIRECT(ADDRESS(28,5,,,"MATCHS"))),FALSE),RIGHT(INDIRECT(ADDRESS(28,5,,,"MATCHS")), FIND("--",INDIRECT(ADDRESS(28,5,,,"MATCHS")),1)),INDIRECT(ADDRESS(28,5,,,"MATCHS"))),IF(IFERROR(FIND("--",INDIRECT(ADDRESS(33,3,,,"MATCHS"))),FALSE),RIGHT(INDIRECT(ADDRESS(33,3,,,"MATCHS")), FIND("--",INDIRECT(ADDRESS(33,3,,,"MATCHS")),1)),INDIRECT(ADDRESS(33,3,,,"MATCHS"))),IF(IFERROR(FIND("--",INDIRECT(ADDRESS(39,5,,,"MATCHS"))),FALSE),RIGHT(INDIRECT(ADDRESS(39,5,,,"MATCHS")), FIND("--",INDIRECT(ADDRESS(39,5,,,"MATCHS")),1)),INDIRECT(ADDRESS(39,5,,,"MATCHS"))),IF(IFERROR(FIND("--",INDIRECT(ADDRESS(44,3,,,"MATCHS"))),FALSE),RIGHT(INDIRECT(ADDRESS(44,3,,,"MATCHS")), FIND("--",INDIRECT(ADDRESS(44,3,,,"MATCHS")),1)),INDIRECT(ADDRESS(44,3,,,"MATCHS"))),IF(IFERROR(FIND("--",INDIRECT(ADDRESS(50,5,,,"MATCHS"))),FALSE),RIGHT(INDIRECT(ADDRESS(50,5,,,"MATCHS")), FIND("--",INDIRECT(ADDRESS(50,5,,,"MATCHS")),1)),INDIRECT(ADDRESS(50,5,,,"MATCHS"))),IF(IFERROR(FIND("--",INDIRECT(ADDRESS(56,3,,,"MATCHS"))),FALSE),RIGHT(INDIRECT(ADDRESS(56,3,,,"MATCHS")), FIND("--",INDIRECT(ADDRESS(56,3,,,"MATCHS")),1)),INDIRECT(ADDRESS(56,3,,,"MATCHS"))),IF(IFERROR(FIND("--",INDIRECT(ADDRESS(63,5,,,"MATCHS"))),FALSE),RIGHT(INDIRECT(ADDRESS(63,5,,,"MATCHS")), FIND("--",INDIRECT(ADDRESS(63,5,,,"MATCHS")),1)),INDIRECT(ADDRESS(63,5,,,"MATCHS"))),IF(IFERROR(FIND("--",INDIRECT(ADDRESS(69,3,,,"MATCHS"))),FALSE),RIGHT(INDIRECT(ADDRESS(69,3,,,"MATCHS")), FIND("--",INDIRECT(ADDRESS(69,3,,,"MATCHS")),1)),INDIRECT(ADDRESS(69,3,,,"MATCHS"))),IF(IFERROR(FIND("--",INDIRECT(ADDRESS(76,5,,,"MATCHS"))),FALSE),RIGHT(INDIRECT(ADDRESS(76,5,,,"MATCHS")), FIND("--",INDIRECT(ADDRESS(76,5,,,"MATCHS")),1)),INDIRECT(ADDRESS(76,5,,,"MATCHS"))),,,,,,,,,,,,,,,,,,,,,,,,,)</f>
        <v>0</v>
      </c>
      <c r="J15" s="194">
        <f ca="1">H15 - I15</f>
        <v>0</v>
      </c>
      <c r="K15" s="194">
        <v>0</v>
      </c>
      <c r="L15" s="194">
        <v>12</v>
      </c>
      <c r="M15" s="194"/>
      <c r="N15" s="190"/>
    </row>
    <row r="16" spans="1:14" ht="15.75" x14ac:dyDescent="0.25">
      <c r="A16" s="193"/>
      <c r="B16" s="194">
        <v>13</v>
      </c>
      <c r="C16" s="194" t="s">
        <v>161</v>
      </c>
      <c r="D16" s="194" t="str">
        <f>INSCRITS!C14</f>
        <v>13A</v>
      </c>
      <c r="E16" s="197">
        <f ca="1">SUM(IF(INDIRECT(ADDRESS(5,5,,,"MATCHS"))&gt;INDIRECT(ADDRESS(5,3,,,"MATCHS")),1,0),IF(INDIRECT(ADDRESS(11,3,,,"MATCHS"))&gt;INDIRECT(ADDRESS(11,5,,,"MATCHS")),1,0),IF(INDIRECT(ADDRESS(16,5,,,"MATCHS"))&gt;INDIRECT(ADDRESS(16,3,,,"MATCHS")),1,0),IF(INDIRECT(ADDRESS(22,3,,,"MATCHS"))&gt;INDIRECT(ADDRESS(22,5,,,"MATCHS")),1,0),IF(INDIRECT(ADDRESS(27,5,,,"MATCHS"))&gt;INDIRECT(ADDRESS(27,3,,,"MATCHS")),1,0),IF(INDIRECT(ADDRESS(33,3,,,"MATCHS"))&gt;INDIRECT(ADDRESS(33,5,,,"MATCHS")),1,0),IF(INDIRECT(ADDRESS(38,5,,,"MATCHS"))&gt;INDIRECT(ADDRESS(38,3,,,"MATCHS")),1,0),IF(INDIRECT(ADDRESS(44,3,,,"MATCHS"))&gt;INDIRECT(ADDRESS(44,5,,,"MATCHS")),1,0),IF(INDIRECT(ADDRESS(50,5,,,"MATCHS"))&gt;INDIRECT(ADDRESS(50,3,,,"MATCHS")),1,0),IF(INDIRECT(ADDRESS(57,3,,,"MATCHS"))&gt;INDIRECT(ADDRESS(57,5,,,"MATCHS")),1,0),IF(INDIRECT(ADDRESS(63,5,,,"MATCHS"))&gt;INDIRECT(ADDRESS(63,3,,,"MATCHS")),1,0),IF(INDIRECT(ADDRESS(70,3,,,"MATCHS"))&gt;INDIRECT(ADDRESS(70,5,,,"MATCHS")),1,0),IF(INDIRECT(ADDRESS(76,5,,,"MATCHS"))&gt;INDIRECT(ADDRESS(76,3,,,"MATCHS")),1,0),,,,,,,,,,,,,,,,,,,,,,,,,) + 0.01 * K16</f>
        <v>0</v>
      </c>
      <c r="F16" s="194">
        <f ca="1">SUM(IF(INDIRECT(ADDRESS(5,5,,,"MATCHS"))&lt;INDIRECT(ADDRESS(5,3,,,"MATCHS")),1,0),IF(INDIRECT(ADDRESS(11,3,,,"MATCHS"))&lt;INDIRECT(ADDRESS(11,5,,,"MATCHS")),1,0),IF(INDIRECT(ADDRESS(16,5,,,"MATCHS"))&lt;INDIRECT(ADDRESS(16,3,,,"MATCHS")),1,0),IF(INDIRECT(ADDRESS(22,3,,,"MATCHS"))&lt;INDIRECT(ADDRESS(22,5,,,"MATCHS")),1,0),IF(INDIRECT(ADDRESS(27,5,,,"MATCHS"))&lt;INDIRECT(ADDRESS(27,3,,,"MATCHS")),1,0),IF(INDIRECT(ADDRESS(33,3,,,"MATCHS"))&lt;INDIRECT(ADDRESS(33,5,,,"MATCHS")),1,0),IF(INDIRECT(ADDRESS(38,5,,,"MATCHS"))&lt;INDIRECT(ADDRESS(38,3,,,"MATCHS")),1,0),IF(INDIRECT(ADDRESS(44,3,,,"MATCHS"))&lt;INDIRECT(ADDRESS(44,5,,,"MATCHS")),1,0),IF(INDIRECT(ADDRESS(50,5,,,"MATCHS"))&lt;INDIRECT(ADDRESS(50,3,,,"MATCHS")),1,0),IF(INDIRECT(ADDRESS(57,3,,,"MATCHS"))&lt;INDIRECT(ADDRESS(57,5,,,"MATCHS")),1,0),IF(INDIRECT(ADDRESS(63,5,,,"MATCHS"))&lt;INDIRECT(ADDRESS(63,3,,,"MATCHS")),1,0),IF(INDIRECT(ADDRESS(70,3,,,"MATCHS"))&lt;INDIRECT(ADDRESS(70,5,,,"MATCHS")),1,0),IF(INDIRECT(ADDRESS(76,5,,,"MATCHS"))&lt;INDIRECT(ADDRESS(76,3,,,"MATCHS")),1,0),,,,,,,,,,,,,,,,,,,,,,,,,)</f>
        <v>0</v>
      </c>
      <c r="G16" s="194"/>
      <c r="H16" s="194">
        <f ca="1">SUM(IF(IFERROR(FIND("--",INDIRECT(ADDRESS(5,5,,,"MATCHS"))),FALSE),RIGHT(INDIRECT(ADDRESS(5,5,,,"MATCHS")), FIND("--",INDIRECT(ADDRESS(5,5,,,"MATCHS")),1)),INDIRECT(ADDRESS(5,5,,,"MATCHS"))),IF(IFERROR(FIND("--",INDIRECT(ADDRESS(11,3,,,"MATCHS"))),FALSE),RIGHT(INDIRECT(ADDRESS(11,3,,,"MATCHS")), FIND("--",INDIRECT(ADDRESS(11,3,,,"MATCHS")),1)),INDIRECT(ADDRESS(11,3,,,"MATCHS"))),IF(IFERROR(FIND("--",INDIRECT(ADDRESS(16,5,,,"MATCHS"))),FALSE),RIGHT(INDIRECT(ADDRESS(16,5,,,"MATCHS")), FIND("--",INDIRECT(ADDRESS(16,5,,,"MATCHS")),1)),INDIRECT(ADDRESS(16,5,,,"MATCHS"))),IF(IFERROR(FIND("--",INDIRECT(ADDRESS(22,3,,,"MATCHS"))),FALSE),RIGHT(INDIRECT(ADDRESS(22,3,,,"MATCHS")), FIND("--",INDIRECT(ADDRESS(22,3,,,"MATCHS")),1)),INDIRECT(ADDRESS(22,3,,,"MATCHS"))),IF(IFERROR(FIND("--",INDIRECT(ADDRESS(27,5,,,"MATCHS"))),FALSE),RIGHT(INDIRECT(ADDRESS(27,5,,,"MATCHS")), FIND("--",INDIRECT(ADDRESS(27,5,,,"MATCHS")),1)),INDIRECT(ADDRESS(27,5,,,"MATCHS"))),IF(IFERROR(FIND("--",INDIRECT(ADDRESS(33,3,,,"MATCHS"))),FALSE),RIGHT(INDIRECT(ADDRESS(33,3,,,"MATCHS")), FIND("--",INDIRECT(ADDRESS(33,3,,,"MATCHS")),1)),INDIRECT(ADDRESS(33,3,,,"MATCHS"))),IF(IFERROR(FIND("--",INDIRECT(ADDRESS(38,5,,,"MATCHS"))),FALSE),RIGHT(INDIRECT(ADDRESS(38,5,,,"MATCHS")), FIND("--",INDIRECT(ADDRESS(38,5,,,"MATCHS")),1)),INDIRECT(ADDRESS(38,5,,,"MATCHS"))),IF(IFERROR(FIND("--",INDIRECT(ADDRESS(44,3,,,"MATCHS"))),FALSE),RIGHT(INDIRECT(ADDRESS(44,3,,,"MATCHS")), FIND("--",INDIRECT(ADDRESS(44,3,,,"MATCHS")),1)),INDIRECT(ADDRESS(44,3,,,"MATCHS"))),IF(IFERROR(FIND("--",INDIRECT(ADDRESS(50,5,,,"MATCHS"))),FALSE),RIGHT(INDIRECT(ADDRESS(50,5,,,"MATCHS")), FIND("--",INDIRECT(ADDRESS(50,5,,,"MATCHS")),1)),INDIRECT(ADDRESS(50,5,,,"MATCHS"))),IF(IFERROR(FIND("--",INDIRECT(ADDRESS(57,3,,,"MATCHS"))),FALSE),RIGHT(INDIRECT(ADDRESS(57,3,,,"MATCHS")), FIND("--",INDIRECT(ADDRESS(57,3,,,"MATCHS")),1)),INDIRECT(ADDRESS(57,3,,,"MATCHS"))),IF(IFERROR(FIND("--",INDIRECT(ADDRESS(63,5,,,"MATCHS"))),FALSE),RIGHT(INDIRECT(ADDRESS(63,5,,,"MATCHS")), FIND("--",INDIRECT(ADDRESS(63,5,,,"MATCHS")),1)),INDIRECT(ADDRESS(63,5,,,"MATCHS"))),IF(IFERROR(FIND("--",INDIRECT(ADDRESS(70,3,,,"MATCHS"))),FALSE),RIGHT(INDIRECT(ADDRESS(70,3,,,"MATCHS")), FIND("--",INDIRECT(ADDRESS(70,3,,,"MATCHS")),1)),INDIRECT(ADDRESS(70,3,,,"MATCHS"))),IF(IFERROR(FIND("--",INDIRECT(ADDRESS(76,5,,,"MATCHS"))),FALSE),RIGHT(INDIRECT(ADDRESS(76,5,,,"MATCHS")), FIND("--",INDIRECT(ADDRESS(76,5,,,"MATCHS")),1)),INDIRECT(ADDRESS(76,5,,,"MATCHS"))),,,,,,,,,,,,,,,,,,,,,,,,,)</f>
        <v>0</v>
      </c>
      <c r="I16" s="194">
        <f ca="1">SUM(IF(IFERROR(FIND("--",INDIRECT(ADDRESS(5,3,,,"MATCHS"))),FALSE),RIGHT(INDIRECT(ADDRESS(5,3,,,"MATCHS")), FIND("--",INDIRECT(ADDRESS(5,3,,,"MATCHS")),1)),INDIRECT(ADDRESS(5,3,,,"MATCHS"))),IF(IFERROR(FIND("--",INDIRECT(ADDRESS(11,5,,,"MATCHS"))),FALSE),RIGHT(INDIRECT(ADDRESS(11,5,,,"MATCHS")), FIND("--",INDIRECT(ADDRESS(11,5,,,"MATCHS")),1)),INDIRECT(ADDRESS(11,5,,,"MATCHS"))),IF(IFERROR(FIND("--",INDIRECT(ADDRESS(16,3,,,"MATCHS"))),FALSE),RIGHT(INDIRECT(ADDRESS(16,3,,,"MATCHS")), FIND("--",INDIRECT(ADDRESS(16,3,,,"MATCHS")),1)),INDIRECT(ADDRESS(16,3,,,"MATCHS"))),IF(IFERROR(FIND("--",INDIRECT(ADDRESS(22,5,,,"MATCHS"))),FALSE),RIGHT(INDIRECT(ADDRESS(22,5,,,"MATCHS")), FIND("--",INDIRECT(ADDRESS(22,5,,,"MATCHS")),1)),INDIRECT(ADDRESS(22,5,,,"MATCHS"))),IF(IFERROR(FIND("--",INDIRECT(ADDRESS(27,3,,,"MATCHS"))),FALSE),RIGHT(INDIRECT(ADDRESS(27,3,,,"MATCHS")), FIND("--",INDIRECT(ADDRESS(27,3,,,"MATCHS")),1)),INDIRECT(ADDRESS(27,3,,,"MATCHS"))),IF(IFERROR(FIND("--",INDIRECT(ADDRESS(33,5,,,"MATCHS"))),FALSE),RIGHT(INDIRECT(ADDRESS(33,5,,,"MATCHS")), FIND("--",INDIRECT(ADDRESS(33,5,,,"MATCHS")),1)),INDIRECT(ADDRESS(33,5,,,"MATCHS"))),IF(IFERROR(FIND("--",INDIRECT(ADDRESS(38,3,,,"MATCHS"))),FALSE),RIGHT(INDIRECT(ADDRESS(38,3,,,"MATCHS")), FIND("--",INDIRECT(ADDRESS(38,3,,,"MATCHS")),1)),INDIRECT(ADDRESS(38,3,,,"MATCHS"))),IF(IFERROR(FIND("--",INDIRECT(ADDRESS(44,5,,,"MATCHS"))),FALSE),RIGHT(INDIRECT(ADDRESS(44,5,,,"MATCHS")), FIND("--",INDIRECT(ADDRESS(44,5,,,"MATCHS")),1)),INDIRECT(ADDRESS(44,5,,,"MATCHS"))),IF(IFERROR(FIND("--",INDIRECT(ADDRESS(50,3,,,"MATCHS"))),FALSE),RIGHT(INDIRECT(ADDRESS(50,3,,,"MATCHS")), FIND("--",INDIRECT(ADDRESS(50,3,,,"MATCHS")),1)),INDIRECT(ADDRESS(50,3,,,"MATCHS"))),IF(IFERROR(FIND("--",INDIRECT(ADDRESS(57,5,,,"MATCHS"))),FALSE),RIGHT(INDIRECT(ADDRESS(57,5,,,"MATCHS")), FIND("--",INDIRECT(ADDRESS(57,5,,,"MATCHS")),1)),INDIRECT(ADDRESS(57,5,,,"MATCHS"))),IF(IFERROR(FIND("--",INDIRECT(ADDRESS(63,3,,,"MATCHS"))),FALSE),RIGHT(INDIRECT(ADDRESS(63,3,,,"MATCHS")), FIND("--",INDIRECT(ADDRESS(63,3,,,"MATCHS")),1)),INDIRECT(ADDRESS(63,3,,,"MATCHS"))),IF(IFERROR(FIND("--",INDIRECT(ADDRESS(70,5,,,"MATCHS"))),FALSE),RIGHT(INDIRECT(ADDRESS(70,5,,,"MATCHS")), FIND("--",INDIRECT(ADDRESS(70,5,,,"MATCHS")),1)),INDIRECT(ADDRESS(70,5,,,"MATCHS"))),IF(IFERROR(FIND("--",INDIRECT(ADDRESS(76,3,,,"MATCHS"))),FALSE),RIGHT(INDIRECT(ADDRESS(76,3,,,"MATCHS")), FIND("--",INDIRECT(ADDRESS(76,3,,,"MATCHS")),1)),INDIRECT(ADDRESS(76,3,,,"MATCHS"))),,,,,,,,,,,,,,,,,,,,,,,,,)</f>
        <v>0</v>
      </c>
      <c r="J16" s="194">
        <f ca="1">H16 - I16</f>
        <v>0</v>
      </c>
      <c r="K16" s="194">
        <v>0</v>
      </c>
      <c r="L16" s="194">
        <v>13</v>
      </c>
      <c r="M16" s="194"/>
      <c r="N16" s="190"/>
    </row>
    <row r="17" spans="1:14" ht="15.75" x14ac:dyDescent="0.25">
      <c r="A17" s="193"/>
      <c r="B17" s="194">
        <v>14</v>
      </c>
      <c r="C17" s="194" t="s">
        <v>162</v>
      </c>
      <c r="D17" s="194" t="str">
        <f>INSCRITS!C15</f>
        <v>14A</v>
      </c>
      <c r="E17" s="197">
        <f ca="1">SUM(IF(INDIRECT(ADDRESS(5,3,,,"MATCHS"))&gt;INDIRECT(ADDRESS(5,5,,,"MATCHS")),1,0),IF(INDIRECT(ADDRESS(10,5,,,"MATCHS"))&gt;INDIRECT(ADDRESS(10,3,,,"MATCHS")),1,0),IF(INDIRECT(ADDRESS(16,3,,,"MATCHS"))&gt;INDIRECT(ADDRESS(16,5,,,"MATCHS")),1,0),IF(INDIRECT(ADDRESS(21,5,,,"MATCHS"))&gt;INDIRECT(ADDRESS(21,3,,,"MATCHS")),1,0),IF(INDIRECT(ADDRESS(27,3,,,"MATCHS"))&gt;INDIRECT(ADDRESS(27,5,,,"MATCHS")),1,0),IF(INDIRECT(ADDRESS(32,5,,,"MATCHS"))&gt;INDIRECT(ADDRESS(32,3,,,"MATCHS")),1,0),IF(INDIRECT(ADDRESS(38,3,,,"MATCHS"))&gt;INDIRECT(ADDRESS(38,5,,,"MATCHS")),1,0),IF(INDIRECT(ADDRESS(44,5,,,"MATCHS"))&gt;INDIRECT(ADDRESS(44,3,,,"MATCHS")),1,0),IF(INDIRECT(ADDRESS(51,3,,,"MATCHS"))&gt;INDIRECT(ADDRESS(51,5,,,"MATCHS")),1,0),IF(INDIRECT(ADDRESS(57,5,,,"MATCHS"))&gt;INDIRECT(ADDRESS(57,3,,,"MATCHS")),1,0),IF(INDIRECT(ADDRESS(64,3,,,"MATCHS"))&gt;INDIRECT(ADDRESS(64,5,,,"MATCHS")),1,0),IF(INDIRECT(ADDRESS(70,5,,,"MATCHS"))&gt;INDIRECT(ADDRESS(70,3,,,"MATCHS")),1,0),,,,,,,,,,,,,,,,,,,,,,,,,,) + 0.01 * K17</f>
        <v>0</v>
      </c>
      <c r="F17" s="194">
        <f ca="1">SUM(IF(INDIRECT(ADDRESS(5,3,,,"MATCHS"))&lt;INDIRECT(ADDRESS(5,5,,,"MATCHS")),1,0),IF(INDIRECT(ADDRESS(10,5,,,"MATCHS"))&lt;INDIRECT(ADDRESS(10,3,,,"MATCHS")),1,0),IF(INDIRECT(ADDRESS(16,3,,,"MATCHS"))&lt;INDIRECT(ADDRESS(16,5,,,"MATCHS")),1,0),IF(INDIRECT(ADDRESS(21,5,,,"MATCHS"))&lt;INDIRECT(ADDRESS(21,3,,,"MATCHS")),1,0),IF(INDIRECT(ADDRESS(27,3,,,"MATCHS"))&lt;INDIRECT(ADDRESS(27,5,,,"MATCHS")),1,0),IF(INDIRECT(ADDRESS(32,5,,,"MATCHS"))&lt;INDIRECT(ADDRESS(32,3,,,"MATCHS")),1,0),IF(INDIRECT(ADDRESS(38,3,,,"MATCHS"))&lt;INDIRECT(ADDRESS(38,5,,,"MATCHS")),1,0),IF(INDIRECT(ADDRESS(44,5,,,"MATCHS"))&lt;INDIRECT(ADDRESS(44,3,,,"MATCHS")),1,0),IF(INDIRECT(ADDRESS(51,3,,,"MATCHS"))&lt;INDIRECT(ADDRESS(51,5,,,"MATCHS")),1,0),IF(INDIRECT(ADDRESS(57,5,,,"MATCHS"))&lt;INDIRECT(ADDRESS(57,3,,,"MATCHS")),1,0),IF(INDIRECT(ADDRESS(64,3,,,"MATCHS"))&lt;INDIRECT(ADDRESS(64,5,,,"MATCHS")),1,0),IF(INDIRECT(ADDRESS(70,5,,,"MATCHS"))&lt;INDIRECT(ADDRESS(70,3,,,"MATCHS")),1,0),,,,,,,,,,,,,,,,,,,,,,,,,,)</f>
        <v>0</v>
      </c>
      <c r="G17" s="194"/>
      <c r="H17" s="194">
        <f ca="1">SUM(IF(IFERROR(FIND("--",INDIRECT(ADDRESS(5,3,,,"MATCHS"))),FALSE),RIGHT(INDIRECT(ADDRESS(5,3,,,"MATCHS")), FIND("--",INDIRECT(ADDRESS(5,3,,,"MATCHS")),1)),INDIRECT(ADDRESS(5,3,,,"MATCHS"))),IF(IFERROR(FIND("--",INDIRECT(ADDRESS(10,5,,,"MATCHS"))),FALSE),RIGHT(INDIRECT(ADDRESS(10,5,,,"MATCHS")), FIND("--",INDIRECT(ADDRESS(10,5,,,"MATCHS")),1)),INDIRECT(ADDRESS(10,5,,,"MATCHS"))),IF(IFERROR(FIND("--",INDIRECT(ADDRESS(16,3,,,"MATCHS"))),FALSE),RIGHT(INDIRECT(ADDRESS(16,3,,,"MATCHS")), FIND("--",INDIRECT(ADDRESS(16,3,,,"MATCHS")),1)),INDIRECT(ADDRESS(16,3,,,"MATCHS"))),IF(IFERROR(FIND("--",INDIRECT(ADDRESS(21,5,,,"MATCHS"))),FALSE),RIGHT(INDIRECT(ADDRESS(21,5,,,"MATCHS")), FIND("--",INDIRECT(ADDRESS(21,5,,,"MATCHS")),1)),INDIRECT(ADDRESS(21,5,,,"MATCHS"))),IF(IFERROR(FIND("--",INDIRECT(ADDRESS(27,3,,,"MATCHS"))),FALSE),RIGHT(INDIRECT(ADDRESS(27,3,,,"MATCHS")), FIND("--",INDIRECT(ADDRESS(27,3,,,"MATCHS")),1)),INDIRECT(ADDRESS(27,3,,,"MATCHS"))),IF(IFERROR(FIND("--",INDIRECT(ADDRESS(32,5,,,"MATCHS"))),FALSE),RIGHT(INDIRECT(ADDRESS(32,5,,,"MATCHS")), FIND("--",INDIRECT(ADDRESS(32,5,,,"MATCHS")),1)),INDIRECT(ADDRESS(32,5,,,"MATCHS"))),IF(IFERROR(FIND("--",INDIRECT(ADDRESS(38,3,,,"MATCHS"))),FALSE),RIGHT(INDIRECT(ADDRESS(38,3,,,"MATCHS")), FIND("--",INDIRECT(ADDRESS(38,3,,,"MATCHS")),1)),INDIRECT(ADDRESS(38,3,,,"MATCHS"))),IF(IFERROR(FIND("--",INDIRECT(ADDRESS(44,5,,,"MATCHS"))),FALSE),RIGHT(INDIRECT(ADDRESS(44,5,,,"MATCHS")), FIND("--",INDIRECT(ADDRESS(44,5,,,"MATCHS")),1)),INDIRECT(ADDRESS(44,5,,,"MATCHS"))),IF(IFERROR(FIND("--",INDIRECT(ADDRESS(51,3,,,"MATCHS"))),FALSE),RIGHT(INDIRECT(ADDRESS(51,3,,,"MATCHS")), FIND("--",INDIRECT(ADDRESS(51,3,,,"MATCHS")),1)),INDIRECT(ADDRESS(51,3,,,"MATCHS"))),IF(IFERROR(FIND("--",INDIRECT(ADDRESS(57,5,,,"MATCHS"))),FALSE),RIGHT(INDIRECT(ADDRESS(57,5,,,"MATCHS")), FIND("--",INDIRECT(ADDRESS(57,5,,,"MATCHS")),1)),INDIRECT(ADDRESS(57,5,,,"MATCHS"))),IF(IFERROR(FIND("--",INDIRECT(ADDRESS(64,3,,,"MATCHS"))),FALSE),RIGHT(INDIRECT(ADDRESS(64,3,,,"MATCHS")), FIND("--",INDIRECT(ADDRESS(64,3,,,"MATCHS")),1)),INDIRECT(ADDRESS(64,3,,,"MATCHS"))),IF(IFERROR(FIND("--",INDIRECT(ADDRESS(70,5,,,"MATCHS"))),FALSE),RIGHT(INDIRECT(ADDRESS(70,5,,,"MATCHS")), FIND("--",INDIRECT(ADDRESS(70,5,,,"MATCHS")),1)),INDIRECT(ADDRESS(70,5,,,"MATCHS"))),,,,,,,,,,,,,,,,,,,,,,,,,,)</f>
        <v>0</v>
      </c>
      <c r="I17" s="194">
        <f ca="1">SUM(IF(IFERROR(FIND("--",INDIRECT(ADDRESS(5,5,,,"MATCHS"))),FALSE),RIGHT(INDIRECT(ADDRESS(5,5,,,"MATCHS")), FIND("--",INDIRECT(ADDRESS(5,5,,,"MATCHS")),1)),INDIRECT(ADDRESS(5,5,,,"MATCHS"))),IF(IFERROR(FIND("--",INDIRECT(ADDRESS(10,3,,,"MATCHS"))),FALSE),RIGHT(INDIRECT(ADDRESS(10,3,,,"MATCHS")), FIND("--",INDIRECT(ADDRESS(10,3,,,"MATCHS")),1)),INDIRECT(ADDRESS(10,3,,,"MATCHS"))),IF(IFERROR(FIND("--",INDIRECT(ADDRESS(16,5,,,"MATCHS"))),FALSE),RIGHT(INDIRECT(ADDRESS(16,5,,,"MATCHS")), FIND("--",INDIRECT(ADDRESS(16,5,,,"MATCHS")),1)),INDIRECT(ADDRESS(16,5,,,"MATCHS"))),IF(IFERROR(FIND("--",INDIRECT(ADDRESS(21,3,,,"MATCHS"))),FALSE),RIGHT(INDIRECT(ADDRESS(21,3,,,"MATCHS")), FIND("--",INDIRECT(ADDRESS(21,3,,,"MATCHS")),1)),INDIRECT(ADDRESS(21,3,,,"MATCHS"))),IF(IFERROR(FIND("--",INDIRECT(ADDRESS(27,5,,,"MATCHS"))),FALSE),RIGHT(INDIRECT(ADDRESS(27,5,,,"MATCHS")), FIND("--",INDIRECT(ADDRESS(27,5,,,"MATCHS")),1)),INDIRECT(ADDRESS(27,5,,,"MATCHS"))),IF(IFERROR(FIND("--",INDIRECT(ADDRESS(32,3,,,"MATCHS"))),FALSE),RIGHT(INDIRECT(ADDRESS(32,3,,,"MATCHS")), FIND("--",INDIRECT(ADDRESS(32,3,,,"MATCHS")),1)),INDIRECT(ADDRESS(32,3,,,"MATCHS"))),IF(IFERROR(FIND("--",INDIRECT(ADDRESS(38,5,,,"MATCHS"))),FALSE),RIGHT(INDIRECT(ADDRESS(38,5,,,"MATCHS")), FIND("--",INDIRECT(ADDRESS(38,5,,,"MATCHS")),1)),INDIRECT(ADDRESS(38,5,,,"MATCHS"))),IF(IFERROR(FIND("--",INDIRECT(ADDRESS(44,3,,,"MATCHS"))),FALSE),RIGHT(INDIRECT(ADDRESS(44,3,,,"MATCHS")), FIND("--",INDIRECT(ADDRESS(44,3,,,"MATCHS")),1)),INDIRECT(ADDRESS(44,3,,,"MATCHS"))),IF(IFERROR(FIND("--",INDIRECT(ADDRESS(51,5,,,"MATCHS"))),FALSE),RIGHT(INDIRECT(ADDRESS(51,5,,,"MATCHS")), FIND("--",INDIRECT(ADDRESS(51,5,,,"MATCHS")),1)),INDIRECT(ADDRESS(51,5,,,"MATCHS"))),IF(IFERROR(FIND("--",INDIRECT(ADDRESS(57,3,,,"MATCHS"))),FALSE),RIGHT(INDIRECT(ADDRESS(57,3,,,"MATCHS")), FIND("--",INDIRECT(ADDRESS(57,3,,,"MATCHS")),1)),INDIRECT(ADDRESS(57,3,,,"MATCHS"))),IF(IFERROR(FIND("--",INDIRECT(ADDRESS(64,5,,,"MATCHS"))),FALSE),RIGHT(INDIRECT(ADDRESS(64,5,,,"MATCHS")), FIND("--",INDIRECT(ADDRESS(64,5,,,"MATCHS")),1)),INDIRECT(ADDRESS(64,5,,,"MATCHS"))),IF(IFERROR(FIND("--",INDIRECT(ADDRESS(70,3,,,"MATCHS"))),FALSE),RIGHT(INDIRECT(ADDRESS(70,3,,,"MATCHS")), FIND("--",INDIRECT(ADDRESS(70,3,,,"MATCHS")),1)),INDIRECT(ADDRESS(70,3,,,"MATCHS"))),,,,,,,,,,,,,,,,,,,,,,,,,,)</f>
        <v>0</v>
      </c>
      <c r="J17" s="194">
        <f ca="1">H17 - I17</f>
        <v>0</v>
      </c>
      <c r="K17" s="194">
        <v>0</v>
      </c>
      <c r="L17" s="194">
        <v>14</v>
      </c>
      <c r="M17" s="194"/>
      <c r="N17" s="190"/>
    </row>
    <row r="18" spans="1:14" ht="15.75" x14ac:dyDescent="0.25">
      <c r="A18" s="193"/>
      <c r="B18" s="194">
        <v>15</v>
      </c>
      <c r="C18" s="194" t="s">
        <v>163</v>
      </c>
      <c r="D18" s="194" t="str">
        <f>INSCRITS!C16</f>
        <v>15A</v>
      </c>
      <c r="E18" s="197">
        <f ca="1">SUM(IF(INDIRECT(ADDRESS(4,5,,,"MATCHS"))&gt;INDIRECT(ADDRESS(4,3,,,"MATCHS")),1,0),IF(INDIRECT(ADDRESS(10,3,,,"MATCHS"))&gt;INDIRECT(ADDRESS(10,5,,,"MATCHS")),1,0),IF(INDIRECT(ADDRESS(15,5,,,"MATCHS"))&gt;INDIRECT(ADDRESS(15,3,,,"MATCHS")),1,0),IF(INDIRECT(ADDRESS(21,3,,,"MATCHS"))&gt;INDIRECT(ADDRESS(21,5,,,"MATCHS")),1,0),IF(INDIRECT(ADDRESS(26,5,,,"MATCHS"))&gt;INDIRECT(ADDRESS(26,3,,,"MATCHS")),1,0),IF(INDIRECT(ADDRESS(32,3,,,"MATCHS"))&gt;INDIRECT(ADDRESS(32,5,,,"MATCHS")),1,0),IF(INDIRECT(ADDRESS(38,5,,,"MATCHS"))&gt;INDIRECT(ADDRESS(38,3,,,"MATCHS")),1,0),IF(INDIRECT(ADDRESS(45,3,,,"MATCHS"))&gt;INDIRECT(ADDRESS(45,5,,,"MATCHS")),1,0),IF(INDIRECT(ADDRESS(51,5,,,"MATCHS"))&gt;INDIRECT(ADDRESS(51,3,,,"MATCHS")),1,0),IF(INDIRECT(ADDRESS(58,3,,,"MATCHS"))&gt;INDIRECT(ADDRESS(58,5,,,"MATCHS")),1,0),IF(INDIRECT(ADDRESS(64,5,,,"MATCHS"))&gt;INDIRECT(ADDRESS(64,3,,,"MATCHS")),1,0),IF(INDIRECT(ADDRESS(71,3,,,"MATCHS"))&gt;INDIRECT(ADDRESS(71,5,,,"MATCHS")),1,0),,,,,,,,,,,,,,,,,,,,,,,,,,) + 0.01 * K18</f>
        <v>0</v>
      </c>
      <c r="F18" s="194">
        <f ca="1">SUM(IF(INDIRECT(ADDRESS(4,5,,,"MATCHS"))&lt;INDIRECT(ADDRESS(4,3,,,"MATCHS")),1,0),IF(INDIRECT(ADDRESS(10,3,,,"MATCHS"))&lt;INDIRECT(ADDRESS(10,5,,,"MATCHS")),1,0),IF(INDIRECT(ADDRESS(15,5,,,"MATCHS"))&lt;INDIRECT(ADDRESS(15,3,,,"MATCHS")),1,0),IF(INDIRECT(ADDRESS(21,3,,,"MATCHS"))&lt;INDIRECT(ADDRESS(21,5,,,"MATCHS")),1,0),IF(INDIRECT(ADDRESS(26,5,,,"MATCHS"))&lt;INDIRECT(ADDRESS(26,3,,,"MATCHS")),1,0),IF(INDIRECT(ADDRESS(32,3,,,"MATCHS"))&lt;INDIRECT(ADDRESS(32,5,,,"MATCHS")),1,0),IF(INDIRECT(ADDRESS(38,5,,,"MATCHS"))&lt;INDIRECT(ADDRESS(38,3,,,"MATCHS")),1,0),IF(INDIRECT(ADDRESS(45,3,,,"MATCHS"))&lt;INDIRECT(ADDRESS(45,5,,,"MATCHS")),1,0),IF(INDIRECT(ADDRESS(51,5,,,"MATCHS"))&lt;INDIRECT(ADDRESS(51,3,,,"MATCHS")),1,0),IF(INDIRECT(ADDRESS(58,3,,,"MATCHS"))&lt;INDIRECT(ADDRESS(58,5,,,"MATCHS")),1,0),IF(INDIRECT(ADDRESS(64,5,,,"MATCHS"))&lt;INDIRECT(ADDRESS(64,3,,,"MATCHS")),1,0),IF(INDIRECT(ADDRESS(71,3,,,"MATCHS"))&lt;INDIRECT(ADDRESS(71,5,,,"MATCHS")),1,0),,,,,,,,,,,,,,,,,,,,,,,,,,)</f>
        <v>0</v>
      </c>
      <c r="G18" s="194"/>
      <c r="H18" s="194">
        <f ca="1">SUM(IF(IFERROR(FIND("--",INDIRECT(ADDRESS(4,5,,,"MATCHS"))),FALSE),RIGHT(INDIRECT(ADDRESS(4,5,,,"MATCHS")), FIND("--",INDIRECT(ADDRESS(4,5,,,"MATCHS")),1)),INDIRECT(ADDRESS(4,5,,,"MATCHS"))),IF(IFERROR(FIND("--",INDIRECT(ADDRESS(10,3,,,"MATCHS"))),FALSE),RIGHT(INDIRECT(ADDRESS(10,3,,,"MATCHS")), FIND("--",INDIRECT(ADDRESS(10,3,,,"MATCHS")),1)),INDIRECT(ADDRESS(10,3,,,"MATCHS"))),IF(IFERROR(FIND("--",INDIRECT(ADDRESS(15,5,,,"MATCHS"))),FALSE),RIGHT(INDIRECT(ADDRESS(15,5,,,"MATCHS")), FIND("--",INDIRECT(ADDRESS(15,5,,,"MATCHS")),1)),INDIRECT(ADDRESS(15,5,,,"MATCHS"))),IF(IFERROR(FIND("--",INDIRECT(ADDRESS(21,3,,,"MATCHS"))),FALSE),RIGHT(INDIRECT(ADDRESS(21,3,,,"MATCHS")), FIND("--",INDIRECT(ADDRESS(21,3,,,"MATCHS")),1)),INDIRECT(ADDRESS(21,3,,,"MATCHS"))),IF(IFERROR(FIND("--",INDIRECT(ADDRESS(26,5,,,"MATCHS"))),FALSE),RIGHT(INDIRECT(ADDRESS(26,5,,,"MATCHS")), FIND("--",INDIRECT(ADDRESS(26,5,,,"MATCHS")),1)),INDIRECT(ADDRESS(26,5,,,"MATCHS"))),IF(IFERROR(FIND("--",INDIRECT(ADDRESS(32,3,,,"MATCHS"))),FALSE),RIGHT(INDIRECT(ADDRESS(32,3,,,"MATCHS")), FIND("--",INDIRECT(ADDRESS(32,3,,,"MATCHS")),1)),INDIRECT(ADDRESS(32,3,,,"MATCHS"))),IF(IFERROR(FIND("--",INDIRECT(ADDRESS(38,5,,,"MATCHS"))),FALSE),RIGHT(INDIRECT(ADDRESS(38,5,,,"MATCHS")), FIND("--",INDIRECT(ADDRESS(38,5,,,"MATCHS")),1)),INDIRECT(ADDRESS(38,5,,,"MATCHS"))),IF(IFERROR(FIND("--",INDIRECT(ADDRESS(45,3,,,"MATCHS"))),FALSE),RIGHT(INDIRECT(ADDRESS(45,3,,,"MATCHS")), FIND("--",INDIRECT(ADDRESS(45,3,,,"MATCHS")),1)),INDIRECT(ADDRESS(45,3,,,"MATCHS"))),IF(IFERROR(FIND("--",INDIRECT(ADDRESS(51,5,,,"MATCHS"))),FALSE),RIGHT(INDIRECT(ADDRESS(51,5,,,"MATCHS")), FIND("--",INDIRECT(ADDRESS(51,5,,,"MATCHS")),1)),INDIRECT(ADDRESS(51,5,,,"MATCHS"))),IF(IFERROR(FIND("--",INDIRECT(ADDRESS(58,3,,,"MATCHS"))),FALSE),RIGHT(INDIRECT(ADDRESS(58,3,,,"MATCHS")), FIND("--",INDIRECT(ADDRESS(58,3,,,"MATCHS")),1)),INDIRECT(ADDRESS(58,3,,,"MATCHS"))),IF(IFERROR(FIND("--",INDIRECT(ADDRESS(64,5,,,"MATCHS"))),FALSE),RIGHT(INDIRECT(ADDRESS(64,5,,,"MATCHS")), FIND("--",INDIRECT(ADDRESS(64,5,,,"MATCHS")),1)),INDIRECT(ADDRESS(64,5,,,"MATCHS"))),IF(IFERROR(FIND("--",INDIRECT(ADDRESS(71,3,,,"MATCHS"))),FALSE),RIGHT(INDIRECT(ADDRESS(71,3,,,"MATCHS")), FIND("--",INDIRECT(ADDRESS(71,3,,,"MATCHS")),1)),INDIRECT(ADDRESS(71,3,,,"MATCHS"))),,,,,,,,,,,,,,,,,,,,,,,,,,)</f>
        <v>0</v>
      </c>
      <c r="I18" s="194">
        <f ca="1">SUM(IF(IFERROR(FIND("--",INDIRECT(ADDRESS(4,3,,,"MATCHS"))),FALSE),RIGHT(INDIRECT(ADDRESS(4,3,,,"MATCHS")), FIND("--",INDIRECT(ADDRESS(4,3,,,"MATCHS")),1)),INDIRECT(ADDRESS(4,3,,,"MATCHS"))),IF(IFERROR(FIND("--",INDIRECT(ADDRESS(10,5,,,"MATCHS"))),FALSE),RIGHT(INDIRECT(ADDRESS(10,5,,,"MATCHS")), FIND("--",INDIRECT(ADDRESS(10,5,,,"MATCHS")),1)),INDIRECT(ADDRESS(10,5,,,"MATCHS"))),IF(IFERROR(FIND("--",INDIRECT(ADDRESS(15,3,,,"MATCHS"))),FALSE),RIGHT(INDIRECT(ADDRESS(15,3,,,"MATCHS")), FIND("--",INDIRECT(ADDRESS(15,3,,,"MATCHS")),1)),INDIRECT(ADDRESS(15,3,,,"MATCHS"))),IF(IFERROR(FIND("--",INDIRECT(ADDRESS(21,5,,,"MATCHS"))),FALSE),RIGHT(INDIRECT(ADDRESS(21,5,,,"MATCHS")), FIND("--",INDIRECT(ADDRESS(21,5,,,"MATCHS")),1)),INDIRECT(ADDRESS(21,5,,,"MATCHS"))),IF(IFERROR(FIND("--",INDIRECT(ADDRESS(26,3,,,"MATCHS"))),FALSE),RIGHT(INDIRECT(ADDRESS(26,3,,,"MATCHS")), FIND("--",INDIRECT(ADDRESS(26,3,,,"MATCHS")),1)),INDIRECT(ADDRESS(26,3,,,"MATCHS"))),IF(IFERROR(FIND("--",INDIRECT(ADDRESS(32,5,,,"MATCHS"))),FALSE),RIGHT(INDIRECT(ADDRESS(32,5,,,"MATCHS")), FIND("--",INDIRECT(ADDRESS(32,5,,,"MATCHS")),1)),INDIRECT(ADDRESS(32,5,,,"MATCHS"))),IF(IFERROR(FIND("--",INDIRECT(ADDRESS(38,3,,,"MATCHS"))),FALSE),RIGHT(INDIRECT(ADDRESS(38,3,,,"MATCHS")), FIND("--",INDIRECT(ADDRESS(38,3,,,"MATCHS")),1)),INDIRECT(ADDRESS(38,3,,,"MATCHS"))),IF(IFERROR(FIND("--",INDIRECT(ADDRESS(45,5,,,"MATCHS"))),FALSE),RIGHT(INDIRECT(ADDRESS(45,5,,,"MATCHS")), FIND("--",INDIRECT(ADDRESS(45,5,,,"MATCHS")),1)),INDIRECT(ADDRESS(45,5,,,"MATCHS"))),IF(IFERROR(FIND("--",INDIRECT(ADDRESS(51,3,,,"MATCHS"))),FALSE),RIGHT(INDIRECT(ADDRESS(51,3,,,"MATCHS")), FIND("--",INDIRECT(ADDRESS(51,3,,,"MATCHS")),1)),INDIRECT(ADDRESS(51,3,,,"MATCHS"))),IF(IFERROR(FIND("--",INDIRECT(ADDRESS(58,5,,,"MATCHS"))),FALSE),RIGHT(INDIRECT(ADDRESS(58,5,,,"MATCHS")), FIND("--",INDIRECT(ADDRESS(58,5,,,"MATCHS")),1)),INDIRECT(ADDRESS(58,5,,,"MATCHS"))),IF(IFERROR(FIND("--",INDIRECT(ADDRESS(64,3,,,"MATCHS"))),FALSE),RIGHT(INDIRECT(ADDRESS(64,3,,,"MATCHS")), FIND("--",INDIRECT(ADDRESS(64,3,,,"MATCHS")),1)),INDIRECT(ADDRESS(64,3,,,"MATCHS"))),IF(IFERROR(FIND("--",INDIRECT(ADDRESS(71,5,,,"MATCHS"))),FALSE),RIGHT(INDIRECT(ADDRESS(71,5,,,"MATCHS")), FIND("--",INDIRECT(ADDRESS(71,5,,,"MATCHS")),1)),INDIRECT(ADDRESS(71,5,,,"MATCHS"))),,,,,,,,,,,,,,,,,,,,,,,,,,)</f>
        <v>0</v>
      </c>
      <c r="J18" s="194">
        <f ca="1">H18 - I18</f>
        <v>0</v>
      </c>
      <c r="K18" s="194">
        <v>0</v>
      </c>
      <c r="L18" s="194">
        <v>15</v>
      </c>
      <c r="M18" s="194"/>
      <c r="N18" s="190"/>
    </row>
    <row r="19" spans="1:14" ht="15.75" x14ac:dyDescent="0.25">
      <c r="A19" s="193"/>
      <c r="B19" s="194">
        <v>16</v>
      </c>
      <c r="C19" s="194" t="s">
        <v>164</v>
      </c>
      <c r="D19" s="194" t="str">
        <f>INSCRITS!C17</f>
        <v>16A</v>
      </c>
      <c r="E19" s="197">
        <f ca="1">SUM(IF(INDIRECT(ADDRESS(4,3,,,"MATCHS"))&gt;INDIRECT(ADDRESS(4,5,,,"MATCHS")),1,0),IF(INDIRECT(ADDRESS(9,5,,,"MATCHS"))&gt;INDIRECT(ADDRESS(9,3,,,"MATCHS")),1,0),IF(INDIRECT(ADDRESS(15,3,,,"MATCHS"))&gt;INDIRECT(ADDRESS(15,5,,,"MATCHS")),1,0),IF(INDIRECT(ADDRESS(20,5,,,"MATCHS"))&gt;INDIRECT(ADDRESS(20,3,,,"MATCHS")),1,0),IF(INDIRECT(ADDRESS(26,3,,,"MATCHS"))&gt;INDIRECT(ADDRESS(26,5,,,"MATCHS")),1,0),IF(INDIRECT(ADDRESS(32,5,,,"MATCHS"))&gt;INDIRECT(ADDRESS(32,3,,,"MATCHS")),1,0),IF(INDIRECT(ADDRESS(39,3,,,"MATCHS"))&gt;INDIRECT(ADDRESS(39,5,,,"MATCHS")),1,0),IF(INDIRECT(ADDRESS(45,5,,,"MATCHS"))&gt;INDIRECT(ADDRESS(45,3,,,"MATCHS")),1,0),IF(INDIRECT(ADDRESS(52,3,,,"MATCHS"))&gt;INDIRECT(ADDRESS(52,5,,,"MATCHS")),1,0),IF(INDIRECT(ADDRESS(58,5,,,"MATCHS"))&gt;INDIRECT(ADDRESS(58,3,,,"MATCHS")),1,0),IF(INDIRECT(ADDRESS(65,3,,,"MATCHS"))&gt;INDIRECT(ADDRESS(65,5,,,"MATCHS")),1,0),IF(INDIRECT(ADDRESS(71,5,,,"MATCHS"))&gt;INDIRECT(ADDRESS(71,3,,,"MATCHS")),1,0),,,,,,,,,,,,,,,,,,,,,,,,,,) + 0.01 * K19</f>
        <v>0</v>
      </c>
      <c r="F19" s="194">
        <f ca="1">SUM(IF(INDIRECT(ADDRESS(4,3,,,"MATCHS"))&lt;INDIRECT(ADDRESS(4,5,,,"MATCHS")),1,0),IF(INDIRECT(ADDRESS(9,5,,,"MATCHS"))&lt;INDIRECT(ADDRESS(9,3,,,"MATCHS")),1,0),IF(INDIRECT(ADDRESS(15,3,,,"MATCHS"))&lt;INDIRECT(ADDRESS(15,5,,,"MATCHS")),1,0),IF(INDIRECT(ADDRESS(20,5,,,"MATCHS"))&lt;INDIRECT(ADDRESS(20,3,,,"MATCHS")),1,0),IF(INDIRECT(ADDRESS(26,3,,,"MATCHS"))&lt;INDIRECT(ADDRESS(26,5,,,"MATCHS")),1,0),IF(INDIRECT(ADDRESS(32,5,,,"MATCHS"))&lt;INDIRECT(ADDRESS(32,3,,,"MATCHS")),1,0),IF(INDIRECT(ADDRESS(39,3,,,"MATCHS"))&lt;INDIRECT(ADDRESS(39,5,,,"MATCHS")),1,0),IF(INDIRECT(ADDRESS(45,5,,,"MATCHS"))&lt;INDIRECT(ADDRESS(45,3,,,"MATCHS")),1,0),IF(INDIRECT(ADDRESS(52,3,,,"MATCHS"))&lt;INDIRECT(ADDRESS(52,5,,,"MATCHS")),1,0),IF(INDIRECT(ADDRESS(58,5,,,"MATCHS"))&lt;INDIRECT(ADDRESS(58,3,,,"MATCHS")),1,0),IF(INDIRECT(ADDRESS(65,3,,,"MATCHS"))&lt;INDIRECT(ADDRESS(65,5,,,"MATCHS")),1,0),IF(INDIRECT(ADDRESS(71,5,,,"MATCHS"))&lt;INDIRECT(ADDRESS(71,3,,,"MATCHS")),1,0),,,,,,,,,,,,,,,,,,,,,,,,,,)</f>
        <v>0</v>
      </c>
      <c r="G19" s="194"/>
      <c r="H19" s="194">
        <f ca="1">SUM(IF(IFERROR(FIND("--",INDIRECT(ADDRESS(4,3,,,"MATCHS"))),FALSE),RIGHT(INDIRECT(ADDRESS(4,3,,,"MATCHS")), FIND("--",INDIRECT(ADDRESS(4,3,,,"MATCHS")),1)),INDIRECT(ADDRESS(4,3,,,"MATCHS"))),IF(IFERROR(FIND("--",INDIRECT(ADDRESS(9,5,,,"MATCHS"))),FALSE),RIGHT(INDIRECT(ADDRESS(9,5,,,"MATCHS")), FIND("--",INDIRECT(ADDRESS(9,5,,,"MATCHS")),1)),INDIRECT(ADDRESS(9,5,,,"MATCHS"))),IF(IFERROR(FIND("--",INDIRECT(ADDRESS(15,3,,,"MATCHS"))),FALSE),RIGHT(INDIRECT(ADDRESS(15,3,,,"MATCHS")), FIND("--",INDIRECT(ADDRESS(15,3,,,"MATCHS")),1)),INDIRECT(ADDRESS(15,3,,,"MATCHS"))),IF(IFERROR(FIND("--",INDIRECT(ADDRESS(20,5,,,"MATCHS"))),FALSE),RIGHT(INDIRECT(ADDRESS(20,5,,,"MATCHS")), FIND("--",INDIRECT(ADDRESS(20,5,,,"MATCHS")),1)),INDIRECT(ADDRESS(20,5,,,"MATCHS"))),IF(IFERROR(FIND("--",INDIRECT(ADDRESS(26,3,,,"MATCHS"))),FALSE),RIGHT(INDIRECT(ADDRESS(26,3,,,"MATCHS")), FIND("--",INDIRECT(ADDRESS(26,3,,,"MATCHS")),1)),INDIRECT(ADDRESS(26,3,,,"MATCHS"))),IF(IFERROR(FIND("--",INDIRECT(ADDRESS(32,5,,,"MATCHS"))),FALSE),RIGHT(INDIRECT(ADDRESS(32,5,,,"MATCHS")), FIND("--",INDIRECT(ADDRESS(32,5,,,"MATCHS")),1)),INDIRECT(ADDRESS(32,5,,,"MATCHS"))),IF(IFERROR(FIND("--",INDIRECT(ADDRESS(39,3,,,"MATCHS"))),FALSE),RIGHT(INDIRECT(ADDRESS(39,3,,,"MATCHS")), FIND("--",INDIRECT(ADDRESS(39,3,,,"MATCHS")),1)),INDIRECT(ADDRESS(39,3,,,"MATCHS"))),IF(IFERROR(FIND("--",INDIRECT(ADDRESS(45,5,,,"MATCHS"))),FALSE),RIGHT(INDIRECT(ADDRESS(45,5,,,"MATCHS")), FIND("--",INDIRECT(ADDRESS(45,5,,,"MATCHS")),1)),INDIRECT(ADDRESS(45,5,,,"MATCHS"))),IF(IFERROR(FIND("--",INDIRECT(ADDRESS(52,3,,,"MATCHS"))),FALSE),RIGHT(INDIRECT(ADDRESS(52,3,,,"MATCHS")), FIND("--",INDIRECT(ADDRESS(52,3,,,"MATCHS")),1)),INDIRECT(ADDRESS(52,3,,,"MATCHS"))),IF(IFERROR(FIND("--",INDIRECT(ADDRESS(58,5,,,"MATCHS"))),FALSE),RIGHT(INDIRECT(ADDRESS(58,5,,,"MATCHS")), FIND("--",INDIRECT(ADDRESS(58,5,,,"MATCHS")),1)),INDIRECT(ADDRESS(58,5,,,"MATCHS"))),IF(IFERROR(FIND("--",INDIRECT(ADDRESS(65,3,,,"MATCHS"))),FALSE),RIGHT(INDIRECT(ADDRESS(65,3,,,"MATCHS")), FIND("--",INDIRECT(ADDRESS(65,3,,,"MATCHS")),1)),INDIRECT(ADDRESS(65,3,,,"MATCHS"))),IF(IFERROR(FIND("--",INDIRECT(ADDRESS(71,5,,,"MATCHS"))),FALSE),RIGHT(INDIRECT(ADDRESS(71,5,,,"MATCHS")), FIND("--",INDIRECT(ADDRESS(71,5,,,"MATCHS")),1)),INDIRECT(ADDRESS(71,5,,,"MATCHS"))),,,,,,,,,,,,,,,,,,,,,,,,,,)</f>
        <v>0</v>
      </c>
      <c r="I19" s="194">
        <f ca="1">SUM(IF(IFERROR(FIND("--",INDIRECT(ADDRESS(4,5,,,"MATCHS"))),FALSE),RIGHT(INDIRECT(ADDRESS(4,5,,,"MATCHS")), FIND("--",INDIRECT(ADDRESS(4,5,,,"MATCHS")),1)),INDIRECT(ADDRESS(4,5,,,"MATCHS"))),IF(IFERROR(FIND("--",INDIRECT(ADDRESS(9,3,,,"MATCHS"))),FALSE),RIGHT(INDIRECT(ADDRESS(9,3,,,"MATCHS")), FIND("--",INDIRECT(ADDRESS(9,3,,,"MATCHS")),1)),INDIRECT(ADDRESS(9,3,,,"MATCHS"))),IF(IFERROR(FIND("--",INDIRECT(ADDRESS(15,5,,,"MATCHS"))),FALSE),RIGHT(INDIRECT(ADDRESS(15,5,,,"MATCHS")), FIND("--",INDIRECT(ADDRESS(15,5,,,"MATCHS")),1)),INDIRECT(ADDRESS(15,5,,,"MATCHS"))),IF(IFERROR(FIND("--",INDIRECT(ADDRESS(20,3,,,"MATCHS"))),FALSE),RIGHT(INDIRECT(ADDRESS(20,3,,,"MATCHS")), FIND("--",INDIRECT(ADDRESS(20,3,,,"MATCHS")),1)),INDIRECT(ADDRESS(20,3,,,"MATCHS"))),IF(IFERROR(FIND("--",INDIRECT(ADDRESS(26,5,,,"MATCHS"))),FALSE),RIGHT(INDIRECT(ADDRESS(26,5,,,"MATCHS")), FIND("--",INDIRECT(ADDRESS(26,5,,,"MATCHS")),1)),INDIRECT(ADDRESS(26,5,,,"MATCHS"))),IF(IFERROR(FIND("--",INDIRECT(ADDRESS(32,3,,,"MATCHS"))),FALSE),RIGHT(INDIRECT(ADDRESS(32,3,,,"MATCHS")), FIND("--",INDIRECT(ADDRESS(32,3,,,"MATCHS")),1)),INDIRECT(ADDRESS(32,3,,,"MATCHS"))),IF(IFERROR(FIND("--",INDIRECT(ADDRESS(39,5,,,"MATCHS"))),FALSE),RIGHT(INDIRECT(ADDRESS(39,5,,,"MATCHS")), FIND("--",INDIRECT(ADDRESS(39,5,,,"MATCHS")),1)),INDIRECT(ADDRESS(39,5,,,"MATCHS"))),IF(IFERROR(FIND("--",INDIRECT(ADDRESS(45,3,,,"MATCHS"))),FALSE),RIGHT(INDIRECT(ADDRESS(45,3,,,"MATCHS")), FIND("--",INDIRECT(ADDRESS(45,3,,,"MATCHS")),1)),INDIRECT(ADDRESS(45,3,,,"MATCHS"))),IF(IFERROR(FIND("--",INDIRECT(ADDRESS(52,5,,,"MATCHS"))),FALSE),RIGHT(INDIRECT(ADDRESS(52,5,,,"MATCHS")), FIND("--",INDIRECT(ADDRESS(52,5,,,"MATCHS")),1)),INDIRECT(ADDRESS(52,5,,,"MATCHS"))),IF(IFERROR(FIND("--",INDIRECT(ADDRESS(58,3,,,"MATCHS"))),FALSE),RIGHT(INDIRECT(ADDRESS(58,3,,,"MATCHS")), FIND("--",INDIRECT(ADDRESS(58,3,,,"MATCHS")),1)),INDIRECT(ADDRESS(58,3,,,"MATCHS"))),IF(IFERROR(FIND("--",INDIRECT(ADDRESS(65,5,,,"MATCHS"))),FALSE),RIGHT(INDIRECT(ADDRESS(65,5,,,"MATCHS")), FIND("--",INDIRECT(ADDRESS(65,5,,,"MATCHS")),1)),INDIRECT(ADDRESS(65,5,,,"MATCHS"))),IF(IFERROR(FIND("--",INDIRECT(ADDRESS(71,3,,,"MATCHS"))),FALSE),RIGHT(INDIRECT(ADDRESS(71,3,,,"MATCHS")), FIND("--",INDIRECT(ADDRESS(71,3,,,"MATCHS")),1)),INDIRECT(ADDRESS(71,3,,,"MATCHS"))),,,,,,,,,,,,,,,,,,,,,,,,,,)</f>
        <v>0</v>
      </c>
      <c r="J19" s="194">
        <f ca="1">H19 - I19</f>
        <v>0</v>
      </c>
      <c r="K19" s="194">
        <v>0</v>
      </c>
      <c r="L19" s="194">
        <v>16</v>
      </c>
      <c r="M19" s="194"/>
      <c r="N19" s="190"/>
    </row>
    <row r="20" spans="1:14" ht="15.75" x14ac:dyDescent="0.25">
      <c r="A20" s="193"/>
      <c r="B20" s="194">
        <v>17</v>
      </c>
      <c r="C20" s="194" t="s">
        <v>165</v>
      </c>
      <c r="D20" s="194" t="str">
        <f>INSCRITS!C18</f>
        <v>17A</v>
      </c>
      <c r="E20" s="197">
        <f ca="1">SUM(IF(INDIRECT(ADDRESS(3,5,,,"MATCHS"))&gt;INDIRECT(ADDRESS(3,3,,,"MATCHS")),1,0),IF(INDIRECT(ADDRESS(9,3,,,"MATCHS"))&gt;INDIRECT(ADDRESS(9,5,,,"MATCHS")),1,0),IF(INDIRECT(ADDRESS(14,5,,,"MATCHS"))&gt;INDIRECT(ADDRESS(14,3,,,"MATCHS")),1,0),IF(INDIRECT(ADDRESS(20,3,,,"MATCHS"))&gt;INDIRECT(ADDRESS(20,5,,,"MATCHS")),1,0),IF(INDIRECT(ADDRESS(26,5,,,"MATCHS"))&gt;INDIRECT(ADDRESS(26,3,,,"MATCHS")),1,0),IF(INDIRECT(ADDRESS(33,3,,,"MATCHS"))&gt;INDIRECT(ADDRESS(33,5,,,"MATCHS")),1,0),IF(INDIRECT(ADDRESS(39,5,,,"MATCHS"))&gt;INDIRECT(ADDRESS(39,3,,,"MATCHS")),1,0),IF(INDIRECT(ADDRESS(46,3,,,"MATCHS"))&gt;INDIRECT(ADDRESS(46,5,,,"MATCHS")),1,0),IF(INDIRECT(ADDRESS(52,5,,,"MATCHS"))&gt;INDIRECT(ADDRESS(52,3,,,"MATCHS")),1,0),IF(INDIRECT(ADDRESS(59,3,,,"MATCHS"))&gt;INDIRECT(ADDRESS(59,5,,,"MATCHS")),1,0),IF(INDIRECT(ADDRESS(65,5,,,"MATCHS"))&gt;INDIRECT(ADDRESS(65,3,,,"MATCHS")),1,0),IF(INDIRECT(ADDRESS(72,3,,,"MATCHS"))&gt;INDIRECT(ADDRESS(72,5,,,"MATCHS")),1,0),,,,,,,,,,,,,,,,,,,,,,,,,,) + 0.01 * K20</f>
        <v>0</v>
      </c>
      <c r="F20" s="194">
        <f ca="1">SUM(IF(INDIRECT(ADDRESS(3,5,,,"MATCHS"))&lt;INDIRECT(ADDRESS(3,3,,,"MATCHS")),1,0),IF(INDIRECT(ADDRESS(9,3,,,"MATCHS"))&lt;INDIRECT(ADDRESS(9,5,,,"MATCHS")),1,0),IF(INDIRECT(ADDRESS(14,5,,,"MATCHS"))&lt;INDIRECT(ADDRESS(14,3,,,"MATCHS")),1,0),IF(INDIRECT(ADDRESS(20,3,,,"MATCHS"))&lt;INDIRECT(ADDRESS(20,5,,,"MATCHS")),1,0),IF(INDIRECT(ADDRESS(26,5,,,"MATCHS"))&lt;INDIRECT(ADDRESS(26,3,,,"MATCHS")),1,0),IF(INDIRECT(ADDRESS(33,3,,,"MATCHS"))&lt;INDIRECT(ADDRESS(33,5,,,"MATCHS")),1,0),IF(INDIRECT(ADDRESS(39,5,,,"MATCHS"))&lt;INDIRECT(ADDRESS(39,3,,,"MATCHS")),1,0),IF(INDIRECT(ADDRESS(46,3,,,"MATCHS"))&lt;INDIRECT(ADDRESS(46,5,,,"MATCHS")),1,0),IF(INDIRECT(ADDRESS(52,5,,,"MATCHS"))&lt;INDIRECT(ADDRESS(52,3,,,"MATCHS")),1,0),IF(INDIRECT(ADDRESS(59,3,,,"MATCHS"))&lt;INDIRECT(ADDRESS(59,5,,,"MATCHS")),1,0),IF(INDIRECT(ADDRESS(65,5,,,"MATCHS"))&lt;INDIRECT(ADDRESS(65,3,,,"MATCHS")),1,0),IF(INDIRECT(ADDRESS(72,3,,,"MATCHS"))&lt;INDIRECT(ADDRESS(72,5,,,"MATCHS")),1,0),,,,,,,,,,,,,,,,,,,,,,,,,,)</f>
        <v>0</v>
      </c>
      <c r="G20" s="194"/>
      <c r="H20" s="194">
        <f ca="1">SUM(IF(IFERROR(FIND("--",INDIRECT(ADDRESS(3,5,,,"MATCHS"))),FALSE),RIGHT(INDIRECT(ADDRESS(3,5,,,"MATCHS")), FIND("--",INDIRECT(ADDRESS(3,5,,,"MATCHS")),1)),INDIRECT(ADDRESS(3,5,,,"MATCHS"))),IF(IFERROR(FIND("--",INDIRECT(ADDRESS(9,3,,,"MATCHS"))),FALSE),RIGHT(INDIRECT(ADDRESS(9,3,,,"MATCHS")), FIND("--",INDIRECT(ADDRESS(9,3,,,"MATCHS")),1)),INDIRECT(ADDRESS(9,3,,,"MATCHS"))),IF(IFERROR(FIND("--",INDIRECT(ADDRESS(14,5,,,"MATCHS"))),FALSE),RIGHT(INDIRECT(ADDRESS(14,5,,,"MATCHS")), FIND("--",INDIRECT(ADDRESS(14,5,,,"MATCHS")),1)),INDIRECT(ADDRESS(14,5,,,"MATCHS"))),IF(IFERROR(FIND("--",INDIRECT(ADDRESS(20,3,,,"MATCHS"))),FALSE),RIGHT(INDIRECT(ADDRESS(20,3,,,"MATCHS")), FIND("--",INDIRECT(ADDRESS(20,3,,,"MATCHS")),1)),INDIRECT(ADDRESS(20,3,,,"MATCHS"))),IF(IFERROR(FIND("--",INDIRECT(ADDRESS(26,5,,,"MATCHS"))),FALSE),RIGHT(INDIRECT(ADDRESS(26,5,,,"MATCHS")), FIND("--",INDIRECT(ADDRESS(26,5,,,"MATCHS")),1)),INDIRECT(ADDRESS(26,5,,,"MATCHS"))),IF(IFERROR(FIND("--",INDIRECT(ADDRESS(33,3,,,"MATCHS"))),FALSE),RIGHT(INDIRECT(ADDRESS(33,3,,,"MATCHS")), FIND("--",INDIRECT(ADDRESS(33,3,,,"MATCHS")),1)),INDIRECT(ADDRESS(33,3,,,"MATCHS"))),IF(IFERROR(FIND("--",INDIRECT(ADDRESS(39,5,,,"MATCHS"))),FALSE),RIGHT(INDIRECT(ADDRESS(39,5,,,"MATCHS")), FIND("--",INDIRECT(ADDRESS(39,5,,,"MATCHS")),1)),INDIRECT(ADDRESS(39,5,,,"MATCHS"))),IF(IFERROR(FIND("--",INDIRECT(ADDRESS(46,3,,,"MATCHS"))),FALSE),RIGHT(INDIRECT(ADDRESS(46,3,,,"MATCHS")), FIND("--",INDIRECT(ADDRESS(46,3,,,"MATCHS")),1)),INDIRECT(ADDRESS(46,3,,,"MATCHS"))),IF(IFERROR(FIND("--",INDIRECT(ADDRESS(52,5,,,"MATCHS"))),FALSE),RIGHT(INDIRECT(ADDRESS(52,5,,,"MATCHS")), FIND("--",INDIRECT(ADDRESS(52,5,,,"MATCHS")),1)),INDIRECT(ADDRESS(52,5,,,"MATCHS"))),IF(IFERROR(FIND("--",INDIRECT(ADDRESS(59,3,,,"MATCHS"))),FALSE),RIGHT(INDIRECT(ADDRESS(59,3,,,"MATCHS")), FIND("--",INDIRECT(ADDRESS(59,3,,,"MATCHS")),1)),INDIRECT(ADDRESS(59,3,,,"MATCHS"))),IF(IFERROR(FIND("--",INDIRECT(ADDRESS(65,5,,,"MATCHS"))),FALSE),RIGHT(INDIRECT(ADDRESS(65,5,,,"MATCHS")), FIND("--",INDIRECT(ADDRESS(65,5,,,"MATCHS")),1)),INDIRECT(ADDRESS(65,5,,,"MATCHS"))),IF(IFERROR(FIND("--",INDIRECT(ADDRESS(72,3,,,"MATCHS"))),FALSE),RIGHT(INDIRECT(ADDRESS(72,3,,,"MATCHS")), FIND("--",INDIRECT(ADDRESS(72,3,,,"MATCHS")),1)),INDIRECT(ADDRESS(72,3,,,"MATCHS"))),,,,,,,,,,,,,,,,,,,,,,,,,,)</f>
        <v>0</v>
      </c>
      <c r="I20" s="194">
        <f ca="1">SUM(IF(IFERROR(FIND("--",INDIRECT(ADDRESS(3,3,,,"MATCHS"))),FALSE),RIGHT(INDIRECT(ADDRESS(3,3,,,"MATCHS")), FIND("--",INDIRECT(ADDRESS(3,3,,,"MATCHS")),1)),INDIRECT(ADDRESS(3,3,,,"MATCHS"))),IF(IFERROR(FIND("--",INDIRECT(ADDRESS(9,5,,,"MATCHS"))),FALSE),RIGHT(INDIRECT(ADDRESS(9,5,,,"MATCHS")), FIND("--",INDIRECT(ADDRESS(9,5,,,"MATCHS")),1)),INDIRECT(ADDRESS(9,5,,,"MATCHS"))),IF(IFERROR(FIND("--",INDIRECT(ADDRESS(14,3,,,"MATCHS"))),FALSE),RIGHT(INDIRECT(ADDRESS(14,3,,,"MATCHS")), FIND("--",INDIRECT(ADDRESS(14,3,,,"MATCHS")),1)),INDIRECT(ADDRESS(14,3,,,"MATCHS"))),IF(IFERROR(FIND("--",INDIRECT(ADDRESS(20,5,,,"MATCHS"))),FALSE),RIGHT(INDIRECT(ADDRESS(20,5,,,"MATCHS")), FIND("--",INDIRECT(ADDRESS(20,5,,,"MATCHS")),1)),INDIRECT(ADDRESS(20,5,,,"MATCHS"))),IF(IFERROR(FIND("--",INDIRECT(ADDRESS(26,3,,,"MATCHS"))),FALSE),RIGHT(INDIRECT(ADDRESS(26,3,,,"MATCHS")), FIND("--",INDIRECT(ADDRESS(26,3,,,"MATCHS")),1)),INDIRECT(ADDRESS(26,3,,,"MATCHS"))),IF(IFERROR(FIND("--",INDIRECT(ADDRESS(33,5,,,"MATCHS"))),FALSE),RIGHT(INDIRECT(ADDRESS(33,5,,,"MATCHS")), FIND("--",INDIRECT(ADDRESS(33,5,,,"MATCHS")),1)),INDIRECT(ADDRESS(33,5,,,"MATCHS"))),IF(IFERROR(FIND("--",INDIRECT(ADDRESS(39,3,,,"MATCHS"))),FALSE),RIGHT(INDIRECT(ADDRESS(39,3,,,"MATCHS")), FIND("--",INDIRECT(ADDRESS(39,3,,,"MATCHS")),1)),INDIRECT(ADDRESS(39,3,,,"MATCHS"))),IF(IFERROR(FIND("--",INDIRECT(ADDRESS(46,5,,,"MATCHS"))),FALSE),RIGHT(INDIRECT(ADDRESS(46,5,,,"MATCHS")), FIND("--",INDIRECT(ADDRESS(46,5,,,"MATCHS")),1)),INDIRECT(ADDRESS(46,5,,,"MATCHS"))),IF(IFERROR(FIND("--",INDIRECT(ADDRESS(52,3,,,"MATCHS"))),FALSE),RIGHT(INDIRECT(ADDRESS(52,3,,,"MATCHS")), FIND("--",INDIRECT(ADDRESS(52,3,,,"MATCHS")),1)),INDIRECT(ADDRESS(52,3,,,"MATCHS"))),IF(IFERROR(FIND("--",INDIRECT(ADDRESS(59,5,,,"MATCHS"))),FALSE),RIGHT(INDIRECT(ADDRESS(59,5,,,"MATCHS")), FIND("--",INDIRECT(ADDRESS(59,5,,,"MATCHS")),1)),INDIRECT(ADDRESS(59,5,,,"MATCHS"))),IF(IFERROR(FIND("--",INDIRECT(ADDRESS(65,3,,,"MATCHS"))),FALSE),RIGHT(INDIRECT(ADDRESS(65,3,,,"MATCHS")), FIND("--",INDIRECT(ADDRESS(65,3,,,"MATCHS")),1)),INDIRECT(ADDRESS(65,3,,,"MATCHS"))),IF(IFERROR(FIND("--",INDIRECT(ADDRESS(72,5,,,"MATCHS"))),FALSE),RIGHT(INDIRECT(ADDRESS(72,5,,,"MATCHS")), FIND("--",INDIRECT(ADDRESS(72,5,,,"MATCHS")),1)),INDIRECT(ADDRESS(72,5,,,"MATCHS"))),,,,,,,,,,,,,,,,,,,,,,,,,,)</f>
        <v>0</v>
      </c>
      <c r="J20" s="194">
        <f ca="1">H20 - I20</f>
        <v>0</v>
      </c>
      <c r="K20" s="194">
        <v>0</v>
      </c>
      <c r="L20" s="194">
        <v>17</v>
      </c>
      <c r="M20" s="194"/>
      <c r="N20" s="190"/>
    </row>
    <row r="21" spans="1:14" ht="15.75" x14ac:dyDescent="0.25">
      <c r="A21" s="193"/>
      <c r="B21" s="194">
        <v>18</v>
      </c>
      <c r="C21" s="194" t="s">
        <v>166</v>
      </c>
      <c r="D21" s="194" t="str">
        <f>INSCRITS!C19</f>
        <v>18A</v>
      </c>
      <c r="E21" s="197">
        <f ca="1">SUM(IF(INDIRECT(ADDRESS(3,3,,,"MATCHS"))&gt;INDIRECT(ADDRESS(3,5,,,"MATCHS")),1,0),IF(INDIRECT(ADDRESS(8,5,,,"MATCHS"))&gt;INDIRECT(ADDRESS(8,3,,,"MATCHS")),1,0),IF(INDIRECT(ADDRESS(14,3,,,"MATCHS"))&gt;INDIRECT(ADDRESS(14,5,,,"MATCHS")),1,0),IF(INDIRECT(ADDRESS(20,5,,,"MATCHS"))&gt;INDIRECT(ADDRESS(20,3,,,"MATCHS")),1,0),IF(INDIRECT(ADDRESS(27,3,,,"MATCHS"))&gt;INDIRECT(ADDRESS(27,5,,,"MATCHS")),1,0),IF(INDIRECT(ADDRESS(33,5,,,"MATCHS"))&gt;INDIRECT(ADDRESS(33,3,,,"MATCHS")),1,0),IF(INDIRECT(ADDRESS(40,3,,,"MATCHS"))&gt;INDIRECT(ADDRESS(40,5,,,"MATCHS")),1,0),IF(INDIRECT(ADDRESS(46,5,,,"MATCHS"))&gt;INDIRECT(ADDRESS(46,3,,,"MATCHS")),1,0),IF(INDIRECT(ADDRESS(53,3,,,"MATCHS"))&gt;INDIRECT(ADDRESS(53,5,,,"MATCHS")),1,0),IF(INDIRECT(ADDRESS(59,5,,,"MATCHS"))&gt;INDIRECT(ADDRESS(59,3,,,"MATCHS")),1,0),IF(INDIRECT(ADDRESS(66,3,,,"MATCHS"))&gt;INDIRECT(ADDRESS(66,5,,,"MATCHS")),1,0),IF(INDIRECT(ADDRESS(72,5,,,"MATCHS"))&gt;INDIRECT(ADDRESS(72,3,,,"MATCHS")),1,0),,,,,,,,,,,,,,,,,,,,,,,,,,) + 0.01 * K21</f>
        <v>0</v>
      </c>
      <c r="F21" s="194">
        <f ca="1">SUM(IF(INDIRECT(ADDRESS(3,3,,,"MATCHS"))&lt;INDIRECT(ADDRESS(3,5,,,"MATCHS")),1,0),IF(INDIRECT(ADDRESS(8,5,,,"MATCHS"))&lt;INDIRECT(ADDRESS(8,3,,,"MATCHS")),1,0),IF(INDIRECT(ADDRESS(14,3,,,"MATCHS"))&lt;INDIRECT(ADDRESS(14,5,,,"MATCHS")),1,0),IF(INDIRECT(ADDRESS(20,5,,,"MATCHS"))&lt;INDIRECT(ADDRESS(20,3,,,"MATCHS")),1,0),IF(INDIRECT(ADDRESS(27,3,,,"MATCHS"))&lt;INDIRECT(ADDRESS(27,5,,,"MATCHS")),1,0),IF(INDIRECT(ADDRESS(33,5,,,"MATCHS"))&lt;INDIRECT(ADDRESS(33,3,,,"MATCHS")),1,0),IF(INDIRECT(ADDRESS(40,3,,,"MATCHS"))&lt;INDIRECT(ADDRESS(40,5,,,"MATCHS")),1,0),IF(INDIRECT(ADDRESS(46,5,,,"MATCHS"))&lt;INDIRECT(ADDRESS(46,3,,,"MATCHS")),1,0),IF(INDIRECT(ADDRESS(53,3,,,"MATCHS"))&lt;INDIRECT(ADDRESS(53,5,,,"MATCHS")),1,0),IF(INDIRECT(ADDRESS(59,5,,,"MATCHS"))&lt;INDIRECT(ADDRESS(59,3,,,"MATCHS")),1,0),IF(INDIRECT(ADDRESS(66,3,,,"MATCHS"))&lt;INDIRECT(ADDRESS(66,5,,,"MATCHS")),1,0),IF(INDIRECT(ADDRESS(72,5,,,"MATCHS"))&lt;INDIRECT(ADDRESS(72,3,,,"MATCHS")),1,0),,,,,,,,,,,,,,,,,,,,,,,,,,)</f>
        <v>0</v>
      </c>
      <c r="G21" s="194"/>
      <c r="H21" s="194">
        <f ca="1">SUM(IF(IFERROR(FIND("--",INDIRECT(ADDRESS(3,3,,,"MATCHS"))),FALSE),RIGHT(INDIRECT(ADDRESS(3,3,,,"MATCHS")), FIND("--",INDIRECT(ADDRESS(3,3,,,"MATCHS")),1)),INDIRECT(ADDRESS(3,3,,,"MATCHS"))),IF(IFERROR(FIND("--",INDIRECT(ADDRESS(8,5,,,"MATCHS"))),FALSE),RIGHT(INDIRECT(ADDRESS(8,5,,,"MATCHS")), FIND("--",INDIRECT(ADDRESS(8,5,,,"MATCHS")),1)),INDIRECT(ADDRESS(8,5,,,"MATCHS"))),IF(IFERROR(FIND("--",INDIRECT(ADDRESS(14,3,,,"MATCHS"))),FALSE),RIGHT(INDIRECT(ADDRESS(14,3,,,"MATCHS")), FIND("--",INDIRECT(ADDRESS(14,3,,,"MATCHS")),1)),INDIRECT(ADDRESS(14,3,,,"MATCHS"))),IF(IFERROR(FIND("--",INDIRECT(ADDRESS(20,5,,,"MATCHS"))),FALSE),RIGHT(INDIRECT(ADDRESS(20,5,,,"MATCHS")), FIND("--",INDIRECT(ADDRESS(20,5,,,"MATCHS")),1)),INDIRECT(ADDRESS(20,5,,,"MATCHS"))),IF(IFERROR(FIND("--",INDIRECT(ADDRESS(27,3,,,"MATCHS"))),FALSE),RIGHT(INDIRECT(ADDRESS(27,3,,,"MATCHS")), FIND("--",INDIRECT(ADDRESS(27,3,,,"MATCHS")),1)),INDIRECT(ADDRESS(27,3,,,"MATCHS"))),IF(IFERROR(FIND("--",INDIRECT(ADDRESS(33,5,,,"MATCHS"))),FALSE),RIGHT(INDIRECT(ADDRESS(33,5,,,"MATCHS")), FIND("--",INDIRECT(ADDRESS(33,5,,,"MATCHS")),1)),INDIRECT(ADDRESS(33,5,,,"MATCHS"))),IF(IFERROR(FIND("--",INDIRECT(ADDRESS(40,3,,,"MATCHS"))),FALSE),RIGHT(INDIRECT(ADDRESS(40,3,,,"MATCHS")), FIND("--",INDIRECT(ADDRESS(40,3,,,"MATCHS")),1)),INDIRECT(ADDRESS(40,3,,,"MATCHS"))),IF(IFERROR(FIND("--",INDIRECT(ADDRESS(46,5,,,"MATCHS"))),FALSE),RIGHT(INDIRECT(ADDRESS(46,5,,,"MATCHS")), FIND("--",INDIRECT(ADDRESS(46,5,,,"MATCHS")),1)),INDIRECT(ADDRESS(46,5,,,"MATCHS"))),IF(IFERROR(FIND("--",INDIRECT(ADDRESS(53,3,,,"MATCHS"))),FALSE),RIGHT(INDIRECT(ADDRESS(53,3,,,"MATCHS")), FIND("--",INDIRECT(ADDRESS(53,3,,,"MATCHS")),1)),INDIRECT(ADDRESS(53,3,,,"MATCHS"))),IF(IFERROR(FIND("--",INDIRECT(ADDRESS(59,5,,,"MATCHS"))),FALSE),RIGHT(INDIRECT(ADDRESS(59,5,,,"MATCHS")), FIND("--",INDIRECT(ADDRESS(59,5,,,"MATCHS")),1)),INDIRECT(ADDRESS(59,5,,,"MATCHS"))),IF(IFERROR(FIND("--",INDIRECT(ADDRESS(66,3,,,"MATCHS"))),FALSE),RIGHT(INDIRECT(ADDRESS(66,3,,,"MATCHS")), FIND("--",INDIRECT(ADDRESS(66,3,,,"MATCHS")),1)),INDIRECT(ADDRESS(66,3,,,"MATCHS"))),IF(IFERROR(FIND("--",INDIRECT(ADDRESS(72,5,,,"MATCHS"))),FALSE),RIGHT(INDIRECT(ADDRESS(72,5,,,"MATCHS")), FIND("--",INDIRECT(ADDRESS(72,5,,,"MATCHS")),1)),INDIRECT(ADDRESS(72,5,,,"MATCHS"))),,,,,,,,,,,,,,,,,,,,,,,,,,)</f>
        <v>0</v>
      </c>
      <c r="I21" s="194">
        <f ca="1">SUM(IF(IFERROR(FIND("--",INDIRECT(ADDRESS(3,5,,,"MATCHS"))),FALSE),RIGHT(INDIRECT(ADDRESS(3,5,,,"MATCHS")), FIND("--",INDIRECT(ADDRESS(3,5,,,"MATCHS")),1)),INDIRECT(ADDRESS(3,5,,,"MATCHS"))),IF(IFERROR(FIND("--",INDIRECT(ADDRESS(8,3,,,"MATCHS"))),FALSE),RIGHT(INDIRECT(ADDRESS(8,3,,,"MATCHS")), FIND("--",INDIRECT(ADDRESS(8,3,,,"MATCHS")),1)),INDIRECT(ADDRESS(8,3,,,"MATCHS"))),IF(IFERROR(FIND("--",INDIRECT(ADDRESS(14,5,,,"MATCHS"))),FALSE),RIGHT(INDIRECT(ADDRESS(14,5,,,"MATCHS")), FIND("--",INDIRECT(ADDRESS(14,5,,,"MATCHS")),1)),INDIRECT(ADDRESS(14,5,,,"MATCHS"))),IF(IFERROR(FIND("--",INDIRECT(ADDRESS(20,3,,,"MATCHS"))),FALSE),RIGHT(INDIRECT(ADDRESS(20,3,,,"MATCHS")), FIND("--",INDIRECT(ADDRESS(20,3,,,"MATCHS")),1)),INDIRECT(ADDRESS(20,3,,,"MATCHS"))),IF(IFERROR(FIND("--",INDIRECT(ADDRESS(27,5,,,"MATCHS"))),FALSE),RIGHT(INDIRECT(ADDRESS(27,5,,,"MATCHS")), FIND("--",INDIRECT(ADDRESS(27,5,,,"MATCHS")),1)),INDIRECT(ADDRESS(27,5,,,"MATCHS"))),IF(IFERROR(FIND("--",INDIRECT(ADDRESS(33,3,,,"MATCHS"))),FALSE),RIGHT(INDIRECT(ADDRESS(33,3,,,"MATCHS")), FIND("--",INDIRECT(ADDRESS(33,3,,,"MATCHS")),1)),INDIRECT(ADDRESS(33,3,,,"MATCHS"))),IF(IFERROR(FIND("--",INDIRECT(ADDRESS(40,5,,,"MATCHS"))),FALSE),RIGHT(INDIRECT(ADDRESS(40,5,,,"MATCHS")), FIND("--",INDIRECT(ADDRESS(40,5,,,"MATCHS")),1)),INDIRECT(ADDRESS(40,5,,,"MATCHS"))),IF(IFERROR(FIND("--",INDIRECT(ADDRESS(46,3,,,"MATCHS"))),FALSE),RIGHT(INDIRECT(ADDRESS(46,3,,,"MATCHS")), FIND("--",INDIRECT(ADDRESS(46,3,,,"MATCHS")),1)),INDIRECT(ADDRESS(46,3,,,"MATCHS"))),IF(IFERROR(FIND("--",INDIRECT(ADDRESS(53,5,,,"MATCHS"))),FALSE),RIGHT(INDIRECT(ADDRESS(53,5,,,"MATCHS")), FIND("--",INDIRECT(ADDRESS(53,5,,,"MATCHS")),1)),INDIRECT(ADDRESS(53,5,,,"MATCHS"))),IF(IFERROR(FIND("--",INDIRECT(ADDRESS(59,3,,,"MATCHS"))),FALSE),RIGHT(INDIRECT(ADDRESS(59,3,,,"MATCHS")), FIND("--",INDIRECT(ADDRESS(59,3,,,"MATCHS")),1)),INDIRECT(ADDRESS(59,3,,,"MATCHS"))),IF(IFERROR(FIND("--",INDIRECT(ADDRESS(66,5,,,"MATCHS"))),FALSE),RIGHT(INDIRECT(ADDRESS(66,5,,,"MATCHS")), FIND("--",INDIRECT(ADDRESS(66,5,,,"MATCHS")),1)),INDIRECT(ADDRESS(66,5,,,"MATCHS"))),IF(IFERROR(FIND("--",INDIRECT(ADDRESS(72,3,,,"MATCHS"))),FALSE),RIGHT(INDIRECT(ADDRESS(72,3,,,"MATCHS")), FIND("--",INDIRECT(ADDRESS(72,3,,,"MATCHS")),1)),INDIRECT(ADDRESS(72,3,,,"MATCHS"))),,,,,,,,,,,,,,,,,,,,,,,,,,)</f>
        <v>0</v>
      </c>
      <c r="J21" s="194">
        <f ca="1">H21 - I21</f>
        <v>0</v>
      </c>
      <c r="K21" s="194">
        <v>0</v>
      </c>
      <c r="L21" s="194">
        <v>18</v>
      </c>
      <c r="M21" s="194"/>
      <c r="N21" s="190"/>
    </row>
    <row r="22" spans="1:14" ht="15.75" x14ac:dyDescent="0.25">
      <c r="A22" s="193"/>
      <c r="B22" s="194">
        <v>19</v>
      </c>
      <c r="C22" s="194" t="s">
        <v>167</v>
      </c>
      <c r="D22" s="194" t="str">
        <f>INSCRITS!C20</f>
        <v>19A</v>
      </c>
      <c r="E22" s="197">
        <f ca="1">SUM(IF(INDIRECT(ADDRESS(2,5,,,"MATCHS"))&gt;INDIRECT(ADDRESS(2,3,,,"MATCHS")),1,0),IF(INDIRECT(ADDRESS(8,3,,,"MATCHS"))&gt;INDIRECT(ADDRESS(8,5,,,"MATCHS")),1,0),IF(INDIRECT(ADDRESS(14,5,,,"MATCHS"))&gt;INDIRECT(ADDRESS(14,3,,,"MATCHS")),1,0),IF(INDIRECT(ADDRESS(21,3,,,"MATCHS"))&gt;INDIRECT(ADDRESS(21,5,,,"MATCHS")),1,0),IF(INDIRECT(ADDRESS(27,5,,,"MATCHS"))&gt;INDIRECT(ADDRESS(27,3,,,"MATCHS")),1,0),IF(INDIRECT(ADDRESS(34,3,,,"MATCHS"))&gt;INDIRECT(ADDRESS(34,5,,,"MATCHS")),1,0),IF(INDIRECT(ADDRESS(40,5,,,"MATCHS"))&gt;INDIRECT(ADDRESS(40,3,,,"MATCHS")),1,0),IF(INDIRECT(ADDRESS(47,3,,,"MATCHS"))&gt;INDIRECT(ADDRESS(47,5,,,"MATCHS")),1,0),IF(INDIRECT(ADDRESS(53,5,,,"MATCHS"))&gt;INDIRECT(ADDRESS(53,3,,,"MATCHS")),1,0),IF(INDIRECT(ADDRESS(60,3,,,"MATCHS"))&gt;INDIRECT(ADDRESS(60,5,,,"MATCHS")),1,0),IF(INDIRECT(ADDRESS(66,5,,,"MATCHS"))&gt;INDIRECT(ADDRESS(66,3,,,"MATCHS")),1,0),IF(INDIRECT(ADDRESS(72,5,,,"MATCHS"))&gt;INDIRECT(ADDRESS(72,3,,,"MATCHS")),1,0),,,,,,,,,,,,,,,,,,,,,,,,,,) + 0.01 * K22</f>
        <v>0</v>
      </c>
      <c r="F22" s="194">
        <f ca="1">SUM(IF(INDIRECT(ADDRESS(2,5,,,"MATCHS"))&lt;INDIRECT(ADDRESS(2,3,,,"MATCHS")),1,0),IF(INDIRECT(ADDRESS(8,3,,,"MATCHS"))&lt;INDIRECT(ADDRESS(8,5,,,"MATCHS")),1,0),IF(INDIRECT(ADDRESS(14,5,,,"MATCHS"))&lt;INDIRECT(ADDRESS(14,3,,,"MATCHS")),1,0),IF(INDIRECT(ADDRESS(21,3,,,"MATCHS"))&lt;INDIRECT(ADDRESS(21,5,,,"MATCHS")),1,0),IF(INDIRECT(ADDRESS(27,5,,,"MATCHS"))&lt;INDIRECT(ADDRESS(27,3,,,"MATCHS")),1,0),IF(INDIRECT(ADDRESS(34,3,,,"MATCHS"))&lt;INDIRECT(ADDRESS(34,5,,,"MATCHS")),1,0),IF(INDIRECT(ADDRESS(40,5,,,"MATCHS"))&lt;INDIRECT(ADDRESS(40,3,,,"MATCHS")),1,0),IF(INDIRECT(ADDRESS(47,3,,,"MATCHS"))&lt;INDIRECT(ADDRESS(47,5,,,"MATCHS")),1,0),IF(INDIRECT(ADDRESS(53,5,,,"MATCHS"))&lt;INDIRECT(ADDRESS(53,3,,,"MATCHS")),1,0),IF(INDIRECT(ADDRESS(60,3,,,"MATCHS"))&lt;INDIRECT(ADDRESS(60,5,,,"MATCHS")),1,0),IF(INDIRECT(ADDRESS(66,5,,,"MATCHS"))&lt;INDIRECT(ADDRESS(66,3,,,"MATCHS")),1,0),IF(INDIRECT(ADDRESS(72,5,,,"MATCHS"))&lt;INDIRECT(ADDRESS(72,3,,,"MATCHS")),1,0),,,,,,,,,,,,,,,,,,,,,,,,,,)</f>
        <v>0</v>
      </c>
      <c r="G22" s="194"/>
      <c r="H22" s="194">
        <f ca="1">SUM(IF(IFERROR(FIND("--",INDIRECT(ADDRESS(2,5,,,"MATCHS"))),FALSE),RIGHT(INDIRECT(ADDRESS(2,5,,,"MATCHS")), FIND("--",INDIRECT(ADDRESS(2,5,,,"MATCHS")),1)),INDIRECT(ADDRESS(2,5,,,"MATCHS"))),IF(IFERROR(FIND("--",INDIRECT(ADDRESS(8,3,,,"MATCHS"))),FALSE),RIGHT(INDIRECT(ADDRESS(8,3,,,"MATCHS")), FIND("--",INDIRECT(ADDRESS(8,3,,,"MATCHS")),1)),INDIRECT(ADDRESS(8,3,,,"MATCHS"))),IF(IFERROR(FIND("--",INDIRECT(ADDRESS(14,5,,,"MATCHS"))),FALSE),RIGHT(INDIRECT(ADDRESS(14,5,,,"MATCHS")), FIND("--",INDIRECT(ADDRESS(14,5,,,"MATCHS")),1)),INDIRECT(ADDRESS(14,5,,,"MATCHS"))),IF(IFERROR(FIND("--",INDIRECT(ADDRESS(21,3,,,"MATCHS"))),FALSE),RIGHT(INDIRECT(ADDRESS(21,3,,,"MATCHS")), FIND("--",INDIRECT(ADDRESS(21,3,,,"MATCHS")),1)),INDIRECT(ADDRESS(21,3,,,"MATCHS"))),IF(IFERROR(FIND("--",INDIRECT(ADDRESS(27,5,,,"MATCHS"))),FALSE),RIGHT(INDIRECT(ADDRESS(27,5,,,"MATCHS")), FIND("--",INDIRECT(ADDRESS(27,5,,,"MATCHS")),1)),INDIRECT(ADDRESS(27,5,,,"MATCHS"))),IF(IFERROR(FIND("--",INDIRECT(ADDRESS(34,3,,,"MATCHS"))),FALSE),RIGHT(INDIRECT(ADDRESS(34,3,,,"MATCHS")), FIND("--",INDIRECT(ADDRESS(34,3,,,"MATCHS")),1)),INDIRECT(ADDRESS(34,3,,,"MATCHS"))),IF(IFERROR(FIND("--",INDIRECT(ADDRESS(40,5,,,"MATCHS"))),FALSE),RIGHT(INDIRECT(ADDRESS(40,5,,,"MATCHS")), FIND("--",INDIRECT(ADDRESS(40,5,,,"MATCHS")),1)),INDIRECT(ADDRESS(40,5,,,"MATCHS"))),IF(IFERROR(FIND("--",INDIRECT(ADDRESS(47,3,,,"MATCHS"))),FALSE),RIGHT(INDIRECT(ADDRESS(47,3,,,"MATCHS")), FIND("--",INDIRECT(ADDRESS(47,3,,,"MATCHS")),1)),INDIRECT(ADDRESS(47,3,,,"MATCHS"))),IF(IFERROR(FIND("--",INDIRECT(ADDRESS(53,5,,,"MATCHS"))),FALSE),RIGHT(INDIRECT(ADDRESS(53,5,,,"MATCHS")), FIND("--",INDIRECT(ADDRESS(53,5,,,"MATCHS")),1)),INDIRECT(ADDRESS(53,5,,,"MATCHS"))),IF(IFERROR(FIND("--",INDIRECT(ADDRESS(60,3,,,"MATCHS"))),FALSE),RIGHT(INDIRECT(ADDRESS(60,3,,,"MATCHS")), FIND("--",INDIRECT(ADDRESS(60,3,,,"MATCHS")),1)),INDIRECT(ADDRESS(60,3,,,"MATCHS"))),IF(IFERROR(FIND("--",INDIRECT(ADDRESS(66,5,,,"MATCHS"))),FALSE),RIGHT(INDIRECT(ADDRESS(66,5,,,"MATCHS")), FIND("--",INDIRECT(ADDRESS(66,5,,,"MATCHS")),1)),INDIRECT(ADDRESS(66,5,,,"MATCHS"))),IF(IFERROR(FIND("--",INDIRECT(ADDRESS(72,5,,,"MATCHS"))),FALSE),RIGHT(INDIRECT(ADDRESS(72,5,,,"MATCHS")), FIND("--",INDIRECT(ADDRESS(72,5,,,"MATCHS")),1)),INDIRECT(ADDRESS(72,5,,,"MATCHS"))),,,,,,,,,,,,,,,,,,,,,,,,,,)</f>
        <v>0</v>
      </c>
      <c r="I22" s="194">
        <f ca="1">SUM(IF(IFERROR(FIND("--",INDIRECT(ADDRESS(2,3,,,"MATCHS"))),FALSE),RIGHT(INDIRECT(ADDRESS(2,3,,,"MATCHS")), FIND("--",INDIRECT(ADDRESS(2,3,,,"MATCHS")),1)),INDIRECT(ADDRESS(2,3,,,"MATCHS"))),IF(IFERROR(FIND("--",INDIRECT(ADDRESS(8,5,,,"MATCHS"))),FALSE),RIGHT(INDIRECT(ADDRESS(8,5,,,"MATCHS")), FIND("--",INDIRECT(ADDRESS(8,5,,,"MATCHS")),1)),INDIRECT(ADDRESS(8,5,,,"MATCHS"))),IF(IFERROR(FIND("--",INDIRECT(ADDRESS(14,3,,,"MATCHS"))),FALSE),RIGHT(INDIRECT(ADDRESS(14,3,,,"MATCHS")), FIND("--",INDIRECT(ADDRESS(14,3,,,"MATCHS")),1)),INDIRECT(ADDRESS(14,3,,,"MATCHS"))),IF(IFERROR(FIND("--",INDIRECT(ADDRESS(21,5,,,"MATCHS"))),FALSE),RIGHT(INDIRECT(ADDRESS(21,5,,,"MATCHS")), FIND("--",INDIRECT(ADDRESS(21,5,,,"MATCHS")),1)),INDIRECT(ADDRESS(21,5,,,"MATCHS"))),IF(IFERROR(FIND("--",INDIRECT(ADDRESS(27,3,,,"MATCHS"))),FALSE),RIGHT(INDIRECT(ADDRESS(27,3,,,"MATCHS")), FIND("--",INDIRECT(ADDRESS(27,3,,,"MATCHS")),1)),INDIRECT(ADDRESS(27,3,,,"MATCHS"))),IF(IFERROR(FIND("--",INDIRECT(ADDRESS(34,5,,,"MATCHS"))),FALSE),RIGHT(INDIRECT(ADDRESS(34,5,,,"MATCHS")), FIND("--",INDIRECT(ADDRESS(34,5,,,"MATCHS")),1)),INDIRECT(ADDRESS(34,5,,,"MATCHS"))),IF(IFERROR(FIND("--",INDIRECT(ADDRESS(40,3,,,"MATCHS"))),FALSE),RIGHT(INDIRECT(ADDRESS(40,3,,,"MATCHS")), FIND("--",INDIRECT(ADDRESS(40,3,,,"MATCHS")),1)),INDIRECT(ADDRESS(40,3,,,"MATCHS"))),IF(IFERROR(FIND("--",INDIRECT(ADDRESS(47,5,,,"MATCHS"))),FALSE),RIGHT(INDIRECT(ADDRESS(47,5,,,"MATCHS")), FIND("--",INDIRECT(ADDRESS(47,5,,,"MATCHS")),1)),INDIRECT(ADDRESS(47,5,,,"MATCHS"))),IF(IFERROR(FIND("--",INDIRECT(ADDRESS(53,3,,,"MATCHS"))),FALSE),RIGHT(INDIRECT(ADDRESS(53,3,,,"MATCHS")), FIND("--",INDIRECT(ADDRESS(53,3,,,"MATCHS")),1)),INDIRECT(ADDRESS(53,3,,,"MATCHS"))),IF(IFERROR(FIND("--",INDIRECT(ADDRESS(60,5,,,"MATCHS"))),FALSE),RIGHT(INDIRECT(ADDRESS(60,5,,,"MATCHS")), FIND("--",INDIRECT(ADDRESS(60,5,,,"MATCHS")),1)),INDIRECT(ADDRESS(60,5,,,"MATCHS"))),IF(IFERROR(FIND("--",INDIRECT(ADDRESS(66,3,,,"MATCHS"))),FALSE),RIGHT(INDIRECT(ADDRESS(66,3,,,"MATCHS")), FIND("--",INDIRECT(ADDRESS(66,3,,,"MATCHS")),1)),INDIRECT(ADDRESS(66,3,,,"MATCHS"))),IF(IFERROR(FIND("--",INDIRECT(ADDRESS(72,3,,,"MATCHS"))),FALSE),RIGHT(INDIRECT(ADDRESS(72,3,,,"MATCHS")), FIND("--",INDIRECT(ADDRESS(72,3,,,"MATCHS")),1)),INDIRECT(ADDRESS(72,3,,,"MATCHS"))),,,,,,,,,,,,,,,,,,,,,,,,,,)</f>
        <v>0</v>
      </c>
      <c r="J22" s="194">
        <f ca="1">H22 - I22</f>
        <v>0</v>
      </c>
      <c r="K22" s="194">
        <v>0</v>
      </c>
      <c r="L22" s="194">
        <v>19</v>
      </c>
      <c r="M22" s="194"/>
      <c r="N22" s="190"/>
    </row>
    <row r="23" spans="1:14" ht="15.75" x14ac:dyDescent="0.25">
      <c r="A23" s="193"/>
      <c r="B23" s="194">
        <v>20</v>
      </c>
      <c r="C23" s="194" t="s">
        <v>168</v>
      </c>
      <c r="D23" s="194" t="str">
        <f>INSCRITS!C21</f>
        <v>20A</v>
      </c>
      <c r="E23" s="197">
        <f ca="1">SUM(IF(INDIRECT(ADDRESS(2,3,,,"MATCHS"))&gt;INDIRECT(ADDRESS(2,5,,,"MATCHS")),1,0),IF(INDIRECT(ADDRESS(8,5,,,"MATCHS"))&gt;INDIRECT(ADDRESS(8,3,,,"MATCHS")),1,0),IF(INDIRECT(ADDRESS(15,3,,,"MATCHS"))&gt;INDIRECT(ADDRESS(15,5,,,"MATCHS")),1,0),IF(INDIRECT(ADDRESS(21,5,,,"MATCHS"))&gt;INDIRECT(ADDRESS(21,3,,,"MATCHS")),1,0),IF(INDIRECT(ADDRESS(28,3,,,"MATCHS"))&gt;INDIRECT(ADDRESS(28,5,,,"MATCHS")),1,0),IF(INDIRECT(ADDRESS(34,5,,,"MATCHS"))&gt;INDIRECT(ADDRESS(34,3,,,"MATCHS")),1,0),IF(INDIRECT(ADDRESS(41,3,,,"MATCHS"))&gt;INDIRECT(ADDRESS(41,5,,,"MATCHS")),1,0),IF(INDIRECT(ADDRESS(47,5,,,"MATCHS"))&gt;INDIRECT(ADDRESS(47,3,,,"MATCHS")),1,0),IF(INDIRECT(ADDRESS(54,3,,,"MATCHS"))&gt;INDIRECT(ADDRESS(54,5,,,"MATCHS")),1,0),IF(INDIRECT(ADDRESS(60,5,,,"MATCHS"))&gt;INDIRECT(ADDRESS(60,3,,,"MATCHS")),1,0),IF(INDIRECT(ADDRESS(66,5,,,"MATCHS"))&gt;INDIRECT(ADDRESS(66,3,,,"MATCHS")),1,0),IF(INDIRECT(ADDRESS(72,3,,,"MATCHS"))&gt;INDIRECT(ADDRESS(72,5,,,"MATCHS")),1,0),,,,,,,,,,,,,,,,,,,,,,,,,,) + 0.01 * K23</f>
        <v>0</v>
      </c>
      <c r="F23" s="194">
        <f ca="1">SUM(IF(INDIRECT(ADDRESS(2,3,,,"MATCHS"))&lt;INDIRECT(ADDRESS(2,5,,,"MATCHS")),1,0),IF(INDIRECT(ADDRESS(8,5,,,"MATCHS"))&lt;INDIRECT(ADDRESS(8,3,,,"MATCHS")),1,0),IF(INDIRECT(ADDRESS(15,3,,,"MATCHS"))&lt;INDIRECT(ADDRESS(15,5,,,"MATCHS")),1,0),IF(INDIRECT(ADDRESS(21,5,,,"MATCHS"))&lt;INDIRECT(ADDRESS(21,3,,,"MATCHS")),1,0),IF(INDIRECT(ADDRESS(28,3,,,"MATCHS"))&lt;INDIRECT(ADDRESS(28,5,,,"MATCHS")),1,0),IF(INDIRECT(ADDRESS(34,5,,,"MATCHS"))&lt;INDIRECT(ADDRESS(34,3,,,"MATCHS")),1,0),IF(INDIRECT(ADDRESS(41,3,,,"MATCHS"))&lt;INDIRECT(ADDRESS(41,5,,,"MATCHS")),1,0),IF(INDIRECT(ADDRESS(47,5,,,"MATCHS"))&lt;INDIRECT(ADDRESS(47,3,,,"MATCHS")),1,0),IF(INDIRECT(ADDRESS(54,3,,,"MATCHS"))&lt;INDIRECT(ADDRESS(54,5,,,"MATCHS")),1,0),IF(INDIRECT(ADDRESS(60,5,,,"MATCHS"))&lt;INDIRECT(ADDRESS(60,3,,,"MATCHS")),1,0),IF(INDIRECT(ADDRESS(66,5,,,"MATCHS"))&lt;INDIRECT(ADDRESS(66,3,,,"MATCHS")),1,0),IF(INDIRECT(ADDRESS(72,3,,,"MATCHS"))&lt;INDIRECT(ADDRESS(72,5,,,"MATCHS")),1,0),,,,,,,,,,,,,,,,,,,,,,,,,,)</f>
        <v>0</v>
      </c>
      <c r="G23" s="194"/>
      <c r="H23" s="194">
        <f ca="1">SUM(IF(IFERROR(FIND("--",INDIRECT(ADDRESS(2,3,,,"MATCHS"))),FALSE),RIGHT(INDIRECT(ADDRESS(2,3,,,"MATCHS")), FIND("--",INDIRECT(ADDRESS(2,3,,,"MATCHS")),1)),INDIRECT(ADDRESS(2,3,,,"MATCHS"))),IF(IFERROR(FIND("--",INDIRECT(ADDRESS(8,5,,,"MATCHS"))),FALSE),RIGHT(INDIRECT(ADDRESS(8,5,,,"MATCHS")), FIND("--",INDIRECT(ADDRESS(8,5,,,"MATCHS")),1)),INDIRECT(ADDRESS(8,5,,,"MATCHS"))),IF(IFERROR(FIND("--",INDIRECT(ADDRESS(15,3,,,"MATCHS"))),FALSE),RIGHT(INDIRECT(ADDRESS(15,3,,,"MATCHS")), FIND("--",INDIRECT(ADDRESS(15,3,,,"MATCHS")),1)),INDIRECT(ADDRESS(15,3,,,"MATCHS"))),IF(IFERROR(FIND("--",INDIRECT(ADDRESS(21,5,,,"MATCHS"))),FALSE),RIGHT(INDIRECT(ADDRESS(21,5,,,"MATCHS")), FIND("--",INDIRECT(ADDRESS(21,5,,,"MATCHS")),1)),INDIRECT(ADDRESS(21,5,,,"MATCHS"))),IF(IFERROR(FIND("--",INDIRECT(ADDRESS(28,3,,,"MATCHS"))),FALSE),RIGHT(INDIRECT(ADDRESS(28,3,,,"MATCHS")), FIND("--",INDIRECT(ADDRESS(28,3,,,"MATCHS")),1)),INDIRECT(ADDRESS(28,3,,,"MATCHS"))),IF(IFERROR(FIND("--",INDIRECT(ADDRESS(34,5,,,"MATCHS"))),FALSE),RIGHT(INDIRECT(ADDRESS(34,5,,,"MATCHS")), FIND("--",INDIRECT(ADDRESS(34,5,,,"MATCHS")),1)),INDIRECT(ADDRESS(34,5,,,"MATCHS"))),IF(IFERROR(FIND("--",INDIRECT(ADDRESS(41,3,,,"MATCHS"))),FALSE),RIGHT(INDIRECT(ADDRESS(41,3,,,"MATCHS")), FIND("--",INDIRECT(ADDRESS(41,3,,,"MATCHS")),1)),INDIRECT(ADDRESS(41,3,,,"MATCHS"))),IF(IFERROR(FIND("--",INDIRECT(ADDRESS(47,5,,,"MATCHS"))),FALSE),RIGHT(INDIRECT(ADDRESS(47,5,,,"MATCHS")), FIND("--",INDIRECT(ADDRESS(47,5,,,"MATCHS")),1)),INDIRECT(ADDRESS(47,5,,,"MATCHS"))),IF(IFERROR(FIND("--",INDIRECT(ADDRESS(54,3,,,"MATCHS"))),FALSE),RIGHT(INDIRECT(ADDRESS(54,3,,,"MATCHS")), FIND("--",INDIRECT(ADDRESS(54,3,,,"MATCHS")),1)),INDIRECT(ADDRESS(54,3,,,"MATCHS"))),IF(IFERROR(FIND("--",INDIRECT(ADDRESS(60,5,,,"MATCHS"))),FALSE),RIGHT(INDIRECT(ADDRESS(60,5,,,"MATCHS")), FIND("--",INDIRECT(ADDRESS(60,5,,,"MATCHS")),1)),INDIRECT(ADDRESS(60,5,,,"MATCHS"))),IF(IFERROR(FIND("--",INDIRECT(ADDRESS(66,5,,,"MATCHS"))),FALSE),RIGHT(INDIRECT(ADDRESS(66,5,,,"MATCHS")), FIND("--",INDIRECT(ADDRESS(66,5,,,"MATCHS")),1)),INDIRECT(ADDRESS(66,5,,,"MATCHS"))),IF(IFERROR(FIND("--",INDIRECT(ADDRESS(72,3,,,"MATCHS"))),FALSE),RIGHT(INDIRECT(ADDRESS(72,3,,,"MATCHS")), FIND("--",INDIRECT(ADDRESS(72,3,,,"MATCHS")),1)),INDIRECT(ADDRESS(72,3,,,"MATCHS"))),,,,,,,,,,,,,,,,,,,,,,,,,,)</f>
        <v>0</v>
      </c>
      <c r="I23" s="194">
        <f ca="1">SUM(IF(IFERROR(FIND("--",INDIRECT(ADDRESS(2,5,,,"MATCHS"))),FALSE),RIGHT(INDIRECT(ADDRESS(2,5,,,"MATCHS")), FIND("--",INDIRECT(ADDRESS(2,5,,,"MATCHS")),1)),INDIRECT(ADDRESS(2,5,,,"MATCHS"))),IF(IFERROR(FIND("--",INDIRECT(ADDRESS(8,3,,,"MATCHS"))),FALSE),RIGHT(INDIRECT(ADDRESS(8,3,,,"MATCHS")), FIND("--",INDIRECT(ADDRESS(8,3,,,"MATCHS")),1)),INDIRECT(ADDRESS(8,3,,,"MATCHS"))),IF(IFERROR(FIND("--",INDIRECT(ADDRESS(15,5,,,"MATCHS"))),FALSE),RIGHT(INDIRECT(ADDRESS(15,5,,,"MATCHS")), FIND("--",INDIRECT(ADDRESS(15,5,,,"MATCHS")),1)),INDIRECT(ADDRESS(15,5,,,"MATCHS"))),IF(IFERROR(FIND("--",INDIRECT(ADDRESS(21,3,,,"MATCHS"))),FALSE),RIGHT(INDIRECT(ADDRESS(21,3,,,"MATCHS")), FIND("--",INDIRECT(ADDRESS(21,3,,,"MATCHS")),1)),INDIRECT(ADDRESS(21,3,,,"MATCHS"))),IF(IFERROR(FIND("--",INDIRECT(ADDRESS(28,5,,,"MATCHS"))),FALSE),RIGHT(INDIRECT(ADDRESS(28,5,,,"MATCHS")), FIND("--",INDIRECT(ADDRESS(28,5,,,"MATCHS")),1)),INDIRECT(ADDRESS(28,5,,,"MATCHS"))),IF(IFERROR(FIND("--",INDIRECT(ADDRESS(34,3,,,"MATCHS"))),FALSE),RIGHT(INDIRECT(ADDRESS(34,3,,,"MATCHS")), FIND("--",INDIRECT(ADDRESS(34,3,,,"MATCHS")),1)),INDIRECT(ADDRESS(34,3,,,"MATCHS"))),IF(IFERROR(FIND("--",INDIRECT(ADDRESS(41,5,,,"MATCHS"))),FALSE),RIGHT(INDIRECT(ADDRESS(41,5,,,"MATCHS")), FIND("--",INDIRECT(ADDRESS(41,5,,,"MATCHS")),1)),INDIRECT(ADDRESS(41,5,,,"MATCHS"))),IF(IFERROR(FIND("--",INDIRECT(ADDRESS(47,3,,,"MATCHS"))),FALSE),RIGHT(INDIRECT(ADDRESS(47,3,,,"MATCHS")), FIND("--",INDIRECT(ADDRESS(47,3,,,"MATCHS")),1)),INDIRECT(ADDRESS(47,3,,,"MATCHS"))),IF(IFERROR(FIND("--",INDIRECT(ADDRESS(54,5,,,"MATCHS"))),FALSE),RIGHT(INDIRECT(ADDRESS(54,5,,,"MATCHS")), FIND("--",INDIRECT(ADDRESS(54,5,,,"MATCHS")),1)),INDIRECT(ADDRESS(54,5,,,"MATCHS"))),IF(IFERROR(FIND("--",INDIRECT(ADDRESS(60,3,,,"MATCHS"))),FALSE),RIGHT(INDIRECT(ADDRESS(60,3,,,"MATCHS")), FIND("--",INDIRECT(ADDRESS(60,3,,,"MATCHS")),1)),INDIRECT(ADDRESS(60,3,,,"MATCHS"))),IF(IFERROR(FIND("--",INDIRECT(ADDRESS(66,3,,,"MATCHS"))),FALSE),RIGHT(INDIRECT(ADDRESS(66,3,,,"MATCHS")), FIND("--",INDIRECT(ADDRESS(66,3,,,"MATCHS")),1)),INDIRECT(ADDRESS(66,3,,,"MATCHS"))),IF(IFERROR(FIND("--",INDIRECT(ADDRESS(72,5,,,"MATCHS"))),FALSE),RIGHT(INDIRECT(ADDRESS(72,5,,,"MATCHS")), FIND("--",INDIRECT(ADDRESS(72,5,,,"MATCHS")),1)),INDIRECT(ADDRESS(72,5,,,"MATCHS"))),,,,,,,,,,,,,,,,,,,,,,,,,,)</f>
        <v>0</v>
      </c>
      <c r="J23" s="194">
        <f ca="1">H23 - I23</f>
        <v>0</v>
      </c>
      <c r="K23" s="194">
        <v>0</v>
      </c>
      <c r="L23" s="194">
        <v>20</v>
      </c>
      <c r="M23" s="194"/>
      <c r="N23" s="190"/>
    </row>
  </sheetData>
  <mergeCells count="1">
    <mergeCell ref="A4:A23"/>
  </mergeCells>
  <dataValidations count="2">
    <dataValidation type="whole" allowBlank="1" showErrorMessage="1" errorTitle="ATTENTION" error="NOMBRE ENTIER UNIQUEMENT_x000a_COMPRIS ENTRE --&gt; 1 ET 12" sqref="M1:M1048576" xr:uid="{0FCD3DD5-CCC5-4A78-8416-68F749676A06}">
      <formula1>1</formula1>
      <formula2>12</formula2>
    </dataValidation>
    <dataValidation type="whole" operator="greaterThanOrEqual" allowBlank="1" showErrorMessage="1" errorTitle="ATTENTION" error="NOMBRE ENTIER UNIQUEMENT_x000a_MINIMUM --&gt; 0" sqref="J1:J1048576" xr:uid="{146AACFE-5003-48EA-B21B-3CA5FF0974FD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09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0" r:id="rId4" name="ValiderOrdrePhaseFinale">
              <controlPr defaultSize="0" print="0" autoFill="0" autoPict="0" macro="[0]!listmatchph14uni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1" r:id="rId5" name="C4PPClassement">
              <controlPr defaultSize="0" print="0" autoFill="0" autoPict="0" macro="[0]!'copyimage &quot;A2:J23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Accueil</vt:lpstr>
      <vt:lpstr>Parametres</vt:lpstr>
      <vt:lpstr>NOTES</vt:lpstr>
      <vt:lpstr>TEMPLATE</vt:lpstr>
      <vt:lpstr>FEUILLE_DE_SCORE</vt:lpstr>
      <vt:lpstr>INSCRITS</vt:lpstr>
      <vt:lpstr>MATCHS</vt:lpstr>
      <vt:lpstr>CLASSEMENTS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2024-03-03T19:24:31Z</dcterms:modified>
</cp:coreProperties>
</file>