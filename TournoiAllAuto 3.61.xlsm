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1.xml" ContentType="application/vnd.openxmlformats-officedocument.drawing+xml"/>
  <Override PartName="/xl/ctrlProps/ctrlProp14.xml" ContentType="application/vnd.ms-excel.controlproperties+xml"/>
  <Override PartName="/xl/drawings/drawing12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Desktop\All auto\XVBA\"/>
    </mc:Choice>
  </mc:AlternateContent>
  <xr:revisionPtr revIDLastSave="0" documentId="13_ncr:1_{0C385F2F-81CF-43E2-A619-E7FD2AB7969C}" xr6:coauthVersionLast="47" xr6:coauthVersionMax="47" xr10:uidLastSave="{00000000-0000-0000-0000-000000000000}"/>
  <bookViews>
    <workbookView xWindow="28680" yWindow="0" windowWidth="29040" windowHeight="16440" firstSheet="2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  <sheet name="INSCRITS" sheetId="300" r:id="rId10"/>
    <sheet name="MATCHS" sheetId="301" r:id="rId11"/>
    <sheet name="CLASSEMENTS" sheetId="302" r:id="rId12"/>
    <sheet name="PHASE_FINALE_DM" sheetId="303" r:id="rId13"/>
    <sheet name="PHASE_FINALE_DH" sheetId="304" r:id="rId14"/>
    <sheet name="FINAL_MATCHS" sheetId="305" r:id="rId15"/>
    <sheet name="PLACE_FINALE_DM" sheetId="306" r:id="rId16"/>
    <sheet name="PLACE_FINALE_DH" sheetId="307" r:id="rId17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" i="307" l="1"/>
  <c r="A17" i="307"/>
  <c r="A16" i="307"/>
  <c r="A15" i="307"/>
  <c r="A14" i="307"/>
  <c r="A13" i="307"/>
  <c r="A12" i="307"/>
  <c r="A11" i="307"/>
  <c r="A10" i="307"/>
  <c r="A9" i="307"/>
  <c r="A8" i="307"/>
  <c r="A7" i="307"/>
  <c r="A6" i="307"/>
  <c r="A5" i="307"/>
  <c r="J9" i="307" s="1"/>
  <c r="A4" i="307"/>
  <c r="D8" i="307" s="1"/>
  <c r="A3" i="307"/>
  <c r="G7" i="307" s="1"/>
  <c r="A18" i="306"/>
  <c r="A17" i="306"/>
  <c r="A16" i="306"/>
  <c r="A15" i="306"/>
  <c r="A14" i="306"/>
  <c r="A13" i="306"/>
  <c r="A12" i="306"/>
  <c r="A11" i="306"/>
  <c r="A10" i="306"/>
  <c r="A9" i="306"/>
  <c r="A8" i="306"/>
  <c r="A7" i="306"/>
  <c r="A6" i="306"/>
  <c r="A5" i="306"/>
  <c r="J9" i="306" s="1"/>
  <c r="A4" i="306"/>
  <c r="D8" i="306" s="1"/>
  <c r="A3" i="306"/>
  <c r="G7" i="306" s="1"/>
  <c r="D100" i="305"/>
  <c r="D91" i="305"/>
  <c r="D82" i="305"/>
  <c r="D73" i="305"/>
  <c r="D64" i="305"/>
  <c r="D55" i="305"/>
  <c r="D46" i="305"/>
  <c r="D37" i="305"/>
  <c r="D28" i="305"/>
  <c r="D19" i="305"/>
  <c r="D10" i="305"/>
  <c r="D1" i="305"/>
  <c r="E55" i="305"/>
  <c r="C55" i="305"/>
  <c r="E54" i="305"/>
  <c r="C54" i="305"/>
  <c r="E53" i="305"/>
  <c r="C53" i="305"/>
  <c r="E52" i="305"/>
  <c r="C52" i="305"/>
  <c r="E51" i="305"/>
  <c r="C51" i="305"/>
  <c r="E50" i="305"/>
  <c r="C50" i="305"/>
  <c r="E49" i="305"/>
  <c r="C49" i="305"/>
  <c r="E48" i="305"/>
  <c r="C48" i="305"/>
  <c r="E47" i="305"/>
  <c r="C47" i="305"/>
  <c r="E46" i="305"/>
  <c r="C46" i="305"/>
  <c r="E45" i="305"/>
  <c r="C45" i="305"/>
  <c r="E44" i="305"/>
  <c r="C44" i="305"/>
  <c r="E43" i="305"/>
  <c r="C43" i="305"/>
  <c r="E42" i="305"/>
  <c r="C42" i="305"/>
  <c r="E41" i="305"/>
  <c r="C41" i="305"/>
  <c r="E40" i="305"/>
  <c r="C40" i="305"/>
  <c r="E39" i="305"/>
  <c r="C39" i="305"/>
  <c r="E38" i="305"/>
  <c r="C38" i="305"/>
  <c r="E37" i="305"/>
  <c r="C37" i="305"/>
  <c r="E36" i="305"/>
  <c r="C36" i="305"/>
  <c r="E35" i="305"/>
  <c r="C35" i="305"/>
  <c r="E34" i="305"/>
  <c r="C34" i="305"/>
  <c r="E33" i="305"/>
  <c r="C33" i="305"/>
  <c r="E32" i="305"/>
  <c r="C32" i="305"/>
  <c r="E31" i="305"/>
  <c r="C31" i="305"/>
  <c r="E30" i="305"/>
  <c r="C30" i="305"/>
  <c r="E29" i="305"/>
  <c r="C29" i="305"/>
  <c r="E28" i="305"/>
  <c r="C28" i="305"/>
  <c r="E27" i="305"/>
  <c r="C27" i="305"/>
  <c r="E26" i="305"/>
  <c r="C26" i="305"/>
  <c r="E25" i="305"/>
  <c r="C25" i="305"/>
  <c r="E24" i="305"/>
  <c r="C24" i="305"/>
  <c r="E23" i="305"/>
  <c r="C23" i="305"/>
  <c r="E22" i="305"/>
  <c r="C22" i="305"/>
  <c r="E21" i="305"/>
  <c r="C21" i="305"/>
  <c r="E20" i="305"/>
  <c r="C20" i="305"/>
  <c r="E19" i="305"/>
  <c r="C19" i="305"/>
  <c r="E18" i="305"/>
  <c r="C18" i="305"/>
  <c r="E17" i="305"/>
  <c r="C17" i="305"/>
  <c r="E16" i="305"/>
  <c r="C16" i="305"/>
  <c r="E15" i="305"/>
  <c r="C15" i="305"/>
  <c r="E14" i="305"/>
  <c r="C14" i="305"/>
  <c r="E13" i="305"/>
  <c r="C13" i="305"/>
  <c r="E12" i="305"/>
  <c r="C12" i="305"/>
  <c r="E11" i="305"/>
  <c r="C11" i="305"/>
  <c r="E10" i="305"/>
  <c r="C10" i="305"/>
  <c r="E9" i="305"/>
  <c r="C9" i="305"/>
  <c r="E8" i="305"/>
  <c r="C8" i="305"/>
  <c r="E7" i="305"/>
  <c r="C7" i="305"/>
  <c r="E6" i="305"/>
  <c r="C6" i="305"/>
  <c r="E5" i="305"/>
  <c r="C5" i="305"/>
  <c r="E4" i="305"/>
  <c r="C4" i="305"/>
  <c r="E3" i="305"/>
  <c r="C3" i="305"/>
  <c r="E2" i="305"/>
  <c r="C2" i="305"/>
  <c r="E1" i="305"/>
  <c r="C1" i="305"/>
  <c r="U2" i="305"/>
  <c r="U3" i="305" s="1"/>
  <c r="U4" i="305" s="1"/>
  <c r="U5" i="305" s="1"/>
  <c r="C64" i="304"/>
  <c r="C63" i="304"/>
  <c r="C60" i="304"/>
  <c r="C59" i="304"/>
  <c r="F66" i="304"/>
  <c r="F65" i="304"/>
  <c r="F58" i="304"/>
  <c r="F57" i="304"/>
  <c r="K66" i="304"/>
  <c r="K65" i="304"/>
  <c r="K58" i="304"/>
  <c r="K57" i="304"/>
  <c r="N64" i="304"/>
  <c r="N63" i="304"/>
  <c r="N60" i="304"/>
  <c r="N59" i="304"/>
  <c r="C47" i="304"/>
  <c r="C46" i="304"/>
  <c r="C43" i="304"/>
  <c r="C42" i="304"/>
  <c r="F49" i="304"/>
  <c r="F48" i="304"/>
  <c r="F41" i="304"/>
  <c r="F40" i="304"/>
  <c r="K49" i="304"/>
  <c r="K48" i="304"/>
  <c r="K41" i="304"/>
  <c r="K40" i="304"/>
  <c r="N47" i="304"/>
  <c r="N46" i="304"/>
  <c r="N43" i="304"/>
  <c r="N42" i="304"/>
  <c r="C30" i="304"/>
  <c r="F54" i="305" s="1"/>
  <c r="C29" i="304"/>
  <c r="B54" i="305" s="1"/>
  <c r="C26" i="304"/>
  <c r="F53" i="305" s="1"/>
  <c r="C25" i="304"/>
  <c r="B53" i="305" s="1"/>
  <c r="F32" i="304"/>
  <c r="F36" i="305" s="1"/>
  <c r="F31" i="304"/>
  <c r="B36" i="305" s="1"/>
  <c r="K32" i="304"/>
  <c r="F34" i="305" s="1"/>
  <c r="K31" i="304"/>
  <c r="B34" i="305" s="1"/>
  <c r="N30" i="304"/>
  <c r="F52" i="305" s="1"/>
  <c r="N29" i="304"/>
  <c r="B52" i="305" s="1"/>
  <c r="N26" i="304"/>
  <c r="F51" i="305" s="1"/>
  <c r="N25" i="304"/>
  <c r="B51" i="305" s="1"/>
  <c r="C13" i="304"/>
  <c r="F50" i="305" s="1"/>
  <c r="C12" i="304"/>
  <c r="B50" i="305" s="1"/>
  <c r="C9" i="304"/>
  <c r="F49" i="305" s="1"/>
  <c r="C8" i="304"/>
  <c r="B49" i="305" s="1"/>
  <c r="N13" i="304"/>
  <c r="F48" i="305" s="1"/>
  <c r="N12" i="304"/>
  <c r="B48" i="305" s="1"/>
  <c r="N9" i="304"/>
  <c r="F47" i="305" s="1"/>
  <c r="N8" i="304"/>
  <c r="B47" i="305" s="1"/>
  <c r="C64" i="303"/>
  <c r="C63" i="303"/>
  <c r="C60" i="303"/>
  <c r="C59" i="303"/>
  <c r="F66" i="303"/>
  <c r="F65" i="303"/>
  <c r="F58" i="303"/>
  <c r="F57" i="303"/>
  <c r="K66" i="303"/>
  <c r="K65" i="303"/>
  <c r="K58" i="303"/>
  <c r="K57" i="303"/>
  <c r="N64" i="303"/>
  <c r="N63" i="303"/>
  <c r="N60" i="303"/>
  <c r="N59" i="303"/>
  <c r="C47" i="303"/>
  <c r="C46" i="303"/>
  <c r="C43" i="303"/>
  <c r="C42" i="303"/>
  <c r="F49" i="303"/>
  <c r="F48" i="303"/>
  <c r="F41" i="303"/>
  <c r="F40" i="303"/>
  <c r="K49" i="303"/>
  <c r="K48" i="303"/>
  <c r="K41" i="303"/>
  <c r="K40" i="303"/>
  <c r="N47" i="303"/>
  <c r="N46" i="303"/>
  <c r="N43" i="303"/>
  <c r="N42" i="303"/>
  <c r="C30" i="303"/>
  <c r="F45" i="305" s="1"/>
  <c r="C29" i="303"/>
  <c r="B45" i="305" s="1"/>
  <c r="C26" i="303"/>
  <c r="F44" i="305" s="1"/>
  <c r="C25" i="303"/>
  <c r="B44" i="305" s="1"/>
  <c r="N30" i="303"/>
  <c r="F43" i="305" s="1"/>
  <c r="N29" i="303"/>
  <c r="B43" i="305" s="1"/>
  <c r="N26" i="303"/>
  <c r="F42" i="305" s="1"/>
  <c r="N25" i="303"/>
  <c r="B42" i="305" s="1"/>
  <c r="C13" i="303"/>
  <c r="F41" i="305" s="1"/>
  <c r="C12" i="303"/>
  <c r="B41" i="305" s="1"/>
  <c r="C9" i="303"/>
  <c r="F40" i="305" s="1"/>
  <c r="C8" i="303"/>
  <c r="B40" i="305" s="1"/>
  <c r="N13" i="303"/>
  <c r="F39" i="305" s="1"/>
  <c r="N12" i="303"/>
  <c r="B39" i="305" s="1"/>
  <c r="N9" i="303"/>
  <c r="F38" i="305" s="1"/>
  <c r="N8" i="303"/>
  <c r="B38" i="305" s="1"/>
  <c r="N44" i="302"/>
  <c r="D44" i="302"/>
  <c r="N43" i="302"/>
  <c r="D43" i="302"/>
  <c r="N42" i="302"/>
  <c r="D42" i="302"/>
  <c r="N41" i="302"/>
  <c r="D41" i="302"/>
  <c r="N40" i="302"/>
  <c r="D40" i="302"/>
  <c r="N39" i="302"/>
  <c r="D39" i="302"/>
  <c r="N38" i="302"/>
  <c r="D38" i="302"/>
  <c r="N37" i="302"/>
  <c r="D37" i="302"/>
  <c r="N33" i="302"/>
  <c r="D33" i="302"/>
  <c r="N32" i="302"/>
  <c r="D32" i="302"/>
  <c r="N31" i="302"/>
  <c r="D31" i="302"/>
  <c r="N30" i="302"/>
  <c r="D30" i="302"/>
  <c r="N29" i="302"/>
  <c r="D29" i="302"/>
  <c r="N28" i="302"/>
  <c r="D28" i="302"/>
  <c r="N27" i="302"/>
  <c r="D27" i="302"/>
  <c r="N26" i="302"/>
  <c r="D26" i="302"/>
  <c r="N22" i="302"/>
  <c r="D22" i="302"/>
  <c r="N21" i="302"/>
  <c r="D21" i="302"/>
  <c r="N20" i="302"/>
  <c r="D20" i="302"/>
  <c r="N19" i="302"/>
  <c r="D19" i="302"/>
  <c r="N18" i="302"/>
  <c r="D18" i="302"/>
  <c r="N17" i="302"/>
  <c r="D17" i="302"/>
  <c r="N16" i="302"/>
  <c r="D16" i="302"/>
  <c r="N15" i="302"/>
  <c r="D15" i="302"/>
  <c r="N11" i="302"/>
  <c r="D11" i="302"/>
  <c r="N10" i="302"/>
  <c r="D10" i="302"/>
  <c r="N9" i="302"/>
  <c r="D9" i="302"/>
  <c r="N8" i="302"/>
  <c r="D8" i="302"/>
  <c r="N7" i="302"/>
  <c r="D7" i="302"/>
  <c r="N6" i="302"/>
  <c r="D6" i="302"/>
  <c r="N5" i="302"/>
  <c r="D5" i="302"/>
  <c r="N4" i="302"/>
  <c r="D4" i="302"/>
  <c r="F123" i="301"/>
  <c r="F106" i="301"/>
  <c r="F89" i="301"/>
  <c r="F72" i="301"/>
  <c r="F53" i="301"/>
  <c r="F36" i="301"/>
  <c r="F18" i="301"/>
  <c r="F124" i="301"/>
  <c r="F105" i="301"/>
  <c r="F90" i="301"/>
  <c r="F71" i="301"/>
  <c r="F54" i="301"/>
  <c r="F35" i="301"/>
  <c r="B18" i="301"/>
  <c r="F125" i="301"/>
  <c r="F108" i="301"/>
  <c r="F87" i="301"/>
  <c r="F70" i="301"/>
  <c r="B54" i="301"/>
  <c r="B36" i="301"/>
  <c r="F17" i="301"/>
  <c r="F126" i="301"/>
  <c r="F107" i="301"/>
  <c r="F88" i="301"/>
  <c r="F69" i="301"/>
  <c r="B53" i="301"/>
  <c r="B35" i="301"/>
  <c r="B17" i="301"/>
  <c r="B126" i="301"/>
  <c r="B108" i="301"/>
  <c r="B90" i="301"/>
  <c r="B72" i="301"/>
  <c r="F51" i="301"/>
  <c r="F34" i="301"/>
  <c r="F16" i="301"/>
  <c r="B125" i="301"/>
  <c r="B107" i="301"/>
  <c r="B89" i="301"/>
  <c r="B71" i="301"/>
  <c r="F52" i="301"/>
  <c r="F33" i="301"/>
  <c r="B16" i="301"/>
  <c r="B124" i="301"/>
  <c r="B106" i="301"/>
  <c r="B88" i="301"/>
  <c r="B70" i="301"/>
  <c r="B52" i="301"/>
  <c r="B34" i="301"/>
  <c r="F15" i="301"/>
  <c r="B123" i="301"/>
  <c r="B105" i="301"/>
  <c r="B87" i="301"/>
  <c r="B69" i="301"/>
  <c r="B51" i="301"/>
  <c r="B33" i="301"/>
  <c r="B15" i="301"/>
  <c r="F119" i="301"/>
  <c r="F102" i="301"/>
  <c r="F85" i="301"/>
  <c r="F68" i="301"/>
  <c r="F49" i="301"/>
  <c r="F32" i="301"/>
  <c r="F14" i="301"/>
  <c r="F120" i="301"/>
  <c r="F101" i="301"/>
  <c r="F86" i="301"/>
  <c r="F67" i="301"/>
  <c r="F50" i="301"/>
  <c r="F31" i="301"/>
  <c r="B14" i="301"/>
  <c r="F121" i="301"/>
  <c r="F104" i="301"/>
  <c r="F83" i="301"/>
  <c r="F66" i="301"/>
  <c r="B50" i="301"/>
  <c r="B32" i="301"/>
  <c r="F13" i="301"/>
  <c r="F122" i="301"/>
  <c r="F103" i="301"/>
  <c r="F84" i="301"/>
  <c r="F65" i="301"/>
  <c r="B49" i="301"/>
  <c r="B31" i="301"/>
  <c r="B13" i="301"/>
  <c r="B122" i="301"/>
  <c r="B104" i="301"/>
  <c r="B86" i="301"/>
  <c r="B68" i="301"/>
  <c r="F47" i="301"/>
  <c r="F30" i="301"/>
  <c r="F12" i="301"/>
  <c r="B121" i="301"/>
  <c r="B103" i="301"/>
  <c r="B85" i="301"/>
  <c r="B67" i="301"/>
  <c r="F48" i="301"/>
  <c r="F29" i="301"/>
  <c r="B12" i="301"/>
  <c r="B120" i="301"/>
  <c r="B102" i="301"/>
  <c r="B84" i="301"/>
  <c r="B66" i="301"/>
  <c r="B48" i="301"/>
  <c r="B30" i="301"/>
  <c r="F11" i="301"/>
  <c r="B119" i="301"/>
  <c r="B101" i="301"/>
  <c r="B83" i="301"/>
  <c r="B65" i="301"/>
  <c r="B47" i="301"/>
  <c r="B29" i="301"/>
  <c r="B11" i="301"/>
  <c r="F114" i="301"/>
  <c r="F97" i="301"/>
  <c r="F80" i="301"/>
  <c r="F63" i="301"/>
  <c r="F44" i="301"/>
  <c r="F27" i="301"/>
  <c r="F9" i="301"/>
  <c r="F115" i="301"/>
  <c r="F96" i="301"/>
  <c r="F81" i="301"/>
  <c r="F62" i="301"/>
  <c r="F45" i="301"/>
  <c r="F26" i="301"/>
  <c r="B9" i="301"/>
  <c r="F116" i="301"/>
  <c r="F99" i="301"/>
  <c r="F78" i="301"/>
  <c r="F61" i="301"/>
  <c r="B45" i="301"/>
  <c r="B27" i="301"/>
  <c r="F8" i="301"/>
  <c r="F117" i="301"/>
  <c r="F98" i="301"/>
  <c r="F79" i="301"/>
  <c r="F60" i="301"/>
  <c r="B44" i="301"/>
  <c r="B26" i="301"/>
  <c r="B8" i="301"/>
  <c r="B117" i="301"/>
  <c r="B99" i="301"/>
  <c r="B81" i="301"/>
  <c r="B63" i="301"/>
  <c r="F42" i="301"/>
  <c r="F25" i="301"/>
  <c r="F7" i="301"/>
  <c r="B116" i="301"/>
  <c r="B98" i="301"/>
  <c r="B80" i="301"/>
  <c r="B62" i="301"/>
  <c r="F43" i="301"/>
  <c r="F24" i="301"/>
  <c r="B7" i="301"/>
  <c r="B115" i="301"/>
  <c r="B97" i="301"/>
  <c r="B79" i="301"/>
  <c r="B61" i="301"/>
  <c r="B43" i="301"/>
  <c r="B25" i="301"/>
  <c r="F6" i="301"/>
  <c r="B114" i="301"/>
  <c r="B96" i="301"/>
  <c r="B78" i="301"/>
  <c r="B60" i="301"/>
  <c r="B42" i="301"/>
  <c r="B24" i="301"/>
  <c r="B6" i="301"/>
  <c r="F110" i="301"/>
  <c r="F93" i="301"/>
  <c r="F76" i="301"/>
  <c r="F59" i="301"/>
  <c r="F40" i="301"/>
  <c r="F23" i="301"/>
  <c r="F5" i="301"/>
  <c r="F111" i="301"/>
  <c r="F92" i="301"/>
  <c r="F77" i="301"/>
  <c r="F58" i="301"/>
  <c r="F41" i="301"/>
  <c r="F22" i="301"/>
  <c r="B5" i="301"/>
  <c r="F112" i="301"/>
  <c r="F95" i="301"/>
  <c r="F74" i="301"/>
  <c r="F57" i="301"/>
  <c r="B41" i="301"/>
  <c r="B23" i="301"/>
  <c r="F4" i="301"/>
  <c r="F113" i="301"/>
  <c r="F94" i="301"/>
  <c r="F75" i="301"/>
  <c r="F56" i="301"/>
  <c r="B40" i="301"/>
  <c r="B22" i="301"/>
  <c r="B4" i="301"/>
  <c r="B113" i="301"/>
  <c r="B95" i="301"/>
  <c r="B77" i="301"/>
  <c r="B59" i="301"/>
  <c r="F38" i="301"/>
  <c r="F21" i="301"/>
  <c r="F3" i="301"/>
  <c r="B112" i="301"/>
  <c r="B94" i="301"/>
  <c r="B76" i="301"/>
  <c r="B58" i="301"/>
  <c r="F39" i="301"/>
  <c r="F20" i="301"/>
  <c r="B3" i="301"/>
  <c r="B111" i="301"/>
  <c r="B93" i="301"/>
  <c r="B75" i="301"/>
  <c r="B57" i="301"/>
  <c r="B39" i="301"/>
  <c r="B21" i="301"/>
  <c r="F2" i="301"/>
  <c r="B110" i="301"/>
  <c r="B92" i="301"/>
  <c r="B74" i="301"/>
  <c r="B56" i="301"/>
  <c r="B38" i="301"/>
  <c r="B20" i="301"/>
  <c r="B2" i="301"/>
  <c r="D1000" i="301"/>
  <c r="D991" i="301"/>
  <c r="D982" i="301"/>
  <c r="D973" i="301"/>
  <c r="D964" i="301"/>
  <c r="D955" i="301"/>
  <c r="D946" i="301"/>
  <c r="D937" i="301"/>
  <c r="D928" i="301"/>
  <c r="D919" i="301"/>
  <c r="D910" i="301"/>
  <c r="D901" i="301"/>
  <c r="D892" i="301"/>
  <c r="D883" i="301"/>
  <c r="D874" i="301"/>
  <c r="D865" i="301"/>
  <c r="D856" i="301"/>
  <c r="D847" i="301"/>
  <c r="D838" i="301"/>
  <c r="D829" i="301"/>
  <c r="D820" i="301"/>
  <c r="D811" i="301"/>
  <c r="D802" i="301"/>
  <c r="D793" i="301"/>
  <c r="D784" i="301"/>
  <c r="D775" i="301"/>
  <c r="D766" i="301"/>
  <c r="D757" i="301"/>
  <c r="D748" i="301"/>
  <c r="D739" i="301"/>
  <c r="D730" i="301"/>
  <c r="D721" i="301"/>
  <c r="D712" i="301"/>
  <c r="D703" i="301"/>
  <c r="D694" i="301"/>
  <c r="D685" i="301"/>
  <c r="D676" i="301"/>
  <c r="D667" i="301"/>
  <c r="D658" i="301"/>
  <c r="D649" i="301"/>
  <c r="D640" i="301"/>
  <c r="D631" i="301"/>
  <c r="D622" i="301"/>
  <c r="D613" i="301"/>
  <c r="D604" i="301"/>
  <c r="D595" i="301"/>
  <c r="D586" i="301"/>
  <c r="D577" i="301"/>
  <c r="D568" i="301"/>
  <c r="D559" i="301"/>
  <c r="D550" i="301"/>
  <c r="D541" i="301"/>
  <c r="D532" i="301"/>
  <c r="D523" i="301"/>
  <c r="D514" i="301"/>
  <c r="D505" i="301"/>
  <c r="D496" i="301"/>
  <c r="D487" i="301"/>
  <c r="D478" i="301"/>
  <c r="D469" i="301"/>
  <c r="D460" i="301"/>
  <c r="D451" i="301"/>
  <c r="D442" i="301"/>
  <c r="D433" i="301"/>
  <c r="D424" i="301"/>
  <c r="D415" i="301"/>
  <c r="D406" i="301"/>
  <c r="D397" i="301"/>
  <c r="D388" i="301"/>
  <c r="D379" i="301"/>
  <c r="D370" i="301"/>
  <c r="D361" i="301"/>
  <c r="D352" i="301"/>
  <c r="D343" i="301"/>
  <c r="D334" i="301"/>
  <c r="D325" i="301"/>
  <c r="D316" i="301"/>
  <c r="D307" i="301"/>
  <c r="D298" i="301"/>
  <c r="D289" i="301"/>
  <c r="D280" i="301"/>
  <c r="D271" i="301"/>
  <c r="D262" i="301"/>
  <c r="D253" i="301"/>
  <c r="D244" i="301"/>
  <c r="D235" i="301"/>
  <c r="D226" i="301"/>
  <c r="D217" i="301"/>
  <c r="D208" i="301"/>
  <c r="D199" i="301"/>
  <c r="D190" i="301"/>
  <c r="D181" i="301"/>
  <c r="D172" i="301"/>
  <c r="D163" i="301"/>
  <c r="D154" i="301"/>
  <c r="D145" i="301"/>
  <c r="D136" i="301"/>
  <c r="D127" i="301"/>
  <c r="D118" i="301"/>
  <c r="D109" i="301"/>
  <c r="D100" i="301"/>
  <c r="D91" i="301"/>
  <c r="D82" i="301"/>
  <c r="D73" i="301"/>
  <c r="D64" i="301"/>
  <c r="D55" i="301"/>
  <c r="D46" i="301"/>
  <c r="D37" i="301"/>
  <c r="D28" i="301"/>
  <c r="D19" i="301"/>
  <c r="D10" i="301"/>
  <c r="E127" i="301"/>
  <c r="C127" i="301"/>
  <c r="E118" i="301"/>
  <c r="C118" i="301"/>
  <c r="E109" i="301"/>
  <c r="C109" i="301"/>
  <c r="E100" i="301"/>
  <c r="C100" i="301"/>
  <c r="E91" i="301"/>
  <c r="C91" i="301"/>
  <c r="E82" i="301"/>
  <c r="C82" i="301"/>
  <c r="E73" i="301"/>
  <c r="C73" i="301"/>
  <c r="E64" i="301"/>
  <c r="C64" i="301"/>
  <c r="E55" i="301"/>
  <c r="C55" i="301"/>
  <c r="E46" i="301"/>
  <c r="C46" i="301"/>
  <c r="E37" i="301"/>
  <c r="C37" i="301"/>
  <c r="E28" i="301"/>
  <c r="C28" i="301"/>
  <c r="E19" i="301"/>
  <c r="C19" i="301"/>
  <c r="E10" i="301"/>
  <c r="C10" i="301"/>
  <c r="E1" i="301"/>
  <c r="C1" i="301"/>
  <c r="U2" i="301"/>
  <c r="U3" i="301" s="1"/>
  <c r="U4" i="301" s="1"/>
  <c r="U5" i="301" s="1"/>
  <c r="S2" i="301"/>
  <c r="S3" i="301" s="1"/>
  <c r="S4" i="301" s="1"/>
  <c r="S5" i="301" s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H34" i="304"/>
  <c r="H33" i="304"/>
  <c r="H30" i="304"/>
  <c r="H29" i="304"/>
  <c r="H26" i="304"/>
  <c r="H25" i="304"/>
  <c r="H22" i="304"/>
  <c r="H21" i="304"/>
  <c r="H17" i="304"/>
  <c r="H16" i="304"/>
  <c r="H13" i="304"/>
  <c r="H12" i="304"/>
  <c r="H9" i="304"/>
  <c r="H8" i="304"/>
  <c r="H5" i="304"/>
  <c r="H4" i="304"/>
  <c r="H34" i="303"/>
  <c r="H33" i="303"/>
  <c r="H30" i="303"/>
  <c r="H29" i="303"/>
  <c r="H26" i="303"/>
  <c r="H25" i="303"/>
  <c r="H22" i="303"/>
  <c r="H21" i="303"/>
  <c r="H17" i="303"/>
  <c r="H16" i="303"/>
  <c r="H13" i="303"/>
  <c r="H12" i="303"/>
  <c r="H9" i="303"/>
  <c r="H8" i="303"/>
  <c r="H5" i="303"/>
  <c r="H4" i="303"/>
  <c r="E43" i="302"/>
  <c r="I40" i="302"/>
  <c r="F38" i="302"/>
  <c r="G32" i="302"/>
  <c r="H30" i="302"/>
  <c r="E28" i="302"/>
  <c r="I22" i="302"/>
  <c r="F20" i="302"/>
  <c r="G17" i="302"/>
  <c r="H15" i="302"/>
  <c r="E10" i="302"/>
  <c r="I7" i="302"/>
  <c r="F5" i="302"/>
  <c r="E20" i="302"/>
  <c r="H7" i="302"/>
  <c r="H38" i="302"/>
  <c r="G42" i="302"/>
  <c r="H40" i="302"/>
  <c r="E38" i="302"/>
  <c r="I32" i="302"/>
  <c r="F30" i="302"/>
  <c r="G27" i="302"/>
  <c r="H22" i="302"/>
  <c r="I17" i="302"/>
  <c r="F15" i="302"/>
  <c r="G9" i="302"/>
  <c r="E5" i="302"/>
  <c r="I30" i="302"/>
  <c r="I42" i="302"/>
  <c r="F40" i="302"/>
  <c r="G37" i="302"/>
  <c r="H32" i="302"/>
  <c r="E30" i="302"/>
  <c r="I27" i="302"/>
  <c r="F22" i="302"/>
  <c r="G19" i="302"/>
  <c r="H17" i="302"/>
  <c r="E15" i="302"/>
  <c r="I9" i="302"/>
  <c r="F7" i="302"/>
  <c r="G4" i="302"/>
  <c r="F31" i="302"/>
  <c r="E6" i="302"/>
  <c r="H20" i="302"/>
  <c r="G44" i="302"/>
  <c r="H42" i="302"/>
  <c r="E40" i="302"/>
  <c r="I37" i="302"/>
  <c r="F32" i="302"/>
  <c r="G29" i="302"/>
  <c r="H27" i="302"/>
  <c r="E22" i="302"/>
  <c r="I19" i="302"/>
  <c r="F17" i="302"/>
  <c r="G11" i="302"/>
  <c r="H9" i="302"/>
  <c r="E7" i="302"/>
  <c r="I4" i="302"/>
  <c r="E21" i="302"/>
  <c r="G40" i="302"/>
  <c r="F10" i="302"/>
  <c r="I44" i="302"/>
  <c r="F42" i="302"/>
  <c r="G39" i="302"/>
  <c r="H37" i="302"/>
  <c r="E32" i="302"/>
  <c r="I29" i="302"/>
  <c r="F27" i="302"/>
  <c r="G21" i="302"/>
  <c r="H19" i="302"/>
  <c r="E17" i="302"/>
  <c r="I11" i="302"/>
  <c r="F9" i="302"/>
  <c r="G6" i="302"/>
  <c r="H4" i="302"/>
  <c r="H26" i="302"/>
  <c r="E18" i="302"/>
  <c r="H44" i="302"/>
  <c r="E42" i="302"/>
  <c r="I39" i="302"/>
  <c r="F37" i="302"/>
  <c r="G31" i="302"/>
  <c r="H29" i="302"/>
  <c r="E27" i="302"/>
  <c r="I21" i="302"/>
  <c r="F19" i="302"/>
  <c r="G16" i="302"/>
  <c r="H11" i="302"/>
  <c r="E9" i="302"/>
  <c r="I6" i="302"/>
  <c r="F4" i="302"/>
  <c r="F21" i="302"/>
  <c r="I8" i="302"/>
  <c r="G28" i="302"/>
  <c r="H8" i="302"/>
  <c r="G22" i="302"/>
  <c r="F44" i="302"/>
  <c r="G41" i="302"/>
  <c r="H39" i="302"/>
  <c r="E37" i="302"/>
  <c r="I31" i="302"/>
  <c r="F29" i="302"/>
  <c r="G26" i="302"/>
  <c r="H21" i="302"/>
  <c r="E19" i="302"/>
  <c r="I16" i="302"/>
  <c r="F11" i="302"/>
  <c r="G8" i="302"/>
  <c r="H6" i="302"/>
  <c r="E4" i="302"/>
  <c r="H16" i="302"/>
  <c r="I18" i="302"/>
  <c r="I15" i="302"/>
  <c r="E44" i="302"/>
  <c r="I41" i="302"/>
  <c r="F39" i="302"/>
  <c r="G33" i="302"/>
  <c r="H31" i="302"/>
  <c r="E29" i="302"/>
  <c r="I26" i="302"/>
  <c r="G18" i="302"/>
  <c r="E11" i="302"/>
  <c r="F6" i="302"/>
  <c r="F16" i="302"/>
  <c r="E33" i="302"/>
  <c r="G43" i="302"/>
  <c r="H41" i="302"/>
  <c r="E39" i="302"/>
  <c r="I33" i="302"/>
  <c r="G10" i="302"/>
  <c r="I43" i="302"/>
  <c r="F41" i="302"/>
  <c r="G38" i="302"/>
  <c r="H33" i="302"/>
  <c r="E31" i="302"/>
  <c r="I28" i="302"/>
  <c r="F26" i="302"/>
  <c r="G20" i="302"/>
  <c r="H18" i="302"/>
  <c r="E16" i="302"/>
  <c r="I10" i="302"/>
  <c r="F8" i="302"/>
  <c r="G5" i="302"/>
  <c r="F43" i="302"/>
  <c r="G7" i="302"/>
  <c r="H43" i="302"/>
  <c r="E41" i="302"/>
  <c r="I38" i="302"/>
  <c r="F33" i="302"/>
  <c r="G30" i="302"/>
  <c r="H28" i="302"/>
  <c r="E26" i="302"/>
  <c r="I20" i="302"/>
  <c r="F18" i="302"/>
  <c r="G15" i="302"/>
  <c r="H10" i="302"/>
  <c r="E8" i="302"/>
  <c r="I5" i="302"/>
  <c r="F28" i="302"/>
  <c r="H5" i="302"/>
  <c r="X298" i="305"/>
  <c r="X295" i="305"/>
  <c r="X292" i="305"/>
  <c r="X289" i="305"/>
  <c r="X286" i="305"/>
  <c r="X283" i="305"/>
  <c r="X280" i="305"/>
  <c r="X277" i="305"/>
  <c r="X274" i="305"/>
  <c r="X271" i="305"/>
  <c r="X268" i="305"/>
  <c r="X265" i="305"/>
  <c r="X262" i="305"/>
  <c r="X259" i="305"/>
  <c r="X256" i="305"/>
  <c r="X253" i="305"/>
  <c r="X250" i="305"/>
  <c r="X247" i="305"/>
  <c r="X244" i="305"/>
  <c r="X241" i="305"/>
  <c r="X238" i="305"/>
  <c r="X235" i="305"/>
  <c r="X232" i="305"/>
  <c r="X229" i="305"/>
  <c r="X226" i="305"/>
  <c r="X223" i="305"/>
  <c r="X220" i="305"/>
  <c r="X217" i="305"/>
  <c r="X214" i="305"/>
  <c r="X211" i="305"/>
  <c r="X208" i="305"/>
  <c r="X300" i="305"/>
  <c r="X297" i="305"/>
  <c r="X294" i="305"/>
  <c r="X291" i="305"/>
  <c r="X288" i="305"/>
  <c r="X285" i="305"/>
  <c r="X282" i="305"/>
  <c r="X279" i="305"/>
  <c r="X276" i="305"/>
  <c r="X273" i="305"/>
  <c r="X270" i="305"/>
  <c r="X267" i="305"/>
  <c r="X264" i="305"/>
  <c r="X261" i="305"/>
  <c r="X258" i="305"/>
  <c r="X255" i="305"/>
  <c r="X252" i="305"/>
  <c r="X249" i="305"/>
  <c r="X246" i="305"/>
  <c r="X243" i="305"/>
  <c r="X240" i="305"/>
  <c r="X237" i="305"/>
  <c r="X234" i="305"/>
  <c r="X231" i="305"/>
  <c r="X228" i="305"/>
  <c r="X225" i="305"/>
  <c r="X222" i="305"/>
  <c r="X219" i="305"/>
  <c r="X216" i="305"/>
  <c r="X213" i="305"/>
  <c r="X210" i="305"/>
  <c r="X207" i="305"/>
  <c r="X204" i="305"/>
  <c r="X201" i="305"/>
  <c r="X198" i="305"/>
  <c r="X195" i="305"/>
  <c r="X192" i="305"/>
  <c r="X189" i="305"/>
  <c r="X186" i="305"/>
  <c r="X183" i="305"/>
  <c r="X180" i="305"/>
  <c r="X177" i="305"/>
  <c r="X174" i="305"/>
  <c r="X299" i="305"/>
  <c r="X296" i="305"/>
  <c r="X293" i="305"/>
  <c r="X290" i="305"/>
  <c r="X287" i="305"/>
  <c r="X284" i="305"/>
  <c r="X281" i="305"/>
  <c r="X278" i="305"/>
  <c r="X275" i="305"/>
  <c r="X272" i="305"/>
  <c r="X269" i="305"/>
  <c r="X266" i="305"/>
  <c r="X263" i="305"/>
  <c r="X260" i="305"/>
  <c r="X257" i="305"/>
  <c r="X254" i="305"/>
  <c r="X251" i="305"/>
  <c r="X248" i="305"/>
  <c r="X245" i="305"/>
  <c r="X242" i="305"/>
  <c r="X239" i="305"/>
  <c r="X236" i="305"/>
  <c r="X233" i="305"/>
  <c r="X230" i="305"/>
  <c r="X227" i="305"/>
  <c r="X224" i="305"/>
  <c r="X221" i="305"/>
  <c r="X218" i="305"/>
  <c r="X215" i="305"/>
  <c r="X212" i="305"/>
  <c r="X209" i="305"/>
  <c r="X206" i="305"/>
  <c r="X203" i="305"/>
  <c r="X200" i="305"/>
  <c r="X197" i="305"/>
  <c r="X194" i="305"/>
  <c r="X191" i="305"/>
  <c r="X188" i="305"/>
  <c r="X185" i="305"/>
  <c r="X182" i="305"/>
  <c r="X179" i="305"/>
  <c r="X176" i="305"/>
  <c r="X173" i="305"/>
  <c r="X170" i="305"/>
  <c r="X167" i="305"/>
  <c r="X164" i="305"/>
  <c r="X205" i="305"/>
  <c r="X159" i="305"/>
  <c r="X141" i="305"/>
  <c r="X123" i="305"/>
  <c r="X105" i="305"/>
  <c r="X87" i="305"/>
  <c r="X69" i="305"/>
  <c r="X60" i="305"/>
  <c r="X90" i="305"/>
  <c r="X169" i="305"/>
  <c r="X129" i="305"/>
  <c r="X144" i="305"/>
  <c r="X202" i="305"/>
  <c r="X184" i="305"/>
  <c r="X168" i="305"/>
  <c r="X158" i="305"/>
  <c r="X149" i="305"/>
  <c r="X140" i="305"/>
  <c r="X131" i="305"/>
  <c r="X122" i="305"/>
  <c r="X113" i="305"/>
  <c r="X104" i="305"/>
  <c r="X95" i="305"/>
  <c r="X86" i="305"/>
  <c r="X77" i="305"/>
  <c r="X68" i="305"/>
  <c r="X59" i="305"/>
  <c r="X48" i="305"/>
  <c r="X45" i="305"/>
  <c r="X42" i="305"/>
  <c r="X39" i="305"/>
  <c r="X36" i="305"/>
  <c r="X139" i="305"/>
  <c r="X103" i="305"/>
  <c r="X76" i="305"/>
  <c r="X58" i="305"/>
  <c r="X120" i="305"/>
  <c r="X126" i="305"/>
  <c r="X157" i="305"/>
  <c r="X148" i="305"/>
  <c r="X130" i="305"/>
  <c r="X121" i="305"/>
  <c r="X112" i="305"/>
  <c r="X94" i="305"/>
  <c r="X85" i="305"/>
  <c r="X67" i="305"/>
  <c r="X52" i="305"/>
  <c r="X147" i="305"/>
  <c r="X135" i="305"/>
  <c r="X50" i="305"/>
  <c r="X199" i="305"/>
  <c r="X181" i="305"/>
  <c r="X166" i="305"/>
  <c r="X156" i="305"/>
  <c r="X138" i="305"/>
  <c r="X111" i="305"/>
  <c r="X102" i="305"/>
  <c r="X93" i="305"/>
  <c r="X84" i="305"/>
  <c r="X75" i="305"/>
  <c r="X66" i="305"/>
  <c r="X57" i="305"/>
  <c r="X99" i="305"/>
  <c r="X165" i="305"/>
  <c r="X51" i="305"/>
  <c r="X154" i="305"/>
  <c r="X136" i="305"/>
  <c r="X118" i="305"/>
  <c r="X100" i="305"/>
  <c r="X82" i="305"/>
  <c r="X64" i="305"/>
  <c r="X175" i="305"/>
  <c r="X162" i="305"/>
  <c r="X117" i="305"/>
  <c r="X72" i="305"/>
  <c r="X196" i="305"/>
  <c r="X178" i="305"/>
  <c r="X155" i="305"/>
  <c r="X146" i="305"/>
  <c r="X137" i="305"/>
  <c r="X128" i="305"/>
  <c r="X119" i="305"/>
  <c r="X110" i="305"/>
  <c r="X101" i="305"/>
  <c r="X92" i="305"/>
  <c r="X83" i="305"/>
  <c r="X74" i="305"/>
  <c r="X65" i="305"/>
  <c r="X56" i="305"/>
  <c r="X47" i="305"/>
  <c r="X44" i="305"/>
  <c r="X41" i="305"/>
  <c r="X38" i="305"/>
  <c r="X163" i="305"/>
  <c r="X145" i="305"/>
  <c r="X127" i="305"/>
  <c r="X109" i="305"/>
  <c r="X91" i="305"/>
  <c r="X73" i="305"/>
  <c r="X193" i="305"/>
  <c r="X153" i="305"/>
  <c r="X108" i="305"/>
  <c r="X63" i="305"/>
  <c r="X55" i="305"/>
  <c r="X190" i="305"/>
  <c r="X172" i="305"/>
  <c r="X161" i="305"/>
  <c r="X152" i="305"/>
  <c r="X143" i="305"/>
  <c r="X134" i="305"/>
  <c r="X125" i="305"/>
  <c r="X116" i="305"/>
  <c r="X107" i="305"/>
  <c r="X98" i="305"/>
  <c r="X89" i="305"/>
  <c r="X80" i="305"/>
  <c r="X71" i="305"/>
  <c r="X62" i="305"/>
  <c r="X54" i="305"/>
  <c r="X46" i="305"/>
  <c r="X43" i="305"/>
  <c r="X40" i="305"/>
  <c r="X37" i="305"/>
  <c r="X34" i="305"/>
  <c r="X28" i="305"/>
  <c r="X19" i="305"/>
  <c r="X10" i="305"/>
  <c r="X1" i="305"/>
  <c r="X171" i="305"/>
  <c r="X160" i="305"/>
  <c r="X151" i="305"/>
  <c r="X142" i="305"/>
  <c r="X133" i="305"/>
  <c r="X124" i="305"/>
  <c r="X115" i="305"/>
  <c r="X106" i="305"/>
  <c r="X97" i="305"/>
  <c r="X88" i="305"/>
  <c r="X79" i="305"/>
  <c r="X70" i="305"/>
  <c r="X61" i="305"/>
  <c r="X49" i="305"/>
  <c r="X187" i="305"/>
  <c r="X150" i="305"/>
  <c r="X132" i="305"/>
  <c r="X114" i="305"/>
  <c r="X96" i="305"/>
  <c r="X78" i="305"/>
  <c r="X53" i="305"/>
  <c r="X81" i="305"/>
  <c r="X151" i="301"/>
  <c r="X136" i="301"/>
  <c r="X127" i="301"/>
  <c r="X121" i="301"/>
  <c r="X115" i="301"/>
  <c r="X199" i="301"/>
  <c r="X196" i="301"/>
  <c r="X193" i="301"/>
  <c r="X190" i="301"/>
  <c r="X187" i="301"/>
  <c r="X184" i="301"/>
  <c r="X181" i="301"/>
  <c r="X178" i="301"/>
  <c r="X175" i="301"/>
  <c r="X172" i="301"/>
  <c r="X169" i="301"/>
  <c r="X166" i="301"/>
  <c r="X163" i="301"/>
  <c r="X160" i="301"/>
  <c r="X157" i="301"/>
  <c r="X154" i="301"/>
  <c r="X148" i="301"/>
  <c r="X145" i="301"/>
  <c r="X142" i="301"/>
  <c r="X139" i="301"/>
  <c r="X133" i="301"/>
  <c r="X130" i="301"/>
  <c r="X124" i="301"/>
  <c r="X118" i="301"/>
  <c r="X135" i="301"/>
  <c r="X117" i="301"/>
  <c r="X111" i="301"/>
  <c r="X105" i="301"/>
  <c r="X99" i="301"/>
  <c r="X93" i="301"/>
  <c r="X87" i="301"/>
  <c r="X81" i="301"/>
  <c r="X75" i="301"/>
  <c r="X72" i="301"/>
  <c r="X66" i="301"/>
  <c r="X60" i="301"/>
  <c r="X54" i="301"/>
  <c r="X48" i="301"/>
  <c r="X198" i="301"/>
  <c r="X195" i="301"/>
  <c r="X192" i="301"/>
  <c r="X189" i="301"/>
  <c r="X186" i="301"/>
  <c r="X183" i="301"/>
  <c r="X180" i="301"/>
  <c r="X177" i="301"/>
  <c r="X174" i="301"/>
  <c r="X171" i="301"/>
  <c r="X168" i="301"/>
  <c r="X165" i="301"/>
  <c r="X162" i="301"/>
  <c r="X159" i="301"/>
  <c r="X156" i="301"/>
  <c r="X153" i="301"/>
  <c r="X150" i="301"/>
  <c r="X147" i="301"/>
  <c r="X144" i="301"/>
  <c r="X141" i="301"/>
  <c r="X138" i="301"/>
  <c r="X132" i="301"/>
  <c r="X129" i="301"/>
  <c r="X126" i="301"/>
  <c r="X123" i="301"/>
  <c r="X120" i="301"/>
  <c r="X114" i="301"/>
  <c r="X108" i="301"/>
  <c r="X102" i="301"/>
  <c r="X96" i="301"/>
  <c r="X90" i="301"/>
  <c r="X84" i="301"/>
  <c r="X78" i="301"/>
  <c r="X69" i="301"/>
  <c r="X63" i="301"/>
  <c r="X57" i="301"/>
  <c r="X51" i="301"/>
  <c r="X97" i="301"/>
  <c r="X83" i="301"/>
  <c r="X61" i="301"/>
  <c r="X47" i="301"/>
  <c r="X41" i="301"/>
  <c r="X35" i="301"/>
  <c r="X29" i="301"/>
  <c r="X23" i="301"/>
  <c r="X17" i="301"/>
  <c r="X11" i="301"/>
  <c r="X5" i="301"/>
  <c r="X185" i="301"/>
  <c r="X173" i="301"/>
  <c r="X161" i="301"/>
  <c r="X149" i="301"/>
  <c r="X137" i="301"/>
  <c r="X125" i="301"/>
  <c r="X113" i="301"/>
  <c r="X104" i="301"/>
  <c r="X82" i="301"/>
  <c r="X68" i="301"/>
  <c r="X46" i="301"/>
  <c r="X40" i="301"/>
  <c r="X34" i="301"/>
  <c r="X28" i="301"/>
  <c r="X16" i="301"/>
  <c r="X10" i="301"/>
  <c r="X4" i="301"/>
  <c r="X42" i="301"/>
  <c r="X197" i="301"/>
  <c r="X22" i="301"/>
  <c r="X70" i="301"/>
  <c r="X200" i="301"/>
  <c r="X128" i="301"/>
  <c r="X91" i="301"/>
  <c r="X112" i="301"/>
  <c r="X103" i="301"/>
  <c r="X89" i="301"/>
  <c r="X67" i="301"/>
  <c r="X53" i="301"/>
  <c r="S10" i="301"/>
  <c r="X56" i="301"/>
  <c r="X6" i="301"/>
  <c r="X152" i="301"/>
  <c r="X88" i="301"/>
  <c r="X74" i="301"/>
  <c r="X52" i="301"/>
  <c r="X45" i="301"/>
  <c r="X39" i="301"/>
  <c r="X33" i="301"/>
  <c r="X27" i="301"/>
  <c r="X21" i="301"/>
  <c r="X15" i="301"/>
  <c r="X9" i="301"/>
  <c r="X3" i="301"/>
  <c r="X170" i="301"/>
  <c r="X134" i="301"/>
  <c r="X95" i="301"/>
  <c r="X73" i="301"/>
  <c r="X59" i="301"/>
  <c r="X92" i="301"/>
  <c r="X18" i="301"/>
  <c r="X77" i="301"/>
  <c r="X194" i="301"/>
  <c r="X182" i="301"/>
  <c r="X158" i="301"/>
  <c r="X146" i="301"/>
  <c r="X122" i="301"/>
  <c r="X176" i="301"/>
  <c r="X116" i="301"/>
  <c r="X110" i="301"/>
  <c r="X94" i="301"/>
  <c r="X80" i="301"/>
  <c r="X58" i="301"/>
  <c r="X32" i="301"/>
  <c r="X20" i="301"/>
  <c r="X8" i="301"/>
  <c r="X1" i="301"/>
  <c r="X30" i="301"/>
  <c r="X140" i="301"/>
  <c r="X109" i="301"/>
  <c r="X101" i="301"/>
  <c r="X79" i="301"/>
  <c r="X65" i="301"/>
  <c r="X44" i="301"/>
  <c r="X38" i="301"/>
  <c r="X26" i="301"/>
  <c r="X14" i="301"/>
  <c r="X2" i="301"/>
  <c r="X7" i="301"/>
  <c r="X36" i="301"/>
  <c r="X191" i="301"/>
  <c r="X179" i="301"/>
  <c r="X167" i="301"/>
  <c r="X155" i="301"/>
  <c r="X143" i="301"/>
  <c r="X131" i="301"/>
  <c r="X119" i="301"/>
  <c r="X100" i="301"/>
  <c r="X86" i="301"/>
  <c r="X64" i="301"/>
  <c r="X50" i="301"/>
  <c r="X43" i="301"/>
  <c r="X37" i="301"/>
  <c r="X31" i="301"/>
  <c r="X25" i="301"/>
  <c r="X19" i="301"/>
  <c r="X13" i="301"/>
  <c r="X24" i="301"/>
  <c r="X188" i="301"/>
  <c r="X106" i="301"/>
  <c r="X85" i="301"/>
  <c r="X71" i="301"/>
  <c r="X49" i="301"/>
  <c r="X107" i="301"/>
  <c r="X12" i="301"/>
  <c r="X164" i="301"/>
  <c r="X55" i="301"/>
  <c r="X98" i="301"/>
  <c r="X76" i="301"/>
  <c r="X62" i="301"/>
  <c r="K24" i="304" l="1"/>
  <c r="F33" i="305" s="1"/>
  <c r="F24" i="304"/>
  <c r="F35" i="305" s="1"/>
  <c r="K23" i="304"/>
  <c r="B33" i="305" s="1"/>
  <c r="F23" i="304"/>
  <c r="B35" i="305" s="1"/>
  <c r="S2" i="305"/>
  <c r="S3" i="305" s="1"/>
  <c r="S4" i="305" s="1"/>
  <c r="K32" i="303"/>
  <c r="F25" i="305" s="1"/>
  <c r="F32" i="303"/>
  <c r="F27" i="305" s="1"/>
  <c r="K31" i="303"/>
  <c r="B25" i="305" s="1"/>
  <c r="F31" i="303"/>
  <c r="B27" i="305" s="1"/>
  <c r="K24" i="303"/>
  <c r="F24" i="305" s="1"/>
  <c r="F24" i="303"/>
  <c r="F26" i="305" s="1"/>
  <c r="K23" i="303"/>
  <c r="B24" i="305" s="1"/>
  <c r="F23" i="303"/>
  <c r="B26" i="305" s="1"/>
  <c r="K15" i="303"/>
  <c r="F21" i="305" s="1"/>
  <c r="F15" i="303"/>
  <c r="F23" i="305" s="1"/>
  <c r="K14" i="303"/>
  <c r="B21" i="305" s="1"/>
  <c r="F14" i="303"/>
  <c r="B23" i="305" s="1"/>
  <c r="K7" i="303"/>
  <c r="F20" i="305" s="1"/>
  <c r="F7" i="303"/>
  <c r="F22" i="305" s="1"/>
  <c r="K6" i="303"/>
  <c r="B20" i="305" s="1"/>
  <c r="F6" i="303"/>
  <c r="B22" i="305" s="1"/>
  <c r="K15" i="304"/>
  <c r="F30" i="305" s="1"/>
  <c r="F15" i="304"/>
  <c r="F32" i="305" s="1"/>
  <c r="K14" i="304"/>
  <c r="B30" i="305" s="1"/>
  <c r="F14" i="304"/>
  <c r="B32" i="305" s="1"/>
  <c r="K7" i="304"/>
  <c r="F29" i="305" s="1"/>
  <c r="F7" i="304"/>
  <c r="F31" i="305" s="1"/>
  <c r="K6" i="304"/>
  <c r="B29" i="305" s="1"/>
  <c r="F6" i="304"/>
  <c r="B31" i="305" s="1"/>
  <c r="F18" i="305"/>
  <c r="B18" i="305"/>
  <c r="F17" i="305"/>
  <c r="B17" i="305"/>
  <c r="F16" i="305"/>
  <c r="B16" i="305"/>
  <c r="F15" i="305"/>
  <c r="B15" i="305"/>
  <c r="F14" i="305"/>
  <c r="B14" i="305"/>
  <c r="F13" i="305"/>
  <c r="B13" i="305"/>
  <c r="F12" i="305"/>
  <c r="B12" i="305"/>
  <c r="F11" i="305"/>
  <c r="B11" i="305"/>
  <c r="F9" i="305"/>
  <c r="B9" i="305"/>
  <c r="F8" i="305"/>
  <c r="B8" i="305"/>
  <c r="F7" i="305"/>
  <c r="B7" i="305"/>
  <c r="F6" i="305"/>
  <c r="B6" i="305"/>
  <c r="F5" i="305"/>
  <c r="B5" i="305"/>
  <c r="F4" i="305"/>
  <c r="B4" i="305"/>
  <c r="F3" i="305"/>
  <c r="B3" i="305"/>
  <c r="F2" i="305"/>
  <c r="B2" i="305"/>
  <c r="J5" i="302"/>
  <c r="J10" i="302"/>
  <c r="J28" i="302"/>
  <c r="J43" i="302"/>
  <c r="J18" i="302"/>
  <c r="J33" i="302"/>
  <c r="J41" i="302"/>
  <c r="J31" i="302"/>
  <c r="J16" i="302"/>
  <c r="J6" i="302"/>
  <c r="J21" i="302"/>
  <c r="J39" i="302"/>
  <c r="J8" i="302"/>
  <c r="J11" i="302"/>
  <c r="J29" i="302"/>
  <c r="J44" i="302"/>
  <c r="J26" i="302"/>
  <c r="J4" i="302"/>
  <c r="J19" i="302"/>
  <c r="J37" i="302"/>
  <c r="J9" i="302"/>
  <c r="J27" i="302"/>
  <c r="J42" i="302"/>
  <c r="J20" i="302"/>
  <c r="J17" i="302"/>
  <c r="J32" i="302"/>
  <c r="J22" i="302"/>
  <c r="J40" i="302"/>
  <c r="J38" i="302"/>
  <c r="J7" i="302"/>
  <c r="J15" i="302"/>
  <c r="J30" i="302"/>
  <c r="Y199" i="301"/>
  <c r="Y196" i="301"/>
  <c r="Y193" i="301"/>
  <c r="Y190" i="301"/>
  <c r="Y187" i="301"/>
  <c r="Y184" i="301"/>
  <c r="Y181" i="301"/>
  <c r="Y178" i="301"/>
  <c r="Y175" i="301"/>
  <c r="Y172" i="301"/>
  <c r="Y169" i="301"/>
  <c r="Y166" i="301"/>
  <c r="Y163" i="301"/>
  <c r="Y160" i="301"/>
  <c r="Y157" i="301"/>
  <c r="Y154" i="301"/>
  <c r="Y151" i="301"/>
  <c r="Y148" i="301"/>
  <c r="Y145" i="301"/>
  <c r="Y142" i="301"/>
  <c r="Y139" i="301"/>
  <c r="Y136" i="301"/>
  <c r="Y133" i="301"/>
  <c r="Y130" i="301"/>
  <c r="Y127" i="301"/>
  <c r="Y124" i="301"/>
  <c r="Y121" i="301"/>
  <c r="Y118" i="301"/>
  <c r="Y115" i="301"/>
  <c r="Y112" i="301"/>
  <c r="Y109" i="301"/>
  <c r="Y106" i="301"/>
  <c r="Y103" i="301"/>
  <c r="Y100" i="301"/>
  <c r="Y97" i="301"/>
  <c r="Y94" i="301"/>
  <c r="Y91" i="301"/>
  <c r="Y88" i="301"/>
  <c r="Y85" i="301"/>
  <c r="Y82" i="301"/>
  <c r="Y79" i="301"/>
  <c r="Y76" i="301"/>
  <c r="Y73" i="301"/>
  <c r="Y70" i="301"/>
  <c r="Y67" i="301"/>
  <c r="Y64" i="301"/>
  <c r="Y61" i="301"/>
  <c r="Y58" i="301"/>
  <c r="Y55" i="301"/>
  <c r="Y52" i="301"/>
  <c r="Y49" i="301"/>
  <c r="Y46" i="301"/>
  <c r="Y43" i="301"/>
  <c r="Y40" i="301"/>
  <c r="Y37" i="301"/>
  <c r="Y34" i="301"/>
  <c r="Y31" i="301"/>
  <c r="Y28" i="301"/>
  <c r="Y25" i="301"/>
  <c r="Y22" i="301"/>
  <c r="Y19" i="301"/>
  <c r="Y16" i="301"/>
  <c r="Y13" i="301"/>
  <c r="Y10" i="301"/>
  <c r="Y7" i="301"/>
  <c r="Y4" i="301"/>
  <c r="Y1" i="301"/>
  <c r="Y198" i="301"/>
  <c r="Y195" i="301"/>
  <c r="Y192" i="301"/>
  <c r="Y189" i="301"/>
  <c r="Y186" i="301"/>
  <c r="Y183" i="301"/>
  <c r="Y180" i="301"/>
  <c r="Y177" i="301"/>
  <c r="Y174" i="301"/>
  <c r="Y171" i="301"/>
  <c r="Y168" i="301"/>
  <c r="Y165" i="301"/>
  <c r="Y162" i="301"/>
  <c r="Y159" i="301"/>
  <c r="Y156" i="301"/>
  <c r="Y153" i="301"/>
  <c r="Y150" i="301"/>
  <c r="Y147" i="301"/>
  <c r="Y144" i="301"/>
  <c r="Y141" i="301"/>
  <c r="Y138" i="301"/>
  <c r="Y135" i="301"/>
  <c r="Y132" i="301"/>
  <c r="Y129" i="301"/>
  <c r="Y126" i="301"/>
  <c r="Y123" i="301"/>
  <c r="Y120" i="301"/>
  <c r="Y117" i="301"/>
  <c r="Y114" i="301"/>
  <c r="Y111" i="301"/>
  <c r="Y108" i="301"/>
  <c r="Y105" i="301"/>
  <c r="Y102" i="301"/>
  <c r="Y99" i="301"/>
  <c r="Y96" i="301"/>
  <c r="Y93" i="301"/>
  <c r="Y90" i="301"/>
  <c r="Y87" i="301"/>
  <c r="Y84" i="301"/>
  <c r="Y81" i="301"/>
  <c r="Y78" i="301"/>
  <c r="Y75" i="301"/>
  <c r="Y72" i="301"/>
  <c r="Y69" i="301"/>
  <c r="Y66" i="301"/>
  <c r="Y63" i="301"/>
  <c r="Y60" i="301"/>
  <c r="Y57" i="301"/>
  <c r="Y54" i="301"/>
  <c r="Y51" i="301"/>
  <c r="Y48" i="301"/>
  <c r="Y45" i="301"/>
  <c r="Y42" i="301"/>
  <c r="Y39" i="301"/>
  <c r="Y36" i="301"/>
  <c r="Y33" i="301"/>
  <c r="Y30" i="301"/>
  <c r="Y27" i="301"/>
  <c r="Y24" i="301"/>
  <c r="Y21" i="301"/>
  <c r="Y18" i="301"/>
  <c r="Y15" i="301"/>
  <c r="Y12" i="301"/>
  <c r="Y9" i="301"/>
  <c r="Y6" i="301"/>
  <c r="Y3" i="301"/>
  <c r="Y197" i="301"/>
  <c r="Y185" i="301"/>
  <c r="Y173" i="301"/>
  <c r="Y161" i="301"/>
  <c r="Y149" i="301"/>
  <c r="Y137" i="301"/>
  <c r="Y125" i="301"/>
  <c r="Y113" i="301"/>
  <c r="Y104" i="301"/>
  <c r="Y68" i="301"/>
  <c r="Y89" i="301"/>
  <c r="Y53" i="301"/>
  <c r="Y140" i="301"/>
  <c r="Y74" i="301"/>
  <c r="Y116" i="301"/>
  <c r="Y62" i="301"/>
  <c r="Y194" i="301"/>
  <c r="Y182" i="301"/>
  <c r="Y170" i="301"/>
  <c r="Y158" i="301"/>
  <c r="Y146" i="301"/>
  <c r="Y134" i="301"/>
  <c r="Y122" i="301"/>
  <c r="Y95" i="301"/>
  <c r="Y59" i="301"/>
  <c r="Y110" i="301"/>
  <c r="Y152" i="301"/>
  <c r="Y80" i="301"/>
  <c r="Y101" i="301"/>
  <c r="Y65" i="301"/>
  <c r="Y44" i="301"/>
  <c r="Y38" i="301"/>
  <c r="Y32" i="301"/>
  <c r="Y26" i="301"/>
  <c r="Y20" i="301"/>
  <c r="Y14" i="301"/>
  <c r="Y8" i="301"/>
  <c r="Y2" i="301"/>
  <c r="Y128" i="301"/>
  <c r="Y191" i="301"/>
  <c r="Y179" i="301"/>
  <c r="Y167" i="301"/>
  <c r="Y155" i="301"/>
  <c r="Y143" i="301"/>
  <c r="Y131" i="301"/>
  <c r="Y119" i="301"/>
  <c r="Y86" i="301"/>
  <c r="Y50" i="301"/>
  <c r="Y176" i="301"/>
  <c r="Y71" i="301"/>
  <c r="Y77" i="301"/>
  <c r="Y107" i="301"/>
  <c r="Y92" i="301"/>
  <c r="Y56" i="301"/>
  <c r="Y200" i="301"/>
  <c r="Y188" i="301"/>
  <c r="Y164" i="301"/>
  <c r="Y98" i="301"/>
  <c r="Y83" i="301"/>
  <c r="Y47" i="301"/>
  <c r="Y41" i="301"/>
  <c r="Y35" i="301"/>
  <c r="Y29" i="301"/>
  <c r="Y23" i="301"/>
  <c r="Y17" i="301"/>
  <c r="Y11" i="301"/>
  <c r="Y5" i="301"/>
  <c r="E34" i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X33" i="305"/>
  <c r="X35" i="305"/>
  <c r="X25" i="305"/>
  <c r="X27" i="305"/>
  <c r="X24" i="305"/>
  <c r="X26" i="305"/>
  <c r="X21" i="305"/>
  <c r="X23" i="305"/>
  <c r="X20" i="305"/>
  <c r="X22" i="305"/>
  <c r="X30" i="305"/>
  <c r="X32" i="305"/>
  <c r="X29" i="305"/>
  <c r="X31" i="305"/>
  <c r="X18" i="305"/>
  <c r="X17" i="305"/>
  <c r="X16" i="305"/>
  <c r="X15" i="305"/>
  <c r="X14" i="305"/>
  <c r="X13" i="305"/>
  <c r="X12" i="305"/>
  <c r="X11" i="305"/>
  <c r="X9" i="305"/>
  <c r="X8" i="305"/>
  <c r="X7" i="305"/>
  <c r="X6" i="305"/>
  <c r="X5" i="305"/>
  <c r="X4" i="305"/>
  <c r="X3" i="305"/>
  <c r="X2" i="305"/>
  <c r="S10" i="305"/>
  <c r="S30" i="301"/>
  <c r="S20" i="301"/>
  <c r="A34" i="1"/>
  <c r="Y298" i="305" l="1"/>
  <c r="Y295" i="305"/>
  <c r="Y292" i="305"/>
  <c r="Y289" i="305"/>
  <c r="Y286" i="305"/>
  <c r="Y283" i="305"/>
  <c r="Y280" i="305"/>
  <c r="Y277" i="305"/>
  <c r="Y274" i="305"/>
  <c r="Y271" i="305"/>
  <c r="Y268" i="305"/>
  <c r="Y265" i="305"/>
  <c r="Y262" i="305"/>
  <c r="Y259" i="305"/>
  <c r="Y256" i="305"/>
  <c r="Y253" i="305"/>
  <c r="Y250" i="305"/>
  <c r="Y247" i="305"/>
  <c r="Y244" i="305"/>
  <c r="Y241" i="305"/>
  <c r="Y238" i="305"/>
  <c r="Y235" i="305"/>
  <c r="Y232" i="305"/>
  <c r="Y229" i="305"/>
  <c r="Y226" i="305"/>
  <c r="Y223" i="305"/>
  <c r="Y220" i="305"/>
  <c r="Y217" i="305"/>
  <c r="Y214" i="305"/>
  <c r="Y211" i="305"/>
  <c r="Y208" i="305"/>
  <c r="Y205" i="305"/>
  <c r="Y202" i="305"/>
  <c r="Y199" i="305"/>
  <c r="Y196" i="305"/>
  <c r="Y193" i="305"/>
  <c r="Y190" i="305"/>
  <c r="Y187" i="305"/>
  <c r="Y184" i="305"/>
  <c r="Y181" i="305"/>
  <c r="Y178" i="305"/>
  <c r="Y175" i="305"/>
  <c r="Y172" i="305"/>
  <c r="Y169" i="305"/>
  <c r="Y166" i="305"/>
  <c r="Y163" i="305"/>
  <c r="Y160" i="305"/>
  <c r="Y157" i="305"/>
  <c r="Y154" i="305"/>
  <c r="Y151" i="305"/>
  <c r="Y148" i="305"/>
  <c r="Y145" i="305"/>
  <c r="Y142" i="305"/>
  <c r="Y139" i="305"/>
  <c r="Y136" i="305"/>
  <c r="Y133" i="305"/>
  <c r="Y130" i="305"/>
  <c r="Y127" i="305"/>
  <c r="Y124" i="305"/>
  <c r="Y121" i="305"/>
  <c r="Y118" i="305"/>
  <c r="Y115" i="305"/>
  <c r="Y112" i="305"/>
  <c r="Y109" i="305"/>
  <c r="Y106" i="305"/>
  <c r="Y103" i="305"/>
  <c r="Y100" i="305"/>
  <c r="Y97" i="305"/>
  <c r="Y94" i="305"/>
  <c r="Y91" i="305"/>
  <c r="Y88" i="305"/>
  <c r="Y85" i="305"/>
  <c r="Y82" i="305"/>
  <c r="Y79" i="305"/>
  <c r="Y76" i="305"/>
  <c r="Y73" i="305"/>
  <c r="Y70" i="305"/>
  <c r="Y67" i="305"/>
  <c r="Y64" i="305"/>
  <c r="Y61" i="305"/>
  <c r="Y58" i="305"/>
  <c r="Y300" i="305"/>
  <c r="Y297" i="305"/>
  <c r="Y294" i="305"/>
  <c r="Y291" i="305"/>
  <c r="Y288" i="305"/>
  <c r="Y285" i="305"/>
  <c r="Y282" i="305"/>
  <c r="Y279" i="305"/>
  <c r="Y276" i="305"/>
  <c r="Y273" i="305"/>
  <c r="Y270" i="305"/>
  <c r="Y267" i="305"/>
  <c r="Y264" i="305"/>
  <c r="Y261" i="305"/>
  <c r="Y258" i="305"/>
  <c r="Y255" i="305"/>
  <c r="Y252" i="305"/>
  <c r="Y249" i="305"/>
  <c r="Y246" i="305"/>
  <c r="Y243" i="305"/>
  <c r="Y240" i="305"/>
  <c r="Y237" i="305"/>
  <c r="Y234" i="305"/>
  <c r="Y231" i="305"/>
  <c r="Y228" i="305"/>
  <c r="Y225" i="305"/>
  <c r="Y222" i="305"/>
  <c r="Y219" i="305"/>
  <c r="Y216" i="305"/>
  <c r="Y213" i="305"/>
  <c r="Y210" i="305"/>
  <c r="Y207" i="305"/>
  <c r="Y204" i="305"/>
  <c r="Y201" i="305"/>
  <c r="Y198" i="305"/>
  <c r="Y195" i="305"/>
  <c r="Y192" i="305"/>
  <c r="Y189" i="305"/>
  <c r="Y186" i="305"/>
  <c r="Y183" i="305"/>
  <c r="Y180" i="305"/>
  <c r="Y177" i="305"/>
  <c r="Y174" i="305"/>
  <c r="Y171" i="305"/>
  <c r="Y168" i="305"/>
  <c r="Y165" i="305"/>
  <c r="Y162" i="305"/>
  <c r="Y159" i="305"/>
  <c r="Y156" i="305"/>
  <c r="Y153" i="305"/>
  <c r="Y150" i="305"/>
  <c r="Y147" i="305"/>
  <c r="Y144" i="305"/>
  <c r="Y141" i="305"/>
  <c r="Y138" i="305"/>
  <c r="Y135" i="305"/>
  <c r="Y132" i="305"/>
  <c r="Y129" i="305"/>
  <c r="Y126" i="305"/>
  <c r="Y123" i="305"/>
  <c r="Y120" i="305"/>
  <c r="Y117" i="305"/>
  <c r="Y114" i="305"/>
  <c r="Y111" i="305"/>
  <c r="Y108" i="305"/>
  <c r="Y105" i="305"/>
  <c r="Y102" i="305"/>
  <c r="Y99" i="305"/>
  <c r="Y96" i="305"/>
  <c r="Y93" i="305"/>
  <c r="Y90" i="305"/>
  <c r="Y87" i="305"/>
  <c r="Y84" i="305"/>
  <c r="Y81" i="305"/>
  <c r="Y78" i="305"/>
  <c r="Y75" i="305"/>
  <c r="Y72" i="305"/>
  <c r="Y69" i="305"/>
  <c r="Y66" i="305"/>
  <c r="Y63" i="305"/>
  <c r="Y60" i="305"/>
  <c r="Y57" i="305"/>
  <c r="Y54" i="305"/>
  <c r="Y299" i="305"/>
  <c r="Y296" i="305"/>
  <c r="Y293" i="305"/>
  <c r="Y290" i="305"/>
  <c r="Y287" i="305"/>
  <c r="Y284" i="305"/>
  <c r="Y281" i="305"/>
  <c r="Y278" i="305"/>
  <c r="Y275" i="305"/>
  <c r="Y272" i="305"/>
  <c r="Y269" i="305"/>
  <c r="Y266" i="305"/>
  <c r="Y263" i="305"/>
  <c r="Y260" i="305"/>
  <c r="Y257" i="305"/>
  <c r="Y254" i="305"/>
  <c r="Y251" i="305"/>
  <c r="Y248" i="305"/>
  <c r="Y245" i="305"/>
  <c r="Y242" i="305"/>
  <c r="Y239" i="305"/>
  <c r="Y236" i="305"/>
  <c r="Y233" i="305"/>
  <c r="Y230" i="305"/>
  <c r="Y227" i="305"/>
  <c r="Y224" i="305"/>
  <c r="Y221" i="305"/>
  <c r="Y218" i="305"/>
  <c r="Y215" i="305"/>
  <c r="Y212" i="305"/>
  <c r="Y209" i="305"/>
  <c r="Y206" i="305"/>
  <c r="Y203" i="305"/>
  <c r="Y200" i="305"/>
  <c r="Y197" i="305"/>
  <c r="Y194" i="305"/>
  <c r="Y191" i="305"/>
  <c r="Y188" i="305"/>
  <c r="Y185" i="305"/>
  <c r="Y182" i="305"/>
  <c r="Y179" i="305"/>
  <c r="Y176" i="305"/>
  <c r="Y173" i="305"/>
  <c r="Y170" i="305"/>
  <c r="Y167" i="305"/>
  <c r="Y164" i="305"/>
  <c r="Y161" i="305"/>
  <c r="Y158" i="305"/>
  <c r="Y155" i="305"/>
  <c r="Y152" i="305"/>
  <c r="Y149" i="305"/>
  <c r="Y146" i="305"/>
  <c r="Y143" i="305"/>
  <c r="Y140" i="305"/>
  <c r="Y137" i="305"/>
  <c r="Y134" i="305"/>
  <c r="Y131" i="305"/>
  <c r="Y128" i="305"/>
  <c r="Y125" i="305"/>
  <c r="Y122" i="305"/>
  <c r="Y119" i="305"/>
  <c r="Y116" i="305"/>
  <c r="Y113" i="305"/>
  <c r="Y110" i="305"/>
  <c r="Y107" i="305"/>
  <c r="Y104" i="305"/>
  <c r="Y101" i="305"/>
  <c r="Y98" i="305"/>
  <c r="Y95" i="305"/>
  <c r="Y92" i="305"/>
  <c r="Y89" i="305"/>
  <c r="Y86" i="305"/>
  <c r="Y83" i="305"/>
  <c r="Y80" i="305"/>
  <c r="Y77" i="305"/>
  <c r="Y74" i="305"/>
  <c r="Y71" i="305"/>
  <c r="Y68" i="305"/>
  <c r="Y65" i="305"/>
  <c r="Y62" i="305"/>
  <c r="Y59" i="305"/>
  <c r="Y56" i="305"/>
  <c r="Y53" i="305"/>
  <c r="Y48" i="305"/>
  <c r="Y45" i="305"/>
  <c r="Y42" i="305"/>
  <c r="Y39" i="305"/>
  <c r="Y36" i="305"/>
  <c r="Y33" i="305"/>
  <c r="Y30" i="305"/>
  <c r="Y27" i="305"/>
  <c r="Y24" i="305"/>
  <c r="Y21" i="305"/>
  <c r="Y18" i="305"/>
  <c r="Y15" i="305"/>
  <c r="Y12" i="305"/>
  <c r="Y9" i="305"/>
  <c r="Y6" i="305"/>
  <c r="Y3" i="305"/>
  <c r="Y51" i="305"/>
  <c r="Y55" i="305"/>
  <c r="Y52" i="305"/>
  <c r="Y47" i="305"/>
  <c r="Y44" i="305"/>
  <c r="Y41" i="305"/>
  <c r="Y38" i="305"/>
  <c r="Y35" i="305"/>
  <c r="Y32" i="305"/>
  <c r="Y29" i="305"/>
  <c r="Y26" i="305"/>
  <c r="Y23" i="305"/>
  <c r="Y20" i="305"/>
  <c r="Y17" i="305"/>
  <c r="Y14" i="305"/>
  <c r="Y11" i="305"/>
  <c r="Y8" i="305"/>
  <c r="Y5" i="305"/>
  <c r="Y2" i="305"/>
  <c r="Y50" i="305"/>
  <c r="Y46" i="305"/>
  <c r="Y43" i="305"/>
  <c r="Y40" i="305"/>
  <c r="Y37" i="305"/>
  <c r="Y34" i="305"/>
  <c r="Y31" i="305"/>
  <c r="Y28" i="305"/>
  <c r="Y25" i="305"/>
  <c r="Y22" i="305"/>
  <c r="Y19" i="305"/>
  <c r="Y16" i="305"/>
  <c r="Y13" i="305"/>
  <c r="Y10" i="305"/>
  <c r="Y7" i="305"/>
  <c r="Y4" i="305"/>
  <c r="Y1" i="305"/>
  <c r="Y49" i="305"/>
  <c r="S5" i="305"/>
  <c r="Z85" i="301"/>
  <c r="Z55" i="301"/>
  <c r="Z43" i="301"/>
  <c r="Z37" i="301"/>
  <c r="Z31" i="301"/>
  <c r="Z25" i="301"/>
  <c r="Z19" i="301"/>
  <c r="Z13" i="301"/>
  <c r="Z7" i="301"/>
  <c r="Z1" i="301"/>
  <c r="Z199" i="301"/>
  <c r="Z196" i="301"/>
  <c r="Z193" i="301"/>
  <c r="Z190" i="301"/>
  <c r="Z187" i="301"/>
  <c r="Z184" i="301"/>
  <c r="Z181" i="301"/>
  <c r="Z178" i="301"/>
  <c r="Z175" i="301"/>
  <c r="Z172" i="301"/>
  <c r="Z169" i="301"/>
  <c r="Z166" i="301"/>
  <c r="Z163" i="301"/>
  <c r="Z160" i="301"/>
  <c r="Z157" i="301"/>
  <c r="Z154" i="301"/>
  <c r="Z151" i="301"/>
  <c r="Z148" i="301"/>
  <c r="Z145" i="301"/>
  <c r="Z142" i="301"/>
  <c r="Z139" i="301"/>
  <c r="Z136" i="301"/>
  <c r="Z133" i="301"/>
  <c r="Z130" i="301"/>
  <c r="Z127" i="301"/>
  <c r="Z124" i="301"/>
  <c r="Z121" i="301"/>
  <c r="Z118" i="301"/>
  <c r="Z115" i="301"/>
  <c r="Z112" i="301"/>
  <c r="Z109" i="301"/>
  <c r="Z106" i="301"/>
  <c r="Z103" i="301"/>
  <c r="Z100" i="301"/>
  <c r="Z97" i="301"/>
  <c r="Z94" i="301"/>
  <c r="Z91" i="301"/>
  <c r="Z88" i="301"/>
  <c r="Z82" i="301"/>
  <c r="Z79" i="301"/>
  <c r="Z76" i="301"/>
  <c r="Z73" i="301"/>
  <c r="Z70" i="301"/>
  <c r="Z67" i="301"/>
  <c r="Z64" i="301"/>
  <c r="Z61" i="301"/>
  <c r="Z58" i="301"/>
  <c r="Z52" i="301"/>
  <c r="Z49" i="301"/>
  <c r="Z46" i="301"/>
  <c r="Z40" i="301"/>
  <c r="Z34" i="301"/>
  <c r="Z28" i="301"/>
  <c r="Z22" i="301"/>
  <c r="Z16" i="301"/>
  <c r="Z10" i="301"/>
  <c r="Z4" i="301"/>
  <c r="Z195" i="301"/>
  <c r="Z189" i="301"/>
  <c r="Z183" i="301"/>
  <c r="Z177" i="301"/>
  <c r="Z174" i="301"/>
  <c r="Z168" i="301"/>
  <c r="Z165" i="301"/>
  <c r="Z159" i="301"/>
  <c r="Z153" i="301"/>
  <c r="Z147" i="301"/>
  <c r="Z141" i="301"/>
  <c r="Z135" i="301"/>
  <c r="Z129" i="301"/>
  <c r="Z123" i="301"/>
  <c r="Z120" i="301"/>
  <c r="Z114" i="301"/>
  <c r="Z111" i="301"/>
  <c r="Z108" i="301"/>
  <c r="Z198" i="301"/>
  <c r="Z192" i="301"/>
  <c r="Z186" i="301"/>
  <c r="Z180" i="301"/>
  <c r="Z171" i="301"/>
  <c r="Z162" i="301"/>
  <c r="Z156" i="301"/>
  <c r="Z150" i="301"/>
  <c r="Z144" i="301"/>
  <c r="Z138" i="301"/>
  <c r="Z132" i="301"/>
  <c r="Z126" i="301"/>
  <c r="Z117" i="301"/>
  <c r="Z105" i="301"/>
  <c r="Z89" i="301"/>
  <c r="Z75" i="301"/>
  <c r="Z53" i="301"/>
  <c r="Z96" i="301"/>
  <c r="Z74" i="301"/>
  <c r="Z60" i="301"/>
  <c r="Z84" i="301"/>
  <c r="Z83" i="301"/>
  <c r="Z17" i="301"/>
  <c r="Z41" i="301"/>
  <c r="Z5" i="301"/>
  <c r="Z194" i="301"/>
  <c r="Z182" i="301"/>
  <c r="Z170" i="301"/>
  <c r="Z158" i="301"/>
  <c r="Z146" i="301"/>
  <c r="Z134" i="301"/>
  <c r="Z122" i="301"/>
  <c r="Z95" i="301"/>
  <c r="Z81" i="301"/>
  <c r="Z59" i="301"/>
  <c r="Z45" i="301"/>
  <c r="Z39" i="301"/>
  <c r="Z33" i="301"/>
  <c r="Z27" i="301"/>
  <c r="Z21" i="301"/>
  <c r="Z15" i="301"/>
  <c r="Z9" i="301"/>
  <c r="Z3" i="301"/>
  <c r="Z110" i="301"/>
  <c r="Z102" i="301"/>
  <c r="Z80" i="301"/>
  <c r="Z66" i="301"/>
  <c r="Z101" i="301"/>
  <c r="Z87" i="301"/>
  <c r="Z65" i="301"/>
  <c r="Z51" i="301"/>
  <c r="Z38" i="301"/>
  <c r="Z32" i="301"/>
  <c r="Z26" i="301"/>
  <c r="Z14" i="301"/>
  <c r="Z8" i="301"/>
  <c r="Z2" i="301"/>
  <c r="Z44" i="301"/>
  <c r="Z20" i="301"/>
  <c r="Z62" i="301"/>
  <c r="Z69" i="301"/>
  <c r="Z35" i="301"/>
  <c r="Z11" i="301"/>
  <c r="Z191" i="301"/>
  <c r="Z179" i="301"/>
  <c r="Z167" i="301"/>
  <c r="Z155" i="301"/>
  <c r="Z143" i="301"/>
  <c r="Z131" i="301"/>
  <c r="Z119" i="301"/>
  <c r="Z86" i="301"/>
  <c r="Z72" i="301"/>
  <c r="Z50" i="301"/>
  <c r="Z23" i="301"/>
  <c r="Z93" i="301"/>
  <c r="Z71" i="301"/>
  <c r="Z57" i="301"/>
  <c r="Z98" i="301"/>
  <c r="Z47" i="301"/>
  <c r="Z107" i="301"/>
  <c r="Z92" i="301"/>
  <c r="Z78" i="301"/>
  <c r="Z56" i="301"/>
  <c r="Z29" i="301"/>
  <c r="Z200" i="301"/>
  <c r="Z188" i="301"/>
  <c r="Z176" i="301"/>
  <c r="Z164" i="301"/>
  <c r="Z152" i="301"/>
  <c r="Z140" i="301"/>
  <c r="Z128" i="301"/>
  <c r="Z116" i="301"/>
  <c r="Z99" i="301"/>
  <c r="Z77" i="301"/>
  <c r="Z63" i="301"/>
  <c r="Z42" i="301"/>
  <c r="Z36" i="301"/>
  <c r="Z30" i="301"/>
  <c r="Z24" i="301"/>
  <c r="Z18" i="301"/>
  <c r="Z12" i="301"/>
  <c r="Z6" i="301"/>
  <c r="Z48" i="301"/>
  <c r="Z197" i="301"/>
  <c r="Z185" i="301"/>
  <c r="Z173" i="301"/>
  <c r="Z161" i="301"/>
  <c r="Z149" i="301"/>
  <c r="Z137" i="301"/>
  <c r="Z125" i="301"/>
  <c r="Z113" i="301"/>
  <c r="Z104" i="301"/>
  <c r="Z90" i="301"/>
  <c r="Z68" i="301"/>
  <c r="Z54" i="301"/>
  <c r="AA199" i="301"/>
  <c r="AA196" i="301"/>
  <c r="AA193" i="301"/>
  <c r="AA190" i="301"/>
  <c r="AA187" i="301"/>
  <c r="AA184" i="301"/>
  <c r="AA181" i="301"/>
  <c r="AA178" i="301"/>
  <c r="AA175" i="301"/>
  <c r="AA172" i="301"/>
  <c r="AA169" i="301"/>
  <c r="AA166" i="301"/>
  <c r="AA163" i="301"/>
  <c r="AA160" i="301"/>
  <c r="AA157" i="301"/>
  <c r="AA154" i="301"/>
  <c r="AA151" i="301"/>
  <c r="AA148" i="301"/>
  <c r="AA145" i="301"/>
  <c r="AA142" i="301"/>
  <c r="AA139" i="301"/>
  <c r="AA136" i="301"/>
  <c r="AA133" i="301"/>
  <c r="AA130" i="301"/>
  <c r="AA127" i="301"/>
  <c r="AA124" i="301"/>
  <c r="AA121" i="301"/>
  <c r="AA118" i="301"/>
  <c r="AA115" i="301"/>
  <c r="AA112" i="301"/>
  <c r="AA109" i="301"/>
  <c r="AA106" i="301"/>
  <c r="AA103" i="301"/>
  <c r="AA100" i="301"/>
  <c r="AA97" i="301"/>
  <c r="AA94" i="301"/>
  <c r="AA91" i="301"/>
  <c r="AA88" i="301"/>
  <c r="AA85" i="301"/>
  <c r="AA82" i="301"/>
  <c r="AA79" i="301"/>
  <c r="AA76" i="301"/>
  <c r="AA73" i="301"/>
  <c r="AA70" i="301"/>
  <c r="AA67" i="301"/>
  <c r="AA64" i="301"/>
  <c r="AA61" i="301"/>
  <c r="AA58" i="301"/>
  <c r="AA55" i="301"/>
  <c r="AA52" i="301"/>
  <c r="AA49" i="301"/>
  <c r="AA46" i="301"/>
  <c r="AA43" i="301"/>
  <c r="AA40" i="301"/>
  <c r="AA37" i="301"/>
  <c r="AA34" i="301"/>
  <c r="AA31" i="301"/>
  <c r="AA28" i="301"/>
  <c r="AA25" i="301"/>
  <c r="AA22" i="301"/>
  <c r="AA19" i="301"/>
  <c r="AA16" i="301"/>
  <c r="AA13" i="301"/>
  <c r="AA10" i="301"/>
  <c r="AA7" i="301"/>
  <c r="AA4" i="301"/>
  <c r="AA1" i="301"/>
  <c r="AA198" i="301"/>
  <c r="AA195" i="301"/>
  <c r="AA192" i="301"/>
  <c r="AA189" i="301"/>
  <c r="AA186" i="301"/>
  <c r="AA183" i="301"/>
  <c r="AA180" i="301"/>
  <c r="AA177" i="301"/>
  <c r="AA174" i="301"/>
  <c r="AA171" i="301"/>
  <c r="AA168" i="301"/>
  <c r="AA165" i="301"/>
  <c r="AA162" i="301"/>
  <c r="AA159" i="301"/>
  <c r="AA156" i="301"/>
  <c r="AA153" i="301"/>
  <c r="AA150" i="301"/>
  <c r="AA147" i="301"/>
  <c r="AA144" i="301"/>
  <c r="AA141" i="301"/>
  <c r="AA138" i="301"/>
  <c r="AA135" i="301"/>
  <c r="AA132" i="301"/>
  <c r="AA129" i="301"/>
  <c r="AA126" i="301"/>
  <c r="AA123" i="301"/>
  <c r="AA120" i="301"/>
  <c r="AA117" i="301"/>
  <c r="AA114" i="301"/>
  <c r="AA111" i="301"/>
  <c r="AA108" i="301"/>
  <c r="AA105" i="301"/>
  <c r="AA102" i="301"/>
  <c r="AA99" i="301"/>
  <c r="AA96" i="301"/>
  <c r="AA93" i="301"/>
  <c r="AA90" i="301"/>
  <c r="AA87" i="301"/>
  <c r="AA84" i="301"/>
  <c r="AA81" i="301"/>
  <c r="AA78" i="301"/>
  <c r="AA75" i="301"/>
  <c r="AA72" i="301"/>
  <c r="AA69" i="301"/>
  <c r="AA66" i="301"/>
  <c r="AA63" i="301"/>
  <c r="AA60" i="301"/>
  <c r="AA57" i="301"/>
  <c r="AA54" i="301"/>
  <c r="AA51" i="301"/>
  <c r="AA48" i="301"/>
  <c r="AA45" i="301"/>
  <c r="AA42" i="301"/>
  <c r="AA39" i="301"/>
  <c r="AA36" i="301"/>
  <c r="AA33" i="301"/>
  <c r="AA30" i="301"/>
  <c r="AA27" i="301"/>
  <c r="AA24" i="301"/>
  <c r="AA21" i="301"/>
  <c r="AA18" i="301"/>
  <c r="AA15" i="301"/>
  <c r="AA12" i="301"/>
  <c r="AA9" i="301"/>
  <c r="AA6" i="301"/>
  <c r="AA3" i="301"/>
  <c r="AA200" i="301"/>
  <c r="AA197" i="301"/>
  <c r="AA194" i="301"/>
  <c r="AA191" i="301"/>
  <c r="AA188" i="301"/>
  <c r="AA185" i="301"/>
  <c r="AA182" i="301"/>
  <c r="AA179" i="301"/>
  <c r="AA176" i="301"/>
  <c r="AA173" i="301"/>
  <c r="AA170" i="301"/>
  <c r="AA167" i="301"/>
  <c r="AA164" i="301"/>
  <c r="AA161" i="301"/>
  <c r="AA158" i="301"/>
  <c r="AA155" i="301"/>
  <c r="AA152" i="301"/>
  <c r="AA149" i="301"/>
  <c r="AA146" i="301"/>
  <c r="AA143" i="301"/>
  <c r="AA140" i="301"/>
  <c r="AA137" i="301"/>
  <c r="AA134" i="301"/>
  <c r="AA131" i="301"/>
  <c r="AA128" i="301"/>
  <c r="AA125" i="301"/>
  <c r="AA122" i="301"/>
  <c r="AA119" i="301"/>
  <c r="AA116" i="301"/>
  <c r="AA113" i="301"/>
  <c r="AA110" i="301"/>
  <c r="AA107" i="301"/>
  <c r="AA104" i="301"/>
  <c r="AA101" i="301"/>
  <c r="AA98" i="301"/>
  <c r="AA95" i="301"/>
  <c r="AA92" i="301"/>
  <c r="AA89" i="301"/>
  <c r="AA86" i="301"/>
  <c r="AA83" i="301"/>
  <c r="AA80" i="301"/>
  <c r="AA77" i="301"/>
  <c r="AA74" i="301"/>
  <c r="AA71" i="301"/>
  <c r="AA68" i="301"/>
  <c r="AA65" i="301"/>
  <c r="AA62" i="301"/>
  <c r="AA59" i="301"/>
  <c r="AA56" i="301"/>
  <c r="AA53" i="301"/>
  <c r="AA50" i="301"/>
  <c r="AA47" i="301"/>
  <c r="AA44" i="301"/>
  <c r="AA41" i="301"/>
  <c r="AA38" i="301"/>
  <c r="AA35" i="301"/>
  <c r="AA32" i="301"/>
  <c r="AA29" i="301"/>
  <c r="AA26" i="301"/>
  <c r="AA23" i="301"/>
  <c r="AA20" i="301"/>
  <c r="AA17" i="301"/>
  <c r="AA14" i="301"/>
  <c r="AA11" i="301"/>
  <c r="AA8" i="301"/>
  <c r="AA5" i="301"/>
  <c r="AA2" i="301"/>
  <c r="A19" i="1"/>
  <c r="E3" i="1"/>
  <c r="A38" i="1"/>
  <c r="S20" i="305"/>
  <c r="S30" i="305"/>
  <c r="AA298" i="305" l="1"/>
  <c r="AA295" i="305"/>
  <c r="AA292" i="305"/>
  <c r="AA289" i="305"/>
  <c r="AA286" i="305"/>
  <c r="AA283" i="305"/>
  <c r="AA280" i="305"/>
  <c r="AA277" i="305"/>
  <c r="AA274" i="305"/>
  <c r="AA271" i="305"/>
  <c r="AA268" i="305"/>
  <c r="AA265" i="305"/>
  <c r="AA262" i="305"/>
  <c r="AA259" i="305"/>
  <c r="AA256" i="305"/>
  <c r="AA253" i="305"/>
  <c r="AA250" i="305"/>
  <c r="AA247" i="305"/>
  <c r="AA244" i="305"/>
  <c r="AA241" i="305"/>
  <c r="AA238" i="305"/>
  <c r="AA235" i="305"/>
  <c r="AA232" i="305"/>
  <c r="AA229" i="305"/>
  <c r="AA226" i="305"/>
  <c r="AA223" i="305"/>
  <c r="AA220" i="305"/>
  <c r="AA217" i="305"/>
  <c r="AA214" i="305"/>
  <c r="AA211" i="305"/>
  <c r="AA208" i="305"/>
  <c r="AA205" i="305"/>
  <c r="AA202" i="305"/>
  <c r="AA199" i="305"/>
  <c r="AA196" i="305"/>
  <c r="AA193" i="305"/>
  <c r="AA190" i="305"/>
  <c r="AA187" i="305"/>
  <c r="AA184" i="305"/>
  <c r="AA181" i="305"/>
  <c r="AA178" i="305"/>
  <c r="AA175" i="305"/>
  <c r="AA172" i="305"/>
  <c r="AA169" i="305"/>
  <c r="AA166" i="305"/>
  <c r="AA163" i="305"/>
  <c r="AA160" i="305"/>
  <c r="AA157" i="305"/>
  <c r="AA154" i="305"/>
  <c r="AA151" i="305"/>
  <c r="AA148" i="305"/>
  <c r="AA145" i="305"/>
  <c r="AA142" i="305"/>
  <c r="AA139" i="305"/>
  <c r="AA136" i="305"/>
  <c r="AA133" i="305"/>
  <c r="AA130" i="305"/>
  <c r="AA127" i="305"/>
  <c r="AA124" i="305"/>
  <c r="AA121" i="305"/>
  <c r="AA118" i="305"/>
  <c r="AA115" i="305"/>
  <c r="AA112" i="305"/>
  <c r="AA109" i="305"/>
  <c r="AA106" i="305"/>
  <c r="AA103" i="305"/>
  <c r="AA100" i="305"/>
  <c r="AA97" i="305"/>
  <c r="AA94" i="305"/>
  <c r="AA91" i="305"/>
  <c r="AA88" i="305"/>
  <c r="AA85" i="305"/>
  <c r="AA82" i="305"/>
  <c r="AA79" i="305"/>
  <c r="AA76" i="305"/>
  <c r="AA73" i="305"/>
  <c r="AA70" i="305"/>
  <c r="AA67" i="305"/>
  <c r="AA64" i="305"/>
  <c r="AA61" i="305"/>
  <c r="AA58" i="305"/>
  <c r="AA300" i="305"/>
  <c r="AA297" i="305"/>
  <c r="AA294" i="305"/>
  <c r="AA291" i="305"/>
  <c r="AA288" i="305"/>
  <c r="AA285" i="305"/>
  <c r="AA282" i="305"/>
  <c r="AA279" i="305"/>
  <c r="AA276" i="305"/>
  <c r="AA273" i="305"/>
  <c r="AA270" i="305"/>
  <c r="AA267" i="305"/>
  <c r="AA264" i="305"/>
  <c r="AA261" i="305"/>
  <c r="AA258" i="305"/>
  <c r="AA255" i="305"/>
  <c r="AA252" i="305"/>
  <c r="AA249" i="305"/>
  <c r="AA246" i="305"/>
  <c r="AA243" i="305"/>
  <c r="AA240" i="305"/>
  <c r="AA237" i="305"/>
  <c r="AA234" i="305"/>
  <c r="AA231" i="305"/>
  <c r="AA228" i="305"/>
  <c r="AA225" i="305"/>
  <c r="AA222" i="305"/>
  <c r="AA219" i="305"/>
  <c r="AA216" i="305"/>
  <c r="AA213" i="305"/>
  <c r="AA210" i="305"/>
  <c r="AA207" i="305"/>
  <c r="AA204" i="305"/>
  <c r="AA201" i="305"/>
  <c r="AA198" i="305"/>
  <c r="AA195" i="305"/>
  <c r="AA192" i="305"/>
  <c r="AA189" i="305"/>
  <c r="AA186" i="305"/>
  <c r="AA183" i="305"/>
  <c r="AA180" i="305"/>
  <c r="AA177" i="305"/>
  <c r="AA174" i="305"/>
  <c r="AA171" i="305"/>
  <c r="AA168" i="305"/>
  <c r="AA165" i="305"/>
  <c r="AA162" i="305"/>
  <c r="AA159" i="305"/>
  <c r="AA156" i="305"/>
  <c r="AA153" i="305"/>
  <c r="AA150" i="305"/>
  <c r="AA147" i="305"/>
  <c r="AA144" i="305"/>
  <c r="AA141" i="305"/>
  <c r="AA138" i="305"/>
  <c r="AA135" i="305"/>
  <c r="AA132" i="305"/>
  <c r="AA129" i="305"/>
  <c r="AA126" i="305"/>
  <c r="AA123" i="305"/>
  <c r="AA120" i="305"/>
  <c r="AA117" i="305"/>
  <c r="AA114" i="305"/>
  <c r="AA111" i="305"/>
  <c r="AA108" i="305"/>
  <c r="AA105" i="305"/>
  <c r="AA102" i="305"/>
  <c r="AA99" i="305"/>
  <c r="AA96" i="305"/>
  <c r="AA93" i="305"/>
  <c r="AA90" i="305"/>
  <c r="AA87" i="305"/>
  <c r="AA84" i="305"/>
  <c r="AA81" i="305"/>
  <c r="AA78" i="305"/>
  <c r="AA75" i="305"/>
  <c r="AA72" i="305"/>
  <c r="AA69" i="305"/>
  <c r="AA66" i="305"/>
  <c r="AA63" i="305"/>
  <c r="AA60" i="305"/>
  <c r="AA57" i="305"/>
  <c r="AA54" i="305"/>
  <c r="AA51" i="305"/>
  <c r="AA48" i="305"/>
  <c r="AA275" i="305"/>
  <c r="AA272" i="305"/>
  <c r="AA236" i="305"/>
  <c r="AA203" i="305"/>
  <c r="AA185" i="305"/>
  <c r="AA158" i="305"/>
  <c r="AA149" i="305"/>
  <c r="AA140" i="305"/>
  <c r="AA131" i="305"/>
  <c r="AA122" i="305"/>
  <c r="AA113" i="305"/>
  <c r="AA104" i="305"/>
  <c r="AA95" i="305"/>
  <c r="AA86" i="305"/>
  <c r="AA77" i="305"/>
  <c r="AA68" i="305"/>
  <c r="AA59" i="305"/>
  <c r="AA52" i="305"/>
  <c r="AA269" i="305"/>
  <c r="AA233" i="305"/>
  <c r="AA44" i="305"/>
  <c r="AA38" i="305"/>
  <c r="AA29" i="305"/>
  <c r="AA20" i="305"/>
  <c r="AA14" i="305"/>
  <c r="AA8" i="305"/>
  <c r="AA2" i="305"/>
  <c r="AA266" i="305"/>
  <c r="AA230" i="305"/>
  <c r="AA200" i="305"/>
  <c r="AA182" i="305"/>
  <c r="AA167" i="305"/>
  <c r="AA47" i="305"/>
  <c r="AA41" i="305"/>
  <c r="AA35" i="305"/>
  <c r="AA32" i="305"/>
  <c r="AA26" i="305"/>
  <c r="AA23" i="305"/>
  <c r="AA17" i="305"/>
  <c r="AA11" i="305"/>
  <c r="AA5" i="305"/>
  <c r="AA299" i="305"/>
  <c r="AA263" i="305"/>
  <c r="AA227" i="305"/>
  <c r="AA296" i="305"/>
  <c r="AA260" i="305"/>
  <c r="AA224" i="305"/>
  <c r="AA197" i="305"/>
  <c r="AA179" i="305"/>
  <c r="AA155" i="305"/>
  <c r="AA146" i="305"/>
  <c r="AA137" i="305"/>
  <c r="AA128" i="305"/>
  <c r="AA119" i="305"/>
  <c r="AA110" i="305"/>
  <c r="AA101" i="305"/>
  <c r="AA92" i="305"/>
  <c r="AA83" i="305"/>
  <c r="AA74" i="305"/>
  <c r="AA65" i="305"/>
  <c r="AA56" i="305"/>
  <c r="AA290" i="305"/>
  <c r="AA218" i="305"/>
  <c r="AA176" i="305"/>
  <c r="AA37" i="305"/>
  <c r="AA31" i="305"/>
  <c r="AA25" i="305"/>
  <c r="AA19" i="305"/>
  <c r="AA13" i="305"/>
  <c r="AA7" i="305"/>
  <c r="AA1" i="305"/>
  <c r="AA287" i="305"/>
  <c r="AA215" i="305"/>
  <c r="AA293" i="305"/>
  <c r="AA257" i="305"/>
  <c r="AA221" i="305"/>
  <c r="AA164" i="305"/>
  <c r="AA50" i="305"/>
  <c r="AA254" i="305"/>
  <c r="AA194" i="305"/>
  <c r="AA55" i="305"/>
  <c r="AA46" i="305"/>
  <c r="AA43" i="305"/>
  <c r="AA40" i="305"/>
  <c r="AA34" i="305"/>
  <c r="AA28" i="305"/>
  <c r="AA22" i="305"/>
  <c r="AA16" i="305"/>
  <c r="AA10" i="305"/>
  <c r="AA4" i="305"/>
  <c r="AA251" i="305"/>
  <c r="AA284" i="305"/>
  <c r="AA248" i="305"/>
  <c r="AA212" i="305"/>
  <c r="AA191" i="305"/>
  <c r="AA173" i="305"/>
  <c r="AA161" i="305"/>
  <c r="AA152" i="305"/>
  <c r="AA143" i="305"/>
  <c r="AA134" i="305"/>
  <c r="AA125" i="305"/>
  <c r="AA116" i="305"/>
  <c r="AA107" i="305"/>
  <c r="AA98" i="305"/>
  <c r="AA89" i="305"/>
  <c r="AA80" i="305"/>
  <c r="AA71" i="305"/>
  <c r="AA62" i="305"/>
  <c r="AA49" i="305"/>
  <c r="AA281" i="305"/>
  <c r="AA245" i="305"/>
  <c r="AA209" i="305"/>
  <c r="AA278" i="305"/>
  <c r="AA242" i="305"/>
  <c r="AA206" i="305"/>
  <c r="AA188" i="305"/>
  <c r="AA53" i="305"/>
  <c r="AA45" i="305"/>
  <c r="AA42" i="305"/>
  <c r="AA39" i="305"/>
  <c r="AA36" i="305"/>
  <c r="AA33" i="305"/>
  <c r="AA30" i="305"/>
  <c r="AA27" i="305"/>
  <c r="AA24" i="305"/>
  <c r="AA21" i="305"/>
  <c r="AA18" i="305"/>
  <c r="AA15" i="305"/>
  <c r="AA12" i="305"/>
  <c r="AA9" i="305"/>
  <c r="AA6" i="305"/>
  <c r="AA3" i="305"/>
  <c r="AA239" i="305"/>
  <c r="AA170" i="305"/>
  <c r="Z298" i="305"/>
  <c r="Z295" i="305"/>
  <c r="Z292" i="305"/>
  <c r="Z289" i="305"/>
  <c r="Z286" i="305"/>
  <c r="Z283" i="305"/>
  <c r="Z280" i="305"/>
  <c r="Z277" i="305"/>
  <c r="Z274" i="305"/>
  <c r="Z271" i="305"/>
  <c r="Z268" i="305"/>
  <c r="Z265" i="305"/>
  <c r="Z262" i="305"/>
  <c r="Z259" i="305"/>
  <c r="Z256" i="305"/>
  <c r="Z253" i="305"/>
  <c r="Z250" i="305"/>
  <c r="Z247" i="305"/>
  <c r="Z244" i="305"/>
  <c r="Z241" i="305"/>
  <c r="Z238" i="305"/>
  <c r="Z235" i="305"/>
  <c r="Z232" i="305"/>
  <c r="Z229" i="305"/>
  <c r="Z226" i="305"/>
  <c r="Z223" i="305"/>
  <c r="Z220" i="305"/>
  <c r="Z217" i="305"/>
  <c r="Z214" i="305"/>
  <c r="Z211" i="305"/>
  <c r="Z208" i="305"/>
  <c r="Z205" i="305"/>
  <c r="Z202" i="305"/>
  <c r="Z199" i="305"/>
  <c r="Z196" i="305"/>
  <c r="Z193" i="305"/>
  <c r="Z190" i="305"/>
  <c r="Z187" i="305"/>
  <c r="Z184" i="305"/>
  <c r="Z181" i="305"/>
  <c r="Z178" i="305"/>
  <c r="Z175" i="305"/>
  <c r="Z172" i="305"/>
  <c r="Z169" i="305"/>
  <c r="Z166" i="305"/>
  <c r="Z163" i="305"/>
  <c r="Z160" i="305"/>
  <c r="Z157" i="305"/>
  <c r="Z154" i="305"/>
  <c r="Z151" i="305"/>
  <c r="Z148" i="305"/>
  <c r="Z145" i="305"/>
  <c r="Z142" i="305"/>
  <c r="Z139" i="305"/>
  <c r="Z136" i="305"/>
  <c r="Z133" i="305"/>
  <c r="Z130" i="305"/>
  <c r="Z127" i="305"/>
  <c r="Z124" i="305"/>
  <c r="Z121" i="305"/>
  <c r="Z118" i="305"/>
  <c r="Z115" i="305"/>
  <c r="Z112" i="305"/>
  <c r="Z109" i="305"/>
  <c r="Z106" i="305"/>
  <c r="Z103" i="305"/>
  <c r="Z100" i="305"/>
  <c r="Z97" i="305"/>
  <c r="Z94" i="305"/>
  <c r="Z91" i="305"/>
  <c r="Z88" i="305"/>
  <c r="Z85" i="305"/>
  <c r="Z82" i="305"/>
  <c r="Z79" i="305"/>
  <c r="Z76" i="305"/>
  <c r="Z73" i="305"/>
  <c r="Z70" i="305"/>
  <c r="Z67" i="305"/>
  <c r="Z64" i="305"/>
  <c r="Z61" i="305"/>
  <c r="Z58" i="305"/>
  <c r="Z55" i="305"/>
  <c r="Z52" i="305"/>
  <c r="Z49" i="305"/>
  <c r="Z300" i="305"/>
  <c r="Z297" i="305"/>
  <c r="Z294" i="305"/>
  <c r="Z291" i="305"/>
  <c r="Z288" i="305"/>
  <c r="Z285" i="305"/>
  <c r="Z282" i="305"/>
  <c r="Z279" i="305"/>
  <c r="Z276" i="305"/>
  <c r="Z273" i="305"/>
  <c r="Z270" i="305"/>
  <c r="Z267" i="305"/>
  <c r="Z264" i="305"/>
  <c r="Z261" i="305"/>
  <c r="Z258" i="305"/>
  <c r="Z255" i="305"/>
  <c r="Z252" i="305"/>
  <c r="Z249" i="305"/>
  <c r="Z246" i="305"/>
  <c r="Z243" i="305"/>
  <c r="Z240" i="305"/>
  <c r="Z237" i="305"/>
  <c r="Z234" i="305"/>
  <c r="Z231" i="305"/>
  <c r="Z228" i="305"/>
  <c r="Z225" i="305"/>
  <c r="Z222" i="305"/>
  <c r="Z219" i="305"/>
  <c r="Z216" i="305"/>
  <c r="Z213" i="305"/>
  <c r="Z210" i="305"/>
  <c r="Z207" i="305"/>
  <c r="Z204" i="305"/>
  <c r="Z201" i="305"/>
  <c r="Z198" i="305"/>
  <c r="Z195" i="305"/>
  <c r="Z192" i="305"/>
  <c r="Z189" i="305"/>
  <c r="Z186" i="305"/>
  <c r="Z183" i="305"/>
  <c r="Z180" i="305"/>
  <c r="Z177" i="305"/>
  <c r="Z174" i="305"/>
  <c r="Z171" i="305"/>
  <c r="Z168" i="305"/>
  <c r="Z165" i="305"/>
  <c r="Z162" i="305"/>
  <c r="Z159" i="305"/>
  <c r="Z156" i="305"/>
  <c r="Z153" i="305"/>
  <c r="Z150" i="305"/>
  <c r="Z147" i="305"/>
  <c r="Z144" i="305"/>
  <c r="Z141" i="305"/>
  <c r="Z138" i="305"/>
  <c r="Z135" i="305"/>
  <c r="Z132" i="305"/>
  <c r="Z129" i="305"/>
  <c r="Z126" i="305"/>
  <c r="Z123" i="305"/>
  <c r="Z120" i="305"/>
  <c r="Z117" i="305"/>
  <c r="Z114" i="305"/>
  <c r="Z111" i="305"/>
  <c r="Z108" i="305"/>
  <c r="Z105" i="305"/>
  <c r="Z102" i="305"/>
  <c r="Z99" i="305"/>
  <c r="Z96" i="305"/>
  <c r="Z93" i="305"/>
  <c r="Z90" i="305"/>
  <c r="Z87" i="305"/>
  <c r="Z84" i="305"/>
  <c r="Z81" i="305"/>
  <c r="Z78" i="305"/>
  <c r="Z75" i="305"/>
  <c r="Z72" i="305"/>
  <c r="Z69" i="305"/>
  <c r="Z66" i="305"/>
  <c r="Z63" i="305"/>
  <c r="Z60" i="305"/>
  <c r="Z57" i="305"/>
  <c r="Z54" i="305"/>
  <c r="Z51" i="305"/>
  <c r="Z299" i="305"/>
  <c r="Z296" i="305"/>
  <c r="Z293" i="305"/>
  <c r="Z290" i="305"/>
  <c r="Z287" i="305"/>
  <c r="Z284" i="305"/>
  <c r="Z281" i="305"/>
  <c r="Z278" i="305"/>
  <c r="Z275" i="305"/>
  <c r="Z272" i="305"/>
  <c r="Z269" i="305"/>
  <c r="Z266" i="305"/>
  <c r="Z263" i="305"/>
  <c r="Z260" i="305"/>
  <c r="Z257" i="305"/>
  <c r="Z254" i="305"/>
  <c r="Z251" i="305"/>
  <c r="Z248" i="305"/>
  <c r="Z245" i="305"/>
  <c r="Z242" i="305"/>
  <c r="Z239" i="305"/>
  <c r="Z236" i="305"/>
  <c r="Z233" i="305"/>
  <c r="Z230" i="305"/>
  <c r="Z227" i="305"/>
  <c r="Z224" i="305"/>
  <c r="Z221" i="305"/>
  <c r="Z218" i="305"/>
  <c r="Z215" i="305"/>
  <c r="Z212" i="305"/>
  <c r="Z209" i="305"/>
  <c r="Z206" i="305"/>
  <c r="Z203" i="305"/>
  <c r="Z200" i="305"/>
  <c r="Z197" i="305"/>
  <c r="Z194" i="305"/>
  <c r="Z191" i="305"/>
  <c r="Z188" i="305"/>
  <c r="Z185" i="305"/>
  <c r="Z182" i="305"/>
  <c r="Z179" i="305"/>
  <c r="Z176" i="305"/>
  <c r="Z173" i="305"/>
  <c r="Z170" i="305"/>
  <c r="Z167" i="305"/>
  <c r="Z164" i="305"/>
  <c r="Z161" i="305"/>
  <c r="Z158" i="305"/>
  <c r="Z155" i="305"/>
  <c r="Z152" i="305"/>
  <c r="Z149" i="305"/>
  <c r="Z146" i="305"/>
  <c r="Z143" i="305"/>
  <c r="Z140" i="305"/>
  <c r="Z137" i="305"/>
  <c r="Z134" i="305"/>
  <c r="Z131" i="305"/>
  <c r="Z128" i="305"/>
  <c r="Z125" i="305"/>
  <c r="Z122" i="305"/>
  <c r="Z119" i="305"/>
  <c r="Z116" i="305"/>
  <c r="Z113" i="305"/>
  <c r="Z110" i="305"/>
  <c r="Z107" i="305"/>
  <c r="Z104" i="305"/>
  <c r="Z101" i="305"/>
  <c r="Z98" i="305"/>
  <c r="Z95" i="305"/>
  <c r="Z92" i="305"/>
  <c r="Z89" i="305"/>
  <c r="Z86" i="305"/>
  <c r="Z83" i="305"/>
  <c r="Z80" i="305"/>
  <c r="Z77" i="305"/>
  <c r="Z74" i="305"/>
  <c r="Z71" i="305"/>
  <c r="Z68" i="305"/>
  <c r="Z65" i="305"/>
  <c r="Z62" i="305"/>
  <c r="Z59" i="305"/>
  <c r="Z56" i="305"/>
  <c r="Z53" i="305"/>
  <c r="Z50" i="305"/>
  <c r="Z48" i="305"/>
  <c r="Z45" i="305"/>
  <c r="Z42" i="305"/>
  <c r="Z36" i="305"/>
  <c r="Z33" i="305"/>
  <c r="Z27" i="305"/>
  <c r="Z21" i="305"/>
  <c r="Z18" i="305"/>
  <c r="Z12" i="305"/>
  <c r="Z6" i="305"/>
  <c r="Z37" i="305"/>
  <c r="Z4" i="305"/>
  <c r="Z38" i="305"/>
  <c r="Z26" i="305"/>
  <c r="Z11" i="305"/>
  <c r="Z43" i="305"/>
  <c r="Z22" i="305"/>
  <c r="Z7" i="305"/>
  <c r="Z41" i="305"/>
  <c r="Z23" i="305"/>
  <c r="Z5" i="305"/>
  <c r="Z46" i="305"/>
  <c r="Z19" i="305"/>
  <c r="Z47" i="305"/>
  <c r="Z32" i="305"/>
  <c r="Z17" i="305"/>
  <c r="Z2" i="305"/>
  <c r="Z25" i="305"/>
  <c r="Z16" i="305"/>
  <c r="Z44" i="305"/>
  <c r="Z35" i="305"/>
  <c r="Z29" i="305"/>
  <c r="Z20" i="305"/>
  <c r="Z14" i="305"/>
  <c r="Z8" i="305"/>
  <c r="Z40" i="305"/>
  <c r="Z1" i="305"/>
  <c r="Z34" i="305"/>
  <c r="Z13" i="305"/>
  <c r="Z31" i="305"/>
  <c r="Z10" i="305"/>
  <c r="Z9" i="305"/>
  <c r="Z28" i="305"/>
  <c r="Z39" i="305"/>
  <c r="Z30" i="305"/>
  <c r="Z24" i="305"/>
  <c r="Z15" i="305"/>
  <c r="Z3" i="305"/>
</calcChain>
</file>

<file path=xl/sharedStrings.xml><?xml version="1.0" encoding="utf-8"?>
<sst xmlns="http://schemas.openxmlformats.org/spreadsheetml/2006/main" count="4894" uniqueCount="233">
  <si>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</si>
  <si>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</si>
  <si>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</si>
  <si>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</si>
  <si>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</si>
  <si>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</si>
  <si>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</si>
  <si>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</si>
  <si>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</si>
  <si>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</si>
  <si>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</si>
  <si>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</si>
  <si>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</si>
  <si>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</si>
  <si>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</si>
  <si>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</si>
  <si>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</si>
  <si>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</si>
  <si>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</si>
  <si>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</si>
  <si>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</si>
  <si>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</si>
  <si>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</si>
  <si>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</si>
  <si>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</si>
  <si>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</si>
  <si>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</si>
  <si>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</si>
  <si>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</si>
  <si>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</si>
  <si>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</si>
  <si>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</si>
  <si>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</si>
  <si>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</si>
  <si>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</si>
  <si>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</si>
  <si>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</si>
  <si>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</si>
  <si>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</si>
  <si>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</si>
  <si>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</si>
  <si>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</si>
  <si>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</si>
  <si>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</si>
  <si>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</si>
  <si>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</si>
  <si>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</si>
  <si>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</si>
  <si>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</si>
  <si>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</si>
  <si>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</si>
  <si>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</si>
  <si>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</si>
  <si>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</si>
  <si>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</si>
  <si>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</si>
  <si>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</si>
  <si>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</si>
  <si>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</si>
  <si>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</si>
  <si>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</si>
  <si>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</si>
  <si>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</si>
  <si>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</si>
  <si>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</si>
  <si>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</si>
  <si>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</si>
  <si>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</si>
  <si>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</si>
  <si>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</si>
  <si>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</si>
  <si>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</si>
  <si>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</si>
  <si>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</si>
  <si>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</si>
  <si>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</si>
  <si>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</si>
  <si>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</si>
  <si>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</si>
  <si>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</si>
  <si>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</si>
  <si>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</si>
  <si>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</si>
  <si>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</si>
  <si>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</si>
  <si>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</si>
  <si>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</si>
  <si>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</si>
  <si>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</si>
  <si>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</si>
  <si>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</si>
  <si>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</si>
  <si>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</si>
  <si>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</si>
  <si>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</si>
  <si>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</si>
  <si>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</si>
  <si>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</si>
  <si>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</si>
  <si>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</si>
  <si>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</si>
  <si>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</si>
  <si>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</si>
  <si>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</si>
  <si>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</si>
  <si>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</si>
  <si>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</si>
  <si>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</si>
  <si>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</si>
  <si>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</si>
  <si>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</si>
  <si>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</si>
  <si>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</si>
  <si>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</si>
  <si>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</si>
  <si>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</si>
  <si>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</si>
  <si>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</si>
  <si>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</si>
  <si>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</si>
  <si>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</si>
  <si>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</si>
  <si>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</si>
  <si>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</si>
  <si>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</si>
  <si>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</si>
  <si>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</si>
  <si>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</si>
  <si>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</si>
  <si>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</si>
  <si>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</si>
  <si>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</si>
  <si>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</si>
  <si>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</si>
  <si>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</si>
  <si>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</si>
  <si>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</si>
  <si>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</si>
  <si>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</si>
  <si>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</si>
  <si>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</si>
  <si>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</si>
  <si>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</si>
  <si>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</si>
  <si>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</si>
  <si>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</si>
  <si>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</si>
  <si>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</si>
  <si>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</si>
  <si>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</si>
  <si>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</si>
  <si>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>8A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</si>
  <si>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</si>
  <si>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</si>
  <si>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</si>
  <si>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</si>
  <si>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</si>
  <si>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</si>
  <si>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</si>
  <si>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</si>
  <si>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</si>
  <si>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</si>
  <si>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</si>
  <si>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</si>
  <si>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</si>
  <si>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</si>
  <si>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</si>
  <si>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</si>
  <si>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</si>
  <si>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</si>
  <si>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</si>
  <si>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</si>
  <si>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DM</t>
  </si>
  <si>
    <t>DH</t>
  </si>
  <si>
    <t>A</t>
  </si>
  <si>
    <t>B</t>
  </si>
  <si>
    <t>C</t>
  </si>
  <si>
    <t>D</t>
  </si>
  <si>
    <t>PROCHAIN MATCH</t>
  </si>
  <si>
    <t>SE PREPARENT</t>
  </si>
  <si>
    <t>1 DM 1</t>
  </si>
  <si>
    <t>2 DM 2</t>
  </si>
  <si>
    <t>3 DM 3</t>
  </si>
  <si>
    <t>4 DM 4</t>
  </si>
  <si>
    <t>5 DM 5</t>
  </si>
  <si>
    <t>6 DM 6</t>
  </si>
  <si>
    <t>7 DM 7</t>
  </si>
  <si>
    <t>8 DM 8</t>
  </si>
  <si>
    <t>1 DH 1</t>
  </si>
  <si>
    <t>2 DH 2</t>
  </si>
  <si>
    <t>3 DH 3</t>
  </si>
  <si>
    <t>4 DH 4</t>
  </si>
  <si>
    <t>5 DH 5</t>
  </si>
  <si>
    <t>6 DH 6</t>
  </si>
  <si>
    <t>7 DH 7</t>
  </si>
  <si>
    <t>8 DH 8</t>
  </si>
  <si>
    <t>Lettre</t>
  </si>
  <si>
    <t>Gagnes</t>
  </si>
  <si>
    <t>Perdus</t>
  </si>
  <si>
    <t>Set Gagnes</t>
  </si>
  <si>
    <t>Marques</t>
  </si>
  <si>
    <t>Encaisses</t>
  </si>
  <si>
    <t>Difference</t>
  </si>
  <si>
    <t>Confrontation Directe</t>
  </si>
  <si>
    <t>Ordre Inscrip</t>
  </si>
  <si>
    <t>Ordre Ph</t>
  </si>
  <si>
    <t>PHASE FINALE DM</t>
  </si>
  <si>
    <t>PHASE FINALE DH</t>
  </si>
  <si>
    <t>TABLEAU PRINCIPAL 1</t>
  </si>
  <si>
    <t>TERRAIN 1</t>
  </si>
  <si>
    <t>TERRAIN 2</t>
  </si>
  <si>
    <t>TERRAIN 3</t>
  </si>
  <si>
    <t>TERRAIN 4</t>
  </si>
  <si>
    <t>CONSOLANTE 1</t>
  </si>
  <si>
    <t>TERRAIN 5</t>
  </si>
  <si>
    <t>TERRAIN 6</t>
  </si>
  <si>
    <t>TERRAIN 7</t>
  </si>
  <si>
    <t>TERRAIN 8</t>
  </si>
  <si>
    <t>Place 1 et 2</t>
  </si>
  <si>
    <t>Place 3 et 4</t>
  </si>
  <si>
    <t>Place 5 et 6</t>
  </si>
  <si>
    <t>Place 7 et 8</t>
  </si>
  <si>
    <t>Place 9 et 10</t>
  </si>
  <si>
    <t>Place 11 et 12</t>
  </si>
  <si>
    <t>Place 13 et 14</t>
  </si>
  <si>
    <t>Place 15 et 16</t>
  </si>
  <si>
    <t>CLASSEMENT FINAL DM</t>
  </si>
  <si>
    <t>CLASSEMENT FINAL DH</t>
  </si>
  <si>
    <t xml:space="preserve">Cree et propose par William LANSARD </t>
  </si>
  <si>
    <t>CODE_MATCHS_PH</t>
  </si>
  <si>
    <t>0--00</t>
  </si>
  <si>
    <t>0--0--0--0</t>
  </si>
  <si>
    <t>Version 3.61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</si>
</sst>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hh:mm;@"/>
    <numFmt numFmtId="166" formatCode="hh:mm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5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  <font>
      <sz val="21"/>
      <color indexed="9"/>
      <name val="Calibri"/>
      <family val="2"/>
      <scheme val="minor"/>
    </font>
    <font>
      <sz val="11"/>
      <color rgb="FFCE9178"/>
      <name val="Consolas"/>
      <family val="3"/>
    </font>
    <font>
      <sz val="11"/>
      <color indexed="9"/>
      <name val="Consolas"/>
      <family val="3"/>
    </font>
    <font>
      <sz val="9"/>
      <color rgb="FF00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rgb="FF000000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13" borderId="0" xfId="0" applyFill="1"/>
    <xf numFmtId="0" fontId="15" fillId="14" borderId="69" xfId="0" applyFont="1" applyFill="1" applyBorder="1" applyAlignment="1">
      <alignment horizontal="center" vertical="center"/>
    </xf>
    <xf numFmtId="0" fontId="15" fillId="14" borderId="73" xfId="0" applyFont="1" applyFill="1" applyBorder="1" applyAlignment="1">
      <alignment horizontal="center" vertical="center"/>
    </xf>
    <xf numFmtId="0" fontId="22" fillId="15" borderId="74" xfId="0" applyFont="1" applyFill="1" applyBorder="1" applyAlignment="1" applyProtection="1">
      <alignment horizontal="center" vertical="center"/>
      <protection locked="0"/>
    </xf>
    <xf numFmtId="0" fontId="22" fillId="15" borderId="75" xfId="0" applyFont="1" applyFill="1" applyBorder="1" applyAlignment="1" applyProtection="1">
      <alignment horizontal="center" vertical="center"/>
      <protection locked="0"/>
    </xf>
    <xf numFmtId="0" fontId="22" fillId="15" borderId="76" xfId="0" applyFont="1" applyFill="1" applyBorder="1" applyAlignment="1" applyProtection="1">
      <alignment horizontal="center" vertical="center"/>
      <protection locked="0"/>
    </xf>
    <xf numFmtId="0" fontId="22" fillId="16" borderId="74" xfId="0" applyFont="1" applyFill="1" applyBorder="1" applyAlignment="1" applyProtection="1">
      <alignment horizontal="center" vertical="center"/>
      <protection locked="0"/>
    </xf>
    <xf numFmtId="0" fontId="22" fillId="16" borderId="75" xfId="0" applyFont="1" applyFill="1" applyBorder="1" applyAlignment="1" applyProtection="1">
      <alignment horizontal="center" vertical="center"/>
      <protection locked="0"/>
    </xf>
    <xf numFmtId="0" fontId="22" fillId="16" borderId="76" xfId="0" applyFont="1" applyFill="1" applyBorder="1" applyAlignment="1" applyProtection="1">
      <alignment horizontal="center" vertical="center"/>
      <protection locked="0"/>
    </xf>
    <xf numFmtId="0" fontId="22" fillId="17" borderId="74" xfId="0" applyFont="1" applyFill="1" applyBorder="1" applyAlignment="1" applyProtection="1">
      <alignment horizontal="center" vertical="center"/>
      <protection locked="0"/>
    </xf>
    <xf numFmtId="0" fontId="22" fillId="17" borderId="75" xfId="0" applyFont="1" applyFill="1" applyBorder="1" applyAlignment="1" applyProtection="1">
      <alignment horizontal="center" vertical="center"/>
      <protection locked="0"/>
    </xf>
    <xf numFmtId="0" fontId="22" fillId="17" borderId="76" xfId="0" applyFont="1" applyFill="1" applyBorder="1" applyAlignment="1" applyProtection="1">
      <alignment horizontal="center" vertical="center"/>
      <protection locked="0"/>
    </xf>
    <xf numFmtId="0" fontId="22" fillId="18" borderId="74" xfId="0" applyFont="1" applyFill="1" applyBorder="1" applyAlignment="1" applyProtection="1">
      <alignment horizontal="center" vertical="center"/>
      <protection locked="0"/>
    </xf>
    <xf numFmtId="0" fontId="22" fillId="18" borderId="75" xfId="0" applyFont="1" applyFill="1" applyBorder="1" applyAlignment="1" applyProtection="1">
      <alignment horizontal="center" vertical="center"/>
      <protection locked="0"/>
    </xf>
    <xf numFmtId="0" fontId="22" fillId="18" borderId="76" xfId="0" applyFont="1" applyFill="1" applyBorder="1" applyAlignment="1" applyProtection="1">
      <alignment horizontal="center" vertical="center"/>
      <protection locked="0"/>
    </xf>
    <xf numFmtId="0" fontId="24" fillId="19" borderId="0" xfId="0" applyFont="1" applyFill="1" applyAlignment="1">
      <alignment horizontal="center" vertical="center"/>
    </xf>
    <xf numFmtId="0" fontId="24" fillId="19" borderId="35" xfId="0" applyFont="1" applyFill="1" applyBorder="1" applyAlignment="1">
      <alignment horizontal="center" vertical="center"/>
    </xf>
    <xf numFmtId="0" fontId="20" fillId="15" borderId="37" xfId="0" applyFont="1" applyFill="1" applyBorder="1" applyAlignment="1">
      <alignment horizontal="center" vertical="center"/>
    </xf>
    <xf numFmtId="0" fontId="20" fillId="16" borderId="37" xfId="0" applyFont="1" applyFill="1" applyBorder="1" applyAlignment="1">
      <alignment horizontal="center" vertical="center"/>
    </xf>
    <xf numFmtId="0" fontId="20" fillId="17" borderId="37" xfId="0" applyFont="1" applyFill="1" applyBorder="1" applyAlignment="1">
      <alignment horizontal="center" vertical="center"/>
    </xf>
    <xf numFmtId="0" fontId="20" fillId="18" borderId="37" xfId="0" applyFont="1" applyFill="1" applyBorder="1" applyAlignment="1">
      <alignment horizontal="center" vertical="center"/>
    </xf>
    <xf numFmtId="0" fontId="24" fillId="19" borderId="0" xfId="0" applyFont="1" applyFill="1" applyAlignment="1" applyProtection="1">
      <alignment horizontal="center" vertical="center"/>
      <protection locked="0"/>
    </xf>
    <xf numFmtId="0" fontId="0" fillId="13" borderId="0" xfId="0" applyFill="1" applyProtection="1">
      <protection locked="0"/>
    </xf>
    <xf numFmtId="0" fontId="20" fillId="13" borderId="0" xfId="0" applyFont="1" applyFill="1"/>
    <xf numFmtId="0" fontId="25" fillId="14" borderId="77" xfId="0" applyFont="1" applyFill="1" applyBorder="1" applyAlignment="1">
      <alignment horizontal="center" vertical="center"/>
    </xf>
    <xf numFmtId="0" fontId="26" fillId="14" borderId="77" xfId="0" applyFont="1" applyFill="1" applyBorder="1" applyAlignment="1">
      <alignment horizontal="center" vertical="center" wrapText="1"/>
    </xf>
    <xf numFmtId="0" fontId="22" fillId="15" borderId="37" xfId="0" applyFont="1" applyFill="1" applyBorder="1" applyAlignment="1" applyProtection="1">
      <alignment horizontal="center" vertical="center"/>
      <protection locked="0"/>
    </xf>
    <xf numFmtId="0" fontId="22" fillId="16" borderId="37" xfId="0" applyFont="1" applyFill="1" applyBorder="1" applyAlignment="1" applyProtection="1">
      <alignment horizontal="center" vertical="center"/>
      <protection locked="0"/>
    </xf>
    <xf numFmtId="0" fontId="22" fillId="17" borderId="37" xfId="0" applyFont="1" applyFill="1" applyBorder="1" applyAlignment="1" applyProtection="1">
      <alignment horizontal="center" vertical="center"/>
      <protection locked="0"/>
    </xf>
    <xf numFmtId="0" fontId="22" fillId="18" borderId="37" xfId="0" applyFont="1" applyFill="1" applyBorder="1" applyAlignment="1" applyProtection="1">
      <alignment horizontal="center" vertical="center"/>
      <protection locked="0"/>
    </xf>
    <xf numFmtId="1" fontId="0" fillId="13" borderId="0" xfId="0" applyNumberFormat="1" applyFill="1"/>
    <xf numFmtId="1" fontId="25" fillId="14" borderId="77" xfId="0" applyNumberFormat="1" applyFont="1" applyFill="1" applyBorder="1" applyAlignment="1">
      <alignment horizontal="center" vertical="center"/>
    </xf>
    <xf numFmtId="1" fontId="22" fillId="15" borderId="37" xfId="0" applyNumberFormat="1" applyFont="1" applyFill="1" applyBorder="1" applyAlignment="1" applyProtection="1">
      <alignment horizontal="center" vertical="center"/>
      <protection locked="0"/>
    </xf>
    <xf numFmtId="1" fontId="22" fillId="16" borderId="37" xfId="0" applyNumberFormat="1" applyFont="1" applyFill="1" applyBorder="1" applyAlignment="1" applyProtection="1">
      <alignment horizontal="center" vertical="center"/>
      <protection locked="0"/>
    </xf>
    <xf numFmtId="1" fontId="22" fillId="17" borderId="37" xfId="0" applyNumberFormat="1" applyFont="1" applyFill="1" applyBorder="1" applyAlignment="1" applyProtection="1">
      <alignment horizontal="center" vertical="center"/>
      <protection locked="0"/>
    </xf>
    <xf numFmtId="1" fontId="22" fillId="18" borderId="37" xfId="0" applyNumberFormat="1" applyFont="1" applyFill="1" applyBorder="1" applyAlignment="1" applyProtection="1">
      <alignment horizontal="center" vertical="center"/>
      <protection locked="0"/>
    </xf>
    <xf numFmtId="0" fontId="24" fillId="13" borderId="0" xfId="0" applyFont="1" applyFill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15" fillId="14" borderId="10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0" fontId="24" fillId="13" borderId="0" xfId="0" applyFont="1" applyFill="1" applyAlignment="1" applyProtection="1">
      <alignment horizontal="center" vertical="center"/>
      <protection locked="0"/>
    </xf>
    <xf numFmtId="0" fontId="15" fillId="14" borderId="3" xfId="0" applyFont="1" applyFill="1" applyBorder="1" applyAlignment="1" applyProtection="1">
      <alignment horizontal="center" vertical="center"/>
      <protection locked="0"/>
    </xf>
    <xf numFmtId="0" fontId="15" fillId="14" borderId="10" xfId="0" applyFont="1" applyFill="1" applyBorder="1" applyAlignment="1" applyProtection="1">
      <alignment horizontal="center" vertical="center"/>
      <protection locked="0"/>
    </xf>
    <xf numFmtId="0" fontId="15" fillId="14" borderId="4" xfId="0" applyFont="1" applyFill="1" applyBorder="1" applyAlignment="1" applyProtection="1">
      <alignment horizontal="center" vertical="center"/>
      <protection locked="0"/>
    </xf>
    <xf numFmtId="0" fontId="15" fillId="14" borderId="11" xfId="0" applyFont="1" applyFill="1" applyBorder="1" applyAlignment="1" applyProtection="1">
      <alignment horizontal="center" vertical="center"/>
      <protection locked="0"/>
    </xf>
    <xf numFmtId="0" fontId="20" fillId="20" borderId="37" xfId="0" applyFont="1" applyFill="1" applyBorder="1" applyAlignment="1">
      <alignment horizontal="center" vertical="center"/>
    </xf>
    <xf numFmtId="0" fontId="12" fillId="21" borderId="78" xfId="0" applyFont="1" applyFill="1" applyBorder="1" applyAlignment="1">
      <alignment horizontal="center" vertical="center"/>
    </xf>
    <xf numFmtId="0" fontId="12" fillId="22" borderId="78" xfId="0" applyFont="1" applyFill="1" applyBorder="1" applyAlignment="1">
      <alignment horizontal="center" vertical="center"/>
    </xf>
    <xf numFmtId="0" fontId="15" fillId="14" borderId="6" xfId="0" applyFont="1" applyFill="1" applyBorder="1" applyAlignment="1">
      <alignment horizontal="center" vertical="center"/>
    </xf>
    <xf numFmtId="0" fontId="15" fillId="14" borderId="7" xfId="0" applyFont="1" applyFill="1" applyBorder="1" applyAlignment="1">
      <alignment horizontal="center" vertical="center"/>
    </xf>
    <xf numFmtId="0" fontId="24" fillId="12" borderId="79" xfId="0" applyFont="1" applyFill="1" applyBorder="1" applyAlignment="1">
      <alignment horizontal="center" vertical="center"/>
    </xf>
    <xf numFmtId="0" fontId="24" fillId="12" borderId="8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21" fillId="15" borderId="70" xfId="0" applyFont="1" applyFill="1" applyBorder="1" applyAlignment="1">
      <alignment horizontal="center" vertical="center"/>
    </xf>
    <xf numFmtId="0" fontId="21" fillId="15" borderId="71" xfId="0" applyFont="1" applyFill="1" applyBorder="1" applyAlignment="1">
      <alignment horizontal="center" vertical="center"/>
    </xf>
    <xf numFmtId="0" fontId="21" fillId="15" borderId="72" xfId="0" applyFont="1" applyFill="1" applyBorder="1" applyAlignment="1">
      <alignment horizontal="center" vertical="center"/>
    </xf>
    <xf numFmtId="0" fontId="21" fillId="16" borderId="70" xfId="0" applyFont="1" applyFill="1" applyBorder="1" applyAlignment="1">
      <alignment horizontal="center" vertical="center"/>
    </xf>
    <xf numFmtId="0" fontId="21" fillId="16" borderId="71" xfId="0" applyFont="1" applyFill="1" applyBorder="1" applyAlignment="1">
      <alignment horizontal="center" vertical="center"/>
    </xf>
    <xf numFmtId="0" fontId="21" fillId="16" borderId="72" xfId="0" applyFont="1" applyFill="1" applyBorder="1" applyAlignment="1">
      <alignment horizontal="center" vertical="center"/>
    </xf>
    <xf numFmtId="0" fontId="21" fillId="17" borderId="70" xfId="0" applyFont="1" applyFill="1" applyBorder="1" applyAlignment="1">
      <alignment horizontal="center" vertical="center"/>
    </xf>
    <xf numFmtId="0" fontId="21" fillId="17" borderId="71" xfId="0" applyFont="1" applyFill="1" applyBorder="1" applyAlignment="1">
      <alignment horizontal="center" vertical="center"/>
    </xf>
    <xf numFmtId="0" fontId="21" fillId="17" borderId="72" xfId="0" applyFont="1" applyFill="1" applyBorder="1" applyAlignment="1">
      <alignment horizontal="center" vertical="center"/>
    </xf>
    <xf numFmtId="0" fontId="21" fillId="18" borderId="70" xfId="0" applyFont="1" applyFill="1" applyBorder="1" applyAlignment="1">
      <alignment horizontal="center" vertical="center"/>
    </xf>
    <xf numFmtId="0" fontId="21" fillId="18" borderId="71" xfId="0" applyFont="1" applyFill="1" applyBorder="1" applyAlignment="1">
      <alignment horizontal="center" vertical="center"/>
    </xf>
    <xf numFmtId="0" fontId="21" fillId="18" borderId="72" xfId="0" applyFont="1" applyFill="1" applyBorder="1" applyAlignment="1">
      <alignment horizontal="center" vertical="center"/>
    </xf>
    <xf numFmtId="0" fontId="23" fillId="19" borderId="0" xfId="0" applyFont="1" applyFill="1" applyAlignment="1">
      <alignment horizontal="center" vertical="center" wrapText="1"/>
    </xf>
    <xf numFmtId="0" fontId="28" fillId="12" borderId="79" xfId="0" applyFont="1" applyFill="1" applyBorder="1" applyAlignment="1">
      <alignment horizontal="center" vertical="center"/>
    </xf>
    <xf numFmtId="0" fontId="29" fillId="12" borderId="79" xfId="0" applyFont="1" applyFill="1" applyBorder="1" applyAlignment="1">
      <alignment horizontal="center" vertical="center"/>
    </xf>
    <xf numFmtId="0" fontId="30" fillId="12" borderId="81" xfId="0" applyFont="1" applyFill="1" applyBorder="1" applyAlignment="1">
      <alignment horizontal="center"/>
    </xf>
    <xf numFmtId="0" fontId="30" fillId="12" borderId="80" xfId="0" applyFont="1" applyFill="1" applyBorder="1" applyAlignment="1">
      <alignment horizontal="center"/>
    </xf>
    <xf numFmtId="0" fontId="30" fillId="12" borderId="79" xfId="0" applyFont="1" applyFill="1" applyBorder="1" applyAlignment="1">
      <alignment horizontal="center"/>
    </xf>
    <xf numFmtId="166" fontId="24" fillId="19" borderId="0" xfId="0" applyNumberFormat="1" applyFont="1" applyFill="1" applyAlignment="1">
      <alignment horizontal="center" vertical="center"/>
    </xf>
    <xf numFmtId="0" fontId="15" fillId="0" borderId="36" xfId="0" applyFont="1" applyFill="1" applyBorder="1" applyAlignment="1" applyProtection="1">
      <alignment horizontal="center" vertical="center"/>
      <protection locked="0"/>
    </xf>
    <xf numFmtId="0" fontId="21" fillId="15" borderId="0" xfId="0" applyFont="1" applyFill="1" applyBorder="1" applyAlignment="1">
      <alignment horizontal="center" vertical="center"/>
    </xf>
    <xf numFmtId="0" fontId="21" fillId="16" borderId="0" xfId="0" applyFon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 vertical="center"/>
    </xf>
    <xf numFmtId="0" fontId="21" fillId="18" borderId="0" xfId="0" applyFont="1" applyFill="1" applyBorder="1" applyAlignment="1">
      <alignment horizontal="center" vertical="center"/>
    </xf>
    <xf numFmtId="0" fontId="33" fillId="19" borderId="0" xfId="0" applyFont="1" applyFill="1" applyAlignment="1">
      <alignment horizontal="center" vertical="center"/>
    </xf>
    <xf numFmtId="0" fontId="24" fillId="13" borderId="0" xfId="0" applyFont="1" applyFill="1" applyBorder="1" applyAlignment="1">
      <alignment horizontal="center" vertical="center"/>
    </xf>
    <xf numFmtId="0" fontId="24" fillId="12" borderId="0" xfId="0" applyFont="1" applyFill="1" applyBorder="1" applyAlignment="1">
      <alignment horizontal="center" vertical="center"/>
    </xf>
    <xf numFmtId="0" fontId="27" fillId="12" borderId="0" xfId="0" applyFont="1" applyFill="1" applyBorder="1" applyAlignment="1">
      <alignment horizontal="center" vertical="center"/>
    </xf>
    <xf numFmtId="0" fontId="28" fillId="12" borderId="0" xfId="0" applyFont="1" applyFill="1" applyBorder="1" applyAlignment="1">
      <alignment horizontal="center" vertical="center"/>
    </xf>
    <xf numFmtId="0" fontId="29" fillId="12" borderId="0" xfId="0" applyFont="1" applyFill="1" applyBorder="1" applyAlignment="1">
      <alignment horizontal="center" vertical="center"/>
    </xf>
    <xf numFmtId="0" fontId="30" fillId="12" borderId="0" xfId="0" applyFont="1" applyFill="1" applyBorder="1" applyAlignment="1">
      <alignment horizontal="center"/>
    </xf>
    <xf numFmtId="0" fontId="31" fillId="16" borderId="0" xfId="0" applyFont="1" applyFill="1" applyAlignment="1">
      <alignment horizontal="center" vertical="center" wrapText="1"/>
    </xf>
    <xf numFmtId="0" fontId="31" fillId="17" borderId="0" xfId="0" applyFont="1" applyFill="1" applyAlignment="1">
      <alignment horizontal="center" vertical="center" wrapText="1"/>
    </xf>
    <xf numFmtId="0" fontId="31" fillId="18" borderId="0" xfId="0" applyFont="1" applyFill="1" applyAlignment="1">
      <alignment horizontal="center" vertical="center" wrapText="1"/>
    </xf>
    <xf numFmtId="0" fontId="12" fillId="23" borderId="12" xfId="0" applyFont="1" applyFill="1" applyBorder="1" applyAlignment="1">
      <alignment horizontal="center" vertical="center"/>
    </xf>
    <xf numFmtId="0" fontId="12" fillId="23" borderId="33" xfId="0" applyFont="1" applyFill="1" applyBorder="1" applyAlignment="1">
      <alignment horizontal="center" vertical="center"/>
    </xf>
    <xf numFmtId="0" fontId="12" fillId="24" borderId="0" xfId="0" applyFont="1" applyFill="1"/>
    <xf numFmtId="0" fontId="34" fillId="25" borderId="83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654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221185" name="C4PPinscript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49F09FC1-892C-CFDD-6039-D47E284DF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126</xdr:row>
          <xdr:rowOff>0</xdr:rowOff>
        </xdr:to>
        <xdr:sp macro="" textlink="">
          <xdr:nvSpPr>
            <xdr:cNvPr id="222209" name="MAJHEUREB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4663ACE-6BEB-7B11-37E4-58E73744B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126</xdr:row>
          <xdr:rowOff>0</xdr:rowOff>
        </xdr:to>
        <xdr:sp macro="" textlink="">
          <xdr:nvSpPr>
            <xdr:cNvPr id="222210" name="C4PPMatch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B155487F-EE52-53F7-2330-329FD4D82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126</xdr:row>
          <xdr:rowOff>0</xdr:rowOff>
        </xdr:to>
        <xdr:sp macro="" textlink="">
          <xdr:nvSpPr>
            <xdr:cNvPr id="222211" name="C4IMPMatch" hidden="1">
              <a:extLst>
                <a:ext uri="{63B3BB69-23CF-44E3-9099-C40C66FF867C}">
                  <a14:compatExt spid="_x0000_s222211"/>
                </a:ext>
                <a:ext uri="{FF2B5EF4-FFF2-40B4-BE49-F238E27FC236}">
                  <a16:creationId xmlns:a16="http://schemas.microsoft.com/office/drawing/2014/main" id="{E6B781C5-F23D-96FE-77C7-AF378CF74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C4IMP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23233" name="TRIPOULE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6FF503EB-743D-59D5-FA0D-D1E114B25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223234" name="ValiderOrdrePhaseFinale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80CC5EB2-C43D-7610-DDDF-A383E0777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44</xdr:row>
          <xdr:rowOff>0</xdr:rowOff>
        </xdr:to>
        <xdr:sp macro="" textlink="">
          <xdr:nvSpPr>
            <xdr:cNvPr id="223235" name="C4PPClassement" hidden="1">
              <a:extLst>
                <a:ext uri="{63B3BB69-23CF-44E3-9099-C40C66FF867C}">
                  <a14:compatExt spid="_x0000_s223235"/>
                </a:ext>
                <a:ext uri="{FF2B5EF4-FFF2-40B4-BE49-F238E27FC236}">
                  <a16:creationId xmlns:a16="http://schemas.microsoft.com/office/drawing/2014/main" id="{0D407884-0767-41AC-E301-92912308E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24257" name="C4PPph14" hidden="1">
              <a:extLst>
                <a:ext uri="{63B3BB69-23CF-44E3-9099-C40C66FF867C}">
                  <a14:compatExt spid="_x0000_s224257"/>
                </a:ext>
                <a:ext uri="{FF2B5EF4-FFF2-40B4-BE49-F238E27FC236}">
                  <a16:creationId xmlns:a16="http://schemas.microsoft.com/office/drawing/2014/main" id="{08941C25-A383-7C71-F8B9-0E7B31E11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25281" name="C4PPph14" hidden="1">
              <a:extLst>
                <a:ext uri="{63B3BB69-23CF-44E3-9099-C40C66FF867C}">
                  <a14:compatExt spid="_x0000_s225281"/>
                </a:ext>
                <a:ext uri="{FF2B5EF4-FFF2-40B4-BE49-F238E27FC236}">
                  <a16:creationId xmlns:a16="http://schemas.microsoft.com/office/drawing/2014/main" id="{5E0C18BF-2BCE-7D3A-DE74-09C43D657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54</xdr:row>
          <xdr:rowOff>0</xdr:rowOff>
        </xdr:to>
        <xdr:sp macro="" textlink="">
          <xdr:nvSpPr>
            <xdr:cNvPr id="226305" name="MAJHEUREB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61B3EE56-1D8F-D140-AFFD-501E9ECC1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54</xdr:row>
          <xdr:rowOff>0</xdr:rowOff>
        </xdr:to>
        <xdr:sp macro="" textlink="">
          <xdr:nvSpPr>
            <xdr:cNvPr id="226306" name="C4PPMatchph" hidden="1">
              <a:extLst>
                <a:ext uri="{63B3BB69-23CF-44E3-9099-C40C66FF867C}">
                  <a14:compatExt spid="_x0000_s226306"/>
                </a:ext>
                <a:ext uri="{FF2B5EF4-FFF2-40B4-BE49-F238E27FC236}">
                  <a16:creationId xmlns:a16="http://schemas.microsoft.com/office/drawing/2014/main" id="{C6468B8E-7AD5-6009-40E1-39539C714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54</xdr:row>
          <xdr:rowOff>0</xdr:rowOff>
        </xdr:to>
        <xdr:sp macro="" textlink="">
          <xdr:nvSpPr>
            <xdr:cNvPr id="226307" name="C4IMPMatch" hidden="1">
              <a:extLst>
                <a:ext uri="{63B3BB69-23CF-44E3-9099-C40C66FF867C}">
                  <a14:compatExt spid="_x0000_s226307"/>
                </a:ext>
                <a:ext uri="{FF2B5EF4-FFF2-40B4-BE49-F238E27FC236}">
                  <a16:creationId xmlns:a16="http://schemas.microsoft.com/office/drawing/2014/main" id="{9E1CF21E-7DBD-030F-00DF-C4A815313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C4IMP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27329" name="C4PPphfinalh" hidden="1">
              <a:extLst>
                <a:ext uri="{63B3BB69-23CF-44E3-9099-C40C66FF867C}">
                  <a14:compatExt spid="_x0000_s227329"/>
                </a:ext>
                <a:ext uri="{FF2B5EF4-FFF2-40B4-BE49-F238E27FC236}">
                  <a16:creationId xmlns:a16="http://schemas.microsoft.com/office/drawing/2014/main" id="{4A5A4A09-9D60-39C6-4D0C-CCC2260BE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28353" name="C4PPphfinalh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95712D37-3859-642D-6E36-F9460E2C2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150" t="s">
        <v>13</v>
      </c>
      <c r="B1" s="151"/>
      <c r="C1" s="151"/>
      <c r="D1" s="151"/>
      <c r="E1" s="151"/>
      <c r="F1" s="151"/>
      <c r="G1" s="151"/>
      <c r="H1" s="151"/>
      <c r="I1" s="151"/>
      <c r="J1" s="151"/>
      <c r="K1" s="152"/>
    </row>
    <row r="2" spans="1:11" ht="15" customHeight="1" x14ac:dyDescent="0.25">
      <c r="A2" s="153"/>
      <c r="B2" s="154"/>
      <c r="C2" s="154"/>
      <c r="D2" s="154"/>
      <c r="E2" s="154"/>
      <c r="F2" s="154"/>
      <c r="G2" s="154"/>
      <c r="H2" s="154"/>
      <c r="I2" s="154"/>
      <c r="J2" s="154"/>
      <c r="K2" s="155"/>
    </row>
    <row r="3" spans="1:11" ht="15" customHeight="1" x14ac:dyDescent="0.25">
      <c r="A3" s="153"/>
      <c r="B3" s="154"/>
      <c r="C3" s="154"/>
      <c r="D3" s="154"/>
      <c r="E3" s="154"/>
      <c r="F3" s="154"/>
      <c r="G3" s="154"/>
      <c r="H3" s="154"/>
      <c r="I3" s="154"/>
      <c r="J3" s="154"/>
      <c r="K3" s="155"/>
    </row>
    <row r="4" spans="1:11" ht="15" customHeight="1" x14ac:dyDescent="0.25">
      <c r="A4" s="153"/>
      <c r="B4" s="154"/>
      <c r="C4" s="154"/>
      <c r="D4" s="154"/>
      <c r="E4" s="154"/>
      <c r="F4" s="154"/>
      <c r="G4" s="154"/>
      <c r="H4" s="154"/>
      <c r="I4" s="154"/>
      <c r="J4" s="154"/>
      <c r="K4" s="155"/>
    </row>
    <row r="5" spans="1:11" ht="15" customHeight="1" x14ac:dyDescent="0.25">
      <c r="A5" s="153"/>
      <c r="B5" s="154"/>
      <c r="C5" s="154"/>
      <c r="D5" s="154"/>
      <c r="E5" s="154"/>
      <c r="F5" s="154"/>
      <c r="G5" s="154"/>
      <c r="H5" s="154"/>
      <c r="I5" s="154"/>
      <c r="J5" s="154"/>
      <c r="K5" s="155"/>
    </row>
    <row r="6" spans="1:11" ht="15" customHeight="1" x14ac:dyDescent="0.25">
      <c r="A6" s="153"/>
      <c r="B6" s="154"/>
      <c r="C6" s="154"/>
      <c r="D6" s="154"/>
      <c r="E6" s="154"/>
      <c r="F6" s="154"/>
      <c r="G6" s="154"/>
      <c r="H6" s="154"/>
      <c r="I6" s="154"/>
      <c r="J6" s="154"/>
      <c r="K6" s="155"/>
    </row>
    <row r="7" spans="1:11" ht="15" customHeight="1" x14ac:dyDescent="0.25">
      <c r="A7" s="153"/>
      <c r="B7" s="154"/>
      <c r="C7" s="154"/>
      <c r="D7" s="154"/>
      <c r="E7" s="154"/>
      <c r="F7" s="154"/>
      <c r="G7" s="154"/>
      <c r="H7" s="154"/>
      <c r="I7" s="154"/>
      <c r="J7" s="154"/>
      <c r="K7" s="155"/>
    </row>
    <row r="8" spans="1:11" ht="15" customHeight="1" x14ac:dyDescent="0.25">
      <c r="A8" s="153"/>
      <c r="B8" s="154"/>
      <c r="C8" s="154"/>
      <c r="D8" s="154"/>
      <c r="E8" s="154"/>
      <c r="F8" s="154"/>
      <c r="G8" s="154"/>
      <c r="H8" s="154"/>
      <c r="I8" s="154"/>
      <c r="J8" s="154"/>
      <c r="K8" s="155"/>
    </row>
    <row r="9" spans="1:11" ht="15" customHeight="1" x14ac:dyDescent="0.25">
      <c r="A9" s="153"/>
      <c r="B9" s="154"/>
      <c r="C9" s="154"/>
      <c r="D9" s="154"/>
      <c r="E9" s="154"/>
      <c r="F9" s="154"/>
      <c r="G9" s="154"/>
      <c r="H9" s="154"/>
      <c r="I9" s="154"/>
      <c r="J9" s="154"/>
      <c r="K9" s="155"/>
    </row>
    <row r="10" spans="1:11" ht="15" customHeight="1" x14ac:dyDescent="0.25">
      <c r="A10" s="153"/>
      <c r="B10" s="154"/>
      <c r="C10" s="154"/>
      <c r="D10" s="154"/>
      <c r="E10" s="154"/>
      <c r="F10" s="154"/>
      <c r="G10" s="154"/>
      <c r="H10" s="154"/>
      <c r="I10" s="154"/>
      <c r="J10" s="154"/>
      <c r="K10" s="155"/>
    </row>
    <row r="11" spans="1:11" ht="15" customHeight="1" x14ac:dyDescent="0.25">
      <c r="A11" s="153"/>
      <c r="B11" s="154"/>
      <c r="C11" s="154"/>
      <c r="D11" s="154"/>
      <c r="E11" s="154"/>
      <c r="F11" s="154"/>
      <c r="G11" s="154"/>
      <c r="H11" s="154"/>
      <c r="I11" s="154"/>
      <c r="J11" s="154"/>
      <c r="K11" s="155"/>
    </row>
    <row r="12" spans="1:11" ht="15" customHeight="1" x14ac:dyDescent="0.25">
      <c r="A12" s="153"/>
      <c r="B12" s="154"/>
      <c r="C12" s="154"/>
      <c r="D12" s="154"/>
      <c r="E12" s="154"/>
      <c r="F12" s="154"/>
      <c r="G12" s="154"/>
      <c r="H12" s="154"/>
      <c r="I12" s="154"/>
      <c r="J12" s="154"/>
      <c r="K12" s="155"/>
    </row>
    <row r="13" spans="1:11" ht="15" customHeight="1" x14ac:dyDescent="0.25">
      <c r="A13" s="153"/>
      <c r="B13" s="154"/>
      <c r="C13" s="154"/>
      <c r="D13" s="154"/>
      <c r="E13" s="154"/>
      <c r="F13" s="154"/>
      <c r="G13" s="154"/>
      <c r="H13" s="154"/>
      <c r="I13" s="154"/>
      <c r="J13" s="154"/>
      <c r="K13" s="155"/>
    </row>
    <row r="14" spans="1:11" ht="15" customHeight="1" x14ac:dyDescent="0.25">
      <c r="A14" s="153"/>
      <c r="B14" s="154"/>
      <c r="C14" s="154"/>
      <c r="D14" s="154"/>
      <c r="E14" s="154"/>
      <c r="F14" s="154"/>
      <c r="G14" s="154"/>
      <c r="H14" s="154"/>
      <c r="I14" s="154"/>
      <c r="J14" s="154"/>
      <c r="K14" s="155"/>
    </row>
    <row r="15" spans="1:11" ht="15" customHeight="1" x14ac:dyDescent="0.25">
      <c r="A15" s="153"/>
      <c r="B15" s="154"/>
      <c r="C15" s="154"/>
      <c r="D15" s="154"/>
      <c r="E15" s="154"/>
      <c r="F15" s="154"/>
      <c r="G15" s="154"/>
      <c r="H15" s="154"/>
      <c r="I15" s="154"/>
      <c r="J15" s="154"/>
      <c r="K15" s="155"/>
    </row>
    <row r="16" spans="1:11" ht="15" customHeight="1" x14ac:dyDescent="0.25">
      <c r="A16" s="153"/>
      <c r="B16" s="154"/>
      <c r="C16" s="154"/>
      <c r="D16" s="154"/>
      <c r="E16" s="154"/>
      <c r="F16" s="154"/>
      <c r="G16" s="154"/>
      <c r="H16" s="154"/>
      <c r="I16" s="154"/>
      <c r="J16" s="154"/>
      <c r="K16" s="155"/>
    </row>
    <row r="17" spans="1:11" ht="15" customHeight="1" x14ac:dyDescent="0.25">
      <c r="A17" s="153"/>
      <c r="B17" s="154"/>
      <c r="C17" s="154"/>
      <c r="D17" s="154"/>
      <c r="E17" s="154"/>
      <c r="F17" s="154"/>
      <c r="G17" s="154"/>
      <c r="H17" s="154"/>
      <c r="I17" s="154"/>
      <c r="J17" s="154"/>
      <c r="K17" s="155"/>
    </row>
    <row r="18" spans="1:11" ht="15" customHeight="1" x14ac:dyDescent="0.25">
      <c r="A18" s="153"/>
      <c r="B18" s="154"/>
      <c r="C18" s="154"/>
      <c r="D18" s="154"/>
      <c r="E18" s="154"/>
      <c r="F18" s="154"/>
      <c r="G18" s="154"/>
      <c r="H18" s="154"/>
      <c r="I18" s="154"/>
      <c r="J18" s="154"/>
      <c r="K18" s="155"/>
    </row>
    <row r="19" spans="1:11" ht="15" customHeight="1" x14ac:dyDescent="0.25">
      <c r="A19" s="153"/>
      <c r="B19" s="154"/>
      <c r="C19" s="154"/>
      <c r="D19" s="154"/>
      <c r="E19" s="154"/>
      <c r="F19" s="154"/>
      <c r="G19" s="154"/>
      <c r="H19" s="154"/>
      <c r="I19" s="154"/>
      <c r="J19" s="154"/>
      <c r="K19" s="155"/>
    </row>
    <row r="20" spans="1:11" ht="15" customHeight="1" x14ac:dyDescent="0.25">
      <c r="A20" s="153"/>
      <c r="B20" s="154"/>
      <c r="C20" s="154"/>
      <c r="D20" s="154"/>
      <c r="E20" s="154"/>
      <c r="F20" s="154"/>
      <c r="G20" s="154"/>
      <c r="H20" s="154"/>
      <c r="I20" s="154"/>
      <c r="J20" s="154"/>
      <c r="K20" s="155"/>
    </row>
    <row r="21" spans="1:11" ht="15" customHeight="1" x14ac:dyDescent="0.25">
      <c r="A21" s="153"/>
      <c r="B21" s="154"/>
      <c r="C21" s="154"/>
      <c r="D21" s="154"/>
      <c r="E21" s="154"/>
      <c r="F21" s="154"/>
      <c r="G21" s="154"/>
      <c r="H21" s="154"/>
      <c r="I21" s="154"/>
      <c r="J21" s="154"/>
      <c r="K21" s="155"/>
    </row>
    <row r="22" spans="1:11" ht="15" customHeight="1" x14ac:dyDescent="0.25">
      <c r="A22" s="153"/>
      <c r="B22" s="154"/>
      <c r="C22" s="154"/>
      <c r="D22" s="154"/>
      <c r="E22" s="154"/>
      <c r="F22" s="154"/>
      <c r="G22" s="154"/>
      <c r="H22" s="154"/>
      <c r="I22" s="154"/>
      <c r="J22" s="154"/>
      <c r="K22" s="155"/>
    </row>
    <row r="23" spans="1:11" ht="15" customHeight="1" x14ac:dyDescent="0.25">
      <c r="A23" s="147" t="s">
        <v>15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9"/>
    </row>
    <row r="24" spans="1:11" ht="15" customHeight="1" x14ac:dyDescent="0.25">
      <c r="A24" s="147"/>
      <c r="B24" s="148"/>
      <c r="C24" s="148"/>
      <c r="D24" s="148"/>
      <c r="E24" s="148"/>
      <c r="F24" s="148"/>
      <c r="G24" s="148"/>
      <c r="H24" s="148"/>
      <c r="I24" s="148"/>
      <c r="J24" s="148"/>
      <c r="K24" s="149"/>
    </row>
    <row r="25" spans="1:11" ht="15" customHeight="1" x14ac:dyDescent="0.25">
      <c r="A25" s="147"/>
      <c r="B25" s="148"/>
      <c r="C25" s="148"/>
      <c r="D25" s="148"/>
      <c r="E25" s="148"/>
      <c r="F25" s="148"/>
      <c r="G25" s="148"/>
      <c r="H25" s="148"/>
      <c r="I25" s="148"/>
      <c r="J25" s="148"/>
      <c r="K25" s="149"/>
    </row>
    <row r="26" spans="1:11" ht="15" customHeight="1" x14ac:dyDescent="0.25">
      <c r="A26" s="147"/>
      <c r="B26" s="148"/>
      <c r="C26" s="148"/>
      <c r="D26" s="148"/>
      <c r="E26" s="148"/>
      <c r="F26" s="148"/>
      <c r="G26" s="148"/>
      <c r="H26" s="148"/>
      <c r="I26" s="148"/>
      <c r="J26" s="148"/>
      <c r="K26" s="149"/>
    </row>
    <row r="27" spans="1:11" ht="15" customHeight="1" x14ac:dyDescent="0.25">
      <c r="A27" s="132"/>
      <c r="B27" s="133"/>
      <c r="C27" s="133"/>
      <c r="D27" s="133"/>
      <c r="E27" s="133"/>
      <c r="F27" s="133"/>
      <c r="G27" s="133"/>
      <c r="H27" s="133"/>
      <c r="I27" s="133"/>
      <c r="J27" s="133"/>
      <c r="K27" s="134"/>
    </row>
    <row r="28" spans="1:11" ht="15" customHeight="1" thickBot="1" x14ac:dyDescent="0.3">
      <c r="A28" s="135"/>
      <c r="B28" s="136"/>
      <c r="C28" s="136"/>
      <c r="D28" s="136"/>
      <c r="E28" s="136"/>
      <c r="F28" s="136"/>
      <c r="G28" s="136"/>
      <c r="H28" s="136"/>
      <c r="I28" s="136"/>
      <c r="J28" s="136"/>
      <c r="K28" s="137"/>
    </row>
    <row r="29" spans="1:11" ht="15" customHeight="1" x14ac:dyDescent="0.25">
      <c r="A29" s="138" t="s">
        <v>14</v>
      </c>
      <c r="B29" s="139"/>
      <c r="C29" s="139"/>
      <c r="D29" s="139"/>
      <c r="E29" s="139"/>
      <c r="F29" s="139"/>
      <c r="G29" s="139"/>
      <c r="H29" s="139"/>
      <c r="I29" s="139"/>
      <c r="J29" s="139"/>
      <c r="K29" s="140"/>
    </row>
    <row r="30" spans="1:11" ht="15" customHeight="1" x14ac:dyDescent="0.25">
      <c r="A30" s="141"/>
      <c r="B30" s="142"/>
      <c r="C30" s="142"/>
      <c r="D30" s="142"/>
      <c r="E30" s="142"/>
      <c r="F30" s="142"/>
      <c r="G30" s="142"/>
      <c r="H30" s="142"/>
      <c r="I30" s="142"/>
      <c r="J30" s="142"/>
      <c r="K30" s="143"/>
    </row>
    <row r="31" spans="1:11" ht="15" customHeight="1" thickBot="1" x14ac:dyDescent="0.3">
      <c r="A31" s="144"/>
      <c r="B31" s="145"/>
      <c r="C31" s="145"/>
      <c r="D31" s="145"/>
      <c r="E31" s="145"/>
      <c r="F31" s="145"/>
      <c r="G31" s="145"/>
      <c r="H31" s="145"/>
      <c r="I31" s="145"/>
      <c r="J31" s="145"/>
      <c r="K31" s="146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workbookViewId="0">
      <selection activeCell="I25" sqref="I25"/>
    </sheetView>
  </sheetViews>
  <sheetFormatPr baseColWidth="10" defaultRowHeight="15" x14ac:dyDescent="0.25"/>
  <sheetData>
    <row r="1" spans="1:17" x14ac:dyDescent="0.25">
      <c r="A1" s="156" t="s">
        <v>36</v>
      </c>
      <c r="B1" s="156"/>
      <c r="C1" s="156"/>
      <c r="D1" s="156"/>
      <c r="E1" s="156"/>
      <c r="F1" s="156"/>
      <c r="G1" s="156"/>
      <c r="H1" s="156"/>
    </row>
    <row r="2" spans="1:17" x14ac:dyDescent="0.25">
      <c r="A2" s="156"/>
      <c r="B2" s="156"/>
      <c r="C2" s="156"/>
      <c r="D2" s="156"/>
      <c r="E2" s="156"/>
      <c r="F2" s="156"/>
      <c r="G2" s="156"/>
      <c r="H2" s="156"/>
    </row>
    <row r="3" spans="1:17" x14ac:dyDescent="0.25">
      <c r="A3" s="156"/>
      <c r="B3" s="156"/>
      <c r="C3" s="156"/>
      <c r="D3" s="156"/>
      <c r="E3" s="156"/>
      <c r="F3" s="156"/>
      <c r="G3" s="156"/>
      <c r="H3" s="156"/>
    </row>
    <row r="4" spans="1:17" x14ac:dyDescent="0.25">
      <c r="A4" s="157" t="str">
        <f>Parametres!F16</f>
        <v>Version 3.61</v>
      </c>
      <c r="B4" s="157"/>
      <c r="C4" s="157"/>
      <c r="D4" s="157"/>
      <c r="E4" s="157"/>
      <c r="F4" s="157"/>
      <c r="G4" s="157"/>
      <c r="H4" s="157"/>
    </row>
    <row r="6" spans="1:17" x14ac:dyDescent="0.25">
      <c r="K6" s="158" t="s">
        <v>57</v>
      </c>
      <c r="L6" s="159"/>
      <c r="M6" s="159"/>
      <c r="N6" s="159"/>
      <c r="O6" s="159"/>
      <c r="P6" s="159"/>
      <c r="Q6" s="159"/>
    </row>
    <row r="7" spans="1:17" x14ac:dyDescent="0.25">
      <c r="K7" s="159"/>
      <c r="L7" s="159"/>
      <c r="M7" s="159"/>
      <c r="N7" s="159"/>
      <c r="O7" s="159"/>
      <c r="P7" s="159"/>
      <c r="Q7" s="159"/>
    </row>
    <row r="8" spans="1:17" x14ac:dyDescent="0.25">
      <c r="K8" s="159"/>
      <c r="L8" s="159"/>
      <c r="M8" s="159"/>
      <c r="N8" s="159"/>
      <c r="O8" s="159"/>
      <c r="P8" s="159"/>
      <c r="Q8" s="159"/>
    </row>
    <row r="9" spans="1:17" x14ac:dyDescent="0.25">
      <c r="K9" s="159"/>
      <c r="L9" s="159"/>
      <c r="M9" s="159"/>
      <c r="N9" s="159"/>
      <c r="O9" s="159"/>
      <c r="P9" s="159"/>
      <c r="Q9" s="159"/>
    </row>
    <row r="10" spans="1:17" x14ac:dyDescent="0.25">
      <c r="K10" s="159"/>
      <c r="L10" s="159"/>
      <c r="M10" s="159"/>
      <c r="N10" s="159"/>
      <c r="O10" s="159"/>
      <c r="P10" s="159"/>
      <c r="Q10" s="159"/>
    </row>
    <row r="11" spans="1:17" x14ac:dyDescent="0.25">
      <c r="K11" s="159"/>
      <c r="L11" s="159"/>
      <c r="M11" s="159"/>
      <c r="N11" s="159"/>
      <c r="O11" s="159"/>
      <c r="P11" s="159"/>
      <c r="Q11" s="159"/>
    </row>
    <row r="12" spans="1:17" x14ac:dyDescent="0.25">
      <c r="K12" s="159"/>
      <c r="L12" s="159"/>
      <c r="M12" s="159"/>
      <c r="N12" s="159"/>
      <c r="O12" s="159"/>
      <c r="P12" s="159"/>
      <c r="Q12" s="159"/>
    </row>
    <row r="13" spans="1:17" x14ac:dyDescent="0.25">
      <c r="K13" s="159"/>
      <c r="L13" s="159"/>
      <c r="M13" s="159"/>
      <c r="N13" s="159"/>
      <c r="O13" s="159"/>
      <c r="P13" s="159"/>
      <c r="Q13" s="159"/>
    </row>
    <row r="14" spans="1:17" x14ac:dyDescent="0.25">
      <c r="K14" s="159"/>
      <c r="L14" s="159"/>
      <c r="M14" s="159"/>
      <c r="N14" s="159"/>
      <c r="O14" s="159"/>
      <c r="P14" s="159"/>
      <c r="Q14" s="159"/>
    </row>
    <row r="15" spans="1:17" x14ac:dyDescent="0.25">
      <c r="K15" s="159"/>
      <c r="L15" s="159"/>
      <c r="M15" s="159"/>
      <c r="N15" s="159"/>
      <c r="O15" s="159"/>
      <c r="P15" s="159"/>
      <c r="Q15" s="159"/>
    </row>
    <row r="16" spans="1:17" x14ac:dyDescent="0.25">
      <c r="K16" s="159"/>
      <c r="L16" s="159"/>
      <c r="M16" s="159"/>
      <c r="N16" s="159"/>
      <c r="O16" s="159"/>
      <c r="P16" s="159"/>
      <c r="Q16" s="159"/>
    </row>
    <row r="17" spans="11:17" x14ac:dyDescent="0.25">
      <c r="K17" s="159"/>
      <c r="L17" s="159"/>
      <c r="M17" s="159"/>
      <c r="N17" s="159"/>
      <c r="O17" s="159"/>
      <c r="P17" s="159"/>
      <c r="Q17" s="159"/>
    </row>
    <row r="18" spans="11:17" x14ac:dyDescent="0.25">
      <c r="K18" s="159"/>
      <c r="L18" s="159"/>
      <c r="M18" s="159"/>
      <c r="N18" s="159"/>
      <c r="O18" s="159"/>
      <c r="P18" s="159"/>
      <c r="Q18" s="159"/>
    </row>
    <row r="19" spans="11:17" x14ac:dyDescent="0.25">
      <c r="K19" s="159"/>
      <c r="L19" s="159"/>
      <c r="M19" s="159"/>
      <c r="N19" s="159"/>
      <c r="O19" s="159"/>
      <c r="P19" s="159"/>
      <c r="Q19" s="159"/>
    </row>
    <row r="20" spans="11:17" x14ac:dyDescent="0.25">
      <c r="K20" s="159"/>
      <c r="L20" s="159"/>
      <c r="M20" s="159"/>
      <c r="N20" s="159"/>
      <c r="O20" s="159"/>
      <c r="P20" s="159"/>
      <c r="Q20" s="159"/>
    </row>
    <row r="21" spans="11:17" x14ac:dyDescent="0.25">
      <c r="K21" s="159"/>
      <c r="L21" s="159"/>
      <c r="M21" s="159"/>
      <c r="N21" s="159"/>
      <c r="O21" s="159"/>
      <c r="P21" s="159"/>
      <c r="Q21" s="159"/>
    </row>
    <row r="22" spans="11:17" x14ac:dyDescent="0.25">
      <c r="K22" s="159"/>
      <c r="L22" s="159"/>
      <c r="M22" s="159"/>
      <c r="N22" s="159"/>
      <c r="O22" s="159"/>
      <c r="P22" s="159"/>
      <c r="Q22" s="159"/>
    </row>
    <row r="23" spans="11:17" x14ac:dyDescent="0.25">
      <c r="K23" s="159"/>
      <c r="L23" s="159"/>
      <c r="M23" s="159"/>
      <c r="N23" s="159"/>
      <c r="O23" s="159"/>
      <c r="P23" s="159"/>
      <c r="Q23" s="159"/>
    </row>
    <row r="24" spans="11:17" x14ac:dyDescent="0.25">
      <c r="K24" s="159"/>
      <c r="L24" s="159"/>
      <c r="M24" s="159"/>
      <c r="N24" s="159"/>
      <c r="O24" s="159"/>
      <c r="P24" s="159"/>
      <c r="Q24" s="159"/>
    </row>
    <row r="25" spans="11:17" x14ac:dyDescent="0.25">
      <c r="K25" s="159"/>
      <c r="L25" s="159"/>
      <c r="M25" s="159"/>
      <c r="N25" s="159"/>
      <c r="O25" s="159"/>
      <c r="P25" s="159"/>
      <c r="Q25" s="159"/>
    </row>
    <row r="26" spans="11:17" x14ac:dyDescent="0.25">
      <c r="K26" s="160" t="s">
        <v>119</v>
      </c>
      <c r="L26" s="160"/>
      <c r="M26" s="160"/>
      <c r="N26" s="160"/>
      <c r="O26" s="160"/>
      <c r="P26" s="160"/>
      <c r="Q26" s="160"/>
    </row>
    <row r="27" spans="11:17" x14ac:dyDescent="0.25">
      <c r="K27" s="160"/>
      <c r="L27" s="160"/>
      <c r="M27" s="160"/>
      <c r="N27" s="160"/>
      <c r="O27" s="160"/>
      <c r="P27" s="160"/>
      <c r="Q27" s="160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tabSelected="1" zoomScale="85" zoomScaleNormal="85" workbookViewId="0">
      <selection activeCell="G25" sqref="G25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40</v>
      </c>
      <c r="B1" s="1"/>
      <c r="C1" s="162"/>
      <c r="D1" s="21" t="s">
        <v>37</v>
      </c>
      <c r="E1" s="36" t="s">
        <v>38</v>
      </c>
      <c r="F1" s="3" t="s">
        <v>39</v>
      </c>
      <c r="H1" s="13" t="s">
        <v>120</v>
      </c>
      <c r="I1" s="13" t="s">
        <v>121</v>
      </c>
      <c r="J1" s="13" t="s">
        <v>172</v>
      </c>
    </row>
    <row r="2" spans="1:27" ht="15.75" thickBot="1" x14ac:dyDescent="0.3">
      <c r="A2" s="37" t="s">
        <v>58</v>
      </c>
      <c r="C2" s="162"/>
      <c r="D2" s="25">
        <v>4</v>
      </c>
      <c r="E2" s="26">
        <v>8</v>
      </c>
      <c r="F2" s="20">
        <v>2</v>
      </c>
      <c r="H2" s="13" t="s">
        <v>122</v>
      </c>
      <c r="I2" s="13" t="s">
        <v>123</v>
      </c>
      <c r="J2" s="13" t="s">
        <v>172</v>
      </c>
    </row>
    <row r="3" spans="1:27" ht="15.75" thickBot="1" x14ac:dyDescent="0.3">
      <c r="A3" s="44">
        <v>0</v>
      </c>
      <c r="C3" s="163"/>
      <c r="D3" s="4" t="s">
        <v>147</v>
      </c>
      <c r="E3" s="34" t="str">
        <f>"Nbre de Catégories : " &amp; B30</f>
        <v>Nbre de Catégories : 2</v>
      </c>
      <c r="H3" s="13" t="s">
        <v>148</v>
      </c>
      <c r="I3" s="13" t="s">
        <v>149</v>
      </c>
      <c r="J3" s="13" t="s">
        <v>172</v>
      </c>
    </row>
    <row r="4" spans="1:27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8</v>
      </c>
      <c r="E4" s="6" t="s">
        <v>172</v>
      </c>
      <c r="H4" s="13" t="s">
        <v>150</v>
      </c>
      <c r="I4" s="13" t="s">
        <v>151</v>
      </c>
      <c r="J4" s="13" t="s">
        <v>172</v>
      </c>
    </row>
    <row r="5" spans="1:27" ht="15.75" thickBot="1" x14ac:dyDescent="0.3">
      <c r="A5" s="20">
        <v>4</v>
      </c>
      <c r="B5" s="2">
        <v>2</v>
      </c>
      <c r="C5" s="23" t="str">
        <f t="shared" si="0"/>
        <v>B</v>
      </c>
      <c r="D5" s="27">
        <v>8</v>
      </c>
      <c r="E5" s="6" t="s">
        <v>172</v>
      </c>
      <c r="H5" s="13" t="s">
        <v>124</v>
      </c>
      <c r="I5" s="13" t="s">
        <v>125</v>
      </c>
      <c r="J5" s="13" t="s">
        <v>172</v>
      </c>
      <c r="AA5"/>
    </row>
    <row r="6" spans="1:27" ht="15.75" thickBot="1" x14ac:dyDescent="0.3">
      <c r="B6" s="2">
        <v>3</v>
      </c>
      <c r="C6" s="23" t="str">
        <f t="shared" si="0"/>
        <v>C</v>
      </c>
      <c r="D6" s="27">
        <v>8</v>
      </c>
      <c r="E6" s="6" t="s">
        <v>173</v>
      </c>
      <c r="H6" s="13" t="s">
        <v>126</v>
      </c>
      <c r="I6" s="13" t="s">
        <v>127</v>
      </c>
      <c r="J6" s="13" t="s">
        <v>172</v>
      </c>
      <c r="AA6"/>
    </row>
    <row r="7" spans="1:27" x14ac:dyDescent="0.25">
      <c r="A7" s="8" t="s">
        <v>42</v>
      </c>
      <c r="B7" s="2">
        <v>4</v>
      </c>
      <c r="C7" s="23" t="str">
        <f t="shared" si="0"/>
        <v>D</v>
      </c>
      <c r="D7" s="27">
        <v>8</v>
      </c>
      <c r="E7" s="6" t="s">
        <v>173</v>
      </c>
      <c r="H7" s="13" t="s">
        <v>152</v>
      </c>
      <c r="I7" s="13" t="s">
        <v>153</v>
      </c>
      <c r="J7" s="13" t="s">
        <v>172</v>
      </c>
      <c r="AA7"/>
    </row>
    <row r="8" spans="1:27" ht="15.75" thickBot="1" x14ac:dyDescent="0.3">
      <c r="A8" s="5">
        <f>ROUNDUP(SUM(D4:D29)/16,0)</f>
        <v>2</v>
      </c>
      <c r="B8" s="2">
        <v>5</v>
      </c>
      <c r="C8" s="23" t="str">
        <f t="shared" si="0"/>
        <v/>
      </c>
      <c r="D8" s="27"/>
      <c r="E8" s="6"/>
      <c r="H8" s="13" t="s">
        <v>154</v>
      </c>
      <c r="I8" s="13" t="s">
        <v>155</v>
      </c>
      <c r="J8" s="13" t="s">
        <v>172</v>
      </c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H10" s="13" t="s">
        <v>156</v>
      </c>
      <c r="I10" s="13" t="s">
        <v>157</v>
      </c>
      <c r="J10" s="13" t="s">
        <v>173</v>
      </c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H11" s="13" t="s">
        <v>158</v>
      </c>
      <c r="I11" s="13" t="s">
        <v>159</v>
      </c>
      <c r="J11" s="13" t="s">
        <v>173</v>
      </c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160</v>
      </c>
      <c r="I12" s="13" t="s">
        <v>161</v>
      </c>
      <c r="J12" s="13" t="s">
        <v>173</v>
      </c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H13" s="13" t="s">
        <v>162</v>
      </c>
      <c r="I13" s="13" t="s">
        <v>163</v>
      </c>
      <c r="J13" s="13" t="s">
        <v>173</v>
      </c>
      <c r="AA13"/>
    </row>
    <row r="14" spans="1:27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H14" s="13" t="s">
        <v>164</v>
      </c>
      <c r="I14" s="13" t="s">
        <v>165</v>
      </c>
      <c r="J14" s="13" t="s">
        <v>173</v>
      </c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H15" s="13" t="s">
        <v>166</v>
      </c>
      <c r="I15" s="13" t="s">
        <v>167</v>
      </c>
      <c r="J15" s="13" t="s">
        <v>173</v>
      </c>
      <c r="AA15"/>
    </row>
    <row r="16" spans="1:27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232</v>
      </c>
      <c r="H16" s="13" t="s">
        <v>168</v>
      </c>
      <c r="I16" s="13" t="s">
        <v>169</v>
      </c>
      <c r="J16" s="13" t="s">
        <v>173</v>
      </c>
      <c r="AA16"/>
    </row>
    <row r="17" spans="1:27" x14ac:dyDescent="0.25">
      <c r="A17" s="43">
        <f>(counttour()/E2*(A2+A3)) + (ROUNDUP(IF(B31=TRUE,12*A5,12*A5*B30)/E2,0)*(A2+A3))</f>
        <v>0.27777777777777773</v>
      </c>
      <c r="B17" s="2">
        <v>14</v>
      </c>
      <c r="C17" s="23" t="str">
        <f t="shared" si="0"/>
        <v/>
      </c>
      <c r="D17" s="27"/>
      <c r="E17" s="6"/>
      <c r="H17" s="13" t="s">
        <v>170</v>
      </c>
      <c r="I17" s="13" t="s">
        <v>171</v>
      </c>
      <c r="J17" s="13" t="s">
        <v>173</v>
      </c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61" t="s">
        <v>228</v>
      </c>
      <c r="AA18"/>
    </row>
    <row r="19" spans="1:27" x14ac:dyDescent="0.25">
      <c r="A19" s="42">
        <f>A15+A17+A21</f>
        <v>1.1111111111111112</v>
      </c>
      <c r="B19" s="2">
        <v>16</v>
      </c>
      <c r="C19" s="23" t="str">
        <f t="shared" si="0"/>
        <v/>
      </c>
      <c r="D19" s="27"/>
      <c r="E19" s="6"/>
      <c r="F19" s="161"/>
      <c r="H19" s="13" t="s">
        <v>120</v>
      </c>
      <c r="I19" s="13" t="s">
        <v>122</v>
      </c>
      <c r="J19" s="13" t="s">
        <v>172</v>
      </c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61"/>
      <c r="H20" s="13" t="s">
        <v>121</v>
      </c>
      <c r="I20" s="13" t="s">
        <v>123</v>
      </c>
      <c r="J20" s="13" t="s">
        <v>172</v>
      </c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61"/>
      <c r="H21" s="13" t="s">
        <v>148</v>
      </c>
      <c r="I21" s="13" t="s">
        <v>150</v>
      </c>
      <c r="J21" s="13" t="s">
        <v>172</v>
      </c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H22" s="13" t="s">
        <v>149</v>
      </c>
      <c r="I22" s="13" t="s">
        <v>151</v>
      </c>
      <c r="J22" s="13" t="s">
        <v>172</v>
      </c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H23" s="13" t="s">
        <v>124</v>
      </c>
      <c r="I23" s="13" t="s">
        <v>126</v>
      </c>
      <c r="J23" s="13" t="s">
        <v>172</v>
      </c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H24" s="13" t="s">
        <v>125</v>
      </c>
      <c r="I24" s="13" t="s">
        <v>127</v>
      </c>
      <c r="J24" s="13" t="s">
        <v>172</v>
      </c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H25" s="13" t="s">
        <v>152</v>
      </c>
      <c r="I25" s="13" t="s">
        <v>154</v>
      </c>
      <c r="J25" s="13" t="s">
        <v>172</v>
      </c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H26" s="13" t="s">
        <v>153</v>
      </c>
      <c r="I26" s="13" t="s">
        <v>155</v>
      </c>
      <c r="J26" s="13" t="s">
        <v>172</v>
      </c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H28" s="13" t="s">
        <v>156</v>
      </c>
      <c r="I28" s="13" t="s">
        <v>158</v>
      </c>
      <c r="J28" s="13" t="s">
        <v>173</v>
      </c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H29" s="13" t="s">
        <v>157</v>
      </c>
      <c r="I29" s="13" t="s">
        <v>159</v>
      </c>
      <c r="J29" s="13" t="s">
        <v>173</v>
      </c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2</v>
      </c>
      <c r="E30" s="30"/>
      <c r="F30" s="65"/>
      <c r="H30" s="13" t="s">
        <v>160</v>
      </c>
      <c r="I30" s="13" t="s">
        <v>162</v>
      </c>
      <c r="J30" s="13" t="s">
        <v>173</v>
      </c>
    </row>
    <row r="31" spans="1:27" x14ac:dyDescent="0.25">
      <c r="A31" s="9" t="s">
        <v>43</v>
      </c>
      <c r="B31" s="33" t="b">
        <v>1</v>
      </c>
      <c r="D31" s="9" t="s">
        <v>33</v>
      </c>
      <c r="F31" s="65"/>
      <c r="H31" s="13" t="s">
        <v>161</v>
      </c>
      <c r="I31" s="13" t="s">
        <v>163</v>
      </c>
      <c r="J31" s="13" t="s">
        <v>173</v>
      </c>
    </row>
    <row r="32" spans="1:27" x14ac:dyDescent="0.25">
      <c r="A32" s="37">
        <v>0.79166666666666663</v>
      </c>
      <c r="B32" s="33" t="b">
        <v>0</v>
      </c>
      <c r="D32" s="26">
        <v>0</v>
      </c>
      <c r="H32" s="13" t="s">
        <v>164</v>
      </c>
      <c r="I32" s="13" t="s">
        <v>166</v>
      </c>
      <c r="J32" s="13" t="s">
        <v>173</v>
      </c>
    </row>
    <row r="33" spans="1:10" x14ac:dyDescent="0.25">
      <c r="A33" s="9" t="s">
        <v>45</v>
      </c>
      <c r="B33" s="33" t="b">
        <v>0</v>
      </c>
      <c r="D33" s="9" t="s">
        <v>34</v>
      </c>
      <c r="F33" s="29"/>
      <c r="H33" s="13" t="s">
        <v>165</v>
      </c>
      <c r="I33" s="13" t="s">
        <v>167</v>
      </c>
      <c r="J33" s="13" t="s">
        <v>173</v>
      </c>
    </row>
    <row r="34" spans="1:10" x14ac:dyDescent="0.25">
      <c r="A34" s="35">
        <f>(counttour()/E2*(A2+A3))+A32</f>
        <v>0.98611111111111105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  <c r="H34" s="13" t="s">
        <v>168</v>
      </c>
      <c r="I34" s="13" t="s">
        <v>170</v>
      </c>
      <c r="J34" s="13" t="s">
        <v>173</v>
      </c>
    </row>
    <row r="35" spans="1:10" x14ac:dyDescent="0.25">
      <c r="A35" s="9" t="s">
        <v>46</v>
      </c>
      <c r="D35" s="9" t="s">
        <v>48</v>
      </c>
      <c r="H35" s="13" t="s">
        <v>169</v>
      </c>
      <c r="I35" s="13" t="s">
        <v>171</v>
      </c>
      <c r="J35" s="13" t="s">
        <v>173</v>
      </c>
    </row>
    <row r="36" spans="1:10" x14ac:dyDescent="0.25">
      <c r="A36" s="37" t="s">
        <v>56</v>
      </c>
      <c r="D36" s="26" t="b">
        <v>1</v>
      </c>
      <c r="E36" s="2" t="s">
        <v>35</v>
      </c>
    </row>
    <row r="37" spans="1:10" x14ac:dyDescent="0.25">
      <c r="A37" s="9" t="s">
        <v>32</v>
      </c>
      <c r="H37" s="13" t="s">
        <v>120</v>
      </c>
      <c r="I37" s="13" t="s">
        <v>123</v>
      </c>
      <c r="J37" s="13" t="s">
        <v>172</v>
      </c>
    </row>
    <row r="38" spans="1:10" x14ac:dyDescent="0.25">
      <c r="A38" s="35">
        <f>A36+(ROUNDUP(IF(B31=TRUE,12*A5,12*A5*B30)/E2,0)*(A2+A3))</f>
        <v>8.3333333333333329E-2</v>
      </c>
      <c r="H38" s="13" t="s">
        <v>121</v>
      </c>
      <c r="I38" s="13" t="s">
        <v>122</v>
      </c>
      <c r="J38" s="13" t="s">
        <v>172</v>
      </c>
    </row>
    <row r="39" spans="1:10" ht="16.5" thickBot="1" x14ac:dyDescent="0.3">
      <c r="A39" s="11"/>
      <c r="H39" s="13" t="s">
        <v>148</v>
      </c>
      <c r="I39" s="13" t="s">
        <v>151</v>
      </c>
      <c r="J39" s="13" t="s">
        <v>172</v>
      </c>
    </row>
    <row r="40" spans="1:10" x14ac:dyDescent="0.25">
      <c r="A40" s="3" t="s">
        <v>47</v>
      </c>
      <c r="H40" s="13" t="s">
        <v>149</v>
      </c>
      <c r="I40" s="13" t="s">
        <v>150</v>
      </c>
      <c r="J40" s="13" t="s">
        <v>172</v>
      </c>
    </row>
    <row r="41" spans="1:10" x14ac:dyDescent="0.25">
      <c r="A41" s="26">
        <v>8</v>
      </c>
      <c r="H41" s="13" t="s">
        <v>124</v>
      </c>
      <c r="I41" s="13" t="s">
        <v>127</v>
      </c>
      <c r="J41" s="13" t="s">
        <v>172</v>
      </c>
    </row>
    <row r="42" spans="1:10" ht="15.75" x14ac:dyDescent="0.25">
      <c r="A42" s="11"/>
      <c r="H42" s="13" t="s">
        <v>125</v>
      </c>
      <c r="I42" s="13" t="s">
        <v>126</v>
      </c>
      <c r="J42" s="13" t="s">
        <v>172</v>
      </c>
    </row>
    <row r="43" spans="1:10" ht="15.75" x14ac:dyDescent="0.25">
      <c r="A43" s="11"/>
      <c r="H43" s="13" t="s">
        <v>152</v>
      </c>
      <c r="I43" s="13" t="s">
        <v>155</v>
      </c>
      <c r="J43" s="13" t="s">
        <v>172</v>
      </c>
    </row>
    <row r="44" spans="1:10" x14ac:dyDescent="0.25">
      <c r="A44" s="15"/>
      <c r="H44" s="13" t="s">
        <v>153</v>
      </c>
      <c r="I44" s="13" t="s">
        <v>154</v>
      </c>
      <c r="J44" s="13" t="s">
        <v>172</v>
      </c>
    </row>
    <row r="45" spans="1:10" x14ac:dyDescent="0.25">
      <c r="A45" s="15"/>
    </row>
    <row r="46" spans="1:10" x14ac:dyDescent="0.25">
      <c r="A46" s="14"/>
      <c r="H46" s="13" t="s">
        <v>156</v>
      </c>
      <c r="I46" s="13" t="s">
        <v>159</v>
      </c>
      <c r="J46" s="13" t="s">
        <v>173</v>
      </c>
    </row>
    <row r="47" spans="1:10" x14ac:dyDescent="0.25">
      <c r="A47" s="10"/>
      <c r="H47" s="13" t="s">
        <v>157</v>
      </c>
      <c r="I47" s="13" t="s">
        <v>158</v>
      </c>
      <c r="J47" s="13" t="s">
        <v>173</v>
      </c>
    </row>
    <row r="48" spans="1:10" ht="15.75" x14ac:dyDescent="0.25">
      <c r="A48" s="11"/>
      <c r="H48" s="13" t="s">
        <v>160</v>
      </c>
      <c r="I48" s="13" t="s">
        <v>163</v>
      </c>
      <c r="J48" s="13" t="s">
        <v>173</v>
      </c>
    </row>
    <row r="49" spans="1:10" ht="15.75" x14ac:dyDescent="0.25">
      <c r="A49" s="11"/>
      <c r="H49" s="13" t="s">
        <v>161</v>
      </c>
      <c r="I49" s="13" t="s">
        <v>162</v>
      </c>
      <c r="J49" s="13" t="s">
        <v>173</v>
      </c>
    </row>
    <row r="50" spans="1:10" ht="15.75" x14ac:dyDescent="0.25">
      <c r="A50" s="11"/>
      <c r="H50" s="13" t="s">
        <v>164</v>
      </c>
      <c r="I50" s="13" t="s">
        <v>167</v>
      </c>
      <c r="J50" s="13" t="s">
        <v>173</v>
      </c>
    </row>
    <row r="51" spans="1:10" ht="15.75" x14ac:dyDescent="0.25">
      <c r="A51" s="11"/>
      <c r="H51" s="13" t="s">
        <v>165</v>
      </c>
      <c r="I51" s="13" t="s">
        <v>166</v>
      </c>
      <c r="J51" s="13" t="s">
        <v>173</v>
      </c>
    </row>
    <row r="52" spans="1:10" ht="15.75" x14ac:dyDescent="0.25">
      <c r="A52" s="11"/>
      <c r="H52" s="13" t="s">
        <v>168</v>
      </c>
      <c r="I52" s="13" t="s">
        <v>171</v>
      </c>
      <c r="J52" s="13" t="s">
        <v>173</v>
      </c>
    </row>
    <row r="53" spans="1:10" ht="15.75" x14ac:dyDescent="0.25">
      <c r="A53" s="11"/>
      <c r="H53" s="13" t="s">
        <v>169</v>
      </c>
      <c r="I53" s="13" t="s">
        <v>170</v>
      </c>
      <c r="J53" s="13" t="s">
        <v>173</v>
      </c>
    </row>
    <row r="54" spans="1:10" ht="15.75" x14ac:dyDescent="0.25">
      <c r="A54" s="11"/>
    </row>
    <row r="55" spans="1:10" ht="15.75" x14ac:dyDescent="0.25">
      <c r="A55" s="11"/>
      <c r="H55" s="13" t="s">
        <v>120</v>
      </c>
      <c r="I55" s="13" t="s">
        <v>148</v>
      </c>
      <c r="J55" s="13" t="s">
        <v>172</v>
      </c>
    </row>
    <row r="56" spans="1:10" x14ac:dyDescent="0.25">
      <c r="A56" s="10"/>
      <c r="H56" s="13" t="s">
        <v>121</v>
      </c>
      <c r="I56" s="13" t="s">
        <v>149</v>
      </c>
      <c r="J56" s="13" t="s">
        <v>172</v>
      </c>
    </row>
    <row r="57" spans="1:10" x14ac:dyDescent="0.25">
      <c r="A57" s="14"/>
      <c r="H57" s="13" t="s">
        <v>122</v>
      </c>
      <c r="I57" s="13" t="s">
        <v>150</v>
      </c>
      <c r="J57" s="13" t="s">
        <v>172</v>
      </c>
    </row>
    <row r="58" spans="1:10" x14ac:dyDescent="0.25">
      <c r="A58" s="10"/>
      <c r="H58" s="13" t="s">
        <v>123</v>
      </c>
      <c r="I58" s="13" t="s">
        <v>151</v>
      </c>
      <c r="J58" s="13" t="s">
        <v>172</v>
      </c>
    </row>
    <row r="59" spans="1:10" ht="15.75" x14ac:dyDescent="0.25">
      <c r="A59" s="11"/>
      <c r="H59" s="13" t="s">
        <v>124</v>
      </c>
      <c r="I59" s="13" t="s">
        <v>152</v>
      </c>
      <c r="J59" s="13" t="s">
        <v>172</v>
      </c>
    </row>
    <row r="60" spans="1:10" ht="15.75" x14ac:dyDescent="0.25">
      <c r="A60" s="11"/>
      <c r="H60" s="13" t="s">
        <v>125</v>
      </c>
      <c r="I60" s="13" t="s">
        <v>153</v>
      </c>
      <c r="J60" s="13" t="s">
        <v>172</v>
      </c>
    </row>
    <row r="61" spans="1:10" ht="15.75" x14ac:dyDescent="0.25">
      <c r="A61" s="11"/>
      <c r="H61" s="13" t="s">
        <v>126</v>
      </c>
      <c r="I61" s="13" t="s">
        <v>154</v>
      </c>
      <c r="J61" s="13" t="s">
        <v>172</v>
      </c>
    </row>
    <row r="62" spans="1:10" ht="15.75" x14ac:dyDescent="0.25">
      <c r="A62" s="11"/>
      <c r="H62" s="13" t="s">
        <v>127</v>
      </c>
      <c r="I62" s="13" t="s">
        <v>155</v>
      </c>
      <c r="J62" s="13" t="s">
        <v>172</v>
      </c>
    </row>
    <row r="63" spans="1:10" ht="15.75" x14ac:dyDescent="0.25">
      <c r="A63" s="11"/>
    </row>
    <row r="64" spans="1:10" ht="15.75" x14ac:dyDescent="0.25">
      <c r="A64" s="11"/>
      <c r="H64" s="13" t="s">
        <v>156</v>
      </c>
      <c r="I64" s="13" t="s">
        <v>160</v>
      </c>
      <c r="J64" s="13" t="s">
        <v>173</v>
      </c>
    </row>
    <row r="65" spans="1:10" ht="15.75" x14ac:dyDescent="0.25">
      <c r="A65" s="11"/>
      <c r="H65" s="13" t="s">
        <v>157</v>
      </c>
      <c r="I65" s="13" t="s">
        <v>161</v>
      </c>
      <c r="J65" s="13" t="s">
        <v>173</v>
      </c>
    </row>
    <row r="66" spans="1:10" ht="15.75" x14ac:dyDescent="0.25">
      <c r="A66" s="11"/>
      <c r="H66" s="13" t="s">
        <v>158</v>
      </c>
      <c r="I66" s="13" t="s">
        <v>162</v>
      </c>
      <c r="J66" s="13" t="s">
        <v>173</v>
      </c>
    </row>
    <row r="67" spans="1:10" x14ac:dyDescent="0.25">
      <c r="A67" s="10"/>
      <c r="H67" s="13" t="s">
        <v>159</v>
      </c>
      <c r="I67" s="13" t="s">
        <v>163</v>
      </c>
      <c r="J67" s="13" t="s">
        <v>173</v>
      </c>
    </row>
    <row r="68" spans="1:10" x14ac:dyDescent="0.25">
      <c r="A68" s="14"/>
      <c r="H68" s="13" t="s">
        <v>164</v>
      </c>
      <c r="I68" s="13" t="s">
        <v>168</v>
      </c>
      <c r="J68" s="13" t="s">
        <v>173</v>
      </c>
    </row>
    <row r="69" spans="1:10" x14ac:dyDescent="0.25">
      <c r="A69" s="10"/>
      <c r="H69" s="13" t="s">
        <v>165</v>
      </c>
      <c r="I69" s="13" t="s">
        <v>169</v>
      </c>
      <c r="J69" s="13" t="s">
        <v>173</v>
      </c>
    </row>
    <row r="70" spans="1:10" ht="15.75" x14ac:dyDescent="0.25">
      <c r="A70" s="11"/>
      <c r="H70" s="13" t="s">
        <v>166</v>
      </c>
      <c r="I70" s="13" t="s">
        <v>170</v>
      </c>
      <c r="J70" s="13" t="s">
        <v>173</v>
      </c>
    </row>
    <row r="71" spans="1:10" ht="15.75" x14ac:dyDescent="0.25">
      <c r="A71" s="11"/>
      <c r="H71" s="13" t="s">
        <v>167</v>
      </c>
      <c r="I71" s="13" t="s">
        <v>171</v>
      </c>
      <c r="J71" s="13" t="s">
        <v>173</v>
      </c>
    </row>
    <row r="72" spans="1:10" ht="15.75" x14ac:dyDescent="0.25">
      <c r="A72" s="11"/>
    </row>
    <row r="73" spans="1:10" ht="15.75" x14ac:dyDescent="0.25">
      <c r="A73" s="11"/>
      <c r="H73" s="13" t="s">
        <v>120</v>
      </c>
      <c r="I73" s="13" t="s">
        <v>149</v>
      </c>
      <c r="J73" s="13" t="s">
        <v>172</v>
      </c>
    </row>
    <row r="74" spans="1:10" ht="15.75" x14ac:dyDescent="0.25">
      <c r="A74" s="11"/>
      <c r="H74" s="13" t="s">
        <v>121</v>
      </c>
      <c r="I74" s="13" t="s">
        <v>148</v>
      </c>
      <c r="J74" s="13" t="s">
        <v>172</v>
      </c>
    </row>
    <row r="75" spans="1:10" ht="15.75" x14ac:dyDescent="0.25">
      <c r="A75" s="11"/>
      <c r="H75" s="13" t="s">
        <v>122</v>
      </c>
      <c r="I75" s="13" t="s">
        <v>151</v>
      </c>
      <c r="J75" s="13" t="s">
        <v>172</v>
      </c>
    </row>
    <row r="76" spans="1:10" ht="15.75" x14ac:dyDescent="0.25">
      <c r="A76" s="11"/>
      <c r="H76" s="13" t="s">
        <v>123</v>
      </c>
      <c r="I76" s="13" t="s">
        <v>150</v>
      </c>
      <c r="J76" s="13" t="s">
        <v>172</v>
      </c>
    </row>
    <row r="77" spans="1:10" ht="15.75" x14ac:dyDescent="0.25">
      <c r="A77" s="11"/>
      <c r="H77" s="13" t="s">
        <v>124</v>
      </c>
      <c r="I77" s="13" t="s">
        <v>153</v>
      </c>
      <c r="J77" s="13" t="s">
        <v>172</v>
      </c>
    </row>
    <row r="78" spans="1:10" x14ac:dyDescent="0.25">
      <c r="A78" s="10"/>
      <c r="H78" s="13" t="s">
        <v>125</v>
      </c>
      <c r="I78" s="13" t="s">
        <v>152</v>
      </c>
      <c r="J78" s="13" t="s">
        <v>172</v>
      </c>
    </row>
    <row r="79" spans="1:10" x14ac:dyDescent="0.25">
      <c r="A79" s="14"/>
      <c r="H79" s="13" t="s">
        <v>126</v>
      </c>
      <c r="I79" s="13" t="s">
        <v>155</v>
      </c>
      <c r="J79" s="13" t="s">
        <v>172</v>
      </c>
    </row>
    <row r="80" spans="1:10" x14ac:dyDescent="0.25">
      <c r="A80" s="10"/>
      <c r="H80" s="13" t="s">
        <v>127</v>
      </c>
      <c r="I80" s="13" t="s">
        <v>154</v>
      </c>
      <c r="J80" s="13" t="s">
        <v>172</v>
      </c>
    </row>
    <row r="81" spans="1:10" ht="15.75" x14ac:dyDescent="0.25">
      <c r="A81" s="11"/>
    </row>
    <row r="82" spans="1:10" ht="15.75" x14ac:dyDescent="0.25">
      <c r="A82" s="11"/>
      <c r="H82" s="13" t="s">
        <v>156</v>
      </c>
      <c r="I82" s="13" t="s">
        <v>161</v>
      </c>
      <c r="J82" s="13" t="s">
        <v>173</v>
      </c>
    </row>
    <row r="83" spans="1:10" ht="15.75" x14ac:dyDescent="0.25">
      <c r="A83" s="11"/>
      <c r="H83" s="13" t="s">
        <v>157</v>
      </c>
      <c r="I83" s="13" t="s">
        <v>160</v>
      </c>
      <c r="J83" s="13" t="s">
        <v>173</v>
      </c>
    </row>
    <row r="84" spans="1:10" ht="15.75" x14ac:dyDescent="0.25">
      <c r="A84" s="11"/>
      <c r="H84" s="13" t="s">
        <v>158</v>
      </c>
      <c r="I84" s="13" t="s">
        <v>163</v>
      </c>
      <c r="J84" s="13" t="s">
        <v>173</v>
      </c>
    </row>
    <row r="85" spans="1:10" ht="15.75" x14ac:dyDescent="0.25">
      <c r="A85" s="11"/>
      <c r="H85" s="13" t="s">
        <v>159</v>
      </c>
      <c r="I85" s="13" t="s">
        <v>162</v>
      </c>
      <c r="J85" s="13" t="s">
        <v>173</v>
      </c>
    </row>
    <row r="86" spans="1:10" ht="15.75" x14ac:dyDescent="0.25">
      <c r="A86" s="11"/>
      <c r="H86" s="13" t="s">
        <v>164</v>
      </c>
      <c r="I86" s="13" t="s">
        <v>169</v>
      </c>
      <c r="J86" s="13" t="s">
        <v>173</v>
      </c>
    </row>
    <row r="87" spans="1:10" ht="15.75" x14ac:dyDescent="0.25">
      <c r="A87" s="11"/>
      <c r="H87" s="13" t="s">
        <v>165</v>
      </c>
      <c r="I87" s="13" t="s">
        <v>168</v>
      </c>
      <c r="J87" s="13" t="s">
        <v>173</v>
      </c>
    </row>
    <row r="88" spans="1:10" ht="15.75" x14ac:dyDescent="0.25">
      <c r="A88" s="11"/>
      <c r="H88" s="13" t="s">
        <v>166</v>
      </c>
      <c r="I88" s="13" t="s">
        <v>171</v>
      </c>
      <c r="J88" s="13" t="s">
        <v>173</v>
      </c>
    </row>
    <row r="89" spans="1:10" x14ac:dyDescent="0.25">
      <c r="A89" s="15"/>
      <c r="H89" s="13" t="s">
        <v>167</v>
      </c>
      <c r="I89" s="13" t="s">
        <v>170</v>
      </c>
      <c r="J89" s="13" t="s">
        <v>173</v>
      </c>
    </row>
    <row r="90" spans="1:10" x14ac:dyDescent="0.25">
      <c r="A90" s="15"/>
    </row>
    <row r="91" spans="1:10" x14ac:dyDescent="0.25">
      <c r="A91" s="15"/>
      <c r="H91" s="13" t="s">
        <v>120</v>
      </c>
      <c r="I91" s="13" t="s">
        <v>150</v>
      </c>
      <c r="J91" s="13" t="s">
        <v>172</v>
      </c>
    </row>
    <row r="92" spans="1:10" x14ac:dyDescent="0.25">
      <c r="A92" s="15"/>
      <c r="H92" s="13" t="s">
        <v>121</v>
      </c>
      <c r="I92" s="13" t="s">
        <v>151</v>
      </c>
      <c r="J92" s="13" t="s">
        <v>172</v>
      </c>
    </row>
    <row r="93" spans="1:10" x14ac:dyDescent="0.25">
      <c r="A93" s="15"/>
      <c r="H93" s="13" t="s">
        <v>122</v>
      </c>
      <c r="I93" s="13" t="s">
        <v>148</v>
      </c>
      <c r="J93" s="13" t="s">
        <v>172</v>
      </c>
    </row>
    <row r="94" spans="1:10" x14ac:dyDescent="0.25">
      <c r="A94" s="15"/>
      <c r="H94" s="13" t="s">
        <v>123</v>
      </c>
      <c r="I94" s="13" t="s">
        <v>149</v>
      </c>
      <c r="J94" s="13" t="s">
        <v>172</v>
      </c>
    </row>
    <row r="95" spans="1:10" x14ac:dyDescent="0.25">
      <c r="A95" s="15"/>
      <c r="H95" s="13" t="s">
        <v>124</v>
      </c>
      <c r="I95" s="13" t="s">
        <v>154</v>
      </c>
      <c r="J95" s="13" t="s">
        <v>172</v>
      </c>
    </row>
    <row r="96" spans="1:10" x14ac:dyDescent="0.25">
      <c r="A96" s="15"/>
      <c r="H96" s="13" t="s">
        <v>125</v>
      </c>
      <c r="I96" s="13" t="s">
        <v>155</v>
      </c>
      <c r="J96" s="13" t="s">
        <v>172</v>
      </c>
    </row>
    <row r="97" spans="1:10" x14ac:dyDescent="0.25">
      <c r="A97" s="15"/>
      <c r="H97" s="13" t="s">
        <v>126</v>
      </c>
      <c r="I97" s="13" t="s">
        <v>152</v>
      </c>
      <c r="J97" s="13" t="s">
        <v>172</v>
      </c>
    </row>
    <row r="98" spans="1:10" x14ac:dyDescent="0.25">
      <c r="A98" s="15"/>
      <c r="H98" s="13" t="s">
        <v>127</v>
      </c>
      <c r="I98" s="13" t="s">
        <v>153</v>
      </c>
      <c r="J98" s="13" t="s">
        <v>172</v>
      </c>
    </row>
    <row r="99" spans="1:10" x14ac:dyDescent="0.25">
      <c r="A99" s="15"/>
    </row>
    <row r="100" spans="1:10" x14ac:dyDescent="0.25">
      <c r="A100" s="15"/>
      <c r="H100" s="13" t="s">
        <v>156</v>
      </c>
      <c r="I100" s="13" t="s">
        <v>162</v>
      </c>
      <c r="J100" s="13" t="s">
        <v>173</v>
      </c>
    </row>
    <row r="101" spans="1:10" x14ac:dyDescent="0.25">
      <c r="A101" s="15"/>
      <c r="H101" s="13" t="s">
        <v>157</v>
      </c>
      <c r="I101" s="13" t="s">
        <v>163</v>
      </c>
      <c r="J101" s="13" t="s">
        <v>173</v>
      </c>
    </row>
    <row r="102" spans="1:10" x14ac:dyDescent="0.25">
      <c r="A102" s="15"/>
      <c r="H102" s="13" t="s">
        <v>158</v>
      </c>
      <c r="I102" s="13" t="s">
        <v>160</v>
      </c>
      <c r="J102" s="13" t="s">
        <v>173</v>
      </c>
    </row>
    <row r="103" spans="1:10" x14ac:dyDescent="0.25">
      <c r="A103" s="15"/>
      <c r="H103" s="13" t="s">
        <v>159</v>
      </c>
      <c r="I103" s="13" t="s">
        <v>161</v>
      </c>
      <c r="J103" s="13" t="s">
        <v>173</v>
      </c>
    </row>
    <row r="104" spans="1:10" x14ac:dyDescent="0.25">
      <c r="A104" s="15"/>
      <c r="H104" s="13" t="s">
        <v>164</v>
      </c>
      <c r="I104" s="13" t="s">
        <v>170</v>
      </c>
      <c r="J104" s="13" t="s">
        <v>173</v>
      </c>
    </row>
    <row r="105" spans="1:10" x14ac:dyDescent="0.25">
      <c r="A105" s="15"/>
      <c r="H105" s="13" t="s">
        <v>165</v>
      </c>
      <c r="I105" s="13" t="s">
        <v>171</v>
      </c>
      <c r="J105" s="13" t="s">
        <v>173</v>
      </c>
    </row>
    <row r="106" spans="1:10" x14ac:dyDescent="0.25">
      <c r="A106" s="15"/>
      <c r="H106" s="13" t="s">
        <v>166</v>
      </c>
      <c r="I106" s="13" t="s">
        <v>168</v>
      </c>
      <c r="J106" s="13" t="s">
        <v>173</v>
      </c>
    </row>
    <row r="107" spans="1:10" x14ac:dyDescent="0.25">
      <c r="A107" s="15"/>
      <c r="H107" s="13" t="s">
        <v>167</v>
      </c>
      <c r="I107" s="13" t="s">
        <v>169</v>
      </c>
      <c r="J107" s="13" t="s">
        <v>173</v>
      </c>
    </row>
    <row r="108" spans="1:10" x14ac:dyDescent="0.25">
      <c r="A108" s="15"/>
    </row>
    <row r="109" spans="1:10" x14ac:dyDescent="0.25">
      <c r="A109" s="15"/>
      <c r="H109" s="13" t="s">
        <v>120</v>
      </c>
      <c r="I109" s="13" t="s">
        <v>151</v>
      </c>
      <c r="J109" s="13" t="s">
        <v>172</v>
      </c>
    </row>
    <row r="110" spans="1:10" x14ac:dyDescent="0.25">
      <c r="A110" s="15"/>
      <c r="H110" s="13" t="s">
        <v>121</v>
      </c>
      <c r="I110" s="13" t="s">
        <v>150</v>
      </c>
      <c r="J110" s="13" t="s">
        <v>172</v>
      </c>
    </row>
    <row r="111" spans="1:10" x14ac:dyDescent="0.25">
      <c r="A111" s="15"/>
      <c r="H111" s="13" t="s">
        <v>122</v>
      </c>
      <c r="I111" s="13" t="s">
        <v>149</v>
      </c>
      <c r="J111" s="13" t="s">
        <v>172</v>
      </c>
    </row>
    <row r="112" spans="1:10" x14ac:dyDescent="0.25">
      <c r="A112" s="15"/>
      <c r="H112" s="13" t="s">
        <v>123</v>
      </c>
      <c r="I112" s="13" t="s">
        <v>148</v>
      </c>
      <c r="J112" s="13" t="s">
        <v>172</v>
      </c>
    </row>
    <row r="113" spans="1:10" x14ac:dyDescent="0.25">
      <c r="A113" s="15"/>
      <c r="H113" s="13" t="s">
        <v>124</v>
      </c>
      <c r="I113" s="13" t="s">
        <v>155</v>
      </c>
      <c r="J113" s="13" t="s">
        <v>172</v>
      </c>
    </row>
    <row r="114" spans="1:10" x14ac:dyDescent="0.25">
      <c r="A114" s="15"/>
      <c r="H114" s="13" t="s">
        <v>125</v>
      </c>
      <c r="I114" s="13" t="s">
        <v>154</v>
      </c>
      <c r="J114" s="13" t="s">
        <v>172</v>
      </c>
    </row>
    <row r="115" spans="1:10" x14ac:dyDescent="0.25">
      <c r="A115" s="15"/>
      <c r="H115" s="13" t="s">
        <v>126</v>
      </c>
      <c r="I115" s="13" t="s">
        <v>153</v>
      </c>
      <c r="J115" s="13" t="s">
        <v>172</v>
      </c>
    </row>
    <row r="116" spans="1:10" x14ac:dyDescent="0.25">
      <c r="A116" s="15"/>
      <c r="H116" s="13" t="s">
        <v>127</v>
      </c>
      <c r="I116" s="13" t="s">
        <v>152</v>
      </c>
      <c r="J116" s="13" t="s">
        <v>172</v>
      </c>
    </row>
    <row r="117" spans="1:10" x14ac:dyDescent="0.25">
      <c r="A117" s="15"/>
    </row>
    <row r="118" spans="1:10" x14ac:dyDescent="0.25">
      <c r="A118" s="15"/>
      <c r="H118" s="13" t="s">
        <v>156</v>
      </c>
      <c r="I118" s="13" t="s">
        <v>163</v>
      </c>
      <c r="J118" s="13" t="s">
        <v>173</v>
      </c>
    </row>
    <row r="119" spans="1:10" x14ac:dyDescent="0.25">
      <c r="A119" s="15"/>
      <c r="H119" s="13" t="s">
        <v>157</v>
      </c>
      <c r="I119" s="13" t="s">
        <v>162</v>
      </c>
      <c r="J119" s="13" t="s">
        <v>173</v>
      </c>
    </row>
    <row r="120" spans="1:10" x14ac:dyDescent="0.25">
      <c r="A120" s="15"/>
      <c r="H120" s="13" t="s">
        <v>158</v>
      </c>
      <c r="I120" s="13" t="s">
        <v>161</v>
      </c>
      <c r="J120" s="13" t="s">
        <v>173</v>
      </c>
    </row>
    <row r="121" spans="1:10" x14ac:dyDescent="0.25">
      <c r="A121" s="15"/>
      <c r="H121" s="13" t="s">
        <v>159</v>
      </c>
      <c r="I121" s="13" t="s">
        <v>160</v>
      </c>
      <c r="J121" s="13" t="s">
        <v>173</v>
      </c>
    </row>
    <row r="122" spans="1:10" x14ac:dyDescent="0.25">
      <c r="A122" s="15"/>
      <c r="H122" s="13" t="s">
        <v>164</v>
      </c>
      <c r="I122" s="13" t="s">
        <v>171</v>
      </c>
      <c r="J122" s="13" t="s">
        <v>173</v>
      </c>
    </row>
    <row r="123" spans="1:10" x14ac:dyDescent="0.25">
      <c r="A123" s="15"/>
      <c r="H123" s="13" t="s">
        <v>165</v>
      </c>
      <c r="I123" s="13" t="s">
        <v>170</v>
      </c>
      <c r="J123" s="13" t="s">
        <v>173</v>
      </c>
    </row>
    <row r="124" spans="1:10" x14ac:dyDescent="0.25">
      <c r="A124" s="15"/>
      <c r="H124" s="13" t="s">
        <v>166</v>
      </c>
      <c r="I124" s="13" t="s">
        <v>169</v>
      </c>
      <c r="J124" s="13" t="s">
        <v>173</v>
      </c>
    </row>
    <row r="125" spans="1:10" x14ac:dyDescent="0.25">
      <c r="A125" s="15"/>
      <c r="H125" s="13" t="s">
        <v>167</v>
      </c>
      <c r="I125" s="13" t="s">
        <v>168</v>
      </c>
      <c r="J125" s="13" t="s">
        <v>173</v>
      </c>
    </row>
    <row r="126" spans="1:10" x14ac:dyDescent="0.25">
      <c r="A126" s="15"/>
    </row>
    <row r="127" spans="1:10" x14ac:dyDescent="0.25">
      <c r="A127" s="15"/>
    </row>
    <row r="128" spans="1:10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131" t="s">
        <v>229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4" workbookViewId="0">
      <selection activeCell="F105" sqref="F105:F112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65" t="s">
        <v>59</v>
      </c>
      <c r="C2" s="166"/>
      <c r="D2" s="166"/>
      <c r="E2" s="166"/>
      <c r="F2" s="166"/>
      <c r="G2" s="166"/>
      <c r="H2" s="166"/>
      <c r="I2" s="167"/>
    </row>
    <row r="4" spans="1:15" x14ac:dyDescent="0.25">
      <c r="B4" s="47" t="s">
        <v>60</v>
      </c>
      <c r="C4" s="47">
        <v>1</v>
      </c>
      <c r="E4" s="50" t="s">
        <v>60</v>
      </c>
      <c r="F4" s="51">
        <v>1</v>
      </c>
      <c r="H4" s="50" t="s">
        <v>60</v>
      </c>
      <c r="I4" s="51">
        <v>4</v>
      </c>
    </row>
    <row r="5" spans="1:15" x14ac:dyDescent="0.25">
      <c r="B5" s="47" t="s">
        <v>61</v>
      </c>
      <c r="C5" s="47">
        <v>3</v>
      </c>
      <c r="E5" s="52" t="s">
        <v>62</v>
      </c>
      <c r="F5" s="51">
        <v>3</v>
      </c>
      <c r="H5" s="52" t="s">
        <v>62</v>
      </c>
      <c r="I5" s="51">
        <v>2</v>
      </c>
    </row>
    <row r="6" spans="1:15" x14ac:dyDescent="0.25">
      <c r="B6" s="47" t="s">
        <v>63</v>
      </c>
      <c r="C6" s="47">
        <v>2</v>
      </c>
      <c r="E6" s="52" t="s">
        <v>64</v>
      </c>
      <c r="F6" s="51">
        <v>2</v>
      </c>
      <c r="H6" s="52" t="s">
        <v>64</v>
      </c>
      <c r="I6" s="51">
        <v>3</v>
      </c>
    </row>
    <row r="7" spans="1:15" x14ac:dyDescent="0.25">
      <c r="B7" s="47" t="s">
        <v>65</v>
      </c>
      <c r="C7" s="47">
        <v>4</v>
      </c>
      <c r="E7" s="52" t="s">
        <v>66</v>
      </c>
      <c r="F7" s="51">
        <v>4</v>
      </c>
      <c r="H7" s="52" t="s">
        <v>66</v>
      </c>
      <c r="I7" s="51">
        <v>1</v>
      </c>
    </row>
    <row r="8" spans="1:15" x14ac:dyDescent="0.25">
      <c r="B8" s="47" t="s">
        <v>67</v>
      </c>
      <c r="C8" s="47">
        <v>4</v>
      </c>
    </row>
    <row r="9" spans="1:15" x14ac:dyDescent="0.25">
      <c r="B9" s="47" t="s">
        <v>68</v>
      </c>
      <c r="C9" s="47">
        <v>2</v>
      </c>
    </row>
    <row r="10" spans="1:15" x14ac:dyDescent="0.25">
      <c r="B10" s="47" t="s">
        <v>69</v>
      </c>
      <c r="C10" s="47">
        <v>3</v>
      </c>
    </row>
    <row r="11" spans="1:15" x14ac:dyDescent="0.25">
      <c r="B11" s="47" t="s">
        <v>70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64" t="s">
        <v>71</v>
      </c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60</v>
      </c>
      <c r="C15" s="47">
        <v>1</v>
      </c>
      <c r="D15" s="2"/>
      <c r="E15" s="50" t="s">
        <v>60</v>
      </c>
      <c r="F15" s="51">
        <v>1</v>
      </c>
      <c r="G15" s="2"/>
      <c r="H15" s="50" t="s">
        <v>60</v>
      </c>
      <c r="I15" s="51">
        <v>4</v>
      </c>
      <c r="J15" s="2"/>
      <c r="K15" s="48" t="s">
        <v>60</v>
      </c>
      <c r="L15" s="45">
        <v>1</v>
      </c>
      <c r="M15" s="2"/>
      <c r="N15" s="48" t="s">
        <v>60</v>
      </c>
      <c r="O15" s="45">
        <v>2</v>
      </c>
    </row>
    <row r="16" spans="1:15" x14ac:dyDescent="0.25">
      <c r="A16" s="2"/>
      <c r="B16" s="54" t="s">
        <v>62</v>
      </c>
      <c r="C16" s="47">
        <v>3</v>
      </c>
      <c r="D16" s="2"/>
      <c r="E16" s="52" t="s">
        <v>62</v>
      </c>
      <c r="F16" s="51">
        <v>3</v>
      </c>
      <c r="G16" s="2"/>
      <c r="H16" s="52" t="s">
        <v>62</v>
      </c>
      <c r="I16" s="51">
        <v>2</v>
      </c>
      <c r="J16" s="2"/>
      <c r="K16" s="48" t="s">
        <v>62</v>
      </c>
      <c r="L16" s="45">
        <v>3</v>
      </c>
      <c r="M16" s="2"/>
      <c r="N16" s="49" t="s">
        <v>62</v>
      </c>
      <c r="O16" s="45">
        <v>3</v>
      </c>
    </row>
    <row r="17" spans="1:15" x14ac:dyDescent="0.25">
      <c r="A17" s="2"/>
      <c r="B17" s="54" t="s">
        <v>64</v>
      </c>
      <c r="C17" s="47">
        <v>2</v>
      </c>
      <c r="D17" s="2"/>
      <c r="E17" s="52" t="s">
        <v>64</v>
      </c>
      <c r="F17" s="51">
        <v>2</v>
      </c>
      <c r="G17" s="2"/>
      <c r="H17" s="52" t="s">
        <v>64</v>
      </c>
      <c r="I17" s="51">
        <v>3</v>
      </c>
      <c r="J17" s="2"/>
      <c r="K17" s="48" t="s">
        <v>72</v>
      </c>
      <c r="L17" s="45">
        <v>5</v>
      </c>
      <c r="M17" s="2"/>
      <c r="N17" s="48" t="s">
        <v>73</v>
      </c>
      <c r="O17" s="45">
        <v>4</v>
      </c>
    </row>
    <row r="18" spans="1:15" x14ac:dyDescent="0.25">
      <c r="A18" s="2"/>
      <c r="B18" s="54" t="s">
        <v>66</v>
      </c>
      <c r="C18" s="47">
        <v>4</v>
      </c>
      <c r="D18" s="2"/>
      <c r="E18" s="52" t="s">
        <v>66</v>
      </c>
      <c r="F18" s="51">
        <v>4</v>
      </c>
      <c r="G18" s="2"/>
      <c r="H18" s="52" t="s">
        <v>72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74</v>
      </c>
      <c r="C19" s="47">
        <v>4</v>
      </c>
      <c r="D19" s="2"/>
      <c r="E19" s="50" t="s">
        <v>74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75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60</v>
      </c>
      <c r="L20" s="45">
        <v>4</v>
      </c>
      <c r="M20" s="2"/>
      <c r="N20" s="2"/>
      <c r="O20" s="2"/>
    </row>
    <row r="21" spans="1:15" x14ac:dyDescent="0.25">
      <c r="A21" s="2"/>
      <c r="B21" s="54" t="s">
        <v>76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62</v>
      </c>
      <c r="L21" s="45">
        <v>2</v>
      </c>
      <c r="M21" s="2"/>
      <c r="N21" s="2"/>
      <c r="O21" s="2"/>
    </row>
    <row r="22" spans="1:15" x14ac:dyDescent="0.25">
      <c r="A22" s="2"/>
      <c r="B22" s="54" t="s">
        <v>77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73</v>
      </c>
      <c r="L22" s="45">
        <v>1</v>
      </c>
      <c r="M22" s="2"/>
      <c r="N22" s="2"/>
      <c r="O22" s="2"/>
    </row>
    <row r="23" spans="1:15" x14ac:dyDescent="0.25">
      <c r="A23" s="2"/>
      <c r="B23" s="53" t="s">
        <v>78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64" t="s">
        <v>79</v>
      </c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60</v>
      </c>
      <c r="C28" s="47">
        <v>1</v>
      </c>
      <c r="D28" s="2"/>
      <c r="E28" s="51" t="s">
        <v>60</v>
      </c>
      <c r="F28" s="51">
        <v>1</v>
      </c>
      <c r="G28" s="2"/>
      <c r="H28" s="51" t="s">
        <v>60</v>
      </c>
      <c r="I28" s="51">
        <v>4</v>
      </c>
      <c r="J28" s="2"/>
      <c r="K28" s="45" t="s">
        <v>60</v>
      </c>
      <c r="L28" s="45">
        <v>2</v>
      </c>
      <c r="M28" s="2"/>
      <c r="N28" s="45" t="s">
        <v>60</v>
      </c>
      <c r="O28" s="45">
        <v>1</v>
      </c>
    </row>
    <row r="29" spans="1:15" x14ac:dyDescent="0.25">
      <c r="A29" s="2"/>
      <c r="B29" s="47" t="s">
        <v>61</v>
      </c>
      <c r="C29" s="47">
        <v>3</v>
      </c>
      <c r="D29" s="2"/>
      <c r="E29" s="51" t="s">
        <v>62</v>
      </c>
      <c r="F29" s="51">
        <v>3</v>
      </c>
      <c r="G29" s="2"/>
      <c r="H29" s="51" t="s">
        <v>62</v>
      </c>
      <c r="I29" s="51">
        <v>2</v>
      </c>
      <c r="J29" s="2"/>
      <c r="K29" s="45" t="s">
        <v>62</v>
      </c>
      <c r="L29" s="45">
        <v>3</v>
      </c>
      <c r="M29" s="2"/>
      <c r="N29" s="45" t="s">
        <v>62</v>
      </c>
      <c r="O29" s="45">
        <v>4</v>
      </c>
    </row>
    <row r="30" spans="1:15" x14ac:dyDescent="0.25">
      <c r="A30" s="2"/>
      <c r="B30" s="47" t="s">
        <v>63</v>
      </c>
      <c r="C30" s="47">
        <v>2</v>
      </c>
      <c r="D30" s="2"/>
      <c r="E30" s="51" t="s">
        <v>64</v>
      </c>
      <c r="F30" s="51">
        <v>2</v>
      </c>
      <c r="G30" s="2"/>
      <c r="H30" s="51" t="s">
        <v>64</v>
      </c>
      <c r="I30" s="51">
        <v>3</v>
      </c>
      <c r="J30" s="2"/>
      <c r="K30" s="45" t="s">
        <v>73</v>
      </c>
      <c r="L30" s="45">
        <v>1</v>
      </c>
      <c r="M30" s="2"/>
      <c r="N30" s="45" t="s">
        <v>73</v>
      </c>
      <c r="O30" s="45">
        <v>2</v>
      </c>
    </row>
    <row r="31" spans="1:15" x14ac:dyDescent="0.25">
      <c r="A31" s="2"/>
      <c r="B31" s="47" t="s">
        <v>65</v>
      </c>
      <c r="C31" s="47">
        <v>4</v>
      </c>
      <c r="D31" s="2"/>
      <c r="E31" s="51" t="s">
        <v>66</v>
      </c>
      <c r="F31" s="51">
        <v>4</v>
      </c>
      <c r="G31" s="2"/>
      <c r="H31" s="51" t="s">
        <v>66</v>
      </c>
      <c r="I31" s="51">
        <v>1</v>
      </c>
      <c r="J31" s="2"/>
      <c r="K31" s="45" t="s">
        <v>66</v>
      </c>
      <c r="L31" s="45">
        <v>5</v>
      </c>
      <c r="M31" s="2"/>
      <c r="N31" s="2"/>
      <c r="O31" s="2"/>
    </row>
    <row r="32" spans="1:15" x14ac:dyDescent="0.25">
      <c r="A32" s="2"/>
      <c r="B32" s="47" t="s">
        <v>67</v>
      </c>
      <c r="C32" s="47">
        <v>4</v>
      </c>
      <c r="D32" s="2"/>
      <c r="E32" s="51" t="s">
        <v>74</v>
      </c>
      <c r="F32" s="51">
        <v>5</v>
      </c>
      <c r="G32" s="2"/>
      <c r="H32" s="51" t="s">
        <v>74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68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60</v>
      </c>
      <c r="L33" s="45">
        <v>3</v>
      </c>
      <c r="M33" s="2"/>
      <c r="N33" s="2"/>
      <c r="O33" s="2"/>
    </row>
    <row r="34" spans="1:18" x14ac:dyDescent="0.25">
      <c r="A34" s="2"/>
      <c r="B34" s="47" t="s">
        <v>69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62</v>
      </c>
      <c r="L34" s="45">
        <v>4</v>
      </c>
      <c r="M34" s="2"/>
      <c r="N34" s="2"/>
      <c r="O34" s="2"/>
    </row>
    <row r="35" spans="1:18" x14ac:dyDescent="0.25">
      <c r="A35" s="2"/>
      <c r="B35" s="47" t="s">
        <v>70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73</v>
      </c>
      <c r="L35" s="45">
        <v>5</v>
      </c>
      <c r="M35" s="2"/>
      <c r="N35" s="2"/>
      <c r="O35" s="2"/>
    </row>
    <row r="36" spans="1:18" x14ac:dyDescent="0.25">
      <c r="A36" s="2"/>
      <c r="B36" s="47" t="s">
        <v>80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81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64" t="s">
        <v>82</v>
      </c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60</v>
      </c>
      <c r="C41" s="51">
        <f>C53</f>
        <v>1</v>
      </c>
      <c r="D41" s="2"/>
      <c r="E41" s="51" t="s">
        <v>60</v>
      </c>
      <c r="F41" s="51">
        <f>F53</f>
        <v>4</v>
      </c>
      <c r="G41" s="2"/>
      <c r="H41" s="48" t="s">
        <v>60</v>
      </c>
      <c r="I41" s="45">
        <f>I53</f>
        <v>1</v>
      </c>
      <c r="J41" s="2"/>
      <c r="K41" s="48" t="s">
        <v>60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62</v>
      </c>
      <c r="C42" s="51">
        <f t="shared" ref="C42:C46" si="0">C54</f>
        <v>3</v>
      </c>
      <c r="D42" s="2"/>
      <c r="E42" s="51" t="s">
        <v>62</v>
      </c>
      <c r="F42" s="51">
        <f t="shared" ref="F42:F44" si="1">F54</f>
        <v>2</v>
      </c>
      <c r="G42" s="2"/>
      <c r="H42" s="49" t="s">
        <v>62</v>
      </c>
      <c r="I42" s="45">
        <f t="shared" ref="I42:I44" si="2">I54</f>
        <v>3</v>
      </c>
      <c r="J42" s="2"/>
      <c r="K42" s="49" t="s">
        <v>62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64</v>
      </c>
      <c r="C43" s="51">
        <f t="shared" si="0"/>
        <v>2</v>
      </c>
      <c r="D43" s="2"/>
      <c r="E43" s="51" t="s">
        <v>64</v>
      </c>
      <c r="F43" s="51">
        <f t="shared" si="1"/>
        <v>3</v>
      </c>
      <c r="G43" s="2"/>
      <c r="H43" s="49" t="s">
        <v>73</v>
      </c>
      <c r="I43" s="45">
        <f t="shared" si="2"/>
        <v>2</v>
      </c>
      <c r="J43" s="2"/>
      <c r="K43" s="49" t="s">
        <v>73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66</v>
      </c>
      <c r="C44" s="51">
        <f t="shared" si="0"/>
        <v>4</v>
      </c>
      <c r="D44" s="2"/>
      <c r="E44" s="51" t="s">
        <v>66</v>
      </c>
      <c r="F44" s="51">
        <f t="shared" si="1"/>
        <v>1</v>
      </c>
      <c r="G44" s="2"/>
      <c r="H44" s="49" t="s">
        <v>66</v>
      </c>
      <c r="I44" s="45">
        <f t="shared" si="2"/>
        <v>5</v>
      </c>
      <c r="J44" s="2"/>
      <c r="K44" s="49" t="s">
        <v>66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74</v>
      </c>
      <c r="C45" s="51">
        <f t="shared" si="0"/>
        <v>5</v>
      </c>
      <c r="D45" s="2"/>
      <c r="E45" s="51" t="s">
        <v>74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72</v>
      </c>
      <c r="C46" s="51">
        <f t="shared" si="0"/>
        <v>6</v>
      </c>
      <c r="D46" s="2"/>
      <c r="E46" s="2"/>
      <c r="F46" s="2"/>
      <c r="G46" s="2"/>
      <c r="H46" s="48" t="s">
        <v>60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62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64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64" t="s">
        <v>83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60</v>
      </c>
      <c r="C53" s="51">
        <v>1</v>
      </c>
      <c r="D53" s="2"/>
      <c r="E53" s="51" t="s">
        <v>60</v>
      </c>
      <c r="F53" s="51">
        <v>4</v>
      </c>
      <c r="G53" s="2"/>
      <c r="H53" s="48" t="s">
        <v>60</v>
      </c>
      <c r="I53" s="45">
        <v>1</v>
      </c>
      <c r="J53" s="2"/>
      <c r="K53" s="48" t="s">
        <v>60</v>
      </c>
      <c r="L53" s="45">
        <v>2</v>
      </c>
      <c r="M53" s="2"/>
      <c r="N53" s="56" t="s">
        <v>60</v>
      </c>
      <c r="O53" s="46">
        <v>1</v>
      </c>
      <c r="P53" s="2"/>
      <c r="Q53" s="56" t="s">
        <v>60</v>
      </c>
      <c r="R53" s="46">
        <v>2</v>
      </c>
    </row>
    <row r="54" spans="1:21" x14ac:dyDescent="0.25">
      <c r="A54" s="2"/>
      <c r="B54" s="51" t="s">
        <v>61</v>
      </c>
      <c r="C54" s="51">
        <v>3</v>
      </c>
      <c r="D54" s="2"/>
      <c r="E54" s="51" t="s">
        <v>61</v>
      </c>
      <c r="F54" s="51">
        <v>2</v>
      </c>
      <c r="G54" s="2"/>
      <c r="H54" s="49" t="s">
        <v>62</v>
      </c>
      <c r="I54" s="45">
        <v>3</v>
      </c>
      <c r="J54" s="2"/>
      <c r="K54" s="49" t="s">
        <v>62</v>
      </c>
      <c r="L54" s="45">
        <v>4</v>
      </c>
      <c r="M54" s="2"/>
      <c r="N54" s="57" t="s">
        <v>62</v>
      </c>
      <c r="O54" s="46">
        <v>3</v>
      </c>
      <c r="P54" s="2"/>
      <c r="Q54" s="57" t="s">
        <v>62</v>
      </c>
      <c r="R54" s="46">
        <v>4</v>
      </c>
    </row>
    <row r="55" spans="1:21" x14ac:dyDescent="0.25">
      <c r="A55" s="2"/>
      <c r="B55" s="51" t="s">
        <v>63</v>
      </c>
      <c r="C55" s="51">
        <v>2</v>
      </c>
      <c r="D55" s="2"/>
      <c r="E55" s="51" t="s">
        <v>63</v>
      </c>
      <c r="F55" s="51">
        <v>3</v>
      </c>
      <c r="G55" s="2"/>
      <c r="H55" s="49" t="s">
        <v>73</v>
      </c>
      <c r="I55" s="45">
        <v>2</v>
      </c>
      <c r="J55" s="2"/>
      <c r="K55" s="49" t="s">
        <v>73</v>
      </c>
      <c r="L55" s="45">
        <v>5</v>
      </c>
      <c r="M55" s="2"/>
      <c r="N55" s="57" t="s">
        <v>64</v>
      </c>
      <c r="O55" s="46">
        <v>5</v>
      </c>
      <c r="P55" s="2"/>
      <c r="Q55" s="57" t="s">
        <v>64</v>
      </c>
      <c r="R55" s="46">
        <v>6</v>
      </c>
    </row>
    <row r="56" spans="1:21" x14ac:dyDescent="0.25">
      <c r="A56" s="2"/>
      <c r="B56" s="51" t="s">
        <v>65</v>
      </c>
      <c r="C56" s="51">
        <v>4</v>
      </c>
      <c r="D56" s="2"/>
      <c r="E56" s="51" t="s">
        <v>65</v>
      </c>
      <c r="F56" s="51">
        <v>1</v>
      </c>
      <c r="G56" s="2"/>
      <c r="H56" s="49" t="s">
        <v>66</v>
      </c>
      <c r="I56" s="45">
        <v>5</v>
      </c>
      <c r="J56" s="2"/>
      <c r="K56" s="49" t="s">
        <v>66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67</v>
      </c>
      <c r="C57" s="51">
        <v>5</v>
      </c>
      <c r="D57" s="2"/>
      <c r="E57" s="51" t="s">
        <v>67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60</v>
      </c>
      <c r="O57" s="46">
        <v>4</v>
      </c>
      <c r="P57" s="2"/>
      <c r="Q57" s="56" t="s">
        <v>60</v>
      </c>
      <c r="R57" s="46">
        <v>3</v>
      </c>
    </row>
    <row r="58" spans="1:21" x14ac:dyDescent="0.25">
      <c r="A58" s="2"/>
      <c r="B58" s="51" t="s">
        <v>68</v>
      </c>
      <c r="C58" s="51">
        <v>6</v>
      </c>
      <c r="D58" s="2"/>
      <c r="E58" s="51" t="s">
        <v>68</v>
      </c>
      <c r="F58" s="51">
        <v>5</v>
      </c>
      <c r="G58" s="2"/>
      <c r="H58" s="48" t="s">
        <v>60</v>
      </c>
      <c r="I58" s="45">
        <v>3</v>
      </c>
      <c r="J58" s="2"/>
      <c r="K58" s="2"/>
      <c r="L58" s="2"/>
      <c r="M58" s="2"/>
      <c r="N58" s="57" t="s">
        <v>62</v>
      </c>
      <c r="O58" s="46">
        <v>2</v>
      </c>
      <c r="P58" s="2"/>
      <c r="Q58" s="57" t="s">
        <v>62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62</v>
      </c>
      <c r="I59" s="45">
        <v>4</v>
      </c>
      <c r="J59" s="2"/>
      <c r="K59" s="2"/>
      <c r="L59" s="2"/>
      <c r="M59" s="2"/>
      <c r="N59" s="57" t="s">
        <v>64</v>
      </c>
      <c r="O59" s="46">
        <v>6</v>
      </c>
      <c r="P59" s="2"/>
      <c r="Q59" s="57" t="s">
        <v>64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73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66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64" t="s">
        <v>84</v>
      </c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60</v>
      </c>
      <c r="C65" s="51">
        <v>1</v>
      </c>
      <c r="D65" s="2"/>
      <c r="E65" s="51" t="s">
        <v>60</v>
      </c>
      <c r="F65" s="51">
        <v>4</v>
      </c>
      <c r="G65" s="2"/>
      <c r="H65" s="45" t="s">
        <v>60</v>
      </c>
      <c r="I65" s="45">
        <v>1</v>
      </c>
      <c r="J65" s="2"/>
      <c r="K65" s="45" t="s">
        <v>60</v>
      </c>
      <c r="L65" s="45">
        <v>2</v>
      </c>
      <c r="M65" s="2"/>
      <c r="N65" s="45" t="s">
        <v>60</v>
      </c>
      <c r="O65" s="45">
        <v>3</v>
      </c>
      <c r="P65" s="2"/>
      <c r="Q65" s="56" t="s">
        <v>60</v>
      </c>
      <c r="R65" s="46">
        <v>1</v>
      </c>
      <c r="S65" s="2"/>
      <c r="T65" s="56" t="s">
        <v>60</v>
      </c>
      <c r="U65" s="46">
        <v>2</v>
      </c>
    </row>
    <row r="66" spans="1:21" x14ac:dyDescent="0.25">
      <c r="A66" s="2"/>
      <c r="B66" s="51" t="s">
        <v>61</v>
      </c>
      <c r="C66" s="51">
        <v>3</v>
      </c>
      <c r="D66" s="2"/>
      <c r="E66" s="51" t="s">
        <v>61</v>
      </c>
      <c r="F66" s="51">
        <v>2</v>
      </c>
      <c r="G66" s="2"/>
      <c r="H66" s="45" t="s">
        <v>61</v>
      </c>
      <c r="I66" s="45">
        <v>3</v>
      </c>
      <c r="J66" s="2"/>
      <c r="K66" s="45" t="s">
        <v>61</v>
      </c>
      <c r="L66" s="45">
        <v>4</v>
      </c>
      <c r="M66" s="2"/>
      <c r="N66" s="45" t="s">
        <v>61</v>
      </c>
      <c r="O66" s="45">
        <v>4</v>
      </c>
      <c r="P66" s="2"/>
      <c r="Q66" s="57" t="s">
        <v>62</v>
      </c>
      <c r="R66" s="46">
        <v>4</v>
      </c>
      <c r="S66" s="2"/>
      <c r="T66" s="57" t="s">
        <v>62</v>
      </c>
      <c r="U66" s="46">
        <v>1</v>
      </c>
    </row>
    <row r="67" spans="1:21" x14ac:dyDescent="0.25">
      <c r="A67" s="2"/>
      <c r="B67" s="51" t="s">
        <v>63</v>
      </c>
      <c r="C67" s="51">
        <v>2</v>
      </c>
      <c r="D67" s="2"/>
      <c r="E67" s="51" t="s">
        <v>63</v>
      </c>
      <c r="F67" s="51">
        <v>3</v>
      </c>
      <c r="G67" s="2"/>
      <c r="H67" s="45" t="s">
        <v>85</v>
      </c>
      <c r="I67" s="45">
        <v>2</v>
      </c>
      <c r="J67" s="2"/>
      <c r="K67" s="45" t="s">
        <v>86</v>
      </c>
      <c r="L67" s="45">
        <v>1</v>
      </c>
      <c r="M67" s="2"/>
      <c r="N67" s="45" t="s">
        <v>63</v>
      </c>
      <c r="O67" s="45">
        <v>5</v>
      </c>
      <c r="P67" s="2"/>
      <c r="Q67" s="57" t="s">
        <v>64</v>
      </c>
      <c r="R67" s="46">
        <v>5</v>
      </c>
      <c r="S67" s="2"/>
      <c r="T67" s="57" t="s">
        <v>64</v>
      </c>
      <c r="U67" s="46">
        <v>6</v>
      </c>
    </row>
    <row r="68" spans="1:21" x14ac:dyDescent="0.25">
      <c r="A68" s="2"/>
      <c r="B68" s="51" t="s">
        <v>65</v>
      </c>
      <c r="C68" s="51">
        <v>4</v>
      </c>
      <c r="D68" s="2"/>
      <c r="E68" s="51" t="s">
        <v>65</v>
      </c>
      <c r="F68" s="51">
        <v>1</v>
      </c>
      <c r="G68" s="2"/>
      <c r="H68" s="45" t="s">
        <v>65</v>
      </c>
      <c r="I68" s="45">
        <v>6</v>
      </c>
      <c r="J68" s="2"/>
      <c r="K68" s="45" t="s">
        <v>65</v>
      </c>
      <c r="L68" s="45">
        <v>7</v>
      </c>
      <c r="M68" s="2"/>
      <c r="N68" s="45" t="s">
        <v>65</v>
      </c>
      <c r="O68" s="45">
        <v>6</v>
      </c>
      <c r="P68" s="2"/>
      <c r="Q68" s="57" t="s">
        <v>66</v>
      </c>
      <c r="R68" s="46">
        <v>7</v>
      </c>
      <c r="S68" s="2"/>
      <c r="T68" s="2"/>
      <c r="U68" s="2"/>
    </row>
    <row r="69" spans="1:21" x14ac:dyDescent="0.25">
      <c r="A69" s="2"/>
      <c r="B69" s="51" t="s">
        <v>67</v>
      </c>
      <c r="C69" s="51">
        <v>6</v>
      </c>
      <c r="D69" s="2"/>
      <c r="E69" s="51" t="s">
        <v>67</v>
      </c>
      <c r="F69" s="51">
        <v>5</v>
      </c>
      <c r="G69" s="2"/>
      <c r="H69" s="45" t="s">
        <v>67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68</v>
      </c>
      <c r="C70" s="51">
        <v>7</v>
      </c>
      <c r="D70" s="2"/>
      <c r="E70" s="51" t="s">
        <v>68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69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60</v>
      </c>
      <c r="R71" s="46">
        <v>3</v>
      </c>
      <c r="S71" s="2"/>
      <c r="T71" s="56" t="s">
        <v>60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62</v>
      </c>
      <c r="R72" s="46">
        <v>2</v>
      </c>
      <c r="S72" s="2"/>
      <c r="T72" s="57" t="s">
        <v>62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64</v>
      </c>
      <c r="R73" s="46">
        <v>6</v>
      </c>
      <c r="S73" s="2"/>
      <c r="T73" s="57" t="s">
        <v>64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64" t="s">
        <v>87</v>
      </c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60</v>
      </c>
      <c r="C78" s="51">
        <v>1</v>
      </c>
      <c r="D78" s="2"/>
      <c r="E78" s="51" t="s">
        <v>60</v>
      </c>
      <c r="F78" s="51">
        <v>4</v>
      </c>
      <c r="G78" s="2"/>
      <c r="H78" s="45" t="s">
        <v>60</v>
      </c>
      <c r="I78" s="45">
        <v>1</v>
      </c>
      <c r="J78" s="2"/>
      <c r="K78" s="45" t="s">
        <v>60</v>
      </c>
      <c r="L78" s="45">
        <v>2</v>
      </c>
      <c r="M78" s="2"/>
      <c r="N78" s="45" t="s">
        <v>60</v>
      </c>
      <c r="O78" s="45">
        <v>3</v>
      </c>
      <c r="P78" s="2"/>
      <c r="Q78" s="56" t="s">
        <v>60</v>
      </c>
      <c r="R78" s="46">
        <v>1</v>
      </c>
      <c r="S78" s="2"/>
      <c r="T78" s="56" t="s">
        <v>60</v>
      </c>
      <c r="U78" s="46">
        <v>2</v>
      </c>
    </row>
    <row r="79" spans="1:21" x14ac:dyDescent="0.25">
      <c r="A79" s="2"/>
      <c r="B79" s="51" t="s">
        <v>61</v>
      </c>
      <c r="C79" s="51">
        <v>3</v>
      </c>
      <c r="D79" s="2"/>
      <c r="E79" s="51" t="s">
        <v>61</v>
      </c>
      <c r="F79" s="51">
        <v>2</v>
      </c>
      <c r="G79" s="2"/>
      <c r="H79" s="45" t="s">
        <v>61</v>
      </c>
      <c r="I79" s="45">
        <v>3</v>
      </c>
      <c r="J79" s="2"/>
      <c r="K79" s="45" t="s">
        <v>61</v>
      </c>
      <c r="L79" s="45">
        <v>4</v>
      </c>
      <c r="M79" s="2"/>
      <c r="N79" s="45" t="s">
        <v>61</v>
      </c>
      <c r="O79" s="45">
        <v>4</v>
      </c>
      <c r="P79" s="2"/>
      <c r="Q79" s="57" t="s">
        <v>62</v>
      </c>
      <c r="R79" s="46">
        <v>4</v>
      </c>
      <c r="S79" s="2"/>
      <c r="T79" s="57" t="s">
        <v>62</v>
      </c>
      <c r="U79" s="46">
        <v>1</v>
      </c>
    </row>
    <row r="80" spans="1:21" x14ac:dyDescent="0.25">
      <c r="A80" s="2"/>
      <c r="B80" s="51" t="s">
        <v>63</v>
      </c>
      <c r="C80" s="51">
        <v>2</v>
      </c>
      <c r="D80" s="2"/>
      <c r="E80" s="51" t="s">
        <v>63</v>
      </c>
      <c r="F80" s="51">
        <v>3</v>
      </c>
      <c r="G80" s="2"/>
      <c r="H80" s="45" t="s">
        <v>85</v>
      </c>
      <c r="I80" s="45">
        <v>2</v>
      </c>
      <c r="J80" s="2"/>
      <c r="K80" s="45" t="s">
        <v>86</v>
      </c>
      <c r="L80" s="45">
        <v>1</v>
      </c>
      <c r="M80" s="2"/>
      <c r="N80" s="45" t="s">
        <v>63</v>
      </c>
      <c r="O80" s="45">
        <v>5</v>
      </c>
      <c r="P80" s="2"/>
      <c r="Q80" s="57" t="s">
        <v>64</v>
      </c>
      <c r="R80" s="46">
        <v>5</v>
      </c>
      <c r="S80" s="2"/>
      <c r="T80" s="57" t="s">
        <v>64</v>
      </c>
      <c r="U80" s="46">
        <v>6</v>
      </c>
    </row>
    <row r="81" spans="1:21" x14ac:dyDescent="0.25">
      <c r="A81" s="2"/>
      <c r="B81" s="51" t="s">
        <v>65</v>
      </c>
      <c r="C81" s="51">
        <v>4</v>
      </c>
      <c r="D81" s="2"/>
      <c r="E81" s="51" t="s">
        <v>65</v>
      </c>
      <c r="F81" s="51">
        <v>1</v>
      </c>
      <c r="G81" s="2"/>
      <c r="H81" s="45" t="s">
        <v>65</v>
      </c>
      <c r="I81" s="45">
        <v>6</v>
      </c>
      <c r="J81" s="2"/>
      <c r="K81" s="45" t="s">
        <v>65</v>
      </c>
      <c r="L81" s="45">
        <v>7</v>
      </c>
      <c r="M81" s="2"/>
      <c r="N81" s="45" t="s">
        <v>65</v>
      </c>
      <c r="O81" s="45">
        <v>6</v>
      </c>
      <c r="P81" s="2"/>
      <c r="Q81" s="57" t="s">
        <v>66</v>
      </c>
      <c r="R81" s="46">
        <v>7</v>
      </c>
      <c r="S81" s="2"/>
      <c r="T81" s="57" t="s">
        <v>66</v>
      </c>
      <c r="U81" s="46">
        <v>5</v>
      </c>
    </row>
    <row r="82" spans="1:21" x14ac:dyDescent="0.25">
      <c r="A82" s="2"/>
      <c r="B82" s="51" t="s">
        <v>67</v>
      </c>
      <c r="C82" s="51">
        <v>5</v>
      </c>
      <c r="D82" s="2"/>
      <c r="E82" s="51" t="s">
        <v>67</v>
      </c>
      <c r="F82" s="51">
        <v>6</v>
      </c>
      <c r="G82" s="2"/>
      <c r="H82" s="45" t="s">
        <v>67</v>
      </c>
      <c r="I82" s="45">
        <v>7</v>
      </c>
      <c r="J82" s="2"/>
      <c r="K82" s="45" t="s">
        <v>67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68</v>
      </c>
      <c r="C83" s="51">
        <v>7</v>
      </c>
      <c r="D83" s="2"/>
      <c r="E83" s="51" t="s">
        <v>68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69</v>
      </c>
      <c r="C84" s="51">
        <v>6</v>
      </c>
      <c r="D84" s="2"/>
      <c r="E84" s="51" t="s">
        <v>69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60</v>
      </c>
      <c r="R84" s="46">
        <v>3</v>
      </c>
      <c r="S84" s="2"/>
      <c r="T84" s="56" t="s">
        <v>60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62</v>
      </c>
      <c r="R85" s="46">
        <v>2</v>
      </c>
      <c r="S85" s="2"/>
      <c r="T85" s="57" t="s">
        <v>62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64</v>
      </c>
      <c r="R86" s="46">
        <v>7</v>
      </c>
      <c r="S86" s="2"/>
      <c r="T86" s="57" t="s">
        <v>64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64" t="s">
        <v>88</v>
      </c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</row>
    <row r="89" spans="1:21" x14ac:dyDescent="0.25">
      <c r="A89" s="2"/>
      <c r="B89" s="168"/>
      <c r="C89" s="168"/>
      <c r="D89" s="168"/>
      <c r="E89" s="168"/>
      <c r="F89" s="16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60</v>
      </c>
      <c r="C90" s="51">
        <v>1</v>
      </c>
      <c r="D90" s="2"/>
      <c r="E90" s="51" t="s">
        <v>60</v>
      </c>
      <c r="F90" s="51">
        <v>4</v>
      </c>
      <c r="G90" s="2"/>
      <c r="H90" s="45" t="s">
        <v>60</v>
      </c>
      <c r="I90" s="45">
        <v>1</v>
      </c>
      <c r="J90" s="2"/>
      <c r="K90" s="45" t="s">
        <v>60</v>
      </c>
      <c r="L90" s="45">
        <v>2</v>
      </c>
      <c r="M90" s="2"/>
      <c r="N90" s="46" t="s">
        <v>60</v>
      </c>
      <c r="O90" s="46">
        <v>1</v>
      </c>
      <c r="P90" s="2"/>
      <c r="Q90" s="46" t="s">
        <v>60</v>
      </c>
      <c r="R90" s="46">
        <v>2</v>
      </c>
    </row>
    <row r="91" spans="1:21" x14ac:dyDescent="0.25">
      <c r="A91" s="2"/>
      <c r="B91" s="51" t="s">
        <v>61</v>
      </c>
      <c r="C91" s="51">
        <v>3</v>
      </c>
      <c r="D91" s="2"/>
      <c r="E91" s="51" t="s">
        <v>61</v>
      </c>
      <c r="F91" s="51">
        <v>2</v>
      </c>
      <c r="G91" s="2"/>
      <c r="H91" s="45" t="s">
        <v>61</v>
      </c>
      <c r="I91" s="45">
        <v>3</v>
      </c>
      <c r="J91" s="2"/>
      <c r="K91" s="45" t="s">
        <v>61</v>
      </c>
      <c r="L91" s="45">
        <v>4</v>
      </c>
      <c r="M91" s="2"/>
      <c r="N91" s="46" t="s">
        <v>61</v>
      </c>
      <c r="O91" s="46">
        <v>4</v>
      </c>
      <c r="P91" s="2"/>
      <c r="Q91" s="46" t="s">
        <v>61</v>
      </c>
      <c r="R91" s="46">
        <v>1</v>
      </c>
    </row>
    <row r="92" spans="1:21" x14ac:dyDescent="0.25">
      <c r="A92" s="2"/>
      <c r="B92" s="51" t="s">
        <v>63</v>
      </c>
      <c r="C92" s="51">
        <v>2</v>
      </c>
      <c r="D92" s="2"/>
      <c r="E92" s="51" t="s">
        <v>63</v>
      </c>
      <c r="F92" s="51">
        <v>3</v>
      </c>
      <c r="G92" s="2"/>
      <c r="H92" s="45" t="s">
        <v>89</v>
      </c>
      <c r="I92" s="45">
        <v>5</v>
      </c>
      <c r="J92" s="2"/>
      <c r="K92" s="45" t="s">
        <v>89</v>
      </c>
      <c r="L92" s="45">
        <v>1</v>
      </c>
      <c r="M92" s="2"/>
      <c r="N92" s="46" t="s">
        <v>63</v>
      </c>
      <c r="O92" s="46">
        <v>5</v>
      </c>
      <c r="P92" s="2"/>
      <c r="Q92" s="46" t="s">
        <v>63</v>
      </c>
      <c r="R92" s="46">
        <v>6</v>
      </c>
    </row>
    <row r="93" spans="1:21" x14ac:dyDescent="0.25">
      <c r="A93" s="2"/>
      <c r="B93" s="51" t="s">
        <v>65</v>
      </c>
      <c r="C93" s="51">
        <v>4</v>
      </c>
      <c r="D93" s="2"/>
      <c r="E93" s="51" t="s">
        <v>65</v>
      </c>
      <c r="F93" s="51">
        <v>1</v>
      </c>
      <c r="G93" s="2"/>
      <c r="H93" s="45" t="s">
        <v>65</v>
      </c>
      <c r="I93" s="45">
        <v>6</v>
      </c>
      <c r="J93" s="2"/>
      <c r="K93" s="45" t="s">
        <v>65</v>
      </c>
      <c r="L93" s="45">
        <v>7</v>
      </c>
      <c r="M93" s="2"/>
      <c r="N93" s="46" t="s">
        <v>90</v>
      </c>
      <c r="O93" s="46">
        <v>8</v>
      </c>
      <c r="P93" s="2"/>
      <c r="Q93" s="46" t="s">
        <v>65</v>
      </c>
      <c r="R93" s="46">
        <v>5</v>
      </c>
    </row>
    <row r="94" spans="1:21" x14ac:dyDescent="0.25">
      <c r="A94" s="2"/>
      <c r="B94" s="51" t="s">
        <v>67</v>
      </c>
      <c r="C94" s="51">
        <v>5</v>
      </c>
      <c r="D94" s="2"/>
      <c r="E94" s="51" t="s">
        <v>67</v>
      </c>
      <c r="F94" s="51">
        <v>8</v>
      </c>
      <c r="G94" s="2"/>
      <c r="H94" s="45" t="s">
        <v>91</v>
      </c>
      <c r="I94" s="45">
        <v>8</v>
      </c>
      <c r="J94" s="2"/>
      <c r="K94" s="45" t="s">
        <v>92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68</v>
      </c>
      <c r="C95" s="51">
        <v>7</v>
      </c>
      <c r="D95" s="2"/>
      <c r="E95" s="51" t="s">
        <v>68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69</v>
      </c>
      <c r="C96" s="51">
        <v>6</v>
      </c>
      <c r="D96" s="2"/>
      <c r="E96" s="51" t="s">
        <v>69</v>
      </c>
      <c r="F96" s="51">
        <v>7</v>
      </c>
      <c r="G96" s="2"/>
      <c r="H96" s="45" t="s">
        <v>60</v>
      </c>
      <c r="I96" s="45">
        <v>3</v>
      </c>
      <c r="J96" s="2"/>
      <c r="K96" s="2"/>
      <c r="L96" s="2"/>
      <c r="M96" s="2"/>
      <c r="N96" s="46" t="s">
        <v>60</v>
      </c>
      <c r="O96" s="46">
        <v>4</v>
      </c>
      <c r="P96" s="2"/>
      <c r="Q96" s="46" t="s">
        <v>60</v>
      </c>
      <c r="R96" s="46">
        <v>3</v>
      </c>
    </row>
    <row r="97" spans="1:18" x14ac:dyDescent="0.25">
      <c r="A97" s="2"/>
      <c r="B97" s="51" t="s">
        <v>70</v>
      </c>
      <c r="C97" s="51">
        <v>8</v>
      </c>
      <c r="D97" s="2"/>
      <c r="E97" s="2"/>
      <c r="F97" s="2"/>
      <c r="G97" s="2"/>
      <c r="H97" s="45" t="s">
        <v>61</v>
      </c>
      <c r="I97" s="45">
        <v>4</v>
      </c>
      <c r="J97" s="2"/>
      <c r="K97" s="2"/>
      <c r="L97" s="2"/>
      <c r="M97" s="2"/>
      <c r="N97" s="46" t="s">
        <v>61</v>
      </c>
      <c r="O97" s="46">
        <v>3</v>
      </c>
      <c r="P97" s="2"/>
      <c r="Q97" s="46" t="s">
        <v>61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89</v>
      </c>
      <c r="I98" s="45">
        <v>2</v>
      </c>
      <c r="J98" s="2"/>
      <c r="K98" s="2"/>
      <c r="L98" s="2"/>
      <c r="M98" s="2"/>
      <c r="N98" s="46" t="s">
        <v>63</v>
      </c>
      <c r="O98" s="46">
        <v>6</v>
      </c>
      <c r="P98" s="2"/>
      <c r="Q98" s="46" t="s">
        <v>63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65</v>
      </c>
      <c r="I99" s="45">
        <v>7</v>
      </c>
      <c r="J99" s="2"/>
      <c r="K99" s="2"/>
      <c r="L99" s="2"/>
      <c r="M99" s="2"/>
      <c r="N99" s="46" t="s">
        <v>65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92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64" t="s">
        <v>93</v>
      </c>
      <c r="C103" s="164"/>
      <c r="D103" s="164"/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60</v>
      </c>
      <c r="C105" s="51">
        <v>1</v>
      </c>
      <c r="D105" s="2"/>
      <c r="E105" s="51" t="s">
        <v>60</v>
      </c>
      <c r="F105" s="51">
        <v>4</v>
      </c>
      <c r="G105" s="2"/>
      <c r="H105" s="45" t="s">
        <v>60</v>
      </c>
      <c r="I105" s="45">
        <v>1</v>
      </c>
      <c r="J105" s="2"/>
      <c r="K105" s="45" t="s">
        <v>60</v>
      </c>
      <c r="L105" s="45">
        <v>4</v>
      </c>
      <c r="M105" s="2"/>
      <c r="N105" s="46" t="s">
        <v>60</v>
      </c>
      <c r="O105" s="46">
        <v>1</v>
      </c>
      <c r="P105" s="2"/>
      <c r="Q105" s="46" t="s">
        <v>60</v>
      </c>
      <c r="R105" s="46">
        <v>2</v>
      </c>
    </row>
    <row r="106" spans="1:18" x14ac:dyDescent="0.25">
      <c r="A106" s="2"/>
      <c r="B106" s="51" t="s">
        <v>61</v>
      </c>
      <c r="C106" s="51">
        <v>3</v>
      </c>
      <c r="D106" s="2"/>
      <c r="E106" s="51" t="s">
        <v>61</v>
      </c>
      <c r="F106" s="51">
        <v>2</v>
      </c>
      <c r="G106" s="2"/>
      <c r="H106" s="45" t="s">
        <v>61</v>
      </c>
      <c r="I106" s="45">
        <v>3</v>
      </c>
      <c r="J106" s="2"/>
      <c r="K106" s="45" t="s">
        <v>61</v>
      </c>
      <c r="L106" s="45">
        <v>2</v>
      </c>
      <c r="M106" s="2"/>
      <c r="N106" s="46" t="s">
        <v>61</v>
      </c>
      <c r="O106" s="46">
        <v>4</v>
      </c>
      <c r="P106" s="2"/>
      <c r="Q106" s="46" t="s">
        <v>61</v>
      </c>
      <c r="R106" s="46">
        <v>1</v>
      </c>
    </row>
    <row r="107" spans="1:18" x14ac:dyDescent="0.25">
      <c r="A107" s="2"/>
      <c r="B107" s="51" t="s">
        <v>63</v>
      </c>
      <c r="C107" s="51">
        <v>2</v>
      </c>
      <c r="D107" s="2"/>
      <c r="E107" s="51" t="s">
        <v>63</v>
      </c>
      <c r="F107" s="51">
        <v>3</v>
      </c>
      <c r="G107" s="2"/>
      <c r="H107" s="45" t="s">
        <v>63</v>
      </c>
      <c r="I107" s="45">
        <v>2</v>
      </c>
      <c r="J107" s="2"/>
      <c r="K107" s="45" t="s">
        <v>63</v>
      </c>
      <c r="L107" s="45">
        <v>3</v>
      </c>
      <c r="M107" s="2"/>
      <c r="N107" s="46" t="s">
        <v>63</v>
      </c>
      <c r="O107" s="46">
        <v>5</v>
      </c>
      <c r="P107" s="2"/>
      <c r="Q107" s="46" t="s">
        <v>63</v>
      </c>
      <c r="R107" s="46">
        <v>6</v>
      </c>
    </row>
    <row r="108" spans="1:18" x14ac:dyDescent="0.25">
      <c r="A108" s="2"/>
      <c r="B108" s="51" t="s">
        <v>65</v>
      </c>
      <c r="C108" s="51">
        <v>4</v>
      </c>
      <c r="D108" s="2"/>
      <c r="E108" s="51" t="s">
        <v>65</v>
      </c>
      <c r="F108" s="51">
        <v>1</v>
      </c>
      <c r="G108" s="2"/>
      <c r="H108" s="45" t="s">
        <v>65</v>
      </c>
      <c r="I108" s="45">
        <v>4</v>
      </c>
      <c r="J108" s="2"/>
      <c r="K108" s="45" t="s">
        <v>65</v>
      </c>
      <c r="L108" s="45">
        <v>1</v>
      </c>
      <c r="M108" s="2"/>
      <c r="N108" s="46" t="s">
        <v>65</v>
      </c>
      <c r="O108" s="46">
        <v>8</v>
      </c>
      <c r="P108" s="2"/>
      <c r="Q108" s="46" t="s">
        <v>65</v>
      </c>
      <c r="R108" s="46">
        <v>5</v>
      </c>
    </row>
    <row r="109" spans="1:18" x14ac:dyDescent="0.25">
      <c r="A109" s="2"/>
      <c r="B109" s="51" t="s">
        <v>67</v>
      </c>
      <c r="C109" s="51">
        <v>5</v>
      </c>
      <c r="D109" s="2"/>
      <c r="E109" s="51" t="s">
        <v>67</v>
      </c>
      <c r="F109" s="51">
        <v>8</v>
      </c>
      <c r="G109" s="2"/>
      <c r="H109" s="45" t="s">
        <v>60</v>
      </c>
      <c r="I109" s="45">
        <v>1</v>
      </c>
      <c r="J109" s="2"/>
      <c r="K109" s="45" t="s">
        <v>67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68</v>
      </c>
      <c r="C110" s="51">
        <v>7</v>
      </c>
      <c r="D110" s="2"/>
      <c r="E110" s="51" t="s">
        <v>68</v>
      </c>
      <c r="F110" s="51">
        <v>6</v>
      </c>
      <c r="G110" s="2"/>
      <c r="H110" s="45" t="s">
        <v>61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69</v>
      </c>
      <c r="C111" s="51">
        <v>6</v>
      </c>
      <c r="D111" s="2"/>
      <c r="E111" s="51" t="s">
        <v>69</v>
      </c>
      <c r="F111" s="51">
        <v>7</v>
      </c>
      <c r="G111" s="2"/>
      <c r="H111" s="2"/>
      <c r="I111" s="2"/>
      <c r="J111" s="2"/>
      <c r="K111" s="45" t="s">
        <v>60</v>
      </c>
      <c r="L111" s="45">
        <v>4</v>
      </c>
      <c r="M111" s="2"/>
      <c r="N111" s="46" t="s">
        <v>60</v>
      </c>
      <c r="O111" s="46">
        <v>4</v>
      </c>
      <c r="P111" s="2"/>
      <c r="Q111" s="46" t="s">
        <v>60</v>
      </c>
      <c r="R111" s="46">
        <v>3</v>
      </c>
    </row>
    <row r="112" spans="1:18" x14ac:dyDescent="0.25">
      <c r="A112" s="2"/>
      <c r="B112" s="51" t="s">
        <v>70</v>
      </c>
      <c r="C112" s="51">
        <v>8</v>
      </c>
      <c r="D112" s="2"/>
      <c r="E112" s="51" t="s">
        <v>70</v>
      </c>
      <c r="F112" s="51">
        <v>5</v>
      </c>
      <c r="G112" s="2"/>
      <c r="H112" s="2"/>
      <c r="I112" s="2"/>
      <c r="J112" s="2"/>
      <c r="K112" s="45" t="s">
        <v>61</v>
      </c>
      <c r="L112" s="45">
        <v>2</v>
      </c>
      <c r="M112" s="2"/>
      <c r="N112" s="46" t="s">
        <v>61</v>
      </c>
      <c r="O112" s="46">
        <v>3</v>
      </c>
      <c r="P112" s="2"/>
      <c r="Q112" s="46" t="s">
        <v>61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63</v>
      </c>
      <c r="L113" s="45">
        <v>3</v>
      </c>
      <c r="M113" s="2"/>
      <c r="N113" s="46" t="s">
        <v>63</v>
      </c>
      <c r="O113" s="46">
        <v>8</v>
      </c>
      <c r="P113" s="2"/>
      <c r="Q113" s="46" t="s">
        <v>63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65</v>
      </c>
      <c r="L114" s="45">
        <v>1</v>
      </c>
      <c r="M114" s="2"/>
      <c r="N114" s="46" t="s">
        <v>65</v>
      </c>
      <c r="O114" s="46">
        <v>7</v>
      </c>
      <c r="P114" s="2"/>
      <c r="Q114" s="46" t="s">
        <v>65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67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65" t="s">
        <v>94</v>
      </c>
      <c r="C117" s="166"/>
      <c r="D117" s="166"/>
      <c r="E117" s="166"/>
      <c r="F117" s="166"/>
      <c r="G117" s="166"/>
      <c r="H117" s="166"/>
      <c r="I117" s="166"/>
      <c r="J117" s="166"/>
      <c r="K117" s="166"/>
      <c r="L117" s="166"/>
      <c r="M117" s="166"/>
      <c r="N117" s="166"/>
      <c r="O117" s="166"/>
      <c r="P117" s="167"/>
    </row>
    <row r="119" spans="1:18" x14ac:dyDescent="0.25">
      <c r="B119" s="45" t="s">
        <v>60</v>
      </c>
      <c r="C119" s="45">
        <v>1</v>
      </c>
      <c r="D119" s="2"/>
      <c r="E119" s="45" t="s">
        <v>60</v>
      </c>
      <c r="F119" s="45">
        <v>2</v>
      </c>
      <c r="H119" s="45" t="s">
        <v>60</v>
      </c>
      <c r="I119" s="45">
        <v>3</v>
      </c>
      <c r="K119" s="46" t="s">
        <v>60</v>
      </c>
      <c r="L119" s="46">
        <v>1</v>
      </c>
      <c r="M119" s="2"/>
      <c r="N119" s="46" t="s">
        <v>60</v>
      </c>
      <c r="O119" s="46">
        <v>2</v>
      </c>
    </row>
    <row r="120" spans="1:18" x14ac:dyDescent="0.25">
      <c r="B120" s="45" t="s">
        <v>61</v>
      </c>
      <c r="C120" s="45">
        <v>3</v>
      </c>
      <c r="D120" s="2"/>
      <c r="E120" s="45" t="s">
        <v>61</v>
      </c>
      <c r="F120" s="45">
        <v>4</v>
      </c>
      <c r="H120" s="45" t="s">
        <v>61</v>
      </c>
      <c r="I120" s="45">
        <v>4</v>
      </c>
      <c r="K120" s="46" t="s">
        <v>61</v>
      </c>
      <c r="L120" s="46">
        <v>4</v>
      </c>
      <c r="M120" s="2"/>
      <c r="N120" s="46" t="s">
        <v>61</v>
      </c>
      <c r="O120" s="46">
        <v>1</v>
      </c>
    </row>
    <row r="121" spans="1:18" x14ac:dyDescent="0.25">
      <c r="B121" s="45" t="s">
        <v>95</v>
      </c>
      <c r="C121" s="45">
        <v>2</v>
      </c>
      <c r="D121" s="2"/>
      <c r="E121" s="45" t="s">
        <v>86</v>
      </c>
      <c r="F121" s="45">
        <v>1</v>
      </c>
      <c r="H121" s="45" t="s">
        <v>63</v>
      </c>
      <c r="I121" s="45">
        <v>5</v>
      </c>
      <c r="K121" s="46" t="s">
        <v>63</v>
      </c>
      <c r="L121" s="46">
        <v>5</v>
      </c>
      <c r="M121" s="2"/>
      <c r="N121" s="46" t="s">
        <v>63</v>
      </c>
      <c r="O121" s="46">
        <v>6</v>
      </c>
    </row>
    <row r="122" spans="1:18" x14ac:dyDescent="0.25">
      <c r="B122" s="45" t="s">
        <v>65</v>
      </c>
      <c r="C122" s="45">
        <v>6</v>
      </c>
      <c r="D122" s="2"/>
      <c r="E122" s="45" t="s">
        <v>65</v>
      </c>
      <c r="F122" s="45">
        <v>7</v>
      </c>
      <c r="H122" s="45" t="s">
        <v>65</v>
      </c>
      <c r="I122" s="45">
        <v>8</v>
      </c>
      <c r="K122" s="46" t="s">
        <v>65</v>
      </c>
      <c r="L122" s="46">
        <v>8</v>
      </c>
      <c r="M122" s="2"/>
      <c r="N122" s="46" t="s">
        <v>65</v>
      </c>
      <c r="O122" s="46">
        <v>5</v>
      </c>
    </row>
    <row r="123" spans="1:18" x14ac:dyDescent="0.25">
      <c r="B123" s="45" t="s">
        <v>67</v>
      </c>
      <c r="C123" s="45">
        <v>8</v>
      </c>
      <c r="D123" s="2"/>
      <c r="E123" s="45" t="s">
        <v>67</v>
      </c>
      <c r="F123" s="45">
        <v>6</v>
      </c>
      <c r="H123" s="45" t="s">
        <v>67</v>
      </c>
      <c r="I123" s="45">
        <v>7</v>
      </c>
      <c r="K123" s="46" t="s">
        <v>96</v>
      </c>
      <c r="L123" s="46">
        <v>9</v>
      </c>
      <c r="M123" s="2"/>
      <c r="N123" s="2"/>
      <c r="O123" s="2"/>
    </row>
    <row r="124" spans="1:18" x14ac:dyDescent="0.25">
      <c r="B124" s="45" t="s">
        <v>68</v>
      </c>
      <c r="C124" s="45">
        <v>5</v>
      </c>
      <c r="D124" s="2"/>
      <c r="E124" s="45" t="s">
        <v>97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60</v>
      </c>
      <c r="L126" s="46">
        <v>4</v>
      </c>
      <c r="N126" s="46" t="s">
        <v>60</v>
      </c>
      <c r="O126" s="46">
        <v>3</v>
      </c>
    </row>
    <row r="127" spans="1:18" x14ac:dyDescent="0.25">
      <c r="K127" s="46" t="s">
        <v>61</v>
      </c>
      <c r="L127" s="46">
        <v>3</v>
      </c>
      <c r="N127" s="46" t="s">
        <v>61</v>
      </c>
      <c r="O127" s="46">
        <v>2</v>
      </c>
    </row>
    <row r="128" spans="1:18" x14ac:dyDescent="0.25">
      <c r="K128" s="46" t="s">
        <v>63</v>
      </c>
      <c r="L128" s="46">
        <v>8</v>
      </c>
      <c r="N128" s="46" t="s">
        <v>63</v>
      </c>
      <c r="O128" s="46">
        <v>7</v>
      </c>
    </row>
    <row r="129" spans="2:16" x14ac:dyDescent="0.25">
      <c r="K129" s="46" t="s">
        <v>65</v>
      </c>
      <c r="L129" s="46">
        <v>7</v>
      </c>
      <c r="N129" s="46" t="s">
        <v>65</v>
      </c>
      <c r="O129" s="46">
        <v>6</v>
      </c>
    </row>
    <row r="132" spans="2:16" ht="26.25" x14ac:dyDescent="0.25">
      <c r="B132" s="165" t="s">
        <v>98</v>
      </c>
      <c r="C132" s="166"/>
      <c r="D132" s="166"/>
      <c r="E132" s="166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7"/>
    </row>
    <row r="134" spans="2:16" x14ac:dyDescent="0.25">
      <c r="B134" s="45" t="s">
        <v>60</v>
      </c>
      <c r="C134" s="45">
        <v>1</v>
      </c>
      <c r="D134" s="2"/>
      <c r="E134" s="45" t="s">
        <v>60</v>
      </c>
      <c r="F134" s="45">
        <v>2</v>
      </c>
      <c r="H134" s="45" t="s">
        <v>60</v>
      </c>
      <c r="I134" s="45">
        <v>3</v>
      </c>
      <c r="K134" s="46" t="s">
        <v>60</v>
      </c>
      <c r="L134" s="46">
        <v>1</v>
      </c>
      <c r="M134" s="2"/>
      <c r="N134" s="46" t="s">
        <v>60</v>
      </c>
      <c r="O134" s="46">
        <v>2</v>
      </c>
    </row>
    <row r="135" spans="2:16" x14ac:dyDescent="0.25">
      <c r="B135" s="45" t="s">
        <v>61</v>
      </c>
      <c r="C135" s="45">
        <v>3</v>
      </c>
      <c r="D135" s="2"/>
      <c r="E135" s="45" t="s">
        <v>61</v>
      </c>
      <c r="F135" s="45">
        <v>4</v>
      </c>
      <c r="H135" s="45" t="s">
        <v>61</v>
      </c>
      <c r="I135" s="45">
        <v>4</v>
      </c>
      <c r="K135" s="46" t="s">
        <v>61</v>
      </c>
      <c r="L135" s="46">
        <v>4</v>
      </c>
      <c r="M135" s="2"/>
      <c r="N135" s="46" t="s">
        <v>61</v>
      </c>
      <c r="O135" s="46">
        <v>1</v>
      </c>
    </row>
    <row r="136" spans="2:16" x14ac:dyDescent="0.25">
      <c r="B136" s="45" t="s">
        <v>85</v>
      </c>
      <c r="C136" s="45">
        <v>2</v>
      </c>
      <c r="D136" s="2"/>
      <c r="E136" s="45" t="s">
        <v>86</v>
      </c>
      <c r="F136" s="45">
        <v>1</v>
      </c>
      <c r="H136" s="45" t="s">
        <v>63</v>
      </c>
      <c r="I136" s="45">
        <v>5</v>
      </c>
      <c r="K136" s="46" t="s">
        <v>63</v>
      </c>
      <c r="L136" s="46">
        <v>5</v>
      </c>
      <c r="M136" s="2"/>
      <c r="N136" s="46" t="s">
        <v>63</v>
      </c>
      <c r="O136" s="46">
        <v>6</v>
      </c>
    </row>
    <row r="137" spans="2:16" x14ac:dyDescent="0.25">
      <c r="B137" s="45" t="s">
        <v>65</v>
      </c>
      <c r="C137" s="45">
        <v>6</v>
      </c>
      <c r="D137" s="2"/>
      <c r="E137" s="45" t="s">
        <v>65</v>
      </c>
      <c r="F137" s="45">
        <v>7</v>
      </c>
      <c r="H137" s="45" t="s">
        <v>65</v>
      </c>
      <c r="I137" s="45">
        <v>8</v>
      </c>
      <c r="K137" s="46" t="s">
        <v>65</v>
      </c>
      <c r="L137" s="46">
        <v>8</v>
      </c>
      <c r="M137" s="2"/>
      <c r="N137" s="46" t="s">
        <v>65</v>
      </c>
      <c r="O137" s="46">
        <v>5</v>
      </c>
    </row>
    <row r="138" spans="2:16" x14ac:dyDescent="0.25">
      <c r="B138" s="45" t="s">
        <v>67</v>
      </c>
      <c r="C138" s="45">
        <v>8</v>
      </c>
      <c r="D138" s="2"/>
      <c r="E138" s="45" t="s">
        <v>67</v>
      </c>
      <c r="F138" s="45">
        <v>6</v>
      </c>
      <c r="H138" s="45" t="s">
        <v>67</v>
      </c>
      <c r="I138" s="45">
        <v>7</v>
      </c>
      <c r="K138" s="46" t="s">
        <v>67</v>
      </c>
      <c r="L138" s="46">
        <v>9</v>
      </c>
      <c r="M138" s="2"/>
      <c r="N138" s="46" t="s">
        <v>67</v>
      </c>
      <c r="O138" s="46">
        <v>9</v>
      </c>
    </row>
    <row r="139" spans="2:16" x14ac:dyDescent="0.25">
      <c r="B139" s="45" t="s">
        <v>99</v>
      </c>
      <c r="C139" s="45">
        <v>5</v>
      </c>
      <c r="D139" s="2"/>
      <c r="E139" s="45" t="s">
        <v>68</v>
      </c>
      <c r="F139" s="45">
        <v>9</v>
      </c>
      <c r="H139" s="45" t="s">
        <v>68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60</v>
      </c>
      <c r="L141" s="46">
        <v>4</v>
      </c>
      <c r="N141" s="46" t="s">
        <v>60</v>
      </c>
      <c r="O141" s="46">
        <v>3</v>
      </c>
    </row>
    <row r="142" spans="2:16" x14ac:dyDescent="0.25">
      <c r="K142" s="46" t="s">
        <v>61</v>
      </c>
      <c r="L142" s="46">
        <v>3</v>
      </c>
      <c r="N142" s="46" t="s">
        <v>61</v>
      </c>
      <c r="O142" s="46">
        <v>2</v>
      </c>
    </row>
    <row r="143" spans="2:16" x14ac:dyDescent="0.25">
      <c r="K143" s="46" t="s">
        <v>63</v>
      </c>
      <c r="L143" s="46">
        <v>8</v>
      </c>
      <c r="N143" s="46" t="s">
        <v>63</v>
      </c>
      <c r="O143" s="46">
        <v>7</v>
      </c>
    </row>
    <row r="144" spans="2:16" x14ac:dyDescent="0.25">
      <c r="K144" s="46" t="s">
        <v>65</v>
      </c>
      <c r="L144" s="46">
        <v>7</v>
      </c>
      <c r="N144" s="46" t="s">
        <v>65</v>
      </c>
      <c r="O144" s="46">
        <v>6</v>
      </c>
    </row>
    <row r="146" spans="2:15" ht="26.25" x14ac:dyDescent="0.25">
      <c r="B146" s="164" t="s">
        <v>100</v>
      </c>
      <c r="C146" s="164"/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4"/>
    </row>
    <row r="148" spans="2:15" x14ac:dyDescent="0.25">
      <c r="B148" s="45" t="s">
        <v>60</v>
      </c>
      <c r="C148" s="45">
        <v>1</v>
      </c>
      <c r="D148" s="2"/>
      <c r="E148" s="45" t="s">
        <v>60</v>
      </c>
      <c r="F148" s="45">
        <v>2</v>
      </c>
      <c r="H148" s="45" t="s">
        <v>60</v>
      </c>
      <c r="I148" s="45">
        <v>3</v>
      </c>
      <c r="K148" s="46" t="s">
        <v>60</v>
      </c>
      <c r="L148" s="46">
        <v>1</v>
      </c>
      <c r="N148" s="46" t="s">
        <v>60</v>
      </c>
      <c r="O148" s="46">
        <v>2</v>
      </c>
    </row>
    <row r="149" spans="2:15" x14ac:dyDescent="0.25">
      <c r="B149" s="45" t="s">
        <v>61</v>
      </c>
      <c r="C149" s="45">
        <v>3</v>
      </c>
      <c r="D149" s="2"/>
      <c r="E149" s="45" t="s">
        <v>61</v>
      </c>
      <c r="F149" s="45">
        <v>4</v>
      </c>
      <c r="H149" s="45" t="s">
        <v>61</v>
      </c>
      <c r="I149" s="45">
        <v>4</v>
      </c>
      <c r="K149" s="46" t="s">
        <v>61</v>
      </c>
      <c r="L149" s="46">
        <v>4</v>
      </c>
      <c r="N149" s="46" t="s">
        <v>61</v>
      </c>
      <c r="O149" s="46">
        <v>1</v>
      </c>
    </row>
    <row r="150" spans="2:15" x14ac:dyDescent="0.25">
      <c r="B150" s="45" t="s">
        <v>85</v>
      </c>
      <c r="C150" s="45">
        <v>2</v>
      </c>
      <c r="D150" s="2"/>
      <c r="E150" s="45" t="s">
        <v>86</v>
      </c>
      <c r="F150" s="45">
        <v>1</v>
      </c>
      <c r="H150" s="45" t="s">
        <v>63</v>
      </c>
      <c r="I150" s="45">
        <v>5</v>
      </c>
      <c r="K150" s="46" t="s">
        <v>63</v>
      </c>
      <c r="L150" s="46">
        <v>5</v>
      </c>
      <c r="N150" s="46" t="s">
        <v>63</v>
      </c>
      <c r="O150" s="46">
        <v>6</v>
      </c>
    </row>
    <row r="151" spans="2:15" x14ac:dyDescent="0.25">
      <c r="B151" s="45" t="s">
        <v>65</v>
      </c>
      <c r="C151" s="45">
        <v>6</v>
      </c>
      <c r="D151" s="2"/>
      <c r="E151" s="45" t="s">
        <v>65</v>
      </c>
      <c r="F151" s="45">
        <v>7</v>
      </c>
      <c r="H151" s="45" t="s">
        <v>65</v>
      </c>
      <c r="I151" s="45">
        <v>8</v>
      </c>
      <c r="K151" s="46" t="s">
        <v>65</v>
      </c>
      <c r="L151" s="46">
        <v>8</v>
      </c>
      <c r="N151" s="46" t="s">
        <v>65</v>
      </c>
      <c r="O151" s="46">
        <v>5</v>
      </c>
    </row>
    <row r="152" spans="2:15" x14ac:dyDescent="0.25">
      <c r="B152" s="45" t="s">
        <v>67</v>
      </c>
      <c r="C152" s="45">
        <v>8</v>
      </c>
      <c r="D152" s="2"/>
      <c r="E152" s="45" t="s">
        <v>67</v>
      </c>
      <c r="F152" s="45">
        <v>6</v>
      </c>
      <c r="H152" s="45" t="s">
        <v>67</v>
      </c>
      <c r="I152" s="45">
        <v>7</v>
      </c>
      <c r="K152" s="46" t="s">
        <v>67</v>
      </c>
      <c r="L152" s="46">
        <v>9</v>
      </c>
      <c r="N152" s="46" t="s">
        <v>97</v>
      </c>
      <c r="O152" s="46">
        <v>10</v>
      </c>
    </row>
    <row r="153" spans="2:15" x14ac:dyDescent="0.25">
      <c r="B153" s="45" t="s">
        <v>99</v>
      </c>
      <c r="C153" s="45">
        <v>5</v>
      </c>
      <c r="D153" s="2"/>
      <c r="E153" s="45" t="s">
        <v>68</v>
      </c>
      <c r="F153" s="45">
        <v>9</v>
      </c>
      <c r="H153" s="45" t="s">
        <v>97</v>
      </c>
      <c r="I153" s="45">
        <v>10</v>
      </c>
    </row>
    <row r="154" spans="2:15" x14ac:dyDescent="0.25">
      <c r="B154" s="45" t="s">
        <v>69</v>
      </c>
      <c r="C154" s="45">
        <v>9</v>
      </c>
      <c r="E154" s="2"/>
      <c r="F154" s="2"/>
    </row>
    <row r="155" spans="2:15" x14ac:dyDescent="0.25">
      <c r="K155" s="46" t="s">
        <v>60</v>
      </c>
      <c r="L155" s="46">
        <v>4</v>
      </c>
      <c r="N155" s="46" t="s">
        <v>60</v>
      </c>
      <c r="O155" s="46">
        <v>3</v>
      </c>
    </row>
    <row r="156" spans="2:15" x14ac:dyDescent="0.25">
      <c r="K156" s="46" t="s">
        <v>61</v>
      </c>
      <c r="L156" s="46">
        <v>3</v>
      </c>
      <c r="N156" s="46" t="s">
        <v>61</v>
      </c>
      <c r="O156" s="46">
        <v>2</v>
      </c>
    </row>
    <row r="157" spans="2:15" x14ac:dyDescent="0.25">
      <c r="K157" s="46" t="s">
        <v>63</v>
      </c>
      <c r="L157" s="46">
        <v>8</v>
      </c>
      <c r="N157" s="46" t="s">
        <v>63</v>
      </c>
      <c r="O157" s="46">
        <v>7</v>
      </c>
    </row>
    <row r="158" spans="2:15" x14ac:dyDescent="0.25">
      <c r="K158" s="46" t="s">
        <v>65</v>
      </c>
      <c r="L158" s="46">
        <v>7</v>
      </c>
      <c r="N158" s="46" t="s">
        <v>65</v>
      </c>
      <c r="O158" s="46">
        <v>6</v>
      </c>
    </row>
    <row r="159" spans="2:15" x14ac:dyDescent="0.25">
      <c r="K159" s="46" t="s">
        <v>67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64" t="s">
        <v>101</v>
      </c>
      <c r="C162" s="164"/>
      <c r="D162" s="164"/>
      <c r="E162" s="164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  <c r="Q162" s="164"/>
      <c r="R162" s="164"/>
      <c r="S162" s="164"/>
      <c r="T162" s="164"/>
      <c r="U162" s="164"/>
      <c r="V162" s="164"/>
      <c r="W162" s="164"/>
      <c r="X162" s="164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60</v>
      </c>
      <c r="C164" s="45">
        <v>1</v>
      </c>
      <c r="D164" s="2"/>
      <c r="E164" s="45" t="s">
        <v>60</v>
      </c>
      <c r="F164" s="45">
        <v>2</v>
      </c>
      <c r="H164" s="45" t="s">
        <v>60</v>
      </c>
      <c r="I164" s="45">
        <v>3</v>
      </c>
      <c r="K164" s="46" t="s">
        <v>60</v>
      </c>
      <c r="L164" s="46">
        <v>1</v>
      </c>
      <c r="N164" s="46" t="s">
        <v>60</v>
      </c>
      <c r="O164" s="46">
        <v>2</v>
      </c>
      <c r="Q164" s="58" t="s">
        <v>60</v>
      </c>
      <c r="R164" s="58">
        <v>1</v>
      </c>
      <c r="T164" s="58" t="s">
        <v>60</v>
      </c>
      <c r="U164" s="58">
        <v>2</v>
      </c>
      <c r="W164" s="58" t="s">
        <v>60</v>
      </c>
      <c r="X164" s="58">
        <v>3</v>
      </c>
    </row>
    <row r="165" spans="2:24" x14ac:dyDescent="0.25">
      <c r="B165" s="45" t="s">
        <v>61</v>
      </c>
      <c r="C165" s="45">
        <v>3</v>
      </c>
      <c r="D165" s="2"/>
      <c r="E165" s="45" t="s">
        <v>61</v>
      </c>
      <c r="F165" s="45">
        <v>4</v>
      </c>
      <c r="H165" s="45" t="s">
        <v>61</v>
      </c>
      <c r="I165" s="45">
        <v>4</v>
      </c>
      <c r="K165" s="46" t="s">
        <v>61</v>
      </c>
      <c r="L165" s="46">
        <v>4</v>
      </c>
      <c r="N165" s="46" t="s">
        <v>61</v>
      </c>
      <c r="O165" s="46">
        <v>1</v>
      </c>
      <c r="Q165" s="58" t="s">
        <v>102</v>
      </c>
      <c r="R165" s="58">
        <v>2</v>
      </c>
      <c r="T165" s="58" t="s">
        <v>102</v>
      </c>
      <c r="U165" s="58">
        <v>3</v>
      </c>
      <c r="W165" s="58" t="s">
        <v>61</v>
      </c>
      <c r="X165" s="58">
        <v>5</v>
      </c>
    </row>
    <row r="166" spans="2:24" x14ac:dyDescent="0.25">
      <c r="B166" s="45" t="s">
        <v>85</v>
      </c>
      <c r="C166" s="45">
        <v>2</v>
      </c>
      <c r="D166" s="2"/>
      <c r="E166" s="45" t="s">
        <v>86</v>
      </c>
      <c r="F166" s="45">
        <v>1</v>
      </c>
      <c r="H166" s="45" t="s">
        <v>63</v>
      </c>
      <c r="I166" s="45">
        <v>5</v>
      </c>
      <c r="K166" s="46" t="s">
        <v>63</v>
      </c>
      <c r="L166" s="46">
        <v>5</v>
      </c>
      <c r="N166" s="46" t="s">
        <v>63</v>
      </c>
      <c r="O166" s="46">
        <v>6</v>
      </c>
      <c r="Q166" s="58" t="s">
        <v>63</v>
      </c>
      <c r="R166" s="58">
        <v>7</v>
      </c>
      <c r="T166" s="58" t="s">
        <v>63</v>
      </c>
      <c r="U166" s="58">
        <v>8</v>
      </c>
      <c r="W166" s="58" t="s">
        <v>63</v>
      </c>
      <c r="X166" s="58">
        <v>6</v>
      </c>
    </row>
    <row r="167" spans="2:24" x14ac:dyDescent="0.25">
      <c r="B167" s="45" t="s">
        <v>65</v>
      </c>
      <c r="C167" s="45">
        <v>6</v>
      </c>
      <c r="D167" s="2"/>
      <c r="E167" s="45" t="s">
        <v>65</v>
      </c>
      <c r="F167" s="45">
        <v>7</v>
      </c>
      <c r="H167" s="45" t="s">
        <v>65</v>
      </c>
      <c r="I167" s="45">
        <v>8</v>
      </c>
      <c r="K167" s="46" t="s">
        <v>65</v>
      </c>
      <c r="L167" s="46">
        <v>8</v>
      </c>
      <c r="N167" s="46" t="s">
        <v>65</v>
      </c>
      <c r="O167" s="46">
        <v>5</v>
      </c>
      <c r="Q167" s="58" t="s">
        <v>103</v>
      </c>
      <c r="R167" s="58">
        <v>8</v>
      </c>
      <c r="T167" s="58" t="s">
        <v>65</v>
      </c>
      <c r="U167" s="58">
        <v>9</v>
      </c>
      <c r="W167" s="58" t="s">
        <v>65</v>
      </c>
      <c r="X167" s="58">
        <v>9</v>
      </c>
    </row>
    <row r="168" spans="2:24" x14ac:dyDescent="0.25">
      <c r="B168" s="45" t="s">
        <v>67</v>
      </c>
      <c r="C168" s="45">
        <v>8</v>
      </c>
      <c r="D168" s="2"/>
      <c r="E168" s="45" t="s">
        <v>67</v>
      </c>
      <c r="F168" s="45">
        <v>6</v>
      </c>
      <c r="H168" s="45" t="s">
        <v>67</v>
      </c>
      <c r="I168" s="45">
        <v>7</v>
      </c>
      <c r="K168" s="46" t="s">
        <v>67</v>
      </c>
      <c r="L168" s="46">
        <v>9</v>
      </c>
      <c r="N168" s="46" t="s">
        <v>67</v>
      </c>
      <c r="O168" s="46">
        <v>10</v>
      </c>
    </row>
    <row r="169" spans="2:24" x14ac:dyDescent="0.25">
      <c r="B169" s="45" t="s">
        <v>99</v>
      </c>
      <c r="C169" s="45">
        <v>5</v>
      </c>
      <c r="D169" s="2"/>
      <c r="E169" s="45" t="s">
        <v>68</v>
      </c>
      <c r="F169" s="45">
        <v>9</v>
      </c>
      <c r="H169" s="45" t="s">
        <v>68</v>
      </c>
      <c r="I169" s="45">
        <v>10</v>
      </c>
    </row>
    <row r="170" spans="2:24" x14ac:dyDescent="0.25">
      <c r="B170" s="45" t="s">
        <v>69</v>
      </c>
      <c r="C170" s="45">
        <v>9</v>
      </c>
      <c r="E170" s="45" t="s">
        <v>69</v>
      </c>
      <c r="F170" s="45">
        <v>10</v>
      </c>
    </row>
    <row r="171" spans="2:24" x14ac:dyDescent="0.25">
      <c r="K171" s="46" t="s">
        <v>60</v>
      </c>
      <c r="L171" s="46">
        <v>4</v>
      </c>
      <c r="N171" s="46" t="s">
        <v>60</v>
      </c>
      <c r="O171" s="46">
        <v>3</v>
      </c>
      <c r="Q171" s="58" t="s">
        <v>60</v>
      </c>
      <c r="R171" s="58">
        <v>4</v>
      </c>
      <c r="T171" s="58" t="s">
        <v>60</v>
      </c>
      <c r="U171" s="58">
        <v>1</v>
      </c>
    </row>
    <row r="172" spans="2:24" x14ac:dyDescent="0.25">
      <c r="K172" s="46" t="s">
        <v>61</v>
      </c>
      <c r="L172" s="46">
        <v>3</v>
      </c>
      <c r="N172" s="46" t="s">
        <v>61</v>
      </c>
      <c r="O172" s="46">
        <v>2</v>
      </c>
      <c r="Q172" s="58" t="s">
        <v>61</v>
      </c>
      <c r="R172" s="58">
        <v>6</v>
      </c>
      <c r="T172" s="58" t="s">
        <v>102</v>
      </c>
      <c r="U172" s="58">
        <v>4</v>
      </c>
    </row>
    <row r="173" spans="2:24" x14ac:dyDescent="0.25">
      <c r="K173" s="46" t="s">
        <v>63</v>
      </c>
      <c r="L173" s="46">
        <v>8</v>
      </c>
      <c r="N173" s="46" t="s">
        <v>63</v>
      </c>
      <c r="O173" s="46">
        <v>7</v>
      </c>
      <c r="Q173" s="58" t="s">
        <v>63</v>
      </c>
      <c r="R173" s="58">
        <v>5</v>
      </c>
      <c r="T173" s="58" t="s">
        <v>63</v>
      </c>
      <c r="U173" s="58">
        <v>7</v>
      </c>
    </row>
    <row r="174" spans="2:24" x14ac:dyDescent="0.25">
      <c r="K174" s="46" t="s">
        <v>65</v>
      </c>
      <c r="L174" s="46">
        <v>7</v>
      </c>
      <c r="N174" s="59" t="s">
        <v>65</v>
      </c>
      <c r="O174" s="59">
        <v>6</v>
      </c>
      <c r="Q174" s="58" t="s">
        <v>65</v>
      </c>
      <c r="R174" s="58">
        <v>10</v>
      </c>
      <c r="T174" s="58" t="s">
        <v>65</v>
      </c>
      <c r="U174" s="58">
        <v>10</v>
      </c>
    </row>
    <row r="175" spans="2:24" x14ac:dyDescent="0.25">
      <c r="K175" s="46" t="s">
        <v>67</v>
      </c>
      <c r="L175" s="46">
        <v>10</v>
      </c>
      <c r="N175" s="46" t="s">
        <v>67</v>
      </c>
      <c r="O175" s="46">
        <v>9</v>
      </c>
    </row>
    <row r="177" spans="2:15" ht="26.25" x14ac:dyDescent="0.25">
      <c r="B177" s="164" t="s">
        <v>104</v>
      </c>
      <c r="C177" s="164"/>
      <c r="D177" s="164"/>
      <c r="E177" s="164"/>
      <c r="F177" s="164"/>
      <c r="G177" s="164"/>
      <c r="H177" s="164"/>
      <c r="I177" s="164"/>
      <c r="J177" s="164"/>
      <c r="K177" s="164"/>
      <c r="L177" s="164"/>
      <c r="M177" s="164"/>
      <c r="N177" s="164"/>
      <c r="O177" s="164"/>
    </row>
    <row r="179" spans="2:15" x14ac:dyDescent="0.25">
      <c r="B179" s="45" t="s">
        <v>60</v>
      </c>
      <c r="C179" s="45">
        <v>1</v>
      </c>
      <c r="D179" s="2"/>
      <c r="E179" s="45" t="s">
        <v>60</v>
      </c>
      <c r="F179" s="45">
        <v>2</v>
      </c>
      <c r="H179" s="45" t="s">
        <v>60</v>
      </c>
      <c r="I179" s="45">
        <v>3</v>
      </c>
      <c r="K179" s="46" t="s">
        <v>60</v>
      </c>
      <c r="L179" s="46">
        <v>1</v>
      </c>
      <c r="M179" s="2"/>
      <c r="N179" s="46" t="s">
        <v>60</v>
      </c>
      <c r="O179" s="46">
        <v>2</v>
      </c>
    </row>
    <row r="180" spans="2:15" x14ac:dyDescent="0.25">
      <c r="B180" s="45" t="s">
        <v>61</v>
      </c>
      <c r="C180" s="45">
        <v>3</v>
      </c>
      <c r="D180" s="2"/>
      <c r="E180" s="45" t="s">
        <v>61</v>
      </c>
      <c r="F180" s="45">
        <v>4</v>
      </c>
      <c r="H180" s="45" t="s">
        <v>61</v>
      </c>
      <c r="I180" s="45">
        <v>4</v>
      </c>
      <c r="K180" s="46" t="s">
        <v>61</v>
      </c>
      <c r="L180" s="46">
        <v>4</v>
      </c>
      <c r="M180" s="2"/>
      <c r="N180" s="46" t="s">
        <v>61</v>
      </c>
      <c r="O180" s="46">
        <v>1</v>
      </c>
    </row>
    <row r="181" spans="2:15" x14ac:dyDescent="0.25">
      <c r="B181" s="45" t="s">
        <v>89</v>
      </c>
      <c r="C181" s="45">
        <v>2</v>
      </c>
      <c r="D181" s="2"/>
      <c r="E181" s="45" t="s">
        <v>89</v>
      </c>
      <c r="F181" s="45">
        <v>1</v>
      </c>
      <c r="H181" s="45" t="s">
        <v>63</v>
      </c>
      <c r="I181" s="45">
        <v>5</v>
      </c>
      <c r="K181" s="46" t="s">
        <v>63</v>
      </c>
      <c r="L181" s="46">
        <v>5</v>
      </c>
      <c r="M181" s="2"/>
      <c r="N181" s="46" t="s">
        <v>63</v>
      </c>
      <c r="O181" s="46">
        <v>6</v>
      </c>
    </row>
    <row r="182" spans="2:15" x14ac:dyDescent="0.25">
      <c r="B182" s="45" t="s">
        <v>65</v>
      </c>
      <c r="C182" s="45">
        <v>6</v>
      </c>
      <c r="D182" s="2"/>
      <c r="E182" s="45" t="s">
        <v>65</v>
      </c>
      <c r="F182" s="45">
        <v>7</v>
      </c>
      <c r="H182" s="45" t="s">
        <v>65</v>
      </c>
      <c r="I182" s="45">
        <v>8</v>
      </c>
      <c r="K182" s="46" t="s">
        <v>65</v>
      </c>
      <c r="L182" s="46">
        <v>8</v>
      </c>
      <c r="M182" s="2"/>
      <c r="N182" s="46" t="s">
        <v>65</v>
      </c>
      <c r="O182" s="46">
        <v>5</v>
      </c>
    </row>
    <row r="183" spans="2:15" x14ac:dyDescent="0.25">
      <c r="B183" s="45" t="s">
        <v>67</v>
      </c>
      <c r="C183" s="45">
        <v>8</v>
      </c>
      <c r="D183" s="2"/>
      <c r="E183" s="45" t="s">
        <v>67</v>
      </c>
      <c r="F183" s="45">
        <v>6</v>
      </c>
      <c r="H183" s="45" t="s">
        <v>67</v>
      </c>
      <c r="I183" s="45">
        <v>7</v>
      </c>
      <c r="K183" s="46" t="s">
        <v>67</v>
      </c>
      <c r="L183" s="46">
        <v>9</v>
      </c>
      <c r="M183" s="2"/>
      <c r="N183" s="46" t="s">
        <v>67</v>
      </c>
      <c r="O183" s="46">
        <v>9</v>
      </c>
    </row>
    <row r="184" spans="2:15" x14ac:dyDescent="0.25">
      <c r="B184" s="45" t="s">
        <v>105</v>
      </c>
      <c r="C184" s="45">
        <v>5</v>
      </c>
      <c r="D184" s="2"/>
      <c r="E184" s="45" t="s">
        <v>68</v>
      </c>
      <c r="F184" s="45">
        <v>9</v>
      </c>
      <c r="H184" s="45" t="s">
        <v>68</v>
      </c>
      <c r="I184" s="45">
        <v>10</v>
      </c>
      <c r="K184" s="46" t="s">
        <v>68</v>
      </c>
      <c r="L184" s="46">
        <v>10</v>
      </c>
    </row>
    <row r="185" spans="2:15" x14ac:dyDescent="0.25">
      <c r="B185" s="45" t="s">
        <v>69</v>
      </c>
      <c r="C185" s="45">
        <v>10</v>
      </c>
      <c r="D185" s="2"/>
      <c r="E185" s="45" t="s">
        <v>72</v>
      </c>
      <c r="F185" s="45">
        <v>11</v>
      </c>
      <c r="H185" s="45" t="s">
        <v>69</v>
      </c>
      <c r="I185" s="45">
        <v>9</v>
      </c>
    </row>
    <row r="187" spans="2:15" x14ac:dyDescent="0.25">
      <c r="K187" s="46" t="s">
        <v>60</v>
      </c>
      <c r="L187" s="46">
        <v>4</v>
      </c>
      <c r="N187" s="46" t="s">
        <v>60</v>
      </c>
      <c r="O187" s="46">
        <v>3</v>
      </c>
    </row>
    <row r="188" spans="2:15" x14ac:dyDescent="0.25">
      <c r="K188" s="46" t="s">
        <v>61</v>
      </c>
      <c r="L188" s="46">
        <v>3</v>
      </c>
      <c r="N188" s="46" t="s">
        <v>61</v>
      </c>
      <c r="O188" s="46">
        <v>2</v>
      </c>
    </row>
    <row r="189" spans="2:15" x14ac:dyDescent="0.25">
      <c r="K189" s="46" t="s">
        <v>63</v>
      </c>
      <c r="L189" s="46">
        <v>8</v>
      </c>
      <c r="N189" s="46" t="s">
        <v>63</v>
      </c>
      <c r="O189" s="46">
        <v>7</v>
      </c>
    </row>
    <row r="190" spans="2:15" x14ac:dyDescent="0.25">
      <c r="K190" s="46" t="s">
        <v>65</v>
      </c>
      <c r="L190" s="46">
        <v>7</v>
      </c>
      <c r="N190" s="46" t="s">
        <v>65</v>
      </c>
      <c r="O190" s="46">
        <v>6</v>
      </c>
    </row>
    <row r="191" spans="2:15" x14ac:dyDescent="0.25">
      <c r="K191" s="46" t="s">
        <v>67</v>
      </c>
      <c r="L191" s="46">
        <v>10</v>
      </c>
      <c r="N191" s="46" t="s">
        <v>72</v>
      </c>
      <c r="O191" s="46"/>
    </row>
    <row r="194" spans="2:15" ht="26.25" x14ac:dyDescent="0.25">
      <c r="B194" s="164" t="s">
        <v>106</v>
      </c>
      <c r="C194" s="164"/>
      <c r="D194" s="164"/>
      <c r="E194" s="164"/>
      <c r="F194" s="164"/>
      <c r="G194" s="164"/>
      <c r="H194" s="164"/>
      <c r="I194" s="164"/>
      <c r="J194" s="164"/>
      <c r="K194" s="164"/>
      <c r="L194" s="164"/>
      <c r="M194" s="164"/>
      <c r="N194" s="164"/>
      <c r="O194" s="164"/>
    </row>
    <row r="196" spans="2:15" x14ac:dyDescent="0.25">
      <c r="B196" s="45" t="s">
        <v>60</v>
      </c>
      <c r="C196" s="45">
        <v>1</v>
      </c>
      <c r="D196" s="2"/>
      <c r="E196" s="45" t="s">
        <v>60</v>
      </c>
      <c r="F196" s="45">
        <v>2</v>
      </c>
      <c r="H196" s="45" t="s">
        <v>60</v>
      </c>
      <c r="I196" s="45">
        <v>3</v>
      </c>
      <c r="K196" s="46" t="s">
        <v>60</v>
      </c>
      <c r="L196" s="46">
        <v>1</v>
      </c>
      <c r="M196" s="2"/>
      <c r="N196" s="46" t="s">
        <v>60</v>
      </c>
      <c r="O196" s="46">
        <v>2</v>
      </c>
    </row>
    <row r="197" spans="2:15" x14ac:dyDescent="0.25">
      <c r="B197" s="45" t="s">
        <v>61</v>
      </c>
      <c r="C197" s="45">
        <v>3</v>
      </c>
      <c r="D197" s="2"/>
      <c r="E197" s="45" t="s">
        <v>61</v>
      </c>
      <c r="F197" s="45">
        <v>4</v>
      </c>
      <c r="H197" s="45" t="s">
        <v>61</v>
      </c>
      <c r="I197" s="45">
        <v>4</v>
      </c>
      <c r="K197" s="46" t="s">
        <v>61</v>
      </c>
      <c r="L197" s="46">
        <v>4</v>
      </c>
      <c r="M197" s="2"/>
      <c r="N197" s="46" t="s">
        <v>61</v>
      </c>
      <c r="O197" s="46">
        <v>1</v>
      </c>
    </row>
    <row r="198" spans="2:15" x14ac:dyDescent="0.25">
      <c r="B198" s="45" t="s">
        <v>85</v>
      </c>
      <c r="C198" s="45">
        <v>2</v>
      </c>
      <c r="D198" s="2"/>
      <c r="E198" s="45" t="s">
        <v>86</v>
      </c>
      <c r="F198" s="45">
        <v>1</v>
      </c>
      <c r="H198" s="45" t="s">
        <v>63</v>
      </c>
      <c r="I198" s="45">
        <v>5</v>
      </c>
      <c r="K198" s="46" t="s">
        <v>63</v>
      </c>
      <c r="L198" s="46">
        <v>5</v>
      </c>
      <c r="M198" s="2"/>
      <c r="N198" s="46" t="s">
        <v>63</v>
      </c>
      <c r="O198" s="46">
        <v>6</v>
      </c>
    </row>
    <row r="199" spans="2:15" x14ac:dyDescent="0.25">
      <c r="B199" s="45" t="s">
        <v>65</v>
      </c>
      <c r="C199" s="45">
        <v>6</v>
      </c>
      <c r="D199" s="2"/>
      <c r="E199" s="45" t="s">
        <v>65</v>
      </c>
      <c r="F199" s="45">
        <v>7</v>
      </c>
      <c r="H199" s="45" t="s">
        <v>65</v>
      </c>
      <c r="I199" s="45">
        <v>8</v>
      </c>
      <c r="K199" s="46" t="s">
        <v>65</v>
      </c>
      <c r="L199" s="46">
        <v>8</v>
      </c>
      <c r="M199" s="2"/>
      <c r="N199" s="46" t="s">
        <v>65</v>
      </c>
      <c r="O199" s="46">
        <v>5</v>
      </c>
    </row>
    <row r="200" spans="2:15" x14ac:dyDescent="0.25">
      <c r="B200" s="45" t="s">
        <v>67</v>
      </c>
      <c r="C200" s="45">
        <v>8</v>
      </c>
      <c r="D200" s="2"/>
      <c r="E200" s="45" t="s">
        <v>67</v>
      </c>
      <c r="F200" s="45">
        <v>6</v>
      </c>
      <c r="H200" s="45" t="s">
        <v>67</v>
      </c>
      <c r="I200" s="45">
        <v>7</v>
      </c>
      <c r="K200" s="46" t="s">
        <v>67</v>
      </c>
      <c r="L200" s="46">
        <v>9</v>
      </c>
      <c r="M200" s="2"/>
      <c r="N200" s="46" t="s">
        <v>67</v>
      </c>
      <c r="O200" s="46">
        <v>11</v>
      </c>
    </row>
    <row r="201" spans="2:15" x14ac:dyDescent="0.25">
      <c r="B201" s="45" t="s">
        <v>99</v>
      </c>
      <c r="C201" s="45">
        <v>5</v>
      </c>
      <c r="D201" s="2"/>
      <c r="E201" s="45" t="s">
        <v>68</v>
      </c>
      <c r="F201" s="45">
        <v>9</v>
      </c>
      <c r="H201" s="45" t="s">
        <v>68</v>
      </c>
      <c r="I201" s="45">
        <v>10</v>
      </c>
      <c r="K201" s="46" t="s">
        <v>68</v>
      </c>
      <c r="L201" s="46">
        <v>10</v>
      </c>
      <c r="M201" s="2"/>
      <c r="N201" s="46" t="s">
        <v>68</v>
      </c>
      <c r="O201" s="46">
        <v>9</v>
      </c>
    </row>
    <row r="202" spans="2:15" x14ac:dyDescent="0.25">
      <c r="B202" s="45" t="s">
        <v>69</v>
      </c>
      <c r="C202" s="45">
        <v>10</v>
      </c>
      <c r="D202" s="2"/>
      <c r="E202" s="45" t="s">
        <v>69</v>
      </c>
      <c r="F202" s="45">
        <v>11</v>
      </c>
      <c r="H202" s="45" t="s">
        <v>69</v>
      </c>
      <c r="I202" s="45">
        <v>11</v>
      </c>
    </row>
    <row r="203" spans="2:15" x14ac:dyDescent="0.25">
      <c r="B203" s="45" t="s">
        <v>70</v>
      </c>
      <c r="C203" s="45">
        <v>9</v>
      </c>
      <c r="D203" s="2"/>
    </row>
    <row r="204" spans="2:15" x14ac:dyDescent="0.25">
      <c r="K204" s="46" t="s">
        <v>60</v>
      </c>
      <c r="L204" s="46">
        <v>4</v>
      </c>
      <c r="M204" s="2"/>
      <c r="N204" s="46" t="s">
        <v>60</v>
      </c>
      <c r="O204" s="46">
        <v>3</v>
      </c>
    </row>
    <row r="205" spans="2:15" x14ac:dyDescent="0.25">
      <c r="K205" s="46" t="s">
        <v>61</v>
      </c>
      <c r="L205" s="46">
        <v>3</v>
      </c>
      <c r="M205" s="2"/>
      <c r="N205" s="46" t="s">
        <v>61</v>
      </c>
      <c r="O205" s="46">
        <v>2</v>
      </c>
    </row>
    <row r="206" spans="2:15" x14ac:dyDescent="0.25">
      <c r="K206" s="46" t="s">
        <v>63</v>
      </c>
      <c r="L206" s="46">
        <v>8</v>
      </c>
      <c r="M206" s="2"/>
      <c r="N206" s="46" t="s">
        <v>63</v>
      </c>
      <c r="O206" s="46">
        <v>7</v>
      </c>
    </row>
    <row r="207" spans="2:15" x14ac:dyDescent="0.25">
      <c r="K207" s="46" t="s">
        <v>65</v>
      </c>
      <c r="L207" s="46">
        <v>7</v>
      </c>
      <c r="M207" s="2"/>
      <c r="N207" s="46" t="s">
        <v>65</v>
      </c>
      <c r="O207" s="46">
        <v>6</v>
      </c>
    </row>
    <row r="208" spans="2:15" x14ac:dyDescent="0.25">
      <c r="K208" s="46" t="s">
        <v>67</v>
      </c>
      <c r="L208" s="46">
        <v>11</v>
      </c>
      <c r="M208" s="2"/>
      <c r="N208" s="46" t="s">
        <v>67</v>
      </c>
      <c r="O208" s="46">
        <v>10</v>
      </c>
    </row>
    <row r="210" spans="2:15" ht="26.25" x14ac:dyDescent="0.25">
      <c r="B210" s="164" t="s">
        <v>107</v>
      </c>
      <c r="C210" s="164"/>
      <c r="D210" s="164"/>
      <c r="E210" s="164"/>
      <c r="F210" s="164"/>
      <c r="G210" s="164"/>
      <c r="H210" s="164"/>
      <c r="I210" s="164"/>
      <c r="J210" s="164"/>
      <c r="K210" s="164"/>
      <c r="L210" s="164"/>
      <c r="M210" s="164"/>
      <c r="N210" s="164"/>
      <c r="O210" s="164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60</v>
      </c>
      <c r="C212" s="45">
        <v>1</v>
      </c>
      <c r="D212" s="2"/>
      <c r="E212" s="45" t="s">
        <v>60</v>
      </c>
      <c r="F212" s="45">
        <v>2</v>
      </c>
      <c r="H212" s="45" t="s">
        <v>60</v>
      </c>
      <c r="I212" s="45">
        <v>3</v>
      </c>
      <c r="K212" s="46" t="s">
        <v>60</v>
      </c>
      <c r="L212" s="46">
        <v>1</v>
      </c>
      <c r="M212" s="2"/>
      <c r="N212" s="46" t="s">
        <v>60</v>
      </c>
      <c r="O212" s="46">
        <v>2</v>
      </c>
    </row>
    <row r="213" spans="2:15" x14ac:dyDescent="0.25">
      <c r="B213" s="45" t="s">
        <v>61</v>
      </c>
      <c r="C213" s="45">
        <v>3</v>
      </c>
      <c r="D213" s="2"/>
      <c r="E213" s="45" t="s">
        <v>61</v>
      </c>
      <c r="F213" s="45">
        <v>4</v>
      </c>
      <c r="H213" s="45" t="s">
        <v>61</v>
      </c>
      <c r="I213" s="45">
        <v>4</v>
      </c>
      <c r="K213" s="46" t="s">
        <v>61</v>
      </c>
      <c r="L213" s="46">
        <v>4</v>
      </c>
      <c r="M213" s="2"/>
      <c r="N213" s="46" t="s">
        <v>61</v>
      </c>
      <c r="O213" s="46">
        <v>1</v>
      </c>
    </row>
    <row r="214" spans="2:15" x14ac:dyDescent="0.25">
      <c r="B214" s="45" t="s">
        <v>85</v>
      </c>
      <c r="C214" s="45">
        <v>2</v>
      </c>
      <c r="D214" s="2"/>
      <c r="E214" s="45" t="s">
        <v>86</v>
      </c>
      <c r="F214" s="45">
        <v>1</v>
      </c>
      <c r="H214" s="45" t="s">
        <v>63</v>
      </c>
      <c r="I214" s="45">
        <v>5</v>
      </c>
      <c r="K214" s="46" t="s">
        <v>85</v>
      </c>
      <c r="L214" s="46">
        <v>5</v>
      </c>
      <c r="M214" s="2"/>
      <c r="N214" s="46" t="s">
        <v>86</v>
      </c>
      <c r="O214" s="46">
        <v>6</v>
      </c>
    </row>
    <row r="215" spans="2:15" x14ac:dyDescent="0.25">
      <c r="B215" s="45" t="s">
        <v>65</v>
      </c>
      <c r="C215" s="45">
        <v>6</v>
      </c>
      <c r="D215" s="2"/>
      <c r="E215" s="45" t="s">
        <v>65</v>
      </c>
      <c r="F215" s="45">
        <v>7</v>
      </c>
      <c r="H215" s="45" t="s">
        <v>65</v>
      </c>
      <c r="I215" s="45">
        <v>8</v>
      </c>
      <c r="K215" s="46" t="s">
        <v>65</v>
      </c>
      <c r="L215" s="46">
        <v>8</v>
      </c>
      <c r="M215" s="2"/>
      <c r="N215" s="46" t="s">
        <v>65</v>
      </c>
      <c r="O215" s="46">
        <v>5</v>
      </c>
    </row>
    <row r="216" spans="2:15" x14ac:dyDescent="0.25">
      <c r="B216" s="45" t="s">
        <v>67</v>
      </c>
      <c r="C216" s="45">
        <v>8</v>
      </c>
      <c r="D216" s="2"/>
      <c r="E216" s="45" t="s">
        <v>67</v>
      </c>
      <c r="F216" s="45">
        <v>6</v>
      </c>
      <c r="H216" s="45" t="s">
        <v>67</v>
      </c>
      <c r="I216" s="45">
        <v>7</v>
      </c>
      <c r="K216" s="46" t="s">
        <v>67</v>
      </c>
      <c r="L216" s="46">
        <v>9</v>
      </c>
      <c r="M216" s="2"/>
      <c r="N216" s="46" t="s">
        <v>67</v>
      </c>
      <c r="O216" s="46">
        <v>10</v>
      </c>
    </row>
    <row r="217" spans="2:15" x14ac:dyDescent="0.25">
      <c r="B217" s="45" t="s">
        <v>99</v>
      </c>
      <c r="C217" s="45">
        <v>5</v>
      </c>
      <c r="D217" s="2"/>
      <c r="E217" s="45" t="s">
        <v>68</v>
      </c>
      <c r="F217" s="45">
        <v>9</v>
      </c>
      <c r="H217" s="45" t="s">
        <v>68</v>
      </c>
      <c r="I217" s="45">
        <v>10</v>
      </c>
      <c r="K217" s="46" t="s">
        <v>99</v>
      </c>
      <c r="L217" s="46">
        <v>11</v>
      </c>
      <c r="M217" s="2"/>
      <c r="N217" s="46" t="s">
        <v>68</v>
      </c>
      <c r="O217" s="46">
        <v>9</v>
      </c>
    </row>
    <row r="218" spans="2:15" x14ac:dyDescent="0.25">
      <c r="B218" s="45" t="s">
        <v>69</v>
      </c>
      <c r="C218" s="45">
        <v>11</v>
      </c>
      <c r="D218" s="2"/>
      <c r="E218" s="45" t="s">
        <v>69</v>
      </c>
      <c r="F218" s="45">
        <v>11</v>
      </c>
      <c r="H218" s="45" t="s">
        <v>69</v>
      </c>
      <c r="I218" s="45">
        <v>9</v>
      </c>
    </row>
    <row r="219" spans="2:15" x14ac:dyDescent="0.25">
      <c r="B219" s="45" t="s">
        <v>72</v>
      </c>
      <c r="C219" s="45">
        <v>12</v>
      </c>
      <c r="D219" s="2"/>
      <c r="E219" s="45" t="s">
        <v>70</v>
      </c>
      <c r="F219" s="45">
        <v>10</v>
      </c>
      <c r="H219" s="60"/>
      <c r="I219" s="60"/>
    </row>
    <row r="220" spans="2:15" x14ac:dyDescent="0.25">
      <c r="K220" s="46" t="s">
        <v>60</v>
      </c>
      <c r="L220" s="46">
        <v>4</v>
      </c>
      <c r="M220" s="2"/>
      <c r="N220" s="46" t="s">
        <v>60</v>
      </c>
      <c r="O220" s="46">
        <v>3</v>
      </c>
    </row>
    <row r="221" spans="2:15" x14ac:dyDescent="0.25">
      <c r="K221" s="46" t="s">
        <v>61</v>
      </c>
      <c r="L221" s="46">
        <v>3</v>
      </c>
      <c r="M221" s="2"/>
      <c r="N221" s="46" t="s">
        <v>61</v>
      </c>
      <c r="O221" s="46">
        <v>2</v>
      </c>
    </row>
    <row r="222" spans="2:15" x14ac:dyDescent="0.25">
      <c r="K222" s="46" t="s">
        <v>85</v>
      </c>
      <c r="L222" s="46">
        <v>8</v>
      </c>
      <c r="M222" s="2"/>
      <c r="N222" s="46" t="s">
        <v>86</v>
      </c>
      <c r="O222" s="46">
        <v>7</v>
      </c>
    </row>
    <row r="223" spans="2:15" x14ac:dyDescent="0.25">
      <c r="K223" s="46" t="s">
        <v>65</v>
      </c>
      <c r="L223" s="46">
        <v>7</v>
      </c>
      <c r="M223" s="2"/>
      <c r="N223" s="46" t="s">
        <v>65</v>
      </c>
      <c r="O223" s="46">
        <v>6</v>
      </c>
    </row>
    <row r="224" spans="2:15" x14ac:dyDescent="0.25">
      <c r="K224" s="46" t="s">
        <v>67</v>
      </c>
      <c r="L224" s="46">
        <v>11</v>
      </c>
      <c r="M224" s="2"/>
      <c r="N224" s="46" t="s">
        <v>67</v>
      </c>
      <c r="O224" s="46">
        <v>10</v>
      </c>
    </row>
    <row r="225" spans="2:15" x14ac:dyDescent="0.25">
      <c r="K225" s="46" t="s">
        <v>97</v>
      </c>
      <c r="L225" s="46">
        <v>12</v>
      </c>
      <c r="M225" s="2"/>
      <c r="N225" s="2"/>
      <c r="O225" s="2"/>
    </row>
    <row r="228" spans="2:15" ht="26.25" x14ac:dyDescent="0.25">
      <c r="B228" s="165" t="s">
        <v>108</v>
      </c>
      <c r="C228" s="166"/>
      <c r="D228" s="166"/>
      <c r="E228" s="166"/>
      <c r="F228" s="166"/>
      <c r="G228" s="166"/>
      <c r="H228" s="166"/>
      <c r="I228" s="166"/>
      <c r="J228" s="166"/>
      <c r="K228" s="166"/>
      <c r="L228" s="166"/>
      <c r="M228" s="166"/>
      <c r="N228" s="166"/>
      <c r="O228" s="167"/>
    </row>
    <row r="230" spans="2:15" x14ac:dyDescent="0.25">
      <c r="B230" s="45" t="s">
        <v>60</v>
      </c>
      <c r="C230" s="45">
        <v>1</v>
      </c>
      <c r="D230" s="2"/>
      <c r="E230" s="45" t="s">
        <v>60</v>
      </c>
      <c r="F230" s="45">
        <v>2</v>
      </c>
      <c r="H230" s="45" t="s">
        <v>60</v>
      </c>
      <c r="I230" s="45">
        <v>3</v>
      </c>
      <c r="K230" s="46" t="s">
        <v>60</v>
      </c>
      <c r="L230" s="46">
        <v>1</v>
      </c>
      <c r="M230" s="2"/>
      <c r="N230" s="46" t="s">
        <v>60</v>
      </c>
      <c r="O230" s="46">
        <v>2</v>
      </c>
    </row>
    <row r="231" spans="2:15" x14ac:dyDescent="0.25">
      <c r="B231" s="45" t="s">
        <v>61</v>
      </c>
      <c r="C231" s="45">
        <v>3</v>
      </c>
      <c r="D231" s="2"/>
      <c r="E231" s="45" t="s">
        <v>61</v>
      </c>
      <c r="F231" s="45">
        <v>4</v>
      </c>
      <c r="H231" s="45" t="s">
        <v>61</v>
      </c>
      <c r="I231" s="45">
        <v>4</v>
      </c>
      <c r="K231" s="46" t="s">
        <v>61</v>
      </c>
      <c r="L231" s="46">
        <v>4</v>
      </c>
      <c r="M231" s="2"/>
      <c r="N231" s="46" t="s">
        <v>61</v>
      </c>
      <c r="O231" s="46">
        <v>1</v>
      </c>
    </row>
    <row r="232" spans="2:15" x14ac:dyDescent="0.25">
      <c r="B232" s="45" t="s">
        <v>85</v>
      </c>
      <c r="C232" s="45">
        <v>2</v>
      </c>
      <c r="D232" s="2"/>
      <c r="E232" s="45" t="s">
        <v>86</v>
      </c>
      <c r="F232" s="45">
        <v>1</v>
      </c>
      <c r="H232" s="45" t="s">
        <v>63</v>
      </c>
      <c r="I232" s="45">
        <v>5</v>
      </c>
      <c r="K232" s="46" t="s">
        <v>63</v>
      </c>
      <c r="L232" s="46">
        <v>5</v>
      </c>
      <c r="M232" s="2"/>
      <c r="N232" s="46" t="s">
        <v>63</v>
      </c>
      <c r="O232" s="46">
        <v>6</v>
      </c>
    </row>
    <row r="233" spans="2:15" x14ac:dyDescent="0.25">
      <c r="B233" s="45" t="s">
        <v>65</v>
      </c>
      <c r="C233" s="45">
        <v>6</v>
      </c>
      <c r="D233" s="2"/>
      <c r="E233" s="45" t="s">
        <v>65</v>
      </c>
      <c r="F233" s="45">
        <v>7</v>
      </c>
      <c r="H233" s="45" t="s">
        <v>65</v>
      </c>
      <c r="I233" s="45">
        <v>8</v>
      </c>
      <c r="K233" s="46" t="s">
        <v>65</v>
      </c>
      <c r="L233" s="46">
        <v>8</v>
      </c>
      <c r="M233" s="2"/>
      <c r="N233" s="46" t="s">
        <v>65</v>
      </c>
      <c r="O233" s="46">
        <v>5</v>
      </c>
    </row>
    <row r="234" spans="2:15" x14ac:dyDescent="0.25">
      <c r="B234" s="45" t="s">
        <v>67</v>
      </c>
      <c r="C234" s="45">
        <v>8</v>
      </c>
      <c r="D234" s="2"/>
      <c r="E234" s="45" t="s">
        <v>67</v>
      </c>
      <c r="F234" s="45">
        <v>6</v>
      </c>
      <c r="H234" s="45" t="s">
        <v>67</v>
      </c>
      <c r="I234" s="45">
        <v>7</v>
      </c>
      <c r="K234" s="46" t="s">
        <v>67</v>
      </c>
      <c r="L234" s="46">
        <v>9</v>
      </c>
      <c r="M234" s="2"/>
      <c r="N234" s="46" t="s">
        <v>67</v>
      </c>
      <c r="O234" s="46">
        <v>10</v>
      </c>
    </row>
    <row r="235" spans="2:15" x14ac:dyDescent="0.25">
      <c r="B235" s="45" t="s">
        <v>99</v>
      </c>
      <c r="C235" s="45">
        <v>5</v>
      </c>
      <c r="D235" s="2"/>
      <c r="E235" s="45" t="s">
        <v>68</v>
      </c>
      <c r="F235" s="45">
        <v>9</v>
      </c>
      <c r="H235" s="45" t="s">
        <v>68</v>
      </c>
      <c r="I235" s="45">
        <v>10</v>
      </c>
      <c r="K235" s="46" t="s">
        <v>68</v>
      </c>
      <c r="L235" s="46">
        <v>12</v>
      </c>
      <c r="M235" s="2"/>
      <c r="N235" s="46" t="s">
        <v>68</v>
      </c>
      <c r="O235" s="46">
        <v>9</v>
      </c>
    </row>
    <row r="236" spans="2:15" x14ac:dyDescent="0.25">
      <c r="B236" s="45" t="s">
        <v>69</v>
      </c>
      <c r="C236" s="45">
        <v>12</v>
      </c>
      <c r="D236" s="2"/>
      <c r="E236" s="45" t="s">
        <v>69</v>
      </c>
      <c r="F236" s="45">
        <v>12</v>
      </c>
      <c r="H236" s="45" t="s">
        <v>69</v>
      </c>
      <c r="I236" s="45">
        <v>11</v>
      </c>
    </row>
    <row r="237" spans="2:15" x14ac:dyDescent="0.25">
      <c r="B237" s="45" t="s">
        <v>70</v>
      </c>
      <c r="C237" s="45">
        <v>11</v>
      </c>
      <c r="D237" s="2"/>
      <c r="E237" s="45" t="s">
        <v>70</v>
      </c>
      <c r="F237" s="45">
        <v>10</v>
      </c>
      <c r="H237" s="45" t="s">
        <v>70</v>
      </c>
      <c r="I237" s="45">
        <v>9</v>
      </c>
    </row>
    <row r="239" spans="2:15" x14ac:dyDescent="0.25">
      <c r="K239" s="46" t="s">
        <v>60</v>
      </c>
      <c r="L239" s="46">
        <v>4</v>
      </c>
      <c r="M239" s="2"/>
      <c r="N239" s="46" t="s">
        <v>60</v>
      </c>
      <c r="O239" s="46">
        <v>3</v>
      </c>
    </row>
    <row r="240" spans="2:15" x14ac:dyDescent="0.25">
      <c r="K240" s="46" t="s">
        <v>61</v>
      </c>
      <c r="L240" s="46">
        <v>3</v>
      </c>
      <c r="M240" s="2"/>
      <c r="N240" s="46" t="s">
        <v>61</v>
      </c>
      <c r="O240" s="46">
        <v>2</v>
      </c>
    </row>
    <row r="241" spans="2:30" x14ac:dyDescent="0.25">
      <c r="K241" s="46" t="s">
        <v>63</v>
      </c>
      <c r="L241" s="46">
        <v>8</v>
      </c>
      <c r="M241" s="2"/>
      <c r="N241" s="46" t="s">
        <v>63</v>
      </c>
      <c r="O241" s="46">
        <v>7</v>
      </c>
    </row>
    <row r="242" spans="2:30" x14ac:dyDescent="0.25">
      <c r="K242" s="46" t="s">
        <v>65</v>
      </c>
      <c r="L242" s="46">
        <v>7</v>
      </c>
      <c r="M242" s="2"/>
      <c r="N242" s="46" t="s">
        <v>65</v>
      </c>
      <c r="O242" s="46">
        <v>6</v>
      </c>
    </row>
    <row r="243" spans="2:30" x14ac:dyDescent="0.25">
      <c r="K243" s="46" t="s">
        <v>67</v>
      </c>
      <c r="L243" s="46">
        <v>12</v>
      </c>
      <c r="M243" s="2"/>
      <c r="N243" s="46" t="s">
        <v>67</v>
      </c>
      <c r="O243" s="46">
        <v>11</v>
      </c>
    </row>
    <row r="244" spans="2:30" x14ac:dyDescent="0.25">
      <c r="K244" s="46" t="s">
        <v>68</v>
      </c>
      <c r="L244" s="46">
        <v>11</v>
      </c>
      <c r="M244" s="2"/>
      <c r="N244" s="46" t="s">
        <v>68</v>
      </c>
      <c r="O244" s="46">
        <v>10</v>
      </c>
    </row>
    <row r="246" spans="2:30" ht="26.25" x14ac:dyDescent="0.25">
      <c r="B246" s="164" t="s">
        <v>109</v>
      </c>
      <c r="C246" s="164"/>
      <c r="D246" s="164"/>
      <c r="E246" s="164"/>
      <c r="F246" s="164"/>
      <c r="G246" s="164"/>
      <c r="H246" s="164"/>
      <c r="I246" s="164"/>
      <c r="J246" s="164"/>
      <c r="K246" s="164"/>
      <c r="L246" s="164"/>
      <c r="M246" s="164"/>
      <c r="N246" s="164"/>
      <c r="O246" s="164"/>
      <c r="P246" s="164"/>
      <c r="Q246" s="164"/>
      <c r="R246" s="164"/>
      <c r="S246" s="164"/>
      <c r="T246" s="164"/>
      <c r="U246" s="164"/>
      <c r="V246" s="164"/>
      <c r="W246" s="164"/>
      <c r="X246" s="164"/>
      <c r="Y246" s="164"/>
      <c r="Z246" s="164"/>
      <c r="AA246" s="164"/>
      <c r="AB246" s="164"/>
      <c r="AC246" s="164"/>
      <c r="AD246" s="164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60</v>
      </c>
      <c r="C248" s="46">
        <v>1</v>
      </c>
      <c r="D248" s="2"/>
      <c r="E248" s="46" t="s">
        <v>60</v>
      </c>
      <c r="F248" s="46">
        <v>2</v>
      </c>
      <c r="H248" s="46" t="s">
        <v>60</v>
      </c>
      <c r="I248" s="46">
        <v>3</v>
      </c>
      <c r="J248" s="2"/>
      <c r="K248" s="46" t="s">
        <v>60</v>
      </c>
      <c r="L248" s="46">
        <v>4</v>
      </c>
      <c r="N248" s="58" t="s">
        <v>60</v>
      </c>
      <c r="O248" s="58">
        <v>1</v>
      </c>
      <c r="P248" s="2"/>
      <c r="Q248" s="58" t="s">
        <v>60</v>
      </c>
      <c r="R248" s="58">
        <v>2</v>
      </c>
      <c r="T248" s="58" t="s">
        <v>60</v>
      </c>
      <c r="U248" s="58">
        <v>3</v>
      </c>
      <c r="W248" s="61" t="s">
        <v>60</v>
      </c>
      <c r="X248" s="61">
        <v>1</v>
      </c>
      <c r="Y248" s="2"/>
      <c r="Z248" s="61" t="s">
        <v>60</v>
      </c>
      <c r="AA248" s="61">
        <v>2</v>
      </c>
      <c r="AC248" s="61" t="s">
        <v>60</v>
      </c>
      <c r="AD248" s="61">
        <v>3</v>
      </c>
    </row>
    <row r="249" spans="2:30" x14ac:dyDescent="0.25">
      <c r="B249" s="46" t="s">
        <v>61</v>
      </c>
      <c r="C249" s="46">
        <v>3</v>
      </c>
      <c r="D249" s="2"/>
      <c r="E249" s="46" t="s">
        <v>61</v>
      </c>
      <c r="F249" s="46">
        <v>4</v>
      </c>
      <c r="H249" s="46" t="s">
        <v>61</v>
      </c>
      <c r="I249" s="46">
        <v>2</v>
      </c>
      <c r="J249" s="2"/>
      <c r="K249" s="46" t="s">
        <v>61</v>
      </c>
      <c r="L249" s="46">
        <v>1</v>
      </c>
      <c r="N249" s="58" t="s">
        <v>102</v>
      </c>
      <c r="O249" s="58">
        <v>2</v>
      </c>
      <c r="P249" s="2"/>
      <c r="Q249" s="58" t="s">
        <v>102</v>
      </c>
      <c r="R249" s="58">
        <v>3</v>
      </c>
      <c r="T249" s="58" t="s">
        <v>61</v>
      </c>
      <c r="U249" s="58">
        <v>5</v>
      </c>
      <c r="W249" s="61" t="s">
        <v>61</v>
      </c>
      <c r="X249" s="61">
        <v>5</v>
      </c>
      <c r="Y249" s="2"/>
      <c r="Z249" s="61" t="s">
        <v>102</v>
      </c>
      <c r="AA249" s="61">
        <v>3</v>
      </c>
      <c r="AC249" s="61" t="s">
        <v>61</v>
      </c>
      <c r="AD249" s="61">
        <v>6</v>
      </c>
    </row>
    <row r="250" spans="2:30" x14ac:dyDescent="0.25">
      <c r="B250" s="46" t="s">
        <v>63</v>
      </c>
      <c r="C250" s="46">
        <v>5</v>
      </c>
      <c r="D250" s="2"/>
      <c r="E250" s="46" t="s">
        <v>63</v>
      </c>
      <c r="F250" s="46">
        <v>6</v>
      </c>
      <c r="H250" s="46" t="s">
        <v>63</v>
      </c>
      <c r="I250" s="46">
        <v>7</v>
      </c>
      <c r="J250" s="2"/>
      <c r="K250" s="46" t="s">
        <v>63</v>
      </c>
      <c r="L250" s="46">
        <v>8</v>
      </c>
      <c r="N250" s="58" t="s">
        <v>63</v>
      </c>
      <c r="O250" s="58">
        <v>7</v>
      </c>
      <c r="P250" s="2"/>
      <c r="Q250" s="58" t="s">
        <v>63</v>
      </c>
      <c r="R250" s="58">
        <v>8</v>
      </c>
      <c r="T250" s="58" t="s">
        <v>63</v>
      </c>
      <c r="U250" s="58">
        <v>6</v>
      </c>
      <c r="W250" s="61" t="s">
        <v>89</v>
      </c>
      <c r="X250" s="61">
        <v>6</v>
      </c>
      <c r="Y250" s="2"/>
      <c r="Z250" s="61" t="s">
        <v>89</v>
      </c>
      <c r="AA250" s="61">
        <v>5</v>
      </c>
      <c r="AC250" s="61" t="s">
        <v>63</v>
      </c>
      <c r="AD250" s="61">
        <v>9</v>
      </c>
    </row>
    <row r="251" spans="2:30" x14ac:dyDescent="0.25">
      <c r="B251" s="46" t="s">
        <v>65</v>
      </c>
      <c r="C251" s="46">
        <v>7</v>
      </c>
      <c r="D251" s="2"/>
      <c r="E251" s="46" t="s">
        <v>65</v>
      </c>
      <c r="F251" s="46">
        <v>8</v>
      </c>
      <c r="H251" s="46" t="s">
        <v>65</v>
      </c>
      <c r="I251" s="46">
        <v>6</v>
      </c>
      <c r="J251" s="2"/>
      <c r="K251" s="46" t="s">
        <v>65</v>
      </c>
      <c r="L251" s="46">
        <v>5</v>
      </c>
      <c r="N251" s="58" t="s">
        <v>65</v>
      </c>
      <c r="O251" s="58">
        <v>8</v>
      </c>
      <c r="P251" s="2"/>
      <c r="Q251" s="58" t="s">
        <v>65</v>
      </c>
      <c r="R251" s="58">
        <v>9</v>
      </c>
      <c r="T251" s="58" t="s">
        <v>65</v>
      </c>
      <c r="U251" s="58">
        <v>9</v>
      </c>
      <c r="W251" s="61" t="s">
        <v>65</v>
      </c>
      <c r="X251" s="61">
        <v>11</v>
      </c>
      <c r="Y251" s="2"/>
      <c r="Z251" s="61" t="s">
        <v>65</v>
      </c>
      <c r="AA251" s="61">
        <v>12</v>
      </c>
      <c r="AC251" s="61" t="s">
        <v>65</v>
      </c>
      <c r="AD251" s="61">
        <v>11</v>
      </c>
    </row>
    <row r="252" spans="2:30" x14ac:dyDescent="0.25">
      <c r="B252" s="46" t="s">
        <v>67</v>
      </c>
      <c r="C252" s="46">
        <v>9</v>
      </c>
      <c r="D252" s="2"/>
      <c r="E252" s="46" t="s">
        <v>67</v>
      </c>
      <c r="F252" s="46">
        <v>10</v>
      </c>
      <c r="H252" s="46" t="s">
        <v>67</v>
      </c>
      <c r="I252" s="46">
        <v>11</v>
      </c>
      <c r="J252" s="2"/>
      <c r="K252" s="46" t="s">
        <v>67</v>
      </c>
      <c r="L252" s="46">
        <v>12</v>
      </c>
      <c r="N252" s="58" t="s">
        <v>67</v>
      </c>
      <c r="O252" s="58">
        <v>11</v>
      </c>
      <c r="P252" s="2"/>
      <c r="Q252" s="58" t="s">
        <v>67</v>
      </c>
      <c r="R252" s="58">
        <v>12</v>
      </c>
      <c r="T252" s="58" t="s">
        <v>67</v>
      </c>
      <c r="U252" s="58">
        <v>1</v>
      </c>
      <c r="W252" s="61" t="s">
        <v>67</v>
      </c>
      <c r="X252" s="61">
        <v>12</v>
      </c>
    </row>
    <row r="253" spans="2:30" x14ac:dyDescent="0.25">
      <c r="B253" s="46" t="s">
        <v>68</v>
      </c>
      <c r="C253" s="46">
        <v>11</v>
      </c>
      <c r="D253" s="2"/>
      <c r="E253" s="46" t="s">
        <v>68</v>
      </c>
      <c r="F253" s="46">
        <v>12</v>
      </c>
      <c r="H253" s="46" t="s">
        <v>68</v>
      </c>
      <c r="I253" s="46">
        <v>10</v>
      </c>
      <c r="J253" s="2"/>
      <c r="K253" s="46" t="s">
        <v>68</v>
      </c>
      <c r="L253" s="46">
        <v>9</v>
      </c>
    </row>
    <row r="254" spans="2:30" x14ac:dyDescent="0.25">
      <c r="B254" s="46" t="s">
        <v>97</v>
      </c>
      <c r="C254" s="46">
        <v>13</v>
      </c>
      <c r="D254" s="2"/>
      <c r="E254" s="2"/>
      <c r="F254" s="2"/>
      <c r="H254" s="2"/>
      <c r="I254" s="2"/>
      <c r="J254" s="2"/>
      <c r="N254" s="58" t="s">
        <v>60</v>
      </c>
      <c r="O254" s="58">
        <v>4</v>
      </c>
      <c r="P254" s="2"/>
      <c r="Q254" s="58" t="s">
        <v>60</v>
      </c>
      <c r="R254" s="58">
        <v>1</v>
      </c>
      <c r="W254" s="61" t="s">
        <v>60</v>
      </c>
      <c r="X254" s="61">
        <v>4</v>
      </c>
      <c r="Y254" s="2"/>
      <c r="Z254" s="61" t="s">
        <v>60</v>
      </c>
      <c r="AA254" s="61">
        <v>1</v>
      </c>
      <c r="AC254" s="61" t="s">
        <v>60</v>
      </c>
      <c r="AD254" s="61">
        <v>2</v>
      </c>
    </row>
    <row r="255" spans="2:30" x14ac:dyDescent="0.25">
      <c r="N255" s="58" t="s">
        <v>61</v>
      </c>
      <c r="O255" s="58">
        <v>6</v>
      </c>
      <c r="P255" s="2"/>
      <c r="Q255" s="58" t="s">
        <v>102</v>
      </c>
      <c r="R255" s="58">
        <v>4</v>
      </c>
      <c r="W255" s="61" t="s">
        <v>61</v>
      </c>
      <c r="X255" s="61">
        <v>7</v>
      </c>
      <c r="Y255" s="2"/>
      <c r="Z255" s="61" t="s">
        <v>102</v>
      </c>
      <c r="AA255" s="61">
        <v>4</v>
      </c>
      <c r="AC255" s="61" t="s">
        <v>61</v>
      </c>
      <c r="AD255" s="61">
        <v>8</v>
      </c>
    </row>
    <row r="256" spans="2:30" x14ac:dyDescent="0.25">
      <c r="N256" s="58" t="s">
        <v>63</v>
      </c>
      <c r="O256" s="58">
        <v>5</v>
      </c>
      <c r="P256" s="2"/>
      <c r="Q256" s="58" t="s">
        <v>63</v>
      </c>
      <c r="R256" s="58">
        <v>7</v>
      </c>
      <c r="W256" s="61" t="s">
        <v>89</v>
      </c>
      <c r="X256" s="61">
        <v>8</v>
      </c>
      <c r="Y256" s="2"/>
      <c r="Z256" s="61" t="s">
        <v>89</v>
      </c>
      <c r="AA256" s="61">
        <v>7</v>
      </c>
      <c r="AC256" s="61" t="s">
        <v>63</v>
      </c>
      <c r="AD256" s="61">
        <v>10</v>
      </c>
    </row>
    <row r="257" spans="2:30" x14ac:dyDescent="0.25">
      <c r="N257" s="58" t="s">
        <v>65</v>
      </c>
      <c r="O257" s="58">
        <v>10</v>
      </c>
      <c r="P257" s="2"/>
      <c r="Q257" s="58" t="s">
        <v>65</v>
      </c>
      <c r="R257" s="58">
        <v>10</v>
      </c>
      <c r="W257" s="61" t="s">
        <v>65</v>
      </c>
      <c r="X257" s="61">
        <v>10</v>
      </c>
      <c r="Y257" s="2"/>
      <c r="Z257" s="61" t="s">
        <v>65</v>
      </c>
      <c r="AA257" s="61">
        <v>9</v>
      </c>
      <c r="AC257" s="61" t="s">
        <v>110</v>
      </c>
      <c r="AD257" s="61">
        <v>13</v>
      </c>
    </row>
    <row r="258" spans="2:30" x14ac:dyDescent="0.25">
      <c r="N258" s="58" t="s">
        <v>67</v>
      </c>
      <c r="O258" s="58">
        <v>12</v>
      </c>
      <c r="P258" s="2"/>
      <c r="Q258" s="58" t="s">
        <v>72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64" t="s">
        <v>111</v>
      </c>
      <c r="C261" s="164"/>
      <c r="D261" s="164"/>
      <c r="E261" s="164"/>
      <c r="F261" s="164"/>
      <c r="G261" s="164"/>
      <c r="H261" s="164"/>
      <c r="I261" s="164"/>
      <c r="J261" s="164"/>
      <c r="K261" s="164"/>
      <c r="L261" s="164"/>
      <c r="M261" s="164"/>
      <c r="N261" s="164"/>
      <c r="O261" s="164"/>
      <c r="P261" s="164"/>
      <c r="Q261" s="164"/>
      <c r="R261" s="164"/>
      <c r="S261" s="164"/>
      <c r="T261" s="164"/>
      <c r="U261" s="164"/>
      <c r="V261" s="164"/>
      <c r="W261" s="164"/>
      <c r="X261" s="164"/>
      <c r="Y261" s="164"/>
      <c r="Z261" s="164"/>
      <c r="AA261" s="164"/>
      <c r="AB261" s="164"/>
      <c r="AC261" s="164"/>
      <c r="AD261" s="164"/>
    </row>
    <row r="263" spans="2:30" x14ac:dyDescent="0.25">
      <c r="B263" s="46" t="s">
        <v>60</v>
      </c>
      <c r="C263" s="46">
        <v>1</v>
      </c>
      <c r="D263" s="2"/>
      <c r="E263" s="46" t="s">
        <v>60</v>
      </c>
      <c r="F263" s="46">
        <v>2</v>
      </c>
      <c r="H263" s="46" t="s">
        <v>60</v>
      </c>
      <c r="I263" s="46">
        <v>3</v>
      </c>
      <c r="J263" s="2"/>
      <c r="K263" s="46" t="s">
        <v>60</v>
      </c>
      <c r="L263" s="46">
        <v>4</v>
      </c>
      <c r="N263" s="58" t="s">
        <v>60</v>
      </c>
      <c r="O263" s="58">
        <v>1</v>
      </c>
      <c r="Q263" s="58" t="s">
        <v>60</v>
      </c>
      <c r="R263" s="58">
        <v>2</v>
      </c>
      <c r="T263" s="58" t="s">
        <v>60</v>
      </c>
      <c r="U263" s="58">
        <v>3</v>
      </c>
      <c r="W263" s="61" t="s">
        <v>60</v>
      </c>
      <c r="X263" s="61">
        <v>1</v>
      </c>
      <c r="Y263" s="2"/>
      <c r="Z263" s="61" t="s">
        <v>60</v>
      </c>
      <c r="AA263" s="61">
        <v>2</v>
      </c>
      <c r="AC263" s="61" t="s">
        <v>60</v>
      </c>
      <c r="AD263" s="61">
        <v>3</v>
      </c>
    </row>
    <row r="264" spans="2:30" x14ac:dyDescent="0.25">
      <c r="B264" s="46" t="s">
        <v>61</v>
      </c>
      <c r="C264" s="46">
        <v>3</v>
      </c>
      <c r="D264" s="2"/>
      <c r="E264" s="46" t="s">
        <v>61</v>
      </c>
      <c r="F264" s="46">
        <v>4</v>
      </c>
      <c r="H264" s="46" t="s">
        <v>61</v>
      </c>
      <c r="I264" s="46">
        <v>2</v>
      </c>
      <c r="J264" s="2"/>
      <c r="K264" s="46" t="s">
        <v>61</v>
      </c>
      <c r="L264" s="46">
        <v>1</v>
      </c>
      <c r="N264" s="58" t="s">
        <v>61</v>
      </c>
      <c r="O264" s="58">
        <v>2</v>
      </c>
      <c r="Q264" s="58" t="s">
        <v>61</v>
      </c>
      <c r="R264" s="58">
        <v>3</v>
      </c>
      <c r="T264" s="58" t="s">
        <v>61</v>
      </c>
      <c r="U264" s="58">
        <v>5</v>
      </c>
      <c r="W264" s="61" t="s">
        <v>61</v>
      </c>
      <c r="X264" s="61">
        <v>5</v>
      </c>
      <c r="Y264" s="2"/>
      <c r="Z264" s="61" t="s">
        <v>61</v>
      </c>
      <c r="AA264" s="61">
        <v>3</v>
      </c>
      <c r="AC264" s="61" t="s">
        <v>61</v>
      </c>
      <c r="AD264" s="61">
        <v>6</v>
      </c>
    </row>
    <row r="265" spans="2:30" x14ac:dyDescent="0.25">
      <c r="B265" s="46" t="s">
        <v>63</v>
      </c>
      <c r="C265" s="46">
        <v>5</v>
      </c>
      <c r="D265" s="2"/>
      <c r="E265" s="46" t="s">
        <v>63</v>
      </c>
      <c r="F265" s="46">
        <v>6</v>
      </c>
      <c r="H265" s="46" t="s">
        <v>63</v>
      </c>
      <c r="I265" s="46">
        <v>7</v>
      </c>
      <c r="J265" s="2"/>
      <c r="K265" s="46" t="s">
        <v>63</v>
      </c>
      <c r="L265" s="46">
        <v>8</v>
      </c>
      <c r="N265" s="58" t="s">
        <v>63</v>
      </c>
      <c r="O265" s="58">
        <v>7</v>
      </c>
      <c r="Q265" s="58" t="s">
        <v>63</v>
      </c>
      <c r="R265" s="58">
        <v>8</v>
      </c>
      <c r="T265" s="58" t="s">
        <v>63</v>
      </c>
      <c r="U265" s="58">
        <v>6</v>
      </c>
      <c r="W265" s="61" t="s">
        <v>63</v>
      </c>
      <c r="X265" s="61">
        <v>6</v>
      </c>
      <c r="Y265" s="2"/>
      <c r="Z265" s="61" t="s">
        <v>63</v>
      </c>
      <c r="AA265" s="61">
        <v>5</v>
      </c>
      <c r="AC265" s="61" t="s">
        <v>63</v>
      </c>
      <c r="AD265" s="61">
        <v>9</v>
      </c>
    </row>
    <row r="266" spans="2:30" x14ac:dyDescent="0.25">
      <c r="B266" s="46" t="s">
        <v>65</v>
      </c>
      <c r="C266" s="46">
        <v>7</v>
      </c>
      <c r="D266" s="2"/>
      <c r="E266" s="46" t="s">
        <v>65</v>
      </c>
      <c r="F266" s="46">
        <v>8</v>
      </c>
      <c r="H266" s="46" t="s">
        <v>65</v>
      </c>
      <c r="I266" s="46">
        <v>6</v>
      </c>
      <c r="J266" s="2"/>
      <c r="K266" s="46" t="s">
        <v>65</v>
      </c>
      <c r="L266" s="46">
        <v>5</v>
      </c>
      <c r="N266" s="58" t="s">
        <v>65</v>
      </c>
      <c r="O266" s="58">
        <v>8</v>
      </c>
      <c r="Q266" s="58" t="s">
        <v>65</v>
      </c>
      <c r="R266" s="58">
        <v>9</v>
      </c>
      <c r="T266" s="58" t="s">
        <v>65</v>
      </c>
      <c r="U266" s="58">
        <v>9</v>
      </c>
      <c r="W266" s="61" t="s">
        <v>65</v>
      </c>
      <c r="X266" s="61">
        <v>11</v>
      </c>
      <c r="Y266" s="2"/>
      <c r="Z266" s="61" t="s">
        <v>65</v>
      </c>
      <c r="AA266" s="61">
        <v>12</v>
      </c>
      <c r="AC266" s="61" t="s">
        <v>65</v>
      </c>
      <c r="AD266" s="61">
        <v>11</v>
      </c>
    </row>
    <row r="267" spans="2:30" x14ac:dyDescent="0.25">
      <c r="B267" s="46" t="s">
        <v>67</v>
      </c>
      <c r="C267" s="46">
        <v>9</v>
      </c>
      <c r="D267" s="2"/>
      <c r="E267" s="46" t="s">
        <v>67</v>
      </c>
      <c r="F267" s="46">
        <v>10</v>
      </c>
      <c r="H267" s="46" t="s">
        <v>67</v>
      </c>
      <c r="I267" s="46">
        <v>11</v>
      </c>
      <c r="J267" s="2"/>
      <c r="K267" s="46" t="s">
        <v>67</v>
      </c>
      <c r="L267" s="46">
        <v>12</v>
      </c>
      <c r="N267" s="58" t="s">
        <v>67</v>
      </c>
      <c r="O267" s="58">
        <v>11</v>
      </c>
      <c r="Q267" s="58" t="s">
        <v>67</v>
      </c>
      <c r="R267" s="58">
        <v>12</v>
      </c>
      <c r="T267" s="58" t="s">
        <v>67</v>
      </c>
      <c r="U267" s="58">
        <v>1</v>
      </c>
      <c r="W267" s="61" t="s">
        <v>67</v>
      </c>
      <c r="X267" s="61">
        <v>12</v>
      </c>
      <c r="Z267" s="61" t="s">
        <v>67</v>
      </c>
      <c r="AA267" s="61">
        <v>13</v>
      </c>
    </row>
    <row r="268" spans="2:30" x14ac:dyDescent="0.25">
      <c r="B268" s="46" t="s">
        <v>68</v>
      </c>
      <c r="C268" s="46">
        <v>11</v>
      </c>
      <c r="D268" s="2"/>
      <c r="E268" s="46" t="s">
        <v>68</v>
      </c>
      <c r="F268" s="46">
        <v>12</v>
      </c>
      <c r="H268" s="46" t="s">
        <v>68</v>
      </c>
      <c r="I268" s="46">
        <v>10</v>
      </c>
      <c r="J268" s="2"/>
      <c r="K268" s="46" t="s">
        <v>68</v>
      </c>
      <c r="L268" s="46">
        <v>9</v>
      </c>
      <c r="N268" s="58" t="s">
        <v>68</v>
      </c>
      <c r="O268" s="58">
        <v>13</v>
      </c>
    </row>
    <row r="269" spans="2:30" x14ac:dyDescent="0.25">
      <c r="B269" s="46" t="s">
        <v>69</v>
      </c>
      <c r="C269" s="46">
        <v>13</v>
      </c>
      <c r="D269" s="2"/>
      <c r="E269" s="46" t="s">
        <v>69</v>
      </c>
      <c r="F269" s="46">
        <v>13</v>
      </c>
      <c r="H269" s="2"/>
      <c r="I269" s="2"/>
      <c r="J269" s="2"/>
      <c r="W269" s="61" t="s">
        <v>60</v>
      </c>
      <c r="X269" s="61">
        <v>4</v>
      </c>
      <c r="Y269" s="2"/>
      <c r="Z269" s="61" t="s">
        <v>60</v>
      </c>
      <c r="AA269" s="61">
        <v>1</v>
      </c>
      <c r="AC269" s="61" t="s">
        <v>60</v>
      </c>
      <c r="AD269" s="61">
        <v>2</v>
      </c>
    </row>
    <row r="270" spans="2:30" x14ac:dyDescent="0.25">
      <c r="W270" s="61" t="s">
        <v>61</v>
      </c>
      <c r="X270" s="61">
        <v>7</v>
      </c>
      <c r="Y270" s="2"/>
      <c r="Z270" s="61" t="s">
        <v>61</v>
      </c>
      <c r="AA270" s="61">
        <v>4</v>
      </c>
      <c r="AC270" s="61" t="s">
        <v>61</v>
      </c>
      <c r="AD270" s="61">
        <v>8</v>
      </c>
    </row>
    <row r="271" spans="2:30" x14ac:dyDescent="0.25">
      <c r="N271" s="58" t="s">
        <v>60</v>
      </c>
      <c r="O271" s="58">
        <v>4</v>
      </c>
      <c r="P271" s="2"/>
      <c r="Q271" s="58" t="s">
        <v>60</v>
      </c>
      <c r="R271" s="58">
        <v>1</v>
      </c>
      <c r="W271" s="61" t="s">
        <v>63</v>
      </c>
      <c r="X271" s="61">
        <v>8</v>
      </c>
      <c r="Y271" s="2"/>
      <c r="Z271" s="61" t="s">
        <v>63</v>
      </c>
      <c r="AA271" s="61">
        <v>7</v>
      </c>
      <c r="AC271" s="61" t="s">
        <v>63</v>
      </c>
      <c r="AD271" s="61">
        <v>10</v>
      </c>
    </row>
    <row r="272" spans="2:30" x14ac:dyDescent="0.25">
      <c r="N272" s="58" t="s">
        <v>61</v>
      </c>
      <c r="O272" s="58">
        <v>6</v>
      </c>
      <c r="P272" s="2"/>
      <c r="Q272" s="58" t="s">
        <v>61</v>
      </c>
      <c r="R272" s="58">
        <v>4</v>
      </c>
      <c r="W272" s="61" t="s">
        <v>65</v>
      </c>
      <c r="X272" s="61">
        <v>10</v>
      </c>
      <c r="Y272" s="2"/>
      <c r="Z272" s="61" t="s">
        <v>65</v>
      </c>
      <c r="AA272" s="61">
        <v>9</v>
      </c>
      <c r="AC272" s="61" t="s">
        <v>65</v>
      </c>
      <c r="AD272" s="61">
        <v>13</v>
      </c>
    </row>
    <row r="273" spans="2:30" x14ac:dyDescent="0.25">
      <c r="N273" s="58" t="s">
        <v>63</v>
      </c>
      <c r="O273" s="58">
        <v>5</v>
      </c>
      <c r="P273" s="2"/>
      <c r="Q273" s="58" t="s">
        <v>63</v>
      </c>
      <c r="R273" s="58">
        <v>7</v>
      </c>
    </row>
    <row r="274" spans="2:30" x14ac:dyDescent="0.25">
      <c r="N274" s="58" t="s">
        <v>65</v>
      </c>
      <c r="O274" s="58">
        <v>10</v>
      </c>
      <c r="P274" s="2"/>
      <c r="Q274" s="58" t="s">
        <v>65</v>
      </c>
      <c r="R274" s="58">
        <v>10</v>
      </c>
    </row>
    <row r="275" spans="2:30" x14ac:dyDescent="0.25">
      <c r="N275" s="58" t="s">
        <v>67</v>
      </c>
      <c r="O275" s="58">
        <v>12</v>
      </c>
      <c r="P275" s="2"/>
      <c r="Q275" s="58" t="s">
        <v>67</v>
      </c>
      <c r="R275" s="58">
        <v>13</v>
      </c>
    </row>
    <row r="277" spans="2:30" ht="26.25" x14ac:dyDescent="0.25">
      <c r="B277" s="164" t="s">
        <v>112</v>
      </c>
      <c r="C277" s="164"/>
      <c r="D277" s="164"/>
      <c r="E277" s="164"/>
      <c r="F277" s="164"/>
      <c r="G277" s="164"/>
      <c r="H277" s="164"/>
      <c r="I277" s="164"/>
      <c r="J277" s="164"/>
      <c r="K277" s="164"/>
      <c r="L277" s="164"/>
      <c r="M277" s="164"/>
      <c r="N277" s="164"/>
      <c r="O277" s="164"/>
      <c r="P277" s="164"/>
      <c r="Q277" s="164"/>
      <c r="R277" s="164"/>
      <c r="S277" s="164"/>
      <c r="T277" s="164"/>
      <c r="U277" s="164"/>
      <c r="V277" s="164"/>
      <c r="W277" s="164"/>
      <c r="X277" s="164"/>
      <c r="Y277" s="164"/>
      <c r="Z277" s="164"/>
      <c r="AA277" s="164"/>
      <c r="AB277" s="164"/>
      <c r="AC277" s="164"/>
      <c r="AD277" s="164"/>
    </row>
    <row r="279" spans="2:30" x14ac:dyDescent="0.25">
      <c r="B279" s="46" t="s">
        <v>60</v>
      </c>
      <c r="C279" s="46">
        <v>1</v>
      </c>
      <c r="D279" s="2"/>
      <c r="E279" s="46" t="s">
        <v>60</v>
      </c>
      <c r="F279" s="46">
        <v>2</v>
      </c>
      <c r="H279" s="46" t="s">
        <v>60</v>
      </c>
      <c r="I279" s="46">
        <v>3</v>
      </c>
      <c r="J279" s="2"/>
      <c r="K279" s="46" t="s">
        <v>60</v>
      </c>
      <c r="L279" s="46">
        <v>4</v>
      </c>
      <c r="N279" s="58" t="s">
        <v>60</v>
      </c>
      <c r="O279" s="58">
        <v>1</v>
      </c>
      <c r="P279" s="2"/>
      <c r="Q279" s="58" t="s">
        <v>60</v>
      </c>
      <c r="R279" s="58">
        <v>2</v>
      </c>
      <c r="T279" s="58" t="s">
        <v>60</v>
      </c>
      <c r="U279" s="58">
        <v>3</v>
      </c>
      <c r="W279" s="61" t="s">
        <v>60</v>
      </c>
      <c r="X279" s="61">
        <v>1</v>
      </c>
      <c r="Y279" s="2"/>
      <c r="Z279" s="61" t="s">
        <v>60</v>
      </c>
      <c r="AA279" s="61">
        <v>2</v>
      </c>
      <c r="AC279" s="61" t="s">
        <v>60</v>
      </c>
      <c r="AD279" s="61">
        <v>3</v>
      </c>
    </row>
    <row r="280" spans="2:30" x14ac:dyDescent="0.25">
      <c r="B280" s="46" t="s">
        <v>61</v>
      </c>
      <c r="C280" s="46">
        <v>4</v>
      </c>
      <c r="D280" s="2"/>
      <c r="E280" s="46" t="s">
        <v>61</v>
      </c>
      <c r="F280" s="46">
        <v>1</v>
      </c>
      <c r="H280" s="46" t="s">
        <v>61</v>
      </c>
      <c r="I280" s="46">
        <v>2</v>
      </c>
      <c r="J280" s="2"/>
      <c r="K280" s="46" t="s">
        <v>61</v>
      </c>
      <c r="L280" s="46">
        <v>3</v>
      </c>
      <c r="N280" s="58" t="s">
        <v>61</v>
      </c>
      <c r="O280" s="58">
        <v>2</v>
      </c>
      <c r="P280" s="2"/>
      <c r="Q280" s="58" t="s">
        <v>61</v>
      </c>
      <c r="R280" s="58">
        <v>3</v>
      </c>
      <c r="T280" s="58" t="s">
        <v>61</v>
      </c>
      <c r="U280" s="58">
        <v>5</v>
      </c>
      <c r="W280" s="61" t="s">
        <v>61</v>
      </c>
      <c r="X280" s="61">
        <v>5</v>
      </c>
      <c r="Y280" s="2"/>
      <c r="Z280" s="61" t="s">
        <v>61</v>
      </c>
      <c r="AA280" s="61">
        <v>3</v>
      </c>
      <c r="AC280" s="61" t="s">
        <v>61</v>
      </c>
      <c r="AD280" s="61">
        <v>6</v>
      </c>
    </row>
    <row r="281" spans="2:30" x14ac:dyDescent="0.25">
      <c r="B281" s="46" t="s">
        <v>63</v>
      </c>
      <c r="C281" s="46">
        <v>5</v>
      </c>
      <c r="D281" s="2"/>
      <c r="E281" s="46" t="s">
        <v>63</v>
      </c>
      <c r="F281" s="46">
        <v>6</v>
      </c>
      <c r="H281" s="46" t="s">
        <v>63</v>
      </c>
      <c r="I281" s="46">
        <v>7</v>
      </c>
      <c r="J281" s="2"/>
      <c r="K281" s="46" t="s">
        <v>63</v>
      </c>
      <c r="L281" s="46">
        <v>8</v>
      </c>
      <c r="N281" s="58" t="s">
        <v>63</v>
      </c>
      <c r="O281" s="58">
        <v>7</v>
      </c>
      <c r="P281" s="2"/>
      <c r="Q281" s="58" t="s">
        <v>63</v>
      </c>
      <c r="R281" s="58">
        <v>8</v>
      </c>
      <c r="T281" s="58" t="s">
        <v>63</v>
      </c>
      <c r="U281" s="58">
        <v>6</v>
      </c>
      <c r="W281" s="61" t="s">
        <v>63</v>
      </c>
      <c r="X281" s="61">
        <v>6</v>
      </c>
      <c r="Y281" s="2"/>
      <c r="Z281" s="61" t="s">
        <v>63</v>
      </c>
      <c r="AA281" s="61">
        <v>5</v>
      </c>
      <c r="AC281" s="61" t="s">
        <v>63</v>
      </c>
      <c r="AD281" s="61">
        <v>9</v>
      </c>
    </row>
    <row r="282" spans="2:30" x14ac:dyDescent="0.25">
      <c r="B282" s="46" t="s">
        <v>65</v>
      </c>
      <c r="C282" s="46">
        <v>8</v>
      </c>
      <c r="D282" s="2"/>
      <c r="E282" s="46" t="s">
        <v>65</v>
      </c>
      <c r="F282" s="46">
        <v>5</v>
      </c>
      <c r="H282" s="46" t="s">
        <v>65</v>
      </c>
      <c r="I282" s="46">
        <v>6</v>
      </c>
      <c r="J282" s="2"/>
      <c r="K282" s="46" t="s">
        <v>65</v>
      </c>
      <c r="L282" s="46">
        <v>7</v>
      </c>
      <c r="N282" s="58" t="s">
        <v>65</v>
      </c>
      <c r="O282" s="58">
        <v>8</v>
      </c>
      <c r="P282" s="2"/>
      <c r="Q282" s="58" t="s">
        <v>65</v>
      </c>
      <c r="R282" s="58">
        <v>9</v>
      </c>
      <c r="T282" s="58" t="s">
        <v>65</v>
      </c>
      <c r="U282" s="58">
        <v>9</v>
      </c>
      <c r="W282" s="61" t="s">
        <v>65</v>
      </c>
      <c r="X282" s="61">
        <v>11</v>
      </c>
      <c r="Y282" s="2"/>
      <c r="Z282" s="61" t="s">
        <v>65</v>
      </c>
      <c r="AA282" s="61">
        <v>12</v>
      </c>
      <c r="AC282" s="61" t="s">
        <v>65</v>
      </c>
      <c r="AD282" s="61">
        <v>11</v>
      </c>
    </row>
    <row r="283" spans="2:30" x14ac:dyDescent="0.25">
      <c r="B283" s="46" t="s">
        <v>67</v>
      </c>
      <c r="C283" s="46">
        <v>9</v>
      </c>
      <c r="D283" s="2"/>
      <c r="E283" s="46" t="s">
        <v>67</v>
      </c>
      <c r="F283" s="46">
        <v>10</v>
      </c>
      <c r="H283" s="46" t="s">
        <v>67</v>
      </c>
      <c r="I283" s="46">
        <v>11</v>
      </c>
      <c r="J283" s="2"/>
      <c r="K283" s="46" t="s">
        <v>67</v>
      </c>
      <c r="L283" s="46">
        <v>12</v>
      </c>
      <c r="N283" s="58" t="s">
        <v>67</v>
      </c>
      <c r="O283" s="58">
        <v>11</v>
      </c>
      <c r="P283" s="2"/>
      <c r="Q283" s="58" t="s">
        <v>67</v>
      </c>
      <c r="R283" s="58">
        <v>12</v>
      </c>
      <c r="T283" s="58" t="s">
        <v>67</v>
      </c>
      <c r="U283" s="58">
        <v>11</v>
      </c>
      <c r="W283" s="61" t="s">
        <v>67</v>
      </c>
      <c r="X283" s="61">
        <v>12</v>
      </c>
      <c r="Y283" s="2"/>
      <c r="Z283" s="61" t="s">
        <v>67</v>
      </c>
      <c r="AA283" s="61">
        <v>13</v>
      </c>
      <c r="AC283" s="61" t="s">
        <v>72</v>
      </c>
      <c r="AD283" s="61">
        <v>14</v>
      </c>
    </row>
    <row r="284" spans="2:30" x14ac:dyDescent="0.25">
      <c r="B284" s="46" t="s">
        <v>68</v>
      </c>
      <c r="C284" s="46">
        <v>12</v>
      </c>
      <c r="D284" s="2"/>
      <c r="E284" s="46" t="s">
        <v>68</v>
      </c>
      <c r="F284" s="46">
        <v>9</v>
      </c>
      <c r="H284" s="46" t="s">
        <v>68</v>
      </c>
      <c r="I284" s="46">
        <v>10</v>
      </c>
      <c r="J284" s="2"/>
      <c r="K284" s="46" t="s">
        <v>68</v>
      </c>
      <c r="L284" s="46">
        <v>11</v>
      </c>
      <c r="N284" s="58" t="s">
        <v>68</v>
      </c>
      <c r="O284" s="58">
        <v>12</v>
      </c>
      <c r="P284" s="2"/>
      <c r="Q284" s="58" t="s">
        <v>68</v>
      </c>
      <c r="R284" s="58">
        <v>13</v>
      </c>
    </row>
    <row r="285" spans="2:30" x14ac:dyDescent="0.25">
      <c r="B285" s="46" t="s">
        <v>69</v>
      </c>
      <c r="C285" s="46">
        <v>13</v>
      </c>
      <c r="D285" s="2"/>
      <c r="E285" s="46" t="s">
        <v>97</v>
      </c>
      <c r="F285" s="46">
        <v>14</v>
      </c>
      <c r="H285" s="46" t="s">
        <v>69</v>
      </c>
      <c r="I285" s="46">
        <v>13</v>
      </c>
      <c r="J285" s="2"/>
      <c r="K285" s="2"/>
      <c r="L285" s="2"/>
    </row>
    <row r="287" spans="2:30" x14ac:dyDescent="0.25">
      <c r="N287" s="58" t="s">
        <v>60</v>
      </c>
      <c r="O287" s="58">
        <v>4</v>
      </c>
      <c r="P287" s="2"/>
      <c r="Q287" s="58" t="s">
        <v>60</v>
      </c>
      <c r="R287" s="58">
        <v>1</v>
      </c>
      <c r="W287" s="61" t="s">
        <v>60</v>
      </c>
      <c r="X287" s="61">
        <v>4</v>
      </c>
      <c r="Y287" s="2"/>
      <c r="Z287" s="61" t="s">
        <v>60</v>
      </c>
      <c r="AA287" s="61">
        <v>1</v>
      </c>
      <c r="AC287" s="61" t="s">
        <v>60</v>
      </c>
      <c r="AD287" s="61">
        <v>2</v>
      </c>
    </row>
    <row r="288" spans="2:30" x14ac:dyDescent="0.25">
      <c r="N288" s="58" t="s">
        <v>61</v>
      </c>
      <c r="O288" s="58">
        <v>6</v>
      </c>
      <c r="P288" s="2"/>
      <c r="Q288" s="58" t="s">
        <v>61</v>
      </c>
      <c r="R288" s="58">
        <v>4</v>
      </c>
      <c r="W288" s="61" t="s">
        <v>61</v>
      </c>
      <c r="X288" s="61">
        <v>7</v>
      </c>
      <c r="Y288" s="2"/>
      <c r="Z288" s="61" t="s">
        <v>61</v>
      </c>
      <c r="AA288" s="61">
        <v>4</v>
      </c>
      <c r="AC288" s="61" t="s">
        <v>61</v>
      </c>
      <c r="AD288" s="61">
        <v>8</v>
      </c>
    </row>
    <row r="289" spans="2:30" x14ac:dyDescent="0.25">
      <c r="N289" s="58" t="s">
        <v>63</v>
      </c>
      <c r="O289" s="58">
        <v>5</v>
      </c>
      <c r="P289" s="2"/>
      <c r="Q289" s="58" t="s">
        <v>63</v>
      </c>
      <c r="R289" s="58">
        <v>7</v>
      </c>
      <c r="W289" s="61" t="s">
        <v>63</v>
      </c>
      <c r="X289" s="61">
        <v>8</v>
      </c>
      <c r="Y289" s="2"/>
      <c r="Z289" s="61" t="s">
        <v>63</v>
      </c>
      <c r="AA289" s="61">
        <v>7</v>
      </c>
      <c r="AC289" s="61" t="s">
        <v>63</v>
      </c>
      <c r="AD289" s="61">
        <v>10</v>
      </c>
    </row>
    <row r="290" spans="2:30" x14ac:dyDescent="0.25">
      <c r="N290" s="58" t="s">
        <v>65</v>
      </c>
      <c r="O290" s="58">
        <v>10</v>
      </c>
      <c r="P290" s="2"/>
      <c r="Q290" s="58" t="s">
        <v>65</v>
      </c>
      <c r="R290" s="58">
        <v>10</v>
      </c>
      <c r="W290" s="61" t="s">
        <v>65</v>
      </c>
      <c r="X290" s="61">
        <v>10</v>
      </c>
      <c r="Y290" s="2"/>
      <c r="Z290" s="61" t="s">
        <v>65</v>
      </c>
      <c r="AA290" s="61">
        <v>9</v>
      </c>
      <c r="AC290" s="61" t="s">
        <v>65</v>
      </c>
      <c r="AD290" s="61">
        <v>13</v>
      </c>
    </row>
    <row r="291" spans="2:30" x14ac:dyDescent="0.25">
      <c r="N291" s="58" t="s">
        <v>67</v>
      </c>
      <c r="O291" s="58">
        <v>13</v>
      </c>
      <c r="P291" s="2"/>
      <c r="Q291" s="58" t="s">
        <v>72</v>
      </c>
      <c r="R291" s="58">
        <v>14</v>
      </c>
    </row>
    <row r="294" spans="2:30" ht="26.25" x14ac:dyDescent="0.25">
      <c r="B294" s="164" t="s">
        <v>113</v>
      </c>
      <c r="C294" s="164"/>
      <c r="D294" s="164"/>
      <c r="E294" s="164"/>
      <c r="F294" s="164"/>
      <c r="G294" s="164"/>
      <c r="H294" s="164"/>
      <c r="I294" s="164"/>
      <c r="J294" s="164"/>
      <c r="K294" s="164"/>
      <c r="L294" s="164"/>
      <c r="M294" s="164"/>
      <c r="N294" s="164"/>
      <c r="O294" s="164"/>
      <c r="P294" s="164"/>
      <c r="Q294" s="164"/>
      <c r="R294" s="164"/>
      <c r="S294" s="164"/>
      <c r="T294" s="164"/>
      <c r="U294" s="164"/>
      <c r="V294" s="164"/>
      <c r="W294" s="164"/>
      <c r="X294" s="164"/>
      <c r="Y294" s="164"/>
      <c r="Z294" s="164"/>
      <c r="AA294" s="164"/>
      <c r="AB294" s="164"/>
      <c r="AC294" s="164"/>
      <c r="AD294" s="164"/>
    </row>
    <row r="296" spans="2:30" x14ac:dyDescent="0.25">
      <c r="B296" s="46" t="s">
        <v>60</v>
      </c>
      <c r="C296" s="46">
        <v>1</v>
      </c>
      <c r="D296" s="2"/>
      <c r="E296" s="46" t="s">
        <v>60</v>
      </c>
      <c r="F296" s="46">
        <v>2</v>
      </c>
      <c r="H296" s="46" t="s">
        <v>60</v>
      </c>
      <c r="I296" s="46">
        <v>3</v>
      </c>
      <c r="J296" s="2"/>
      <c r="K296" s="46" t="s">
        <v>60</v>
      </c>
      <c r="L296" s="46">
        <v>4</v>
      </c>
      <c r="N296" s="58" t="s">
        <v>60</v>
      </c>
      <c r="O296" s="58">
        <v>1</v>
      </c>
      <c r="P296" s="2"/>
      <c r="Q296" s="58" t="s">
        <v>60</v>
      </c>
      <c r="R296" s="58">
        <v>2</v>
      </c>
      <c r="T296" s="58" t="s">
        <v>60</v>
      </c>
      <c r="U296" s="58">
        <v>3</v>
      </c>
      <c r="W296" s="61" t="s">
        <v>60</v>
      </c>
      <c r="X296" s="61">
        <v>1</v>
      </c>
      <c r="Y296" s="2"/>
      <c r="Z296" s="61" t="s">
        <v>60</v>
      </c>
      <c r="AA296" s="61">
        <v>2</v>
      </c>
      <c r="AC296" s="61" t="s">
        <v>60</v>
      </c>
      <c r="AD296" s="61">
        <v>3</v>
      </c>
    </row>
    <row r="297" spans="2:30" x14ac:dyDescent="0.25">
      <c r="B297" s="46" t="s">
        <v>61</v>
      </c>
      <c r="C297" s="46">
        <v>4</v>
      </c>
      <c r="D297" s="2"/>
      <c r="E297" s="46" t="s">
        <v>61</v>
      </c>
      <c r="F297" s="46">
        <v>1</v>
      </c>
      <c r="H297" s="46" t="s">
        <v>61</v>
      </c>
      <c r="I297" s="46">
        <v>2</v>
      </c>
      <c r="J297" s="2"/>
      <c r="K297" s="46" t="s">
        <v>61</v>
      </c>
      <c r="L297" s="46">
        <v>3</v>
      </c>
      <c r="N297" s="58" t="s">
        <v>61</v>
      </c>
      <c r="O297" s="58">
        <v>2</v>
      </c>
      <c r="P297" s="2"/>
      <c r="Q297" s="58" t="s">
        <v>61</v>
      </c>
      <c r="R297" s="58">
        <v>3</v>
      </c>
      <c r="T297" s="58" t="s">
        <v>61</v>
      </c>
      <c r="U297" s="58">
        <v>5</v>
      </c>
      <c r="W297" s="61" t="s">
        <v>61</v>
      </c>
      <c r="X297" s="61">
        <v>5</v>
      </c>
      <c r="Y297" s="2"/>
      <c r="Z297" s="61" t="s">
        <v>61</v>
      </c>
      <c r="AA297" s="61">
        <v>3</v>
      </c>
      <c r="AC297" s="61" t="s">
        <v>61</v>
      </c>
      <c r="AD297" s="61">
        <v>6</v>
      </c>
    </row>
    <row r="298" spans="2:30" x14ac:dyDescent="0.25">
      <c r="B298" s="46" t="s">
        <v>63</v>
      </c>
      <c r="C298" s="46">
        <v>5</v>
      </c>
      <c r="D298" s="2"/>
      <c r="E298" s="46" t="s">
        <v>63</v>
      </c>
      <c r="F298" s="46">
        <v>6</v>
      </c>
      <c r="H298" s="46" t="s">
        <v>63</v>
      </c>
      <c r="I298" s="46">
        <v>7</v>
      </c>
      <c r="J298" s="2"/>
      <c r="K298" s="46" t="s">
        <v>63</v>
      </c>
      <c r="L298" s="46">
        <v>8</v>
      </c>
      <c r="N298" s="58" t="s">
        <v>63</v>
      </c>
      <c r="O298" s="58">
        <v>7</v>
      </c>
      <c r="P298" s="2"/>
      <c r="Q298" s="58" t="s">
        <v>63</v>
      </c>
      <c r="R298" s="58">
        <v>8</v>
      </c>
      <c r="T298" s="58" t="s">
        <v>63</v>
      </c>
      <c r="U298" s="58">
        <v>6</v>
      </c>
      <c r="W298" s="61" t="s">
        <v>63</v>
      </c>
      <c r="X298" s="61">
        <v>6</v>
      </c>
      <c r="Y298" s="2"/>
      <c r="Z298" s="61" t="s">
        <v>63</v>
      </c>
      <c r="AA298" s="61">
        <v>5</v>
      </c>
      <c r="AC298" s="61" t="s">
        <v>63</v>
      </c>
      <c r="AD298" s="61">
        <v>9</v>
      </c>
    </row>
    <row r="299" spans="2:30" x14ac:dyDescent="0.25">
      <c r="B299" s="46" t="s">
        <v>65</v>
      </c>
      <c r="C299" s="46">
        <v>8</v>
      </c>
      <c r="D299" s="2"/>
      <c r="E299" s="46" t="s">
        <v>65</v>
      </c>
      <c r="F299" s="46">
        <v>5</v>
      </c>
      <c r="H299" s="46" t="s">
        <v>65</v>
      </c>
      <c r="I299" s="46">
        <v>6</v>
      </c>
      <c r="J299" s="2"/>
      <c r="K299" s="46" t="s">
        <v>65</v>
      </c>
      <c r="L299" s="46">
        <v>7</v>
      </c>
      <c r="N299" s="58" t="s">
        <v>65</v>
      </c>
      <c r="O299" s="58">
        <v>8</v>
      </c>
      <c r="P299" s="2"/>
      <c r="Q299" s="58" t="s">
        <v>65</v>
      </c>
      <c r="R299" s="58">
        <v>9</v>
      </c>
      <c r="T299" s="58" t="s">
        <v>65</v>
      </c>
      <c r="U299" s="58">
        <v>9</v>
      </c>
      <c r="W299" s="61" t="s">
        <v>65</v>
      </c>
      <c r="X299" s="61">
        <v>11</v>
      </c>
      <c r="Y299" s="2"/>
      <c r="Z299" s="61" t="s">
        <v>65</v>
      </c>
      <c r="AA299" s="61">
        <v>12</v>
      </c>
      <c r="AC299" s="61" t="s">
        <v>65</v>
      </c>
      <c r="AD299" s="61">
        <v>11</v>
      </c>
    </row>
    <row r="300" spans="2:30" x14ac:dyDescent="0.25">
      <c r="B300" s="46" t="s">
        <v>67</v>
      </c>
      <c r="C300" s="46">
        <v>9</v>
      </c>
      <c r="D300" s="2"/>
      <c r="E300" s="46" t="s">
        <v>67</v>
      </c>
      <c r="F300" s="46">
        <v>10</v>
      </c>
      <c r="H300" s="46" t="s">
        <v>67</v>
      </c>
      <c r="I300" s="46">
        <v>11</v>
      </c>
      <c r="J300" s="2"/>
      <c r="K300" s="46" t="s">
        <v>67</v>
      </c>
      <c r="L300" s="46">
        <v>12</v>
      </c>
      <c r="N300" s="58" t="s">
        <v>67</v>
      </c>
      <c r="O300" s="58">
        <v>11</v>
      </c>
      <c r="P300" s="2"/>
      <c r="Q300" s="58" t="s">
        <v>67</v>
      </c>
      <c r="R300" s="58">
        <v>12</v>
      </c>
      <c r="T300" s="58" t="s">
        <v>67</v>
      </c>
      <c r="U300" s="58">
        <v>11</v>
      </c>
      <c r="W300" s="61" t="s">
        <v>67</v>
      </c>
      <c r="X300" s="61">
        <v>12</v>
      </c>
      <c r="Y300" s="2"/>
      <c r="Z300" s="61" t="s">
        <v>67</v>
      </c>
      <c r="AA300" s="61">
        <v>13</v>
      </c>
      <c r="AC300" s="61" t="s">
        <v>67</v>
      </c>
      <c r="AD300" s="61">
        <v>14</v>
      </c>
    </row>
    <row r="301" spans="2:30" x14ac:dyDescent="0.25">
      <c r="B301" s="46" t="s">
        <v>68</v>
      </c>
      <c r="C301" s="46">
        <v>12</v>
      </c>
      <c r="D301" s="2"/>
      <c r="E301" s="46" t="s">
        <v>68</v>
      </c>
      <c r="F301" s="46">
        <v>9</v>
      </c>
      <c r="H301" s="46" t="s">
        <v>68</v>
      </c>
      <c r="I301" s="46">
        <v>10</v>
      </c>
      <c r="J301" s="2"/>
      <c r="K301" s="46" t="s">
        <v>68</v>
      </c>
      <c r="L301" s="46">
        <v>11</v>
      </c>
      <c r="N301" s="58" t="s">
        <v>68</v>
      </c>
      <c r="O301" s="58">
        <v>12</v>
      </c>
      <c r="P301" s="2"/>
      <c r="Q301" s="58" t="s">
        <v>68</v>
      </c>
      <c r="R301" s="58">
        <v>13</v>
      </c>
      <c r="T301" s="58" t="s">
        <v>68</v>
      </c>
      <c r="U301" s="58">
        <v>14</v>
      </c>
    </row>
    <row r="302" spans="2:30" x14ac:dyDescent="0.25">
      <c r="B302" s="46" t="s">
        <v>69</v>
      </c>
      <c r="C302" s="46">
        <v>13</v>
      </c>
      <c r="D302" s="2"/>
      <c r="E302" s="46" t="s">
        <v>69</v>
      </c>
      <c r="F302" s="46">
        <v>14</v>
      </c>
      <c r="H302" s="46" t="s">
        <v>69</v>
      </c>
      <c r="I302" s="46">
        <v>13</v>
      </c>
      <c r="J302" s="2"/>
      <c r="K302" s="46" t="s">
        <v>69</v>
      </c>
      <c r="L302" s="46">
        <v>14</v>
      </c>
    </row>
    <row r="304" spans="2:30" x14ac:dyDescent="0.25">
      <c r="N304" s="58" t="s">
        <v>60</v>
      </c>
      <c r="O304" s="58">
        <v>4</v>
      </c>
      <c r="P304" s="2"/>
      <c r="Q304" s="58" t="s">
        <v>60</v>
      </c>
      <c r="R304" s="58">
        <v>1</v>
      </c>
      <c r="W304" s="61" t="s">
        <v>60</v>
      </c>
      <c r="X304" s="61">
        <v>4</v>
      </c>
      <c r="Y304" s="2"/>
      <c r="Z304" s="61" t="s">
        <v>60</v>
      </c>
      <c r="AA304" s="61">
        <v>1</v>
      </c>
      <c r="AC304" s="61" t="s">
        <v>60</v>
      </c>
      <c r="AD304" s="61">
        <v>2</v>
      </c>
    </row>
    <row r="305" spans="2:30" x14ac:dyDescent="0.25">
      <c r="N305" s="58" t="s">
        <v>61</v>
      </c>
      <c r="O305" s="58">
        <v>6</v>
      </c>
      <c r="P305" s="2"/>
      <c r="Q305" s="58" t="s">
        <v>61</v>
      </c>
      <c r="R305" s="58">
        <v>4</v>
      </c>
      <c r="W305" s="61" t="s">
        <v>61</v>
      </c>
      <c r="X305" s="61">
        <v>7</v>
      </c>
      <c r="Y305" s="2"/>
      <c r="Z305" s="61" t="s">
        <v>61</v>
      </c>
      <c r="AA305" s="61">
        <v>4</v>
      </c>
      <c r="AC305" s="61" t="s">
        <v>61</v>
      </c>
      <c r="AD305" s="61">
        <v>8</v>
      </c>
    </row>
    <row r="306" spans="2:30" x14ac:dyDescent="0.25">
      <c r="N306" s="58" t="s">
        <v>63</v>
      </c>
      <c r="O306" s="58">
        <v>5</v>
      </c>
      <c r="P306" s="2"/>
      <c r="Q306" s="58" t="s">
        <v>63</v>
      </c>
      <c r="R306" s="58">
        <v>7</v>
      </c>
      <c r="W306" s="61" t="s">
        <v>63</v>
      </c>
      <c r="X306" s="61">
        <v>8</v>
      </c>
      <c r="Y306" s="2"/>
      <c r="Z306" s="61" t="s">
        <v>63</v>
      </c>
      <c r="AA306" s="61">
        <v>7</v>
      </c>
      <c r="AC306" s="61" t="s">
        <v>63</v>
      </c>
      <c r="AD306" s="61">
        <v>10</v>
      </c>
    </row>
    <row r="307" spans="2:30" x14ac:dyDescent="0.25">
      <c r="N307" s="58" t="s">
        <v>65</v>
      </c>
      <c r="O307" s="58">
        <v>10</v>
      </c>
      <c r="P307" s="2"/>
      <c r="Q307" s="58" t="s">
        <v>65</v>
      </c>
      <c r="R307" s="58">
        <v>10</v>
      </c>
      <c r="W307" s="61" t="s">
        <v>65</v>
      </c>
      <c r="X307" s="61">
        <v>10</v>
      </c>
      <c r="Y307" s="2"/>
      <c r="Z307" s="61" t="s">
        <v>65</v>
      </c>
      <c r="AA307" s="61">
        <v>9</v>
      </c>
      <c r="AC307" s="61" t="s">
        <v>65</v>
      </c>
      <c r="AD307" s="61">
        <v>13</v>
      </c>
    </row>
    <row r="308" spans="2:30" x14ac:dyDescent="0.25">
      <c r="N308" s="58" t="s">
        <v>67</v>
      </c>
      <c r="O308" s="58">
        <v>13</v>
      </c>
      <c r="P308" s="2"/>
      <c r="Q308" s="58" t="s">
        <v>67</v>
      </c>
      <c r="R308" s="58">
        <v>14</v>
      </c>
      <c r="W308" s="61" t="s">
        <v>67</v>
      </c>
      <c r="X308" s="61">
        <v>14</v>
      </c>
    </row>
    <row r="311" spans="2:30" ht="26.25" x14ac:dyDescent="0.25">
      <c r="B311" s="164" t="s">
        <v>114</v>
      </c>
      <c r="C311" s="164"/>
      <c r="D311" s="164"/>
      <c r="E311" s="164"/>
      <c r="F311" s="164"/>
      <c r="G311" s="164"/>
      <c r="H311" s="164"/>
      <c r="I311" s="164"/>
      <c r="J311" s="164"/>
      <c r="K311" s="164"/>
      <c r="L311" s="164"/>
      <c r="M311" s="164"/>
      <c r="N311" s="164"/>
      <c r="O311" s="164"/>
      <c r="P311" s="164"/>
      <c r="Q311" s="164"/>
      <c r="R311" s="164"/>
      <c r="S311" s="164"/>
      <c r="T311" s="164"/>
      <c r="U311" s="164"/>
      <c r="V311" s="164"/>
      <c r="W311" s="164"/>
      <c r="X311" s="164"/>
      <c r="Y311" s="164"/>
      <c r="Z311" s="164"/>
      <c r="AA311" s="164"/>
      <c r="AB311" s="164"/>
      <c r="AC311" s="164"/>
      <c r="AD311" s="164"/>
    </row>
    <row r="313" spans="2:30" x14ac:dyDescent="0.25">
      <c r="B313" s="46" t="s">
        <v>60</v>
      </c>
      <c r="C313" s="46">
        <v>1</v>
      </c>
      <c r="D313" s="2"/>
      <c r="E313" s="46" t="s">
        <v>60</v>
      </c>
      <c r="F313" s="46">
        <v>2</v>
      </c>
      <c r="H313" s="46" t="s">
        <v>60</v>
      </c>
      <c r="I313" s="46">
        <v>3</v>
      </c>
      <c r="J313" s="2"/>
      <c r="K313" s="46" t="s">
        <v>60</v>
      </c>
      <c r="L313" s="46">
        <v>4</v>
      </c>
      <c r="N313" s="58" t="s">
        <v>60</v>
      </c>
      <c r="O313" s="58">
        <v>1</v>
      </c>
      <c r="P313" s="2"/>
      <c r="Q313" s="58" t="s">
        <v>60</v>
      </c>
      <c r="R313" s="58">
        <v>2</v>
      </c>
      <c r="S313" s="2"/>
      <c r="T313" s="58" t="s">
        <v>60</v>
      </c>
      <c r="U313" s="58">
        <v>3</v>
      </c>
      <c r="W313" s="61" t="s">
        <v>60</v>
      </c>
      <c r="X313" s="61">
        <v>1</v>
      </c>
      <c r="Y313" s="2"/>
      <c r="Z313" s="61" t="s">
        <v>60</v>
      </c>
      <c r="AA313" s="61">
        <v>2</v>
      </c>
      <c r="AC313" s="61" t="s">
        <v>60</v>
      </c>
      <c r="AD313" s="61">
        <v>3</v>
      </c>
    </row>
    <row r="314" spans="2:30" x14ac:dyDescent="0.25">
      <c r="B314" s="46" t="s">
        <v>61</v>
      </c>
      <c r="C314" s="46">
        <v>3</v>
      </c>
      <c r="D314" s="2"/>
      <c r="E314" s="46" t="s">
        <v>61</v>
      </c>
      <c r="F314" s="46">
        <v>4</v>
      </c>
      <c r="H314" s="46" t="s">
        <v>61</v>
      </c>
      <c r="I314" s="46">
        <v>2</v>
      </c>
      <c r="J314" s="2"/>
      <c r="K314" s="46" t="s">
        <v>61</v>
      </c>
      <c r="L314" s="46">
        <v>1</v>
      </c>
      <c r="N314" s="58" t="s">
        <v>61</v>
      </c>
      <c r="O314" s="58">
        <v>2</v>
      </c>
      <c r="P314" s="2"/>
      <c r="Q314" s="58" t="s">
        <v>61</v>
      </c>
      <c r="R314" s="58">
        <v>3</v>
      </c>
      <c r="S314" s="2"/>
      <c r="T314" s="58" t="s">
        <v>61</v>
      </c>
      <c r="U314" s="58">
        <v>5</v>
      </c>
      <c r="W314" s="61" t="s">
        <v>61</v>
      </c>
      <c r="X314" s="61">
        <v>5</v>
      </c>
      <c r="Y314" s="2"/>
      <c r="Z314" s="61" t="s">
        <v>61</v>
      </c>
      <c r="AA314" s="61">
        <v>3</v>
      </c>
      <c r="AC314" s="61" t="s">
        <v>61</v>
      </c>
      <c r="AD314" s="61">
        <v>6</v>
      </c>
    </row>
    <row r="315" spans="2:30" x14ac:dyDescent="0.25">
      <c r="B315" s="46" t="s">
        <v>63</v>
      </c>
      <c r="C315" s="46">
        <v>5</v>
      </c>
      <c r="D315" s="2"/>
      <c r="E315" s="46" t="s">
        <v>63</v>
      </c>
      <c r="F315" s="46">
        <v>6</v>
      </c>
      <c r="H315" s="46" t="s">
        <v>63</v>
      </c>
      <c r="I315" s="46">
        <v>7</v>
      </c>
      <c r="J315" s="2"/>
      <c r="K315" s="46" t="s">
        <v>63</v>
      </c>
      <c r="L315" s="46">
        <v>8</v>
      </c>
      <c r="N315" s="58" t="s">
        <v>63</v>
      </c>
      <c r="O315" s="58">
        <v>7</v>
      </c>
      <c r="P315" s="2"/>
      <c r="Q315" s="58" t="s">
        <v>63</v>
      </c>
      <c r="R315" s="58">
        <v>8</v>
      </c>
      <c r="S315" s="2"/>
      <c r="T315" s="58" t="s">
        <v>63</v>
      </c>
      <c r="U315" s="58">
        <v>6</v>
      </c>
      <c r="W315" s="61" t="s">
        <v>63</v>
      </c>
      <c r="X315" s="61">
        <v>6</v>
      </c>
      <c r="Y315" s="2"/>
      <c r="Z315" s="61" t="s">
        <v>63</v>
      </c>
      <c r="AA315" s="61">
        <v>5</v>
      </c>
      <c r="AC315" s="61" t="s">
        <v>63</v>
      </c>
      <c r="AD315" s="61">
        <v>9</v>
      </c>
    </row>
    <row r="316" spans="2:30" x14ac:dyDescent="0.25">
      <c r="B316" s="46" t="s">
        <v>65</v>
      </c>
      <c r="C316" s="46">
        <v>7</v>
      </c>
      <c r="D316" s="2"/>
      <c r="E316" s="46" t="s">
        <v>65</v>
      </c>
      <c r="F316" s="46">
        <v>8</v>
      </c>
      <c r="H316" s="46" t="s">
        <v>65</v>
      </c>
      <c r="I316" s="46">
        <v>6</v>
      </c>
      <c r="J316" s="2"/>
      <c r="K316" s="46" t="s">
        <v>65</v>
      </c>
      <c r="L316" s="46">
        <v>5</v>
      </c>
      <c r="N316" s="58" t="s">
        <v>65</v>
      </c>
      <c r="O316" s="58">
        <v>8</v>
      </c>
      <c r="P316" s="2"/>
      <c r="Q316" s="58" t="s">
        <v>65</v>
      </c>
      <c r="R316" s="58">
        <v>9</v>
      </c>
      <c r="S316" s="2"/>
      <c r="T316" s="58" t="s">
        <v>65</v>
      </c>
      <c r="U316" s="58">
        <v>9</v>
      </c>
      <c r="W316" s="61" t="s">
        <v>65</v>
      </c>
      <c r="X316" s="61">
        <v>11</v>
      </c>
      <c r="Y316" s="2"/>
      <c r="Z316" s="61" t="s">
        <v>65</v>
      </c>
      <c r="AA316" s="61">
        <v>12</v>
      </c>
      <c r="AC316" s="61" t="s">
        <v>65</v>
      </c>
      <c r="AD316" s="61">
        <v>11</v>
      </c>
    </row>
    <row r="317" spans="2:30" x14ac:dyDescent="0.25">
      <c r="B317" s="46" t="s">
        <v>67</v>
      </c>
      <c r="C317" s="46">
        <v>9</v>
      </c>
      <c r="D317" s="2"/>
      <c r="E317" s="46" t="s">
        <v>67</v>
      </c>
      <c r="F317" s="46">
        <v>10</v>
      </c>
      <c r="H317" s="46" t="s">
        <v>67</v>
      </c>
      <c r="I317" s="46">
        <v>11</v>
      </c>
      <c r="J317" s="2"/>
      <c r="K317" s="46" t="s">
        <v>67</v>
      </c>
      <c r="L317" s="46">
        <v>12</v>
      </c>
      <c r="N317" s="58" t="s">
        <v>67</v>
      </c>
      <c r="O317" s="58">
        <v>11</v>
      </c>
      <c r="P317" s="2"/>
      <c r="Q317" s="58" t="s">
        <v>67</v>
      </c>
      <c r="R317" s="58">
        <v>12</v>
      </c>
      <c r="S317" s="2"/>
      <c r="T317" s="58" t="s">
        <v>67</v>
      </c>
      <c r="U317" s="58">
        <v>11</v>
      </c>
      <c r="W317" s="61" t="s">
        <v>67</v>
      </c>
      <c r="X317" s="61">
        <v>12</v>
      </c>
      <c r="Y317" s="2"/>
      <c r="Z317" s="61" t="s">
        <v>67</v>
      </c>
      <c r="AA317" s="61">
        <v>13</v>
      </c>
      <c r="AC317" s="61" t="s">
        <v>67</v>
      </c>
      <c r="AD317" s="61">
        <v>14</v>
      </c>
    </row>
    <row r="318" spans="2:30" x14ac:dyDescent="0.25">
      <c r="B318" s="46" t="s">
        <v>68</v>
      </c>
      <c r="C318" s="46">
        <v>11</v>
      </c>
      <c r="D318" s="2"/>
      <c r="E318" s="46" t="s">
        <v>68</v>
      </c>
      <c r="F318" s="46">
        <v>12</v>
      </c>
      <c r="H318" s="46" t="s">
        <v>68</v>
      </c>
      <c r="I318" s="46">
        <v>10</v>
      </c>
      <c r="J318" s="2"/>
      <c r="K318" s="46" t="s">
        <v>68</v>
      </c>
      <c r="L318" s="46">
        <v>9</v>
      </c>
      <c r="N318" s="58" t="s">
        <v>68</v>
      </c>
      <c r="O318" s="58">
        <v>12</v>
      </c>
      <c r="P318" s="2"/>
      <c r="Q318" s="58" t="s">
        <v>68</v>
      </c>
      <c r="R318" s="58">
        <v>13</v>
      </c>
      <c r="S318" s="2"/>
      <c r="T318" s="58" t="s">
        <v>68</v>
      </c>
      <c r="U318" s="58">
        <v>14</v>
      </c>
    </row>
    <row r="319" spans="2:30" x14ac:dyDescent="0.25">
      <c r="B319" s="46" t="s">
        <v>69</v>
      </c>
      <c r="C319" s="46">
        <v>13</v>
      </c>
      <c r="D319" s="2"/>
      <c r="E319" s="46" t="s">
        <v>69</v>
      </c>
      <c r="F319" s="46">
        <v>14</v>
      </c>
      <c r="H319" s="46" t="s">
        <v>69</v>
      </c>
      <c r="I319" s="46">
        <v>13</v>
      </c>
      <c r="J319" s="2"/>
      <c r="K319" s="46" t="s">
        <v>72</v>
      </c>
      <c r="L319" s="46">
        <v>15</v>
      </c>
      <c r="O319" s="2"/>
      <c r="R319" s="2"/>
    </row>
    <row r="320" spans="2:30" x14ac:dyDescent="0.25">
      <c r="B320" s="46" t="s">
        <v>70</v>
      </c>
      <c r="C320" s="46">
        <v>14</v>
      </c>
      <c r="D320" s="2"/>
      <c r="H320" s="2"/>
      <c r="I320" s="2"/>
      <c r="O320" s="2"/>
      <c r="R320" s="2"/>
      <c r="W320" s="61" t="s">
        <v>60</v>
      </c>
      <c r="X320" s="61">
        <v>4</v>
      </c>
      <c r="Y320" s="2"/>
      <c r="Z320" s="61" t="s">
        <v>60</v>
      </c>
      <c r="AA320" s="61">
        <v>1</v>
      </c>
      <c r="AC320" s="61" t="s">
        <v>60</v>
      </c>
      <c r="AD320" s="61">
        <v>2</v>
      </c>
    </row>
    <row r="321" spans="2:30" x14ac:dyDescent="0.25">
      <c r="N321" s="58" t="s">
        <v>60</v>
      </c>
      <c r="O321" s="58">
        <v>4</v>
      </c>
      <c r="P321" s="2"/>
      <c r="Q321" s="58" t="s">
        <v>60</v>
      </c>
      <c r="R321" s="58">
        <v>1</v>
      </c>
      <c r="W321" s="61" t="s">
        <v>61</v>
      </c>
      <c r="X321" s="61">
        <v>7</v>
      </c>
      <c r="Y321" s="2"/>
      <c r="Z321" s="61" t="s">
        <v>61</v>
      </c>
      <c r="AA321" s="61">
        <v>4</v>
      </c>
      <c r="AC321" s="61" t="s">
        <v>61</v>
      </c>
      <c r="AD321" s="61">
        <v>8</v>
      </c>
    </row>
    <row r="322" spans="2:30" x14ac:dyDescent="0.25">
      <c r="N322" s="58" t="s">
        <v>61</v>
      </c>
      <c r="O322" s="58">
        <v>6</v>
      </c>
      <c r="P322" s="2"/>
      <c r="Q322" s="58" t="s">
        <v>61</v>
      </c>
      <c r="R322" s="58">
        <v>4</v>
      </c>
      <c r="W322" s="61" t="s">
        <v>63</v>
      </c>
      <c r="X322" s="61">
        <v>8</v>
      </c>
      <c r="Y322" s="2"/>
      <c r="Z322" s="61" t="s">
        <v>63</v>
      </c>
      <c r="AA322" s="61">
        <v>7</v>
      </c>
      <c r="AC322" s="61" t="s">
        <v>63</v>
      </c>
      <c r="AD322" s="61">
        <v>10</v>
      </c>
    </row>
    <row r="323" spans="2:30" x14ac:dyDescent="0.25">
      <c r="N323" s="58" t="s">
        <v>63</v>
      </c>
      <c r="O323" s="58">
        <v>5</v>
      </c>
      <c r="P323" s="2"/>
      <c r="Q323" s="58" t="s">
        <v>63</v>
      </c>
      <c r="R323" s="58">
        <v>7</v>
      </c>
      <c r="W323" s="61" t="s">
        <v>65</v>
      </c>
      <c r="X323" s="61">
        <v>10</v>
      </c>
      <c r="Y323" s="2"/>
      <c r="Z323" s="61" t="s">
        <v>65</v>
      </c>
      <c r="AA323" s="61">
        <v>9</v>
      </c>
      <c r="AC323" s="61" t="s">
        <v>65</v>
      </c>
      <c r="AD323" s="61">
        <v>13</v>
      </c>
    </row>
    <row r="324" spans="2:30" x14ac:dyDescent="0.25">
      <c r="N324" s="58" t="s">
        <v>65</v>
      </c>
      <c r="O324" s="58">
        <v>10</v>
      </c>
      <c r="P324" s="2"/>
      <c r="Q324" s="58" t="s">
        <v>65</v>
      </c>
      <c r="R324" s="58">
        <v>10</v>
      </c>
      <c r="W324" s="61" t="s">
        <v>67</v>
      </c>
      <c r="X324" s="61">
        <v>14</v>
      </c>
      <c r="Y324" s="2"/>
      <c r="Z324" s="61" t="s">
        <v>72</v>
      </c>
      <c r="AA324" s="61">
        <v>15</v>
      </c>
      <c r="AC324" s="2"/>
      <c r="AD324" s="2"/>
    </row>
    <row r="325" spans="2:30" x14ac:dyDescent="0.25">
      <c r="N325" s="58" t="s">
        <v>67</v>
      </c>
      <c r="O325" s="58">
        <v>13</v>
      </c>
      <c r="P325" s="2"/>
      <c r="Q325" s="58" t="s">
        <v>67</v>
      </c>
      <c r="R325" s="58">
        <v>14</v>
      </c>
    </row>
    <row r="326" spans="2:30" x14ac:dyDescent="0.25">
      <c r="N326" s="58" t="s">
        <v>68</v>
      </c>
      <c r="O326" s="58">
        <v>15</v>
      </c>
      <c r="P326" s="2"/>
      <c r="Q326" s="2"/>
      <c r="R326" s="2"/>
    </row>
    <row r="329" spans="2:30" ht="26.25" x14ac:dyDescent="0.25">
      <c r="B329" s="164" t="s">
        <v>115</v>
      </c>
      <c r="C329" s="164"/>
      <c r="D329" s="164"/>
      <c r="E329" s="164"/>
      <c r="F329" s="164"/>
      <c r="G329" s="164"/>
      <c r="H329" s="164"/>
      <c r="I329" s="164"/>
      <c r="J329" s="164"/>
      <c r="K329" s="164"/>
      <c r="L329" s="164"/>
      <c r="M329" s="164"/>
      <c r="N329" s="164"/>
      <c r="O329" s="164"/>
      <c r="P329" s="164"/>
      <c r="Q329" s="164"/>
      <c r="R329" s="164"/>
      <c r="S329" s="164"/>
      <c r="T329" s="164"/>
      <c r="U329" s="164"/>
      <c r="V329" s="164"/>
      <c r="W329" s="164"/>
      <c r="X329" s="164"/>
      <c r="Y329" s="164"/>
      <c r="Z329" s="164"/>
      <c r="AA329" s="164"/>
      <c r="AB329" s="164"/>
      <c r="AC329" s="164"/>
      <c r="AD329" s="164"/>
    </row>
    <row r="331" spans="2:30" x14ac:dyDescent="0.25">
      <c r="B331" s="46" t="s">
        <v>60</v>
      </c>
      <c r="C331" s="46">
        <v>1</v>
      </c>
      <c r="D331" s="2"/>
      <c r="E331" s="46" t="s">
        <v>60</v>
      </c>
      <c r="F331" s="46">
        <v>2</v>
      </c>
      <c r="H331" s="46" t="s">
        <v>60</v>
      </c>
      <c r="I331" s="46">
        <v>3</v>
      </c>
      <c r="J331" s="2"/>
      <c r="K331" s="46" t="s">
        <v>60</v>
      </c>
      <c r="L331" s="46">
        <v>4</v>
      </c>
      <c r="N331" s="58" t="s">
        <v>60</v>
      </c>
      <c r="O331" s="58">
        <v>1</v>
      </c>
      <c r="P331" s="2"/>
      <c r="Q331" s="58" t="s">
        <v>60</v>
      </c>
      <c r="R331" s="58">
        <v>2</v>
      </c>
      <c r="T331" s="58" t="s">
        <v>60</v>
      </c>
      <c r="U331" s="58">
        <v>3</v>
      </c>
      <c r="W331" s="61" t="s">
        <v>60</v>
      </c>
      <c r="X331" s="61">
        <v>1</v>
      </c>
      <c r="Y331" s="2"/>
      <c r="Z331" s="61" t="s">
        <v>60</v>
      </c>
      <c r="AA331" s="61">
        <v>2</v>
      </c>
      <c r="AC331" s="61" t="s">
        <v>60</v>
      </c>
      <c r="AD331" s="61">
        <v>3</v>
      </c>
    </row>
    <row r="332" spans="2:30" x14ac:dyDescent="0.25">
      <c r="B332" s="46" t="s">
        <v>61</v>
      </c>
      <c r="C332" s="46">
        <v>3</v>
      </c>
      <c r="D332" s="2"/>
      <c r="E332" s="46" t="s">
        <v>61</v>
      </c>
      <c r="F332" s="46">
        <v>4</v>
      </c>
      <c r="H332" s="46" t="s">
        <v>61</v>
      </c>
      <c r="I332" s="46">
        <v>2</v>
      </c>
      <c r="J332" s="2"/>
      <c r="K332" s="46" t="s">
        <v>61</v>
      </c>
      <c r="L332" s="46">
        <v>1</v>
      </c>
      <c r="N332" s="58" t="s">
        <v>61</v>
      </c>
      <c r="O332" s="58">
        <v>2</v>
      </c>
      <c r="P332" s="2"/>
      <c r="Q332" s="58" t="s">
        <v>61</v>
      </c>
      <c r="R332" s="58">
        <v>3</v>
      </c>
      <c r="T332" s="58" t="s">
        <v>61</v>
      </c>
      <c r="U332" s="58">
        <v>5</v>
      </c>
      <c r="W332" s="61" t="s">
        <v>61</v>
      </c>
      <c r="X332" s="61">
        <v>5</v>
      </c>
      <c r="Y332" s="2"/>
      <c r="Z332" s="61" t="s">
        <v>61</v>
      </c>
      <c r="AA332" s="61">
        <v>3</v>
      </c>
      <c r="AC332" s="61" t="s">
        <v>61</v>
      </c>
      <c r="AD332" s="61">
        <v>6</v>
      </c>
    </row>
    <row r="333" spans="2:30" x14ac:dyDescent="0.25">
      <c r="B333" s="46" t="s">
        <v>63</v>
      </c>
      <c r="C333" s="46">
        <v>5</v>
      </c>
      <c r="D333" s="2"/>
      <c r="E333" s="46" t="s">
        <v>63</v>
      </c>
      <c r="F333" s="46">
        <v>6</v>
      </c>
      <c r="H333" s="46" t="s">
        <v>63</v>
      </c>
      <c r="I333" s="46">
        <v>7</v>
      </c>
      <c r="J333" s="2"/>
      <c r="K333" s="46" t="s">
        <v>63</v>
      </c>
      <c r="L333" s="46">
        <v>8</v>
      </c>
      <c r="N333" s="58" t="s">
        <v>63</v>
      </c>
      <c r="O333" s="58">
        <v>7</v>
      </c>
      <c r="P333" s="2"/>
      <c r="Q333" s="58" t="s">
        <v>63</v>
      </c>
      <c r="R333" s="58">
        <v>8</v>
      </c>
      <c r="T333" s="58" t="s">
        <v>63</v>
      </c>
      <c r="U333" s="58">
        <v>6</v>
      </c>
      <c r="W333" s="61" t="s">
        <v>63</v>
      </c>
      <c r="X333" s="61">
        <v>6</v>
      </c>
      <c r="Y333" s="2"/>
      <c r="Z333" s="61" t="s">
        <v>63</v>
      </c>
      <c r="AA333" s="61">
        <v>5</v>
      </c>
      <c r="AC333" s="61" t="s">
        <v>63</v>
      </c>
      <c r="AD333" s="61">
        <v>9</v>
      </c>
    </row>
    <row r="334" spans="2:30" x14ac:dyDescent="0.25">
      <c r="B334" s="46" t="s">
        <v>65</v>
      </c>
      <c r="C334" s="46">
        <v>7</v>
      </c>
      <c r="D334" s="2"/>
      <c r="E334" s="46" t="s">
        <v>65</v>
      </c>
      <c r="F334" s="46">
        <v>8</v>
      </c>
      <c r="H334" s="46" t="s">
        <v>65</v>
      </c>
      <c r="I334" s="46">
        <v>6</v>
      </c>
      <c r="J334" s="2"/>
      <c r="K334" s="46" t="s">
        <v>65</v>
      </c>
      <c r="L334" s="46">
        <v>5</v>
      </c>
      <c r="N334" s="58" t="s">
        <v>65</v>
      </c>
      <c r="O334" s="58">
        <v>8</v>
      </c>
      <c r="P334" s="2"/>
      <c r="Q334" s="58" t="s">
        <v>65</v>
      </c>
      <c r="R334" s="58">
        <v>9</v>
      </c>
      <c r="T334" s="58" t="s">
        <v>65</v>
      </c>
      <c r="U334" s="58">
        <v>9</v>
      </c>
      <c r="W334" s="61" t="s">
        <v>65</v>
      </c>
      <c r="X334" s="61">
        <v>11</v>
      </c>
      <c r="Y334" s="2"/>
      <c r="Z334" s="61" t="s">
        <v>65</v>
      </c>
      <c r="AA334" s="61">
        <v>12</v>
      </c>
      <c r="AC334" s="61" t="s">
        <v>65</v>
      </c>
      <c r="AD334" s="61">
        <v>11</v>
      </c>
    </row>
    <row r="335" spans="2:30" x14ac:dyDescent="0.25">
      <c r="B335" s="46" t="s">
        <v>67</v>
      </c>
      <c r="C335" s="46">
        <v>9</v>
      </c>
      <c r="D335" s="2"/>
      <c r="E335" s="46" t="s">
        <v>67</v>
      </c>
      <c r="F335" s="46">
        <v>10</v>
      </c>
      <c r="H335" s="46" t="s">
        <v>67</v>
      </c>
      <c r="I335" s="46">
        <v>11</v>
      </c>
      <c r="J335" s="2"/>
      <c r="K335" s="46" t="s">
        <v>67</v>
      </c>
      <c r="L335" s="46">
        <v>12</v>
      </c>
      <c r="N335" s="58" t="s">
        <v>67</v>
      </c>
      <c r="O335" s="58">
        <v>11</v>
      </c>
      <c r="P335" s="2"/>
      <c r="Q335" s="58" t="s">
        <v>67</v>
      </c>
      <c r="R335" s="58">
        <v>12</v>
      </c>
      <c r="T335" s="58" t="s">
        <v>67</v>
      </c>
      <c r="U335" s="58">
        <v>11</v>
      </c>
      <c r="W335" s="61" t="s">
        <v>67</v>
      </c>
      <c r="X335" s="61">
        <v>12</v>
      </c>
      <c r="Y335" s="2"/>
      <c r="Z335" s="61" t="s">
        <v>67</v>
      </c>
      <c r="AA335" s="61">
        <v>13</v>
      </c>
      <c r="AC335" s="61" t="s">
        <v>67</v>
      </c>
      <c r="AD335" s="61">
        <v>14</v>
      </c>
    </row>
    <row r="336" spans="2:30" x14ac:dyDescent="0.25">
      <c r="B336" s="46" t="s">
        <v>68</v>
      </c>
      <c r="C336" s="46">
        <v>11</v>
      </c>
      <c r="D336" s="2"/>
      <c r="E336" s="46" t="s">
        <v>68</v>
      </c>
      <c r="F336" s="46">
        <v>12</v>
      </c>
      <c r="H336" s="46" t="s">
        <v>68</v>
      </c>
      <c r="I336" s="46">
        <v>10</v>
      </c>
      <c r="J336" s="2"/>
      <c r="K336" s="46" t="s">
        <v>68</v>
      </c>
      <c r="L336" s="46">
        <v>9</v>
      </c>
      <c r="N336" s="58" t="s">
        <v>68</v>
      </c>
      <c r="O336" s="58">
        <v>12</v>
      </c>
      <c r="P336" s="2"/>
      <c r="Q336" s="58" t="s">
        <v>68</v>
      </c>
      <c r="R336" s="58">
        <v>13</v>
      </c>
      <c r="T336" s="58" t="s">
        <v>68</v>
      </c>
      <c r="U336" s="58">
        <v>14</v>
      </c>
      <c r="X336" s="2"/>
      <c r="AA336" s="2"/>
      <c r="AD336" s="2"/>
    </row>
    <row r="337" spans="2:30" x14ac:dyDescent="0.25">
      <c r="B337" s="46" t="s">
        <v>69</v>
      </c>
      <c r="C337" s="46">
        <v>13</v>
      </c>
      <c r="D337" s="2"/>
      <c r="E337" s="46" t="s">
        <v>69</v>
      </c>
      <c r="F337" s="46">
        <v>14</v>
      </c>
      <c r="H337" s="46" t="s">
        <v>69</v>
      </c>
      <c r="I337" s="46">
        <v>15</v>
      </c>
      <c r="J337" s="2"/>
      <c r="K337" s="46" t="s">
        <v>69</v>
      </c>
      <c r="L337" s="46">
        <v>15</v>
      </c>
      <c r="X337" s="2"/>
      <c r="AA337" s="2"/>
      <c r="AD337" s="2"/>
    </row>
    <row r="338" spans="2:30" x14ac:dyDescent="0.25">
      <c r="B338" s="46" t="s">
        <v>70</v>
      </c>
      <c r="C338" s="46">
        <v>14</v>
      </c>
      <c r="D338" s="2"/>
      <c r="E338" s="46" t="s">
        <v>70</v>
      </c>
      <c r="F338" s="46">
        <v>13</v>
      </c>
      <c r="H338" s="2"/>
      <c r="I338" s="2"/>
      <c r="W338" s="61" t="s">
        <v>60</v>
      </c>
      <c r="X338" s="61">
        <v>4</v>
      </c>
      <c r="Y338" s="2"/>
      <c r="Z338" s="61" t="s">
        <v>60</v>
      </c>
      <c r="AA338" s="61">
        <v>1</v>
      </c>
      <c r="AC338" s="61" t="s">
        <v>60</v>
      </c>
      <c r="AD338" s="61">
        <v>2</v>
      </c>
    </row>
    <row r="339" spans="2:30" x14ac:dyDescent="0.25">
      <c r="N339" s="58" t="s">
        <v>60</v>
      </c>
      <c r="O339" s="58">
        <v>4</v>
      </c>
      <c r="P339" s="2"/>
      <c r="Q339" s="58" t="s">
        <v>60</v>
      </c>
      <c r="R339" s="58">
        <v>1</v>
      </c>
      <c r="W339" s="61" t="s">
        <v>61</v>
      </c>
      <c r="X339" s="61">
        <v>7</v>
      </c>
      <c r="Y339" s="2"/>
      <c r="Z339" s="61" t="s">
        <v>61</v>
      </c>
      <c r="AA339" s="61">
        <v>4</v>
      </c>
      <c r="AC339" s="61" t="s">
        <v>61</v>
      </c>
      <c r="AD339" s="61">
        <v>8</v>
      </c>
    </row>
    <row r="340" spans="2:30" x14ac:dyDescent="0.25">
      <c r="N340" s="58" t="s">
        <v>61</v>
      </c>
      <c r="O340" s="58">
        <v>6</v>
      </c>
      <c r="P340" s="2"/>
      <c r="Q340" s="58" t="s">
        <v>61</v>
      </c>
      <c r="R340" s="58">
        <v>4</v>
      </c>
      <c r="W340" s="61" t="s">
        <v>63</v>
      </c>
      <c r="X340" s="61">
        <v>8</v>
      </c>
      <c r="Y340" s="2"/>
      <c r="Z340" s="61" t="s">
        <v>63</v>
      </c>
      <c r="AA340" s="61">
        <v>7</v>
      </c>
      <c r="AC340" s="61" t="s">
        <v>63</v>
      </c>
      <c r="AD340" s="61">
        <v>10</v>
      </c>
    </row>
    <row r="341" spans="2:30" x14ac:dyDescent="0.25">
      <c r="N341" s="58" t="s">
        <v>63</v>
      </c>
      <c r="O341" s="58">
        <v>5</v>
      </c>
      <c r="P341" s="2"/>
      <c r="Q341" s="58" t="s">
        <v>63</v>
      </c>
      <c r="R341" s="58">
        <v>7</v>
      </c>
      <c r="W341" s="61" t="s">
        <v>65</v>
      </c>
      <c r="X341" s="61">
        <v>10</v>
      </c>
      <c r="Y341" s="2"/>
      <c r="Z341" s="61" t="s">
        <v>65</v>
      </c>
      <c r="AA341" s="61">
        <v>9</v>
      </c>
      <c r="AC341" s="61" t="s">
        <v>65</v>
      </c>
      <c r="AD341" s="61">
        <v>13</v>
      </c>
    </row>
    <row r="342" spans="2:30" x14ac:dyDescent="0.25">
      <c r="N342" s="58" t="s">
        <v>65</v>
      </c>
      <c r="O342" s="58">
        <v>10</v>
      </c>
      <c r="P342" s="2"/>
      <c r="Q342" s="58" t="s">
        <v>65</v>
      </c>
      <c r="R342" s="58">
        <v>10</v>
      </c>
      <c r="W342" s="61" t="s">
        <v>67</v>
      </c>
      <c r="X342" s="61">
        <v>14</v>
      </c>
      <c r="Y342" s="2"/>
      <c r="Z342" s="61" t="s">
        <v>67</v>
      </c>
      <c r="AA342" s="61">
        <v>15</v>
      </c>
      <c r="AC342" s="61" t="s">
        <v>67</v>
      </c>
      <c r="AD342" s="61">
        <v>15</v>
      </c>
    </row>
    <row r="343" spans="2:30" x14ac:dyDescent="0.25">
      <c r="N343" s="58" t="s">
        <v>67</v>
      </c>
      <c r="O343" s="58">
        <v>13</v>
      </c>
      <c r="P343" s="2"/>
      <c r="Q343" s="58" t="s">
        <v>67</v>
      </c>
      <c r="R343" s="58">
        <v>14</v>
      </c>
    </row>
    <row r="344" spans="2:30" x14ac:dyDescent="0.25">
      <c r="N344" s="58" t="s">
        <v>68</v>
      </c>
      <c r="O344" s="58">
        <v>15</v>
      </c>
      <c r="P344" s="2"/>
      <c r="Q344" s="58" t="s">
        <v>68</v>
      </c>
      <c r="R344" s="58">
        <v>15</v>
      </c>
    </row>
    <row r="346" spans="2:30" ht="26.25" x14ac:dyDescent="0.25">
      <c r="B346" s="164" t="s">
        <v>116</v>
      </c>
      <c r="C346" s="164"/>
      <c r="D346" s="164"/>
      <c r="E346" s="164"/>
      <c r="F346" s="164"/>
      <c r="G346" s="164"/>
      <c r="H346" s="164"/>
      <c r="I346" s="164"/>
      <c r="J346" s="164"/>
      <c r="K346" s="164"/>
      <c r="L346" s="164"/>
      <c r="M346" s="164"/>
      <c r="N346" s="164"/>
      <c r="O346" s="164"/>
      <c r="P346" s="164"/>
      <c r="Q346" s="164"/>
      <c r="R346" s="164"/>
      <c r="S346" s="164"/>
      <c r="T346" s="164"/>
      <c r="U346" s="164"/>
      <c r="V346" s="164"/>
      <c r="W346" s="164"/>
      <c r="X346" s="164"/>
      <c r="Y346" s="164"/>
      <c r="Z346" s="164"/>
      <c r="AA346" s="164"/>
      <c r="AB346" s="164"/>
      <c r="AC346" s="164"/>
      <c r="AD346" s="164"/>
    </row>
    <row r="348" spans="2:30" x14ac:dyDescent="0.25">
      <c r="B348" s="46" t="s">
        <v>60</v>
      </c>
      <c r="C348" s="46">
        <v>1</v>
      </c>
      <c r="D348" s="2"/>
      <c r="E348" s="46" t="s">
        <v>60</v>
      </c>
      <c r="F348" s="46">
        <v>2</v>
      </c>
      <c r="H348" s="46" t="s">
        <v>60</v>
      </c>
      <c r="I348" s="46">
        <v>3</v>
      </c>
      <c r="J348" s="2"/>
      <c r="K348" s="46" t="s">
        <v>60</v>
      </c>
      <c r="L348" s="46">
        <v>4</v>
      </c>
      <c r="N348" s="58" t="s">
        <v>60</v>
      </c>
      <c r="O348" s="58">
        <v>1</v>
      </c>
      <c r="P348" s="2"/>
      <c r="Q348" s="58" t="s">
        <v>60</v>
      </c>
      <c r="R348" s="58">
        <v>2</v>
      </c>
      <c r="S348" s="2"/>
      <c r="T348" s="58" t="s">
        <v>60</v>
      </c>
      <c r="U348" s="58">
        <v>3</v>
      </c>
      <c r="V348" s="2"/>
      <c r="W348" s="62" t="s">
        <v>60</v>
      </c>
      <c r="X348" s="63">
        <v>1</v>
      </c>
      <c r="Y348" s="2"/>
      <c r="Z348" s="63" t="s">
        <v>60</v>
      </c>
      <c r="AA348" s="63">
        <v>2</v>
      </c>
      <c r="AB348" s="2"/>
      <c r="AC348" s="63" t="s">
        <v>60</v>
      </c>
      <c r="AD348" s="64">
        <v>3</v>
      </c>
    </row>
    <row r="349" spans="2:30" x14ac:dyDescent="0.25">
      <c r="B349" s="46" t="s">
        <v>61</v>
      </c>
      <c r="C349" s="46">
        <v>3</v>
      </c>
      <c r="D349" s="2"/>
      <c r="E349" s="46" t="s">
        <v>61</v>
      </c>
      <c r="F349" s="46">
        <v>4</v>
      </c>
      <c r="H349" s="46" t="s">
        <v>61</v>
      </c>
      <c r="I349" s="46">
        <v>2</v>
      </c>
      <c r="J349" s="2"/>
      <c r="K349" s="46" t="s">
        <v>61</v>
      </c>
      <c r="L349" s="46">
        <v>1</v>
      </c>
      <c r="N349" s="58" t="s">
        <v>61</v>
      </c>
      <c r="O349" s="58">
        <v>2</v>
      </c>
      <c r="P349" s="2"/>
      <c r="Q349" s="58" t="s">
        <v>61</v>
      </c>
      <c r="R349" s="58">
        <v>3</v>
      </c>
      <c r="T349" s="58" t="s">
        <v>61</v>
      </c>
      <c r="U349" s="58">
        <v>5</v>
      </c>
      <c r="V349" s="2"/>
      <c r="W349" s="63" t="s">
        <v>61</v>
      </c>
      <c r="X349" s="63">
        <v>5</v>
      </c>
      <c r="Y349" s="2"/>
      <c r="Z349" s="63" t="s">
        <v>61</v>
      </c>
      <c r="AA349" s="63">
        <v>3</v>
      </c>
      <c r="AC349" s="63" t="s">
        <v>61</v>
      </c>
      <c r="AD349" s="63">
        <v>6</v>
      </c>
    </row>
    <row r="350" spans="2:30" x14ac:dyDescent="0.25">
      <c r="B350" s="46" t="s">
        <v>63</v>
      </c>
      <c r="C350" s="46">
        <v>5</v>
      </c>
      <c r="D350" s="2"/>
      <c r="E350" s="46" t="s">
        <v>63</v>
      </c>
      <c r="F350" s="46">
        <v>6</v>
      </c>
      <c r="H350" s="46" t="s">
        <v>63</v>
      </c>
      <c r="I350" s="46">
        <v>7</v>
      </c>
      <c r="J350" s="2"/>
      <c r="K350" s="46" t="s">
        <v>63</v>
      </c>
      <c r="L350" s="46">
        <v>8</v>
      </c>
      <c r="N350" s="58" t="s">
        <v>63</v>
      </c>
      <c r="O350" s="58">
        <v>7</v>
      </c>
      <c r="P350" s="2"/>
      <c r="Q350" s="58" t="s">
        <v>63</v>
      </c>
      <c r="R350" s="58">
        <v>8</v>
      </c>
      <c r="T350" s="58" t="s">
        <v>63</v>
      </c>
      <c r="U350" s="58">
        <v>6</v>
      </c>
      <c r="V350" s="2"/>
      <c r="W350" s="63" t="s">
        <v>63</v>
      </c>
      <c r="X350" s="63">
        <v>6</v>
      </c>
      <c r="Y350" s="2"/>
      <c r="Z350" s="63" t="s">
        <v>63</v>
      </c>
      <c r="AA350" s="63">
        <v>5</v>
      </c>
      <c r="AC350" s="63" t="s">
        <v>63</v>
      </c>
      <c r="AD350" s="63">
        <v>9</v>
      </c>
    </row>
    <row r="351" spans="2:30" x14ac:dyDescent="0.25">
      <c r="B351" s="46" t="s">
        <v>65</v>
      </c>
      <c r="C351" s="46">
        <v>7</v>
      </c>
      <c r="D351" s="2"/>
      <c r="E351" s="46" t="s">
        <v>65</v>
      </c>
      <c r="F351" s="46">
        <v>8</v>
      </c>
      <c r="H351" s="46" t="s">
        <v>65</v>
      </c>
      <c r="I351" s="46">
        <v>6</v>
      </c>
      <c r="J351" s="2"/>
      <c r="K351" s="46" t="s">
        <v>65</v>
      </c>
      <c r="L351" s="46">
        <v>5</v>
      </c>
      <c r="N351" s="58" t="s">
        <v>65</v>
      </c>
      <c r="O351" s="58">
        <v>8</v>
      </c>
      <c r="P351" s="2"/>
      <c r="Q351" s="58" t="s">
        <v>65</v>
      </c>
      <c r="R351" s="58">
        <v>9</v>
      </c>
      <c r="T351" s="58" t="s">
        <v>65</v>
      </c>
      <c r="U351" s="58">
        <v>9</v>
      </c>
      <c r="V351" s="2"/>
      <c r="W351" s="63" t="s">
        <v>65</v>
      </c>
      <c r="X351" s="63">
        <v>11</v>
      </c>
      <c r="Y351" s="2"/>
      <c r="Z351" s="63" t="s">
        <v>65</v>
      </c>
      <c r="AA351" s="63">
        <v>12</v>
      </c>
      <c r="AC351" s="63" t="s">
        <v>65</v>
      </c>
      <c r="AD351" s="63">
        <v>11</v>
      </c>
    </row>
    <row r="352" spans="2:30" x14ac:dyDescent="0.25">
      <c r="B352" s="46" t="s">
        <v>67</v>
      </c>
      <c r="C352" s="46">
        <v>9</v>
      </c>
      <c r="D352" s="2"/>
      <c r="E352" s="46" t="s">
        <v>67</v>
      </c>
      <c r="F352" s="46">
        <v>10</v>
      </c>
      <c r="H352" s="46" t="s">
        <v>67</v>
      </c>
      <c r="I352" s="46">
        <v>11</v>
      </c>
      <c r="J352" s="2"/>
      <c r="K352" s="46" t="s">
        <v>67</v>
      </c>
      <c r="L352" s="46">
        <v>12</v>
      </c>
      <c r="N352" s="58" t="s">
        <v>67</v>
      </c>
      <c r="O352" s="58">
        <v>11</v>
      </c>
      <c r="P352" s="2"/>
      <c r="Q352" s="58" t="s">
        <v>67</v>
      </c>
      <c r="R352" s="58">
        <v>12</v>
      </c>
      <c r="T352" s="58" t="s">
        <v>67</v>
      </c>
      <c r="U352" s="58">
        <v>11</v>
      </c>
      <c r="V352" s="2"/>
      <c r="W352" s="63" t="s">
        <v>67</v>
      </c>
      <c r="X352" s="63">
        <v>12</v>
      </c>
      <c r="Y352" s="2"/>
      <c r="Z352" s="63" t="s">
        <v>67</v>
      </c>
      <c r="AA352" s="63">
        <v>13</v>
      </c>
      <c r="AC352" s="63" t="s">
        <v>67</v>
      </c>
      <c r="AD352" s="63">
        <v>14</v>
      </c>
    </row>
    <row r="353" spans="2:30" x14ac:dyDescent="0.25">
      <c r="B353" s="46" t="s">
        <v>68</v>
      </c>
      <c r="C353" s="46">
        <v>11</v>
      </c>
      <c r="D353" s="2"/>
      <c r="E353" s="46" t="s">
        <v>68</v>
      </c>
      <c r="F353" s="46">
        <v>12</v>
      </c>
      <c r="H353" s="46" t="s">
        <v>68</v>
      </c>
      <c r="I353" s="46">
        <v>10</v>
      </c>
      <c r="J353" s="2"/>
      <c r="K353" s="46" t="s">
        <v>68</v>
      </c>
      <c r="L353" s="46">
        <v>9</v>
      </c>
      <c r="N353" s="58" t="s">
        <v>68</v>
      </c>
      <c r="O353" s="58">
        <v>12</v>
      </c>
      <c r="P353" s="2"/>
      <c r="Q353" s="58" t="s">
        <v>68</v>
      </c>
      <c r="R353" s="58">
        <v>13</v>
      </c>
      <c r="T353" s="58" t="s">
        <v>68</v>
      </c>
      <c r="U353" s="58">
        <v>14</v>
      </c>
      <c r="V353" s="2"/>
      <c r="W353" s="63" t="s">
        <v>68</v>
      </c>
      <c r="X353" s="63">
        <v>15</v>
      </c>
      <c r="Z353" s="2"/>
      <c r="AA353" s="2"/>
    </row>
    <row r="354" spans="2:30" x14ac:dyDescent="0.25">
      <c r="B354" s="46" t="s">
        <v>69</v>
      </c>
      <c r="C354" s="46">
        <v>13</v>
      </c>
      <c r="D354" s="2"/>
      <c r="E354" s="46" t="s">
        <v>69</v>
      </c>
      <c r="F354" s="46">
        <v>14</v>
      </c>
      <c r="H354" s="46" t="s">
        <v>69</v>
      </c>
      <c r="I354" s="46">
        <v>15</v>
      </c>
      <c r="J354" s="2"/>
      <c r="K354" s="46" t="s">
        <v>69</v>
      </c>
      <c r="L354" s="46">
        <v>16</v>
      </c>
      <c r="N354" s="58" t="s">
        <v>69</v>
      </c>
      <c r="O354" s="58">
        <v>15</v>
      </c>
      <c r="Q354" s="2"/>
      <c r="R354" s="2"/>
    </row>
    <row r="355" spans="2:30" x14ac:dyDescent="0.25">
      <c r="B355" s="46" t="s">
        <v>70</v>
      </c>
      <c r="C355" s="46">
        <v>15</v>
      </c>
      <c r="D355" s="2"/>
      <c r="E355" s="46" t="s">
        <v>70</v>
      </c>
      <c r="F355" s="46">
        <v>16</v>
      </c>
      <c r="H355" s="46" t="s">
        <v>70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60</v>
      </c>
      <c r="X356" s="63">
        <v>4</v>
      </c>
      <c r="Y356" s="2"/>
      <c r="Z356" s="63" t="s">
        <v>60</v>
      </c>
      <c r="AA356" s="63">
        <v>1</v>
      </c>
      <c r="AB356" s="2"/>
      <c r="AC356" s="63" t="s">
        <v>60</v>
      </c>
      <c r="AD356" s="64">
        <v>2</v>
      </c>
    </row>
    <row r="357" spans="2:30" x14ac:dyDescent="0.25">
      <c r="N357" s="58" t="s">
        <v>60</v>
      </c>
      <c r="O357" s="58">
        <v>4</v>
      </c>
      <c r="P357" s="2"/>
      <c r="Q357" s="58" t="s">
        <v>60</v>
      </c>
      <c r="R357" s="58">
        <v>1</v>
      </c>
      <c r="W357" s="63" t="s">
        <v>61</v>
      </c>
      <c r="X357" s="63">
        <v>7</v>
      </c>
      <c r="Y357" s="2"/>
      <c r="Z357" s="63" t="s">
        <v>61</v>
      </c>
      <c r="AA357" s="63">
        <v>4</v>
      </c>
      <c r="AC357" s="63" t="s">
        <v>61</v>
      </c>
      <c r="AD357" s="63">
        <v>8</v>
      </c>
    </row>
    <row r="358" spans="2:30" x14ac:dyDescent="0.25">
      <c r="N358" s="58" t="s">
        <v>61</v>
      </c>
      <c r="O358" s="58">
        <v>6</v>
      </c>
      <c r="Q358" s="58" t="s">
        <v>61</v>
      </c>
      <c r="R358" s="58">
        <v>4</v>
      </c>
      <c r="W358" s="63" t="s">
        <v>63</v>
      </c>
      <c r="X358" s="63">
        <v>8</v>
      </c>
      <c r="Y358" s="2"/>
      <c r="Z358" s="63" t="s">
        <v>63</v>
      </c>
      <c r="AA358" s="63">
        <v>7</v>
      </c>
      <c r="AC358" s="63" t="s">
        <v>63</v>
      </c>
      <c r="AD358" s="63">
        <v>10</v>
      </c>
    </row>
    <row r="359" spans="2:30" x14ac:dyDescent="0.25">
      <c r="N359" s="58" t="s">
        <v>63</v>
      </c>
      <c r="O359" s="58">
        <v>5</v>
      </c>
      <c r="Q359" s="58" t="s">
        <v>63</v>
      </c>
      <c r="R359" s="58">
        <v>7</v>
      </c>
      <c r="W359" s="63" t="s">
        <v>65</v>
      </c>
      <c r="X359" s="63">
        <v>10</v>
      </c>
      <c r="Y359" s="2"/>
      <c r="Z359" s="63" t="s">
        <v>65</v>
      </c>
      <c r="AA359" s="63">
        <v>9</v>
      </c>
      <c r="AC359" s="63" t="s">
        <v>65</v>
      </c>
      <c r="AD359" s="63">
        <v>13</v>
      </c>
    </row>
    <row r="360" spans="2:30" x14ac:dyDescent="0.25">
      <c r="N360" s="58" t="s">
        <v>65</v>
      </c>
      <c r="O360" s="58">
        <v>10</v>
      </c>
      <c r="Q360" s="58" t="s">
        <v>65</v>
      </c>
      <c r="R360" s="58">
        <v>10</v>
      </c>
      <c r="W360" s="63" t="s">
        <v>67</v>
      </c>
      <c r="X360" s="63">
        <v>14</v>
      </c>
      <c r="Y360" s="2"/>
      <c r="Z360" s="63" t="s">
        <v>67</v>
      </c>
      <c r="AA360" s="63">
        <v>15</v>
      </c>
      <c r="AC360" s="63" t="s">
        <v>72</v>
      </c>
      <c r="AD360" s="63">
        <v>16</v>
      </c>
    </row>
    <row r="361" spans="2:30" x14ac:dyDescent="0.25">
      <c r="N361" s="58" t="s">
        <v>67</v>
      </c>
      <c r="O361" s="58">
        <v>13</v>
      </c>
      <c r="Q361" s="58" t="s">
        <v>67</v>
      </c>
      <c r="R361" s="58">
        <v>14</v>
      </c>
    </row>
    <row r="362" spans="2:30" x14ac:dyDescent="0.25">
      <c r="N362" s="58" t="s">
        <v>68</v>
      </c>
      <c r="O362" s="58">
        <v>15</v>
      </c>
      <c r="Q362" s="58" t="s">
        <v>117</v>
      </c>
      <c r="R362" s="58">
        <v>16</v>
      </c>
    </row>
    <row r="365" spans="2:30" ht="26.25" x14ac:dyDescent="0.25">
      <c r="B365" s="164" t="s">
        <v>118</v>
      </c>
      <c r="C365" s="164"/>
      <c r="D365" s="164"/>
      <c r="E365" s="164"/>
      <c r="F365" s="164"/>
      <c r="G365" s="164"/>
      <c r="H365" s="164"/>
      <c r="I365" s="164"/>
      <c r="J365" s="164"/>
      <c r="K365" s="164"/>
      <c r="L365" s="164"/>
      <c r="M365" s="164"/>
      <c r="N365" s="164"/>
      <c r="O365" s="164"/>
      <c r="P365" s="164"/>
      <c r="Q365" s="164"/>
      <c r="R365" s="164"/>
      <c r="S365" s="164"/>
      <c r="T365" s="164"/>
      <c r="U365" s="164"/>
      <c r="V365" s="164"/>
      <c r="W365" s="164"/>
      <c r="X365" s="164"/>
      <c r="Y365" s="164"/>
      <c r="Z365" s="164"/>
      <c r="AA365" s="164"/>
      <c r="AB365" s="164"/>
      <c r="AC365" s="164"/>
      <c r="AD365" s="164"/>
    </row>
    <row r="367" spans="2:30" x14ac:dyDescent="0.25">
      <c r="B367" s="46" t="s">
        <v>60</v>
      </c>
      <c r="C367" s="46">
        <v>1</v>
      </c>
      <c r="D367" s="2"/>
      <c r="E367" s="46" t="s">
        <v>60</v>
      </c>
      <c r="F367" s="46">
        <v>2</v>
      </c>
      <c r="H367" s="46" t="s">
        <v>60</v>
      </c>
      <c r="I367" s="46">
        <v>3</v>
      </c>
      <c r="J367" s="2"/>
      <c r="K367" s="46" t="s">
        <v>60</v>
      </c>
      <c r="L367" s="46">
        <v>4</v>
      </c>
      <c r="N367" s="58" t="s">
        <v>60</v>
      </c>
      <c r="O367" s="58">
        <v>1</v>
      </c>
      <c r="P367" s="2"/>
      <c r="Q367" s="58" t="s">
        <v>60</v>
      </c>
      <c r="R367" s="58">
        <v>2</v>
      </c>
      <c r="T367" s="58" t="s">
        <v>60</v>
      </c>
      <c r="U367" s="58">
        <v>3</v>
      </c>
      <c r="V367" s="2"/>
      <c r="W367" s="62" t="s">
        <v>60</v>
      </c>
      <c r="X367" s="63">
        <v>1</v>
      </c>
      <c r="Y367" s="2"/>
      <c r="Z367" s="63" t="s">
        <v>60</v>
      </c>
      <c r="AA367" s="63">
        <v>2</v>
      </c>
      <c r="AB367" s="2"/>
      <c r="AC367" s="63" t="s">
        <v>60</v>
      </c>
      <c r="AD367" s="63">
        <v>3</v>
      </c>
    </row>
    <row r="368" spans="2:30" x14ac:dyDescent="0.25">
      <c r="B368" s="46" t="s">
        <v>61</v>
      </c>
      <c r="C368" s="46">
        <v>3</v>
      </c>
      <c r="D368" s="2"/>
      <c r="E368" s="46" t="s">
        <v>61</v>
      </c>
      <c r="F368" s="46">
        <v>4</v>
      </c>
      <c r="H368" s="46" t="s">
        <v>61</v>
      </c>
      <c r="I368" s="46">
        <v>2</v>
      </c>
      <c r="J368" s="2"/>
      <c r="K368" s="46" t="s">
        <v>61</v>
      </c>
      <c r="L368" s="46">
        <v>1</v>
      </c>
      <c r="N368" s="58" t="s">
        <v>61</v>
      </c>
      <c r="O368" s="58">
        <v>2</v>
      </c>
      <c r="P368" s="2"/>
      <c r="Q368" s="58" t="s">
        <v>61</v>
      </c>
      <c r="R368" s="58">
        <v>3</v>
      </c>
      <c r="T368" s="58" t="s">
        <v>61</v>
      </c>
      <c r="U368" s="58">
        <v>5</v>
      </c>
      <c r="V368" s="2"/>
      <c r="W368" s="62" t="s">
        <v>61</v>
      </c>
      <c r="X368" s="63">
        <v>5</v>
      </c>
      <c r="Y368" s="2"/>
      <c r="Z368" s="63" t="s">
        <v>61</v>
      </c>
      <c r="AA368" s="63">
        <v>3</v>
      </c>
      <c r="AC368" s="63" t="s">
        <v>61</v>
      </c>
      <c r="AD368" s="63">
        <v>6</v>
      </c>
    </row>
    <row r="369" spans="2:30" x14ac:dyDescent="0.25">
      <c r="B369" s="46" t="s">
        <v>63</v>
      </c>
      <c r="C369" s="46">
        <v>5</v>
      </c>
      <c r="D369" s="2"/>
      <c r="E369" s="46" t="s">
        <v>63</v>
      </c>
      <c r="F369" s="46">
        <v>6</v>
      </c>
      <c r="H369" s="46" t="s">
        <v>63</v>
      </c>
      <c r="I369" s="46">
        <v>7</v>
      </c>
      <c r="J369" s="2"/>
      <c r="K369" s="46" t="s">
        <v>63</v>
      </c>
      <c r="L369" s="46">
        <v>8</v>
      </c>
      <c r="N369" s="58" t="s">
        <v>63</v>
      </c>
      <c r="O369" s="58">
        <v>7</v>
      </c>
      <c r="P369" s="2"/>
      <c r="Q369" s="58" t="s">
        <v>63</v>
      </c>
      <c r="R369" s="58">
        <v>8</v>
      </c>
      <c r="T369" s="58" t="s">
        <v>63</v>
      </c>
      <c r="U369" s="58">
        <v>6</v>
      </c>
      <c r="V369" s="2"/>
      <c r="W369" s="62" t="s">
        <v>63</v>
      </c>
      <c r="X369" s="63">
        <v>6</v>
      </c>
      <c r="Y369" s="2"/>
      <c r="Z369" s="63" t="s">
        <v>63</v>
      </c>
      <c r="AA369" s="63">
        <v>5</v>
      </c>
      <c r="AC369" s="63" t="s">
        <v>63</v>
      </c>
      <c r="AD369" s="63">
        <v>9</v>
      </c>
    </row>
    <row r="370" spans="2:30" x14ac:dyDescent="0.25">
      <c r="B370" s="46" t="s">
        <v>65</v>
      </c>
      <c r="C370" s="46">
        <v>7</v>
      </c>
      <c r="D370" s="2"/>
      <c r="E370" s="46" t="s">
        <v>65</v>
      </c>
      <c r="F370" s="46">
        <v>8</v>
      </c>
      <c r="H370" s="46" t="s">
        <v>65</v>
      </c>
      <c r="I370" s="46">
        <v>6</v>
      </c>
      <c r="J370" s="2"/>
      <c r="K370" s="46" t="s">
        <v>65</v>
      </c>
      <c r="L370" s="46">
        <v>5</v>
      </c>
      <c r="N370" s="58" t="s">
        <v>65</v>
      </c>
      <c r="O370" s="58">
        <v>8</v>
      </c>
      <c r="P370" s="2"/>
      <c r="Q370" s="58" t="s">
        <v>65</v>
      </c>
      <c r="R370" s="58">
        <v>9</v>
      </c>
      <c r="T370" s="58" t="s">
        <v>65</v>
      </c>
      <c r="U370" s="58">
        <v>9</v>
      </c>
      <c r="V370" s="2"/>
      <c r="W370" s="62" t="s">
        <v>65</v>
      </c>
      <c r="X370" s="63">
        <v>11</v>
      </c>
      <c r="Y370" s="2"/>
      <c r="Z370" s="63" t="s">
        <v>65</v>
      </c>
      <c r="AA370" s="63">
        <v>12</v>
      </c>
      <c r="AC370" s="63" t="s">
        <v>65</v>
      </c>
      <c r="AD370" s="63">
        <v>11</v>
      </c>
    </row>
    <row r="371" spans="2:30" x14ac:dyDescent="0.25">
      <c r="B371" s="46" t="s">
        <v>67</v>
      </c>
      <c r="C371" s="46">
        <v>9</v>
      </c>
      <c r="D371" s="2"/>
      <c r="E371" s="46" t="s">
        <v>67</v>
      </c>
      <c r="F371" s="46">
        <v>10</v>
      </c>
      <c r="H371" s="46" t="s">
        <v>67</v>
      </c>
      <c r="I371" s="46">
        <v>11</v>
      </c>
      <c r="J371" s="2"/>
      <c r="K371" s="46" t="s">
        <v>67</v>
      </c>
      <c r="L371" s="46">
        <v>12</v>
      </c>
      <c r="N371" s="58" t="s">
        <v>67</v>
      </c>
      <c r="O371" s="58">
        <v>11</v>
      </c>
      <c r="P371" s="2"/>
      <c r="Q371" s="58" t="s">
        <v>67</v>
      </c>
      <c r="R371" s="58">
        <v>12</v>
      </c>
      <c r="T371" s="58" t="s">
        <v>67</v>
      </c>
      <c r="U371" s="58">
        <v>11</v>
      </c>
      <c r="V371" s="2"/>
      <c r="W371" s="62" t="s">
        <v>67</v>
      </c>
      <c r="X371" s="63">
        <v>12</v>
      </c>
      <c r="Y371" s="2"/>
      <c r="Z371" s="63" t="s">
        <v>67</v>
      </c>
      <c r="AA371" s="63">
        <v>13</v>
      </c>
      <c r="AC371" s="63" t="s">
        <v>67</v>
      </c>
      <c r="AD371" s="63">
        <v>14</v>
      </c>
    </row>
    <row r="372" spans="2:30" x14ac:dyDescent="0.25">
      <c r="B372" s="46" t="s">
        <v>68</v>
      </c>
      <c r="C372" s="46">
        <v>11</v>
      </c>
      <c r="D372" s="2"/>
      <c r="E372" s="46" t="s">
        <v>68</v>
      </c>
      <c r="F372" s="46">
        <v>12</v>
      </c>
      <c r="H372" s="46" t="s">
        <v>68</v>
      </c>
      <c r="I372" s="46">
        <v>10</v>
      </c>
      <c r="J372" s="2"/>
      <c r="K372" s="46" t="s">
        <v>68</v>
      </c>
      <c r="L372" s="46">
        <v>9</v>
      </c>
      <c r="N372" s="58" t="s">
        <v>68</v>
      </c>
      <c r="O372" s="58">
        <v>12</v>
      </c>
      <c r="P372" s="2"/>
      <c r="Q372" s="58" t="s">
        <v>68</v>
      </c>
      <c r="R372" s="58">
        <v>13</v>
      </c>
      <c r="T372" s="58" t="s">
        <v>68</v>
      </c>
      <c r="U372" s="58">
        <v>14</v>
      </c>
      <c r="V372" s="2"/>
      <c r="W372" s="62" t="s">
        <v>68</v>
      </c>
      <c r="X372" s="63">
        <v>15</v>
      </c>
      <c r="Z372" s="63" t="s">
        <v>68</v>
      </c>
      <c r="AA372" s="63">
        <v>16</v>
      </c>
      <c r="AD372" s="2"/>
    </row>
    <row r="373" spans="2:30" x14ac:dyDescent="0.25">
      <c r="B373" s="46" t="s">
        <v>69</v>
      </c>
      <c r="C373" s="46">
        <v>13</v>
      </c>
      <c r="D373" s="2"/>
      <c r="E373" s="46" t="s">
        <v>69</v>
      </c>
      <c r="F373" s="46">
        <v>14</v>
      </c>
      <c r="H373" s="46" t="s">
        <v>69</v>
      </c>
      <c r="I373" s="46">
        <v>15</v>
      </c>
      <c r="J373" s="2"/>
      <c r="K373" s="46" t="s">
        <v>69</v>
      </c>
      <c r="L373" s="46">
        <v>16</v>
      </c>
      <c r="N373" s="58" t="s">
        <v>69</v>
      </c>
      <c r="O373" s="58">
        <v>15</v>
      </c>
      <c r="Q373" s="58" t="s">
        <v>69</v>
      </c>
      <c r="R373" s="58">
        <v>16</v>
      </c>
      <c r="X373" s="2"/>
      <c r="AA373" s="2"/>
      <c r="AD373" s="2"/>
    </row>
    <row r="374" spans="2:30" x14ac:dyDescent="0.25">
      <c r="B374" s="46" t="s">
        <v>70</v>
      </c>
      <c r="C374" s="46">
        <v>15</v>
      </c>
      <c r="D374" s="2"/>
      <c r="E374" s="46" t="s">
        <v>70</v>
      </c>
      <c r="F374" s="46">
        <v>16</v>
      </c>
      <c r="H374" s="46" t="s">
        <v>70</v>
      </c>
      <c r="I374" s="46">
        <v>14</v>
      </c>
      <c r="J374" s="2"/>
      <c r="K374" s="46" t="s">
        <v>70</v>
      </c>
      <c r="L374" s="46">
        <v>13</v>
      </c>
      <c r="X374" s="2"/>
      <c r="AA374" s="2"/>
      <c r="AD374" s="2"/>
    </row>
    <row r="375" spans="2:30" x14ac:dyDescent="0.25">
      <c r="W375" s="62" t="s">
        <v>60</v>
      </c>
      <c r="X375" s="63">
        <v>4</v>
      </c>
      <c r="Y375" s="2"/>
      <c r="Z375" s="62" t="s">
        <v>60</v>
      </c>
      <c r="AA375" s="63">
        <v>1</v>
      </c>
      <c r="AC375" s="62" t="s">
        <v>60</v>
      </c>
      <c r="AD375" s="63">
        <v>2</v>
      </c>
    </row>
    <row r="376" spans="2:30" x14ac:dyDescent="0.25">
      <c r="N376" s="58" t="s">
        <v>60</v>
      </c>
      <c r="O376" s="58">
        <v>4</v>
      </c>
      <c r="Q376" s="58" t="s">
        <v>60</v>
      </c>
      <c r="R376" s="58">
        <v>1</v>
      </c>
      <c r="W376" s="63" t="s">
        <v>61</v>
      </c>
      <c r="X376" s="63">
        <v>7</v>
      </c>
      <c r="Y376" s="2"/>
      <c r="Z376" s="63" t="s">
        <v>61</v>
      </c>
      <c r="AA376" s="63">
        <v>4</v>
      </c>
      <c r="AC376" s="63" t="s">
        <v>61</v>
      </c>
      <c r="AD376" s="63">
        <v>8</v>
      </c>
    </row>
    <row r="377" spans="2:30" x14ac:dyDescent="0.25">
      <c r="N377" s="58" t="s">
        <v>61</v>
      </c>
      <c r="O377" s="58">
        <v>6</v>
      </c>
      <c r="Q377" s="58" t="s">
        <v>61</v>
      </c>
      <c r="R377" s="58">
        <v>4</v>
      </c>
      <c r="W377" s="63" t="s">
        <v>63</v>
      </c>
      <c r="X377" s="63">
        <v>8</v>
      </c>
      <c r="Y377" s="2"/>
      <c r="Z377" s="63" t="s">
        <v>63</v>
      </c>
      <c r="AA377" s="63">
        <v>7</v>
      </c>
      <c r="AC377" s="63" t="s">
        <v>63</v>
      </c>
      <c r="AD377" s="63">
        <v>10</v>
      </c>
    </row>
    <row r="378" spans="2:30" x14ac:dyDescent="0.25">
      <c r="N378" s="58" t="s">
        <v>63</v>
      </c>
      <c r="O378" s="58">
        <v>5</v>
      </c>
      <c r="Q378" s="58" t="s">
        <v>63</v>
      </c>
      <c r="R378" s="58">
        <v>7</v>
      </c>
      <c r="W378" s="63" t="s">
        <v>65</v>
      </c>
      <c r="X378" s="63">
        <v>10</v>
      </c>
      <c r="Y378" s="2"/>
      <c r="Z378" s="63" t="s">
        <v>65</v>
      </c>
      <c r="AA378" s="63">
        <v>9</v>
      </c>
      <c r="AC378" s="63" t="s">
        <v>65</v>
      </c>
      <c r="AD378" s="63">
        <v>13</v>
      </c>
    </row>
    <row r="379" spans="2:30" x14ac:dyDescent="0.25">
      <c r="N379" s="58" t="s">
        <v>65</v>
      </c>
      <c r="O379" s="58">
        <v>10</v>
      </c>
      <c r="Q379" s="58" t="s">
        <v>65</v>
      </c>
      <c r="R379" s="58">
        <v>10</v>
      </c>
      <c r="W379" s="63" t="s">
        <v>67</v>
      </c>
      <c r="X379" s="63">
        <v>14</v>
      </c>
      <c r="Y379" s="2"/>
      <c r="Z379" s="63" t="s">
        <v>67</v>
      </c>
      <c r="AA379" s="63">
        <v>15</v>
      </c>
      <c r="AC379" s="63" t="s">
        <v>67</v>
      </c>
      <c r="AD379" s="63">
        <v>16</v>
      </c>
    </row>
    <row r="380" spans="2:30" x14ac:dyDescent="0.25">
      <c r="N380" s="58" t="s">
        <v>67</v>
      </c>
      <c r="O380" s="58">
        <v>13</v>
      </c>
      <c r="Q380" s="58" t="s">
        <v>67</v>
      </c>
      <c r="R380" s="58">
        <v>14</v>
      </c>
    </row>
    <row r="381" spans="2:30" x14ac:dyDescent="0.25">
      <c r="N381" s="58" t="s">
        <v>68</v>
      </c>
      <c r="O381" s="58">
        <v>15</v>
      </c>
      <c r="Q381" s="58" t="s">
        <v>68</v>
      </c>
      <c r="R381" s="58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210" t="s">
        <v>132</v>
      </c>
      <c r="B1" s="185"/>
      <c r="C1" s="185"/>
      <c r="D1" s="170"/>
      <c r="E1" s="170"/>
      <c r="F1" s="185"/>
      <c r="G1" s="185"/>
      <c r="H1" s="211"/>
      <c r="I1" s="212" t="s">
        <v>133</v>
      </c>
      <c r="J1" s="213"/>
      <c r="K1" s="214" t="s">
        <v>146</v>
      </c>
      <c r="L1" s="215"/>
      <c r="M1" s="169" t="s">
        <v>134</v>
      </c>
      <c r="N1" s="216"/>
      <c r="O1" s="169">
        <v>4</v>
      </c>
      <c r="P1" s="216"/>
    </row>
    <row r="2" spans="1:23" ht="15" customHeight="1" thickTop="1" x14ac:dyDescent="0.25">
      <c r="A2" s="169" t="s">
        <v>135</v>
      </c>
      <c r="B2" s="170"/>
      <c r="C2" s="170"/>
      <c r="D2" s="172" t="s">
        <v>136</v>
      </c>
      <c r="E2" s="173"/>
      <c r="F2" s="170" t="s">
        <v>137</v>
      </c>
      <c r="G2" s="170"/>
      <c r="H2" s="170"/>
      <c r="I2" s="178" t="s">
        <v>138</v>
      </c>
      <c r="J2" s="179"/>
      <c r="K2" s="179"/>
      <c r="L2" s="179"/>
      <c r="M2" s="179"/>
      <c r="N2" s="179"/>
      <c r="O2" s="179"/>
      <c r="P2" s="180"/>
      <c r="W2" t="s">
        <v>139</v>
      </c>
    </row>
    <row r="3" spans="1:23" ht="15" customHeight="1" thickBot="1" x14ac:dyDescent="0.3">
      <c r="A3" s="171"/>
      <c r="B3" s="168"/>
      <c r="C3" s="168"/>
      <c r="D3" s="174"/>
      <c r="E3" s="175"/>
      <c r="F3" s="168"/>
      <c r="G3" s="168"/>
      <c r="H3" s="168"/>
      <c r="I3" s="181"/>
      <c r="J3" s="182"/>
      <c r="K3" s="182"/>
      <c r="L3" s="182"/>
      <c r="M3" s="182"/>
      <c r="N3" s="182"/>
      <c r="O3" s="182"/>
      <c r="P3" s="183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74"/>
      <c r="E4" s="175"/>
      <c r="F4" s="4">
        <v>1</v>
      </c>
      <c r="G4" s="66">
        <v>31</v>
      </c>
      <c r="H4" s="67">
        <v>61</v>
      </c>
      <c r="I4" s="184" t="s">
        <v>140</v>
      </c>
      <c r="J4" s="185"/>
      <c r="K4" s="185"/>
      <c r="L4" s="185"/>
      <c r="M4" s="185"/>
      <c r="N4" s="185"/>
      <c r="O4" s="185"/>
      <c r="P4" s="186"/>
    </row>
    <row r="5" spans="1:23" x14ac:dyDescent="0.25">
      <c r="A5" s="68">
        <v>2</v>
      </c>
      <c r="B5" s="60">
        <v>32</v>
      </c>
      <c r="C5" s="69">
        <v>62</v>
      </c>
      <c r="D5" s="174"/>
      <c r="E5" s="175"/>
      <c r="F5" s="68">
        <v>2</v>
      </c>
      <c r="G5" s="60">
        <v>32</v>
      </c>
      <c r="H5" s="70">
        <v>62</v>
      </c>
      <c r="I5" s="218" t="s">
        <v>126</v>
      </c>
      <c r="J5" s="219"/>
      <c r="K5" s="219"/>
      <c r="L5" s="219"/>
      <c r="M5" s="219"/>
      <c r="N5" s="219"/>
      <c r="O5" s="219"/>
      <c r="P5" s="220"/>
    </row>
    <row r="6" spans="1:23" x14ac:dyDescent="0.25">
      <c r="A6" s="68">
        <v>3</v>
      </c>
      <c r="B6" s="60">
        <v>33</v>
      </c>
      <c r="C6" s="69">
        <v>63</v>
      </c>
      <c r="D6" s="174"/>
      <c r="E6" s="175"/>
      <c r="F6" s="68">
        <v>3</v>
      </c>
      <c r="G6" s="60">
        <v>33</v>
      </c>
      <c r="H6" s="70">
        <v>63</v>
      </c>
      <c r="I6" s="205"/>
      <c r="J6" s="206"/>
      <c r="K6" s="206"/>
      <c r="L6" s="206"/>
      <c r="M6" s="206"/>
      <c r="N6" s="206"/>
      <c r="O6" s="206"/>
      <c r="P6" s="207"/>
      <c r="R6" s="224" t="s">
        <v>141</v>
      </c>
      <c r="S6" s="168" t="s">
        <v>142</v>
      </c>
      <c r="T6" s="168"/>
      <c r="U6" s="168"/>
      <c r="V6" s="168"/>
      <c r="W6" s="168"/>
    </row>
    <row r="7" spans="1:23" ht="15" customHeight="1" x14ac:dyDescent="0.25">
      <c r="A7" s="68">
        <v>4</v>
      </c>
      <c r="B7" s="60">
        <v>34</v>
      </c>
      <c r="C7" s="69">
        <v>64</v>
      </c>
      <c r="D7" s="174"/>
      <c r="E7" s="175"/>
      <c r="F7" s="68">
        <v>4</v>
      </c>
      <c r="G7" s="60">
        <v>34</v>
      </c>
      <c r="H7" s="70">
        <v>64</v>
      </c>
      <c r="I7" s="205"/>
      <c r="J7" s="206"/>
      <c r="K7" s="206"/>
      <c r="L7" s="206"/>
      <c r="M7" s="206"/>
      <c r="N7" s="206"/>
      <c r="O7" s="206"/>
      <c r="P7" s="207"/>
      <c r="R7" s="224"/>
      <c r="S7" s="217">
        <v>1</v>
      </c>
      <c r="T7" s="217"/>
      <c r="U7" s="217"/>
      <c r="V7" s="217"/>
      <c r="W7" s="217"/>
    </row>
    <row r="8" spans="1:23" x14ac:dyDescent="0.25">
      <c r="A8" s="68">
        <v>5</v>
      </c>
      <c r="B8" s="60">
        <v>35</v>
      </c>
      <c r="C8" s="69">
        <v>65</v>
      </c>
      <c r="D8" s="174"/>
      <c r="E8" s="175"/>
      <c r="F8" s="68">
        <v>5</v>
      </c>
      <c r="G8" s="60">
        <v>35</v>
      </c>
      <c r="H8" s="70">
        <v>65</v>
      </c>
      <c r="I8" s="205"/>
      <c r="J8" s="206"/>
      <c r="K8" s="206"/>
      <c r="L8" s="206"/>
      <c r="M8" s="206"/>
      <c r="N8" s="206"/>
      <c r="O8" s="206"/>
      <c r="P8" s="207"/>
      <c r="R8" s="2">
        <v>1</v>
      </c>
      <c r="S8" s="71" t="s">
        <v>120</v>
      </c>
      <c r="T8" s="72"/>
      <c r="U8" s="73" t="s">
        <v>128</v>
      </c>
      <c r="V8" s="72"/>
      <c r="W8" s="71" t="s">
        <v>121</v>
      </c>
    </row>
    <row r="9" spans="1:23" x14ac:dyDescent="0.25">
      <c r="A9" s="68">
        <v>6</v>
      </c>
      <c r="B9" s="60">
        <v>36</v>
      </c>
      <c r="C9" s="69">
        <v>66</v>
      </c>
      <c r="D9" s="174"/>
      <c r="E9" s="175"/>
      <c r="F9" s="68">
        <v>6</v>
      </c>
      <c r="G9" s="60">
        <v>36</v>
      </c>
      <c r="H9" s="70">
        <v>66</v>
      </c>
      <c r="I9" s="205"/>
      <c r="J9" s="206"/>
      <c r="K9" s="206"/>
      <c r="L9" s="206"/>
      <c r="M9" s="206"/>
      <c r="N9" s="206"/>
      <c r="O9" s="206"/>
      <c r="P9" s="207"/>
      <c r="R9" s="2">
        <v>2</v>
      </c>
      <c r="S9" s="71" t="s">
        <v>122</v>
      </c>
      <c r="T9" s="72"/>
      <c r="U9" s="73" t="s">
        <v>129</v>
      </c>
      <c r="V9" s="72"/>
      <c r="W9" s="71" t="s">
        <v>123</v>
      </c>
    </row>
    <row r="10" spans="1:23" x14ac:dyDescent="0.25">
      <c r="A10" s="68">
        <v>7</v>
      </c>
      <c r="B10" s="60">
        <v>37</v>
      </c>
      <c r="C10" s="69">
        <v>67</v>
      </c>
      <c r="D10" s="174"/>
      <c r="E10" s="175"/>
      <c r="F10" s="68">
        <v>7</v>
      </c>
      <c r="G10" s="60">
        <v>37</v>
      </c>
      <c r="H10" s="70">
        <v>67</v>
      </c>
      <c r="I10" s="205"/>
      <c r="J10" s="206"/>
      <c r="K10" s="206"/>
      <c r="L10" s="206"/>
      <c r="M10" s="206"/>
      <c r="N10" s="206"/>
      <c r="O10" s="206"/>
      <c r="P10" s="207"/>
      <c r="R10" s="2">
        <v>3</v>
      </c>
      <c r="S10" s="71" t="s">
        <v>124</v>
      </c>
      <c r="T10" s="72"/>
      <c r="U10" s="73" t="s">
        <v>130</v>
      </c>
      <c r="V10" s="72"/>
      <c r="W10" s="71" t="s">
        <v>125</v>
      </c>
    </row>
    <row r="11" spans="1:23" x14ac:dyDescent="0.25">
      <c r="A11" s="68">
        <v>8</v>
      </c>
      <c r="B11" s="60">
        <v>38</v>
      </c>
      <c r="C11" s="69">
        <v>68</v>
      </c>
      <c r="D11" s="174"/>
      <c r="E11" s="175"/>
      <c r="F11" s="68">
        <v>8</v>
      </c>
      <c r="G11" s="60">
        <v>38</v>
      </c>
      <c r="H11" s="70">
        <v>68</v>
      </c>
      <c r="I11" s="221"/>
      <c r="J11" s="222"/>
      <c r="K11" s="222"/>
      <c r="L11" s="222"/>
      <c r="M11" s="222"/>
      <c r="N11" s="222"/>
      <c r="O11" s="222"/>
      <c r="P11" s="223"/>
      <c r="R11" s="2">
        <v>4</v>
      </c>
      <c r="S11" s="71" t="s">
        <v>126</v>
      </c>
      <c r="T11" s="72"/>
      <c r="U11" s="73" t="s">
        <v>131</v>
      </c>
      <c r="V11" s="72"/>
      <c r="W11" s="71" t="s">
        <v>127</v>
      </c>
    </row>
    <row r="12" spans="1:23" x14ac:dyDescent="0.25">
      <c r="A12" s="68">
        <v>9</v>
      </c>
      <c r="B12" s="60">
        <v>39</v>
      </c>
      <c r="C12" s="69">
        <v>69</v>
      </c>
      <c r="D12" s="174"/>
      <c r="E12" s="175"/>
      <c r="F12" s="68">
        <v>9</v>
      </c>
      <c r="G12" s="60">
        <v>39</v>
      </c>
      <c r="H12" s="70">
        <v>69</v>
      </c>
      <c r="I12" s="225"/>
      <c r="J12" s="226"/>
      <c r="K12" s="226"/>
      <c r="L12" s="226"/>
      <c r="M12" s="226"/>
      <c r="N12" s="226"/>
      <c r="O12" s="226"/>
      <c r="P12" s="227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74"/>
      <c r="E13" s="175"/>
      <c r="F13" s="68">
        <v>10</v>
      </c>
      <c r="G13" s="60">
        <v>40</v>
      </c>
      <c r="H13" s="70">
        <v>70</v>
      </c>
      <c r="I13" s="228"/>
      <c r="J13" s="168"/>
      <c r="K13" s="168"/>
      <c r="L13" s="168"/>
      <c r="M13" s="168"/>
      <c r="N13" s="168"/>
      <c r="O13" s="168"/>
      <c r="P13" s="229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74"/>
      <c r="E14" s="175"/>
      <c r="F14" s="68">
        <v>11</v>
      </c>
      <c r="G14" s="60">
        <v>41</v>
      </c>
      <c r="H14" s="70">
        <v>71</v>
      </c>
      <c r="I14" s="228"/>
      <c r="J14" s="168"/>
      <c r="K14" s="168"/>
      <c r="L14" s="168"/>
      <c r="M14" s="168"/>
      <c r="N14" s="168"/>
      <c r="O14" s="168"/>
      <c r="P14" s="229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74"/>
      <c r="E15" s="175"/>
      <c r="F15" s="68">
        <v>12</v>
      </c>
      <c r="G15" s="60">
        <v>42</v>
      </c>
      <c r="H15" s="70">
        <v>72</v>
      </c>
      <c r="I15" s="228"/>
      <c r="J15" s="168"/>
      <c r="K15" s="168"/>
      <c r="L15" s="168"/>
      <c r="M15" s="168"/>
      <c r="N15" s="168"/>
      <c r="O15" s="168"/>
      <c r="P15" s="229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74"/>
      <c r="E16" s="175"/>
      <c r="F16" s="68">
        <v>13</v>
      </c>
      <c r="G16" s="60">
        <v>43</v>
      </c>
      <c r="H16" s="70">
        <v>73</v>
      </c>
      <c r="I16" s="228"/>
      <c r="J16" s="168"/>
      <c r="K16" s="168"/>
      <c r="L16" s="168"/>
      <c r="M16" s="168"/>
      <c r="N16" s="168"/>
      <c r="O16" s="168"/>
      <c r="P16" s="229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74"/>
      <c r="E17" s="175"/>
      <c r="F17" s="68">
        <v>14</v>
      </c>
      <c r="G17" s="60">
        <v>44</v>
      </c>
      <c r="H17" s="70">
        <v>74</v>
      </c>
      <c r="I17" s="228"/>
      <c r="J17" s="168"/>
      <c r="K17" s="168"/>
      <c r="L17" s="168"/>
      <c r="M17" s="168"/>
      <c r="N17" s="168"/>
      <c r="O17" s="168"/>
      <c r="P17" s="229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74"/>
      <c r="E18" s="175"/>
      <c r="F18" s="68">
        <v>15</v>
      </c>
      <c r="G18" s="60">
        <v>45</v>
      </c>
      <c r="H18" s="70">
        <v>75</v>
      </c>
      <c r="I18" s="190" t="s">
        <v>143</v>
      </c>
      <c r="J18" s="191"/>
      <c r="K18" s="191"/>
      <c r="L18" s="191"/>
      <c r="M18" s="191"/>
      <c r="N18" s="191"/>
      <c r="O18" s="191"/>
      <c r="P18" s="192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74"/>
      <c r="E19" s="175"/>
      <c r="F19" s="68">
        <v>16</v>
      </c>
      <c r="G19" s="60">
        <v>46</v>
      </c>
      <c r="H19" s="70">
        <v>76</v>
      </c>
      <c r="I19" s="193"/>
      <c r="J19" s="194"/>
      <c r="K19" s="194"/>
      <c r="L19" s="194"/>
      <c r="M19" s="194"/>
      <c r="N19" s="194"/>
      <c r="O19" s="194"/>
      <c r="P19" s="195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74"/>
      <c r="E20" s="175"/>
      <c r="F20" s="68">
        <v>17</v>
      </c>
      <c r="G20" s="60">
        <v>47</v>
      </c>
      <c r="H20" s="70">
        <v>77</v>
      </c>
      <c r="I20" s="196"/>
      <c r="J20" s="197"/>
      <c r="K20" s="197"/>
      <c r="L20" s="197"/>
      <c r="M20" s="197"/>
      <c r="N20" s="197"/>
      <c r="O20" s="197"/>
      <c r="P20" s="198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74"/>
      <c r="E21" s="175"/>
      <c r="F21" s="68">
        <v>18</v>
      </c>
      <c r="G21" s="60">
        <v>48</v>
      </c>
      <c r="H21" s="70">
        <v>78</v>
      </c>
      <c r="I21" s="196"/>
      <c r="J21" s="197"/>
      <c r="K21" s="197"/>
      <c r="L21" s="197"/>
      <c r="M21" s="197"/>
      <c r="N21" s="197"/>
      <c r="O21" s="197"/>
      <c r="P21" s="198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74"/>
      <c r="E22" s="175"/>
      <c r="F22" s="68">
        <v>19</v>
      </c>
      <c r="G22" s="60">
        <v>49</v>
      </c>
      <c r="H22" s="70">
        <v>79</v>
      </c>
      <c r="I22" s="196"/>
      <c r="J22" s="197"/>
      <c r="K22" s="197"/>
      <c r="L22" s="197"/>
      <c r="M22" s="197"/>
      <c r="N22" s="197"/>
      <c r="O22" s="197"/>
      <c r="P22" s="198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74"/>
      <c r="E23" s="175"/>
      <c r="F23" s="68">
        <v>20</v>
      </c>
      <c r="G23" s="60">
        <v>50</v>
      </c>
      <c r="H23" s="70">
        <v>80</v>
      </c>
      <c r="I23" s="196"/>
      <c r="J23" s="197"/>
      <c r="K23" s="197"/>
      <c r="L23" s="197"/>
      <c r="M23" s="197"/>
      <c r="N23" s="197"/>
      <c r="O23" s="197"/>
      <c r="P23" s="198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74"/>
      <c r="E24" s="175"/>
      <c r="F24" s="68">
        <v>21</v>
      </c>
      <c r="G24" s="60">
        <v>51</v>
      </c>
      <c r="H24" s="70">
        <v>81</v>
      </c>
      <c r="I24" s="196"/>
      <c r="J24" s="197"/>
      <c r="K24" s="197"/>
      <c r="L24" s="197"/>
      <c r="M24" s="197"/>
      <c r="N24" s="197"/>
      <c r="O24" s="197"/>
      <c r="P24" s="198"/>
    </row>
    <row r="25" spans="1:36" ht="15" customHeight="1" x14ac:dyDescent="0.25">
      <c r="A25" s="68">
        <v>22</v>
      </c>
      <c r="B25" s="60">
        <v>52</v>
      </c>
      <c r="C25" s="69">
        <v>82</v>
      </c>
      <c r="D25" s="174"/>
      <c r="E25" s="175"/>
      <c r="F25" s="68">
        <v>22</v>
      </c>
      <c r="G25" s="60">
        <v>52</v>
      </c>
      <c r="H25" s="70">
        <v>82</v>
      </c>
      <c r="I25" s="199"/>
      <c r="J25" s="200"/>
      <c r="K25" s="200"/>
      <c r="L25" s="200"/>
      <c r="M25" s="200"/>
      <c r="N25" s="200"/>
      <c r="O25" s="200"/>
      <c r="P25" s="201"/>
    </row>
    <row r="26" spans="1:36" ht="15" customHeight="1" x14ac:dyDescent="0.25">
      <c r="A26" s="68">
        <v>23</v>
      </c>
      <c r="B26" s="60">
        <v>53</v>
      </c>
      <c r="C26" s="69">
        <v>83</v>
      </c>
      <c r="D26" s="174"/>
      <c r="E26" s="175"/>
      <c r="F26" s="68">
        <v>23</v>
      </c>
      <c r="G26" s="60">
        <v>53</v>
      </c>
      <c r="H26" s="70">
        <v>83</v>
      </c>
      <c r="I26" s="202" t="s">
        <v>127</v>
      </c>
      <c r="J26" s="203"/>
      <c r="K26" s="203"/>
      <c r="L26" s="203"/>
      <c r="M26" s="203"/>
      <c r="N26" s="203"/>
      <c r="O26" s="203"/>
      <c r="P26" s="204"/>
    </row>
    <row r="27" spans="1:36" ht="15" customHeight="1" x14ac:dyDescent="0.25">
      <c r="A27" s="68">
        <v>24</v>
      </c>
      <c r="B27" s="60">
        <v>54</v>
      </c>
      <c r="C27" s="69">
        <v>84</v>
      </c>
      <c r="D27" s="174"/>
      <c r="E27" s="175"/>
      <c r="F27" s="68">
        <v>24</v>
      </c>
      <c r="G27" s="60">
        <v>54</v>
      </c>
      <c r="H27" s="70">
        <v>84</v>
      </c>
      <c r="I27" s="205"/>
      <c r="J27" s="206"/>
      <c r="K27" s="206"/>
      <c r="L27" s="206"/>
      <c r="M27" s="206"/>
      <c r="N27" s="206"/>
      <c r="O27" s="206"/>
      <c r="P27" s="207"/>
    </row>
    <row r="28" spans="1:36" ht="15" customHeight="1" x14ac:dyDescent="0.25">
      <c r="A28" s="68">
        <v>25</v>
      </c>
      <c r="B28" s="60">
        <v>55</v>
      </c>
      <c r="C28" s="69">
        <v>85</v>
      </c>
      <c r="D28" s="174"/>
      <c r="E28" s="175"/>
      <c r="F28" s="68">
        <v>25</v>
      </c>
      <c r="G28" s="60">
        <v>55</v>
      </c>
      <c r="H28" s="70">
        <v>85</v>
      </c>
      <c r="I28" s="205"/>
      <c r="J28" s="206"/>
      <c r="K28" s="206"/>
      <c r="L28" s="206"/>
      <c r="M28" s="206"/>
      <c r="N28" s="206"/>
      <c r="O28" s="206"/>
      <c r="P28" s="207"/>
    </row>
    <row r="29" spans="1:36" ht="15" customHeight="1" x14ac:dyDescent="0.25">
      <c r="A29" s="68">
        <v>26</v>
      </c>
      <c r="B29" s="60">
        <v>56</v>
      </c>
      <c r="C29" s="69">
        <v>86</v>
      </c>
      <c r="D29" s="174"/>
      <c r="E29" s="175"/>
      <c r="F29" s="68">
        <v>26</v>
      </c>
      <c r="G29" s="60">
        <v>56</v>
      </c>
      <c r="H29" s="70">
        <v>86</v>
      </c>
      <c r="I29" s="205"/>
      <c r="J29" s="206"/>
      <c r="K29" s="206"/>
      <c r="L29" s="206"/>
      <c r="M29" s="206"/>
      <c r="N29" s="206"/>
      <c r="O29" s="206"/>
      <c r="P29" s="207"/>
      <c r="AJ29" t="s">
        <v>144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74"/>
      <c r="E30" s="175"/>
      <c r="F30" s="68">
        <v>27</v>
      </c>
      <c r="G30" s="60">
        <v>57</v>
      </c>
      <c r="H30" s="70">
        <v>87</v>
      </c>
      <c r="I30" s="205"/>
      <c r="J30" s="206"/>
      <c r="K30" s="206"/>
      <c r="L30" s="206"/>
      <c r="M30" s="206"/>
      <c r="N30" s="206"/>
      <c r="O30" s="206"/>
      <c r="P30" s="207"/>
    </row>
    <row r="31" spans="1:36" ht="15" customHeight="1" x14ac:dyDescent="0.25">
      <c r="A31" s="68">
        <v>28</v>
      </c>
      <c r="B31" s="60">
        <v>58</v>
      </c>
      <c r="C31" s="69">
        <v>88</v>
      </c>
      <c r="D31" s="174"/>
      <c r="E31" s="175"/>
      <c r="F31" s="68">
        <v>28</v>
      </c>
      <c r="G31" s="60">
        <v>58</v>
      </c>
      <c r="H31" s="70">
        <v>88</v>
      </c>
      <c r="I31" s="205"/>
      <c r="J31" s="206"/>
      <c r="K31" s="206"/>
      <c r="L31" s="206"/>
      <c r="M31" s="206"/>
      <c r="N31" s="206"/>
      <c r="O31" s="206"/>
      <c r="P31" s="207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74"/>
      <c r="E32" s="175"/>
      <c r="F32" s="68">
        <v>29</v>
      </c>
      <c r="G32" s="60">
        <v>59</v>
      </c>
      <c r="H32" s="70">
        <v>89</v>
      </c>
      <c r="I32" s="208"/>
      <c r="J32" s="136"/>
      <c r="K32" s="136"/>
      <c r="L32" s="136"/>
      <c r="M32" s="136"/>
      <c r="N32" s="136"/>
      <c r="O32" s="136"/>
      <c r="P32" s="209"/>
    </row>
    <row r="33" spans="1:16" ht="15.75" thickBot="1" x14ac:dyDescent="0.3">
      <c r="A33" s="74">
        <v>30</v>
      </c>
      <c r="B33" s="75">
        <v>60</v>
      </c>
      <c r="C33" s="76">
        <v>90</v>
      </c>
      <c r="D33" s="176"/>
      <c r="E33" s="177"/>
      <c r="F33" s="74">
        <v>30</v>
      </c>
      <c r="G33" s="75">
        <v>60</v>
      </c>
      <c r="H33" s="77">
        <v>90</v>
      </c>
      <c r="I33" s="187" t="s">
        <v>145</v>
      </c>
      <c r="J33" s="188"/>
      <c r="K33" s="188"/>
      <c r="L33" s="188"/>
      <c r="M33" s="188"/>
      <c r="N33" s="188"/>
      <c r="O33" s="188"/>
      <c r="P33" s="189"/>
    </row>
  </sheetData>
  <mergeCells count="19">
    <mergeCell ref="S6:W6"/>
    <mergeCell ref="S7:W7"/>
    <mergeCell ref="I5:P11"/>
    <mergeCell ref="R6:R7"/>
    <mergeCell ref="I12:P17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33:P33"/>
    <mergeCell ref="I18:P19"/>
    <mergeCell ref="I20:P25"/>
    <mergeCell ref="I26:P32"/>
  </mergeCells>
  <conditionalFormatting sqref="T8:T13 T15:T21 T23">
    <cfRule type="expression" dxfId="653" priority="13">
      <formula>$C8&lt;$E8</formula>
    </cfRule>
    <cfRule type="expression" dxfId="652" priority="14">
      <formula>$C8&gt;$E8</formula>
    </cfRule>
  </conditionalFormatting>
  <conditionalFormatting sqref="V8:V13 V15">
    <cfRule type="expression" dxfId="651" priority="11">
      <formula>$C8&gt;$E8</formula>
    </cfRule>
    <cfRule type="expression" dxfId="650" priority="12">
      <formula>$C8&lt;$E8</formula>
    </cfRule>
  </conditionalFormatting>
  <conditionalFormatting sqref="T14">
    <cfRule type="expression" dxfId="649" priority="9">
      <formula>$C14&lt;$E14</formula>
    </cfRule>
    <cfRule type="expression" dxfId="648" priority="10">
      <formula>$C14&gt;$E14</formula>
    </cfRule>
  </conditionalFormatting>
  <conditionalFormatting sqref="V14">
    <cfRule type="expression" dxfId="647" priority="7">
      <formula>$C14&gt;$E14</formula>
    </cfRule>
    <cfRule type="expression" dxfId="646" priority="8">
      <formula>$C14&lt;$E14</formula>
    </cfRule>
  </conditionalFormatting>
  <conditionalFormatting sqref="T22">
    <cfRule type="expression" dxfId="645" priority="5">
      <formula>$C22&lt;$E22</formula>
    </cfRule>
    <cfRule type="expression" dxfId="644" priority="6">
      <formula>$C22&gt;$E22</formula>
    </cfRule>
  </conditionalFormatting>
  <conditionalFormatting sqref="V16:V21 V23">
    <cfRule type="expression" dxfId="643" priority="3">
      <formula>$C16&lt;$E16</formula>
    </cfRule>
    <cfRule type="expression" dxfId="642" priority="4">
      <formula>$C16&gt;$E16</formula>
    </cfRule>
  </conditionalFormatting>
  <conditionalFormatting sqref="V22">
    <cfRule type="expression" dxfId="641" priority="1">
      <formula>$C22&lt;$E22</formula>
    </cfRule>
    <cfRule type="expression" dxfId="64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E0E16-53C6-401B-9C24-7E55D3A12726}">
  <sheetPr codeName="Feuil63"/>
  <dimension ref="B1:C36"/>
  <sheetViews>
    <sheetView workbookViewId="0"/>
  </sheetViews>
  <sheetFormatPr baseColWidth="10" defaultRowHeight="15" x14ac:dyDescent="0.25"/>
  <cols>
    <col min="1" max="2" width="11.42578125" style="78"/>
    <col min="3" max="3" width="75.7109375" style="78" customWidth="1"/>
    <col min="4" max="16384" width="11.42578125" style="78"/>
  </cols>
  <sheetData>
    <row r="1" spans="2:3" ht="15.75" thickBot="1" x14ac:dyDescent="0.3">
      <c r="B1" s="79"/>
      <c r="C1" s="80" t="s">
        <v>172</v>
      </c>
    </row>
    <row r="2" spans="2:3" ht="15.75" x14ac:dyDescent="0.25">
      <c r="B2" s="230" t="s">
        <v>174</v>
      </c>
      <c r="C2" s="81" t="s">
        <v>120</v>
      </c>
    </row>
    <row r="3" spans="2:3" ht="15.75" x14ac:dyDescent="0.25">
      <c r="B3" s="231"/>
      <c r="C3" s="82" t="s">
        <v>121</v>
      </c>
    </row>
    <row r="4" spans="2:3" ht="15.75" x14ac:dyDescent="0.25">
      <c r="B4" s="231"/>
      <c r="C4" s="82" t="s">
        <v>122</v>
      </c>
    </row>
    <row r="5" spans="2:3" ht="15.75" x14ac:dyDescent="0.25">
      <c r="B5" s="231"/>
      <c r="C5" s="82" t="s">
        <v>123</v>
      </c>
    </row>
    <row r="6" spans="2:3" ht="15.75" x14ac:dyDescent="0.25">
      <c r="B6" s="231"/>
      <c r="C6" s="82" t="s">
        <v>148</v>
      </c>
    </row>
    <row r="7" spans="2:3" ht="15.75" x14ac:dyDescent="0.25">
      <c r="B7" s="231"/>
      <c r="C7" s="82" t="s">
        <v>149</v>
      </c>
    </row>
    <row r="8" spans="2:3" ht="15.75" x14ac:dyDescent="0.25">
      <c r="B8" s="231"/>
      <c r="C8" s="82" t="s">
        <v>150</v>
      </c>
    </row>
    <row r="9" spans="2:3" ht="16.5" thickBot="1" x14ac:dyDescent="0.3">
      <c r="B9" s="232"/>
      <c r="C9" s="83" t="s">
        <v>151</v>
      </c>
    </row>
    <row r="10" spans="2:3" ht="15.75" thickBot="1" x14ac:dyDescent="0.3">
      <c r="B10" s="79"/>
      <c r="C10" s="80" t="s">
        <v>172</v>
      </c>
    </row>
    <row r="11" spans="2:3" ht="15.75" x14ac:dyDescent="0.25">
      <c r="B11" s="233" t="s">
        <v>175</v>
      </c>
      <c r="C11" s="84" t="s">
        <v>124</v>
      </c>
    </row>
    <row r="12" spans="2:3" ht="15.75" x14ac:dyDescent="0.25">
      <c r="B12" s="234"/>
      <c r="C12" s="85" t="s">
        <v>125</v>
      </c>
    </row>
    <row r="13" spans="2:3" ht="15.75" x14ac:dyDescent="0.25">
      <c r="B13" s="234"/>
      <c r="C13" s="85" t="s">
        <v>126</v>
      </c>
    </row>
    <row r="14" spans="2:3" ht="15.75" x14ac:dyDescent="0.25">
      <c r="B14" s="234"/>
      <c r="C14" s="85" t="s">
        <v>127</v>
      </c>
    </row>
    <row r="15" spans="2:3" ht="15.75" x14ac:dyDescent="0.25">
      <c r="B15" s="234"/>
      <c r="C15" s="85" t="s">
        <v>152</v>
      </c>
    </row>
    <row r="16" spans="2:3" ht="15.75" x14ac:dyDescent="0.25">
      <c r="B16" s="234"/>
      <c r="C16" s="85" t="s">
        <v>153</v>
      </c>
    </row>
    <row r="17" spans="2:3" ht="15.75" x14ac:dyDescent="0.25">
      <c r="B17" s="234"/>
      <c r="C17" s="85" t="s">
        <v>154</v>
      </c>
    </row>
    <row r="18" spans="2:3" ht="16.5" thickBot="1" x14ac:dyDescent="0.3">
      <c r="B18" s="235"/>
      <c r="C18" s="86" t="s">
        <v>155</v>
      </c>
    </row>
    <row r="19" spans="2:3" ht="15.75" thickBot="1" x14ac:dyDescent="0.3">
      <c r="B19" s="79"/>
      <c r="C19" s="80" t="s">
        <v>173</v>
      </c>
    </row>
    <row r="20" spans="2:3" ht="15.75" x14ac:dyDescent="0.25">
      <c r="B20" s="236" t="s">
        <v>176</v>
      </c>
      <c r="C20" s="87" t="s">
        <v>156</v>
      </c>
    </row>
    <row r="21" spans="2:3" ht="15.75" x14ac:dyDescent="0.25">
      <c r="B21" s="237"/>
      <c r="C21" s="88" t="s">
        <v>157</v>
      </c>
    </row>
    <row r="22" spans="2:3" ht="15.75" x14ac:dyDescent="0.25">
      <c r="B22" s="237"/>
      <c r="C22" s="88" t="s">
        <v>158</v>
      </c>
    </row>
    <row r="23" spans="2:3" ht="15.75" x14ac:dyDescent="0.25">
      <c r="B23" s="237"/>
      <c r="C23" s="88" t="s">
        <v>159</v>
      </c>
    </row>
    <row r="24" spans="2:3" ht="15.75" x14ac:dyDescent="0.25">
      <c r="B24" s="237"/>
      <c r="C24" s="88" t="s">
        <v>160</v>
      </c>
    </row>
    <row r="25" spans="2:3" ht="15.75" x14ac:dyDescent="0.25">
      <c r="B25" s="237"/>
      <c r="C25" s="88" t="s">
        <v>161</v>
      </c>
    </row>
    <row r="26" spans="2:3" ht="15.75" x14ac:dyDescent="0.25">
      <c r="B26" s="237"/>
      <c r="C26" s="88" t="s">
        <v>162</v>
      </c>
    </row>
    <row r="27" spans="2:3" ht="16.5" thickBot="1" x14ac:dyDescent="0.3">
      <c r="B27" s="238"/>
      <c r="C27" s="89" t="s">
        <v>163</v>
      </c>
    </row>
    <row r="28" spans="2:3" ht="15.75" thickBot="1" x14ac:dyDescent="0.3">
      <c r="B28" s="79"/>
      <c r="C28" s="80" t="s">
        <v>173</v>
      </c>
    </row>
    <row r="29" spans="2:3" ht="15.75" x14ac:dyDescent="0.25">
      <c r="B29" s="239" t="s">
        <v>177</v>
      </c>
      <c r="C29" s="90" t="s">
        <v>164</v>
      </c>
    </row>
    <row r="30" spans="2:3" ht="15.75" x14ac:dyDescent="0.25">
      <c r="B30" s="240"/>
      <c r="C30" s="91" t="s">
        <v>165</v>
      </c>
    </row>
    <row r="31" spans="2:3" ht="15.75" x14ac:dyDescent="0.25">
      <c r="B31" s="240"/>
      <c r="C31" s="91" t="s">
        <v>166</v>
      </c>
    </row>
    <row r="32" spans="2:3" ht="15.75" x14ac:dyDescent="0.25">
      <c r="B32" s="240"/>
      <c r="C32" s="91" t="s">
        <v>167</v>
      </c>
    </row>
    <row r="33" spans="2:3" ht="15.75" x14ac:dyDescent="0.25">
      <c r="B33" s="240"/>
      <c r="C33" s="91" t="s">
        <v>168</v>
      </c>
    </row>
    <row r="34" spans="2:3" ht="15.75" x14ac:dyDescent="0.25">
      <c r="B34" s="240"/>
      <c r="C34" s="91" t="s">
        <v>169</v>
      </c>
    </row>
    <row r="35" spans="2:3" ht="15.75" x14ac:dyDescent="0.25">
      <c r="B35" s="240"/>
      <c r="C35" s="91" t="s">
        <v>170</v>
      </c>
    </row>
    <row r="36" spans="2:3" ht="16.5" thickBot="1" x14ac:dyDescent="0.3">
      <c r="B36" s="241"/>
      <c r="C36" s="92" t="s">
        <v>171</v>
      </c>
    </row>
  </sheetData>
  <mergeCells count="4">
    <mergeCell ref="B2:B9"/>
    <mergeCell ref="B11:B18"/>
    <mergeCell ref="B20:B27"/>
    <mergeCell ref="B29:B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C4PPinscript">
              <controlPr defaultSize="0" print="0" autoFill="0" autoPict="0" macro="[0]!'copyimage &quot;B2:C36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5F41-AB11-4F50-B5C7-11933F4E6511}">
  <sheetPr codeName="Feuil13"/>
  <dimension ref="A1:AA1000"/>
  <sheetViews>
    <sheetView topLeftCell="B1" workbookViewId="0">
      <selection activeCell="C8" sqref="C8"/>
    </sheetView>
  </sheetViews>
  <sheetFormatPr baseColWidth="10" defaultRowHeight="15" x14ac:dyDescent="0.25"/>
  <cols>
    <col min="1" max="1" width="0" style="78" hidden="1" customWidth="1"/>
    <col min="2" max="2" width="43.5703125" style="78" customWidth="1"/>
    <col min="3" max="3" width="6" style="100" customWidth="1"/>
    <col min="4" max="4" width="16.7109375" style="78" customWidth="1"/>
    <col min="5" max="5" width="6" style="100" customWidth="1"/>
    <col min="6" max="6" width="43.5703125" style="78" customWidth="1"/>
    <col min="7" max="7" width="6" style="78" hidden="1" customWidth="1"/>
    <col min="8" max="14" width="11.42578125" style="78"/>
    <col min="15" max="15" width="11.42578125" style="101"/>
    <col min="16" max="16" width="11.42578125" style="78"/>
    <col min="17" max="17" width="11.42578125" style="101"/>
    <col min="18" max="16384" width="11.42578125" style="78"/>
  </cols>
  <sheetData>
    <row r="1" spans="1:27" x14ac:dyDescent="0.25">
      <c r="A1" s="93">
        <v>8</v>
      </c>
      <c r="B1" s="93"/>
      <c r="C1" s="99" t="str">
        <f>CHAR(160)</f>
        <v> </v>
      </c>
      <c r="D1" s="248">
        <v>0.79166666666666663</v>
      </c>
      <c r="E1" s="99" t="str">
        <f>CHAR(160)</f>
        <v> </v>
      </c>
      <c r="F1" s="93"/>
      <c r="G1" s="93"/>
      <c r="X1" s="78" t="str">
        <f ca="1">INDIRECT("B"&amp;1) &amp; CHAR(10) &amp; "vs" &amp; CHAR(10) &amp; INDIRECT("F"&amp;1)</f>
        <v xml:space="preserve">
vs
</v>
      </c>
      <c r="Y1" s="78" t="b">
        <f ca="1">$S$10=X1</f>
        <v>0</v>
      </c>
      <c r="Z1" s="78" t="b">
        <f ca="1">$S$20=X1</f>
        <v>0</v>
      </c>
      <c r="AA1" s="78" t="b">
        <f ca="1">$S$30=X1</f>
        <v>0</v>
      </c>
    </row>
    <row r="2" spans="1:27" x14ac:dyDescent="0.25">
      <c r="A2" s="95" t="s">
        <v>120</v>
      </c>
      <c r="B2" s="95" t="str">
        <f>INSCRITS!C2</f>
        <v>1A</v>
      </c>
      <c r="C2" s="249" t="s">
        <v>230</v>
      </c>
      <c r="D2" s="94" t="s">
        <v>180</v>
      </c>
      <c r="E2" s="249" t="s">
        <v>230</v>
      </c>
      <c r="F2" s="95" t="str">
        <f>INSCRITS!C3</f>
        <v>2A</v>
      </c>
      <c r="G2" s="95" t="s">
        <v>121</v>
      </c>
      <c r="O2" s="101" t="s">
        <v>231</v>
      </c>
      <c r="Q2" s="101" t="s">
        <v>231</v>
      </c>
      <c r="S2" s="78">
        <f>MATCH(TRUE,INDEX(ISBLANK(C:C), 0,0),0)</f>
        <v>9</v>
      </c>
      <c r="U2" s="78">
        <f>MATCH(TRUE,INDEX(ISBLANK(E:E), 0,0),0)</f>
        <v>9</v>
      </c>
      <c r="X2" s="78" t="str">
        <f ca="1">INDIRECT("B"&amp;2) &amp; CHAR(10) &amp; "vs" &amp; CHAR(10) &amp; INDIRECT("F"&amp;2)</f>
        <v>1A
vs
2A</v>
      </c>
      <c r="Y2" s="78" t="b">
        <f ca="1">$S$10=X2</f>
        <v>0</v>
      </c>
      <c r="Z2" s="78" t="b">
        <f ca="1">$S$20=X2</f>
        <v>0</v>
      </c>
      <c r="AA2" s="78" t="b">
        <f ca="1">$S$30=X2</f>
        <v>0</v>
      </c>
    </row>
    <row r="3" spans="1:27" x14ac:dyDescent="0.25">
      <c r="A3" s="95" t="s">
        <v>122</v>
      </c>
      <c r="B3" s="95" t="str">
        <f>INSCRITS!C4</f>
        <v>3A</v>
      </c>
      <c r="C3" s="249" t="s">
        <v>230</v>
      </c>
      <c r="D3" s="94" t="s">
        <v>181</v>
      </c>
      <c r="E3" s="249" t="s">
        <v>230</v>
      </c>
      <c r="F3" s="95" t="str">
        <f>INSCRITS!C5</f>
        <v>4A</v>
      </c>
      <c r="G3" s="95" t="s">
        <v>123</v>
      </c>
      <c r="O3" s="101" t="s">
        <v>231</v>
      </c>
      <c r="Q3" s="101" t="s">
        <v>231</v>
      </c>
      <c r="S3" s="78">
        <f>IF(MOD(S$2-(1+ROUNDDOWN(S$2/$A$1,0)),$A$1)=0,S$2+1,S$2)</f>
        <v>9</v>
      </c>
      <c r="U3" s="78">
        <f>IF(MOD(U$2-(1+ROUNDDOWN(U$2/$A$1,0)),$A$1)=0,U$2+1,U$2)</f>
        <v>9</v>
      </c>
      <c r="X3" s="78" t="str">
        <f ca="1">INDIRECT("B"&amp;3) &amp; CHAR(10) &amp; "vs" &amp; CHAR(10) &amp; INDIRECT("F"&amp;3)</f>
        <v>3A
vs
4A</v>
      </c>
      <c r="Y3" s="78" t="b">
        <f ca="1">$S$10=X3</f>
        <v>0</v>
      </c>
      <c r="Z3" s="78" t="b">
        <f ca="1">$S$20=X3</f>
        <v>0</v>
      </c>
      <c r="AA3" s="78" t="b">
        <f ca="1">$S$30=X3</f>
        <v>0</v>
      </c>
    </row>
    <row r="4" spans="1:27" x14ac:dyDescent="0.25">
      <c r="A4" s="95" t="s">
        <v>148</v>
      </c>
      <c r="B4" s="95" t="str">
        <f>INSCRITS!C6</f>
        <v>5A</v>
      </c>
      <c r="C4" s="249" t="s">
        <v>230</v>
      </c>
      <c r="D4" s="94" t="s">
        <v>182</v>
      </c>
      <c r="E4" s="249" t="s">
        <v>230</v>
      </c>
      <c r="F4" s="95" t="str">
        <f>INSCRITS!C7</f>
        <v>6A</v>
      </c>
      <c r="G4" s="95" t="s">
        <v>149</v>
      </c>
      <c r="O4" s="101" t="s">
        <v>231</v>
      </c>
      <c r="Q4" s="101" t="s">
        <v>231</v>
      </c>
      <c r="S4" s="78">
        <f>IF(MOD(S$3+1-(1+ROUNDDOWN(S$3/$A$1,0)),$A$1)=0,S$3+2,S$3+1)</f>
        <v>11</v>
      </c>
      <c r="U4" s="78">
        <f>IF(MOD(U$3+1-(1+ROUNDDOWN(U$3/$A$1,0)),$A$1)=0,U$3+2,U$3+1)</f>
        <v>11</v>
      </c>
      <c r="X4" s="78" t="str">
        <f ca="1">INDIRECT("B"&amp;4) &amp; CHAR(10) &amp; "vs" &amp; CHAR(10) &amp; INDIRECT("F"&amp;4)</f>
        <v>5A
vs
6A</v>
      </c>
      <c r="Y4" s="78" t="b">
        <f ca="1">$S$10=X4</f>
        <v>0</v>
      </c>
      <c r="Z4" s="78" t="b">
        <f ca="1">$S$20=X4</f>
        <v>0</v>
      </c>
      <c r="AA4" s="78" t="b">
        <f ca="1">$S$30=X4</f>
        <v>0</v>
      </c>
    </row>
    <row r="5" spans="1:27" x14ac:dyDescent="0.25">
      <c r="A5" s="95" t="s">
        <v>150</v>
      </c>
      <c r="B5" s="95" t="str">
        <f>INSCRITS!C8</f>
        <v>7A</v>
      </c>
      <c r="C5" s="249" t="s">
        <v>230</v>
      </c>
      <c r="D5" s="94" t="s">
        <v>183</v>
      </c>
      <c r="E5" s="249" t="s">
        <v>230</v>
      </c>
      <c r="F5" s="95" t="str">
        <f>INSCRITS!C9</f>
        <v>8A</v>
      </c>
      <c r="G5" s="95" t="s">
        <v>151</v>
      </c>
      <c r="O5" s="101" t="s">
        <v>231</v>
      </c>
      <c r="Q5" s="101" t="s">
        <v>231</v>
      </c>
      <c r="S5" s="78">
        <f>IF(MOD(S$4+1-(1+ROUNDDOWN(S$4/$A$1,0)),$A$1)=0,S$4+2,S$4+1)</f>
        <v>12</v>
      </c>
      <c r="U5" s="78">
        <f>IF(MOD(U$4+1-(1+ROUNDDOWN(U$4/$A$1,0)),$A$1)=0,U$4+2,U$4+1)</f>
        <v>12</v>
      </c>
      <c r="X5" s="78" t="str">
        <f ca="1">INDIRECT("B"&amp;5) &amp; CHAR(10) &amp; "vs" &amp; CHAR(10) &amp; INDIRECT("F"&amp;5)</f>
        <v>7A
vs
8A</v>
      </c>
      <c r="Y5" s="78" t="b">
        <f ca="1">$S$10=X5</f>
        <v>0</v>
      </c>
      <c r="Z5" s="78" t="b">
        <f ca="1">$S$20=X5</f>
        <v>0</v>
      </c>
      <c r="AA5" s="78" t="b">
        <f ca="1">$S$30=X5</f>
        <v>0</v>
      </c>
    </row>
    <row r="6" spans="1:27" x14ac:dyDescent="0.25">
      <c r="A6" s="96" t="s">
        <v>124</v>
      </c>
      <c r="B6" s="96" t="str">
        <f>INSCRITS!C11</f>
        <v>1B</v>
      </c>
      <c r="C6" s="249" t="s">
        <v>230</v>
      </c>
      <c r="D6" s="94" t="s">
        <v>184</v>
      </c>
      <c r="E6" s="249" t="s">
        <v>230</v>
      </c>
      <c r="F6" s="96" t="str">
        <f>INSCRITS!C12</f>
        <v>2B</v>
      </c>
      <c r="G6" s="96" t="s">
        <v>125</v>
      </c>
      <c r="O6" s="101" t="s">
        <v>231</v>
      </c>
      <c r="Q6" s="101" t="s">
        <v>231</v>
      </c>
      <c r="X6" s="78" t="str">
        <f ca="1">INDIRECT("B"&amp;6) &amp; CHAR(10) &amp; "vs" &amp; CHAR(10) &amp; INDIRECT("F"&amp;6)</f>
        <v>1B
vs
2B</v>
      </c>
      <c r="Y6" s="78" t="b">
        <f ca="1">$S$10=X6</f>
        <v>0</v>
      </c>
      <c r="Z6" s="78" t="b">
        <f ca="1">$S$20=X6</f>
        <v>0</v>
      </c>
      <c r="AA6" s="78" t="b">
        <f ca="1">$S$30=X6</f>
        <v>0</v>
      </c>
    </row>
    <row r="7" spans="1:27" x14ac:dyDescent="0.25">
      <c r="A7" s="96" t="s">
        <v>126</v>
      </c>
      <c r="B7" s="96" t="str">
        <f>INSCRITS!C13</f>
        <v>3B</v>
      </c>
      <c r="C7" s="249" t="s">
        <v>230</v>
      </c>
      <c r="D7" s="94" t="s">
        <v>185</v>
      </c>
      <c r="E7" s="249" t="s">
        <v>230</v>
      </c>
      <c r="F7" s="96" t="str">
        <f>INSCRITS!C14</f>
        <v>4B</v>
      </c>
      <c r="G7" s="96" t="s">
        <v>127</v>
      </c>
      <c r="O7" s="101" t="s">
        <v>231</v>
      </c>
      <c r="Q7" s="101" t="s">
        <v>231</v>
      </c>
      <c r="S7" s="242" t="s">
        <v>178</v>
      </c>
      <c r="T7" s="242"/>
      <c r="U7" s="242"/>
      <c r="V7" s="242"/>
      <c r="W7" s="242"/>
      <c r="X7" s="78" t="str">
        <f ca="1">INDIRECT("B"&amp;7) &amp; CHAR(10) &amp; "vs" &amp; CHAR(10) &amp; INDIRECT("F"&amp;7)</f>
        <v>3B
vs
4B</v>
      </c>
      <c r="Y7" s="78" t="b">
        <f ca="1">$S$10=X7</f>
        <v>0</v>
      </c>
      <c r="Z7" s="78" t="b">
        <f ca="1">$S$20=X7</f>
        <v>0</v>
      </c>
      <c r="AA7" s="78" t="b">
        <f ca="1">$S$30=X7</f>
        <v>0</v>
      </c>
    </row>
    <row r="8" spans="1:27" x14ac:dyDescent="0.25">
      <c r="A8" s="96" t="s">
        <v>152</v>
      </c>
      <c r="B8" s="96" t="str">
        <f>INSCRITS!C15</f>
        <v>5B</v>
      </c>
      <c r="C8" s="249" t="s">
        <v>230</v>
      </c>
      <c r="D8" s="94" t="s">
        <v>186</v>
      </c>
      <c r="E8" s="249" t="s">
        <v>230</v>
      </c>
      <c r="F8" s="96" t="str">
        <f>INSCRITS!C16</f>
        <v>6B</v>
      </c>
      <c r="G8" s="96" t="s">
        <v>153</v>
      </c>
      <c r="O8" s="101" t="s">
        <v>231</v>
      </c>
      <c r="Q8" s="101" t="s">
        <v>231</v>
      </c>
      <c r="S8" s="242"/>
      <c r="T8" s="242"/>
      <c r="U8" s="242"/>
      <c r="V8" s="242"/>
      <c r="W8" s="242"/>
      <c r="X8" s="78" t="str">
        <f ca="1">INDIRECT("B"&amp;8) &amp; CHAR(10) &amp; "vs" &amp; CHAR(10) &amp; INDIRECT("F"&amp;8)</f>
        <v>5B
vs
6B</v>
      </c>
      <c r="Y8" s="78" t="b">
        <f ca="1">$S$10=X8</f>
        <v>0</v>
      </c>
      <c r="Z8" s="78" t="b">
        <f ca="1">$S$20=X8</f>
        <v>0</v>
      </c>
      <c r="AA8" s="78" t="b">
        <f ca="1">$S$30=X8</f>
        <v>0</v>
      </c>
    </row>
    <row r="9" spans="1:27" x14ac:dyDescent="0.25">
      <c r="A9" s="96" t="s">
        <v>154</v>
      </c>
      <c r="B9" s="96" t="str">
        <f>INSCRITS!C17</f>
        <v>7B</v>
      </c>
      <c r="C9" s="249"/>
      <c r="D9" s="94" t="s">
        <v>187</v>
      </c>
      <c r="E9" s="249"/>
      <c r="F9" s="96" t="str">
        <f>INSCRITS!C18</f>
        <v>8B</v>
      </c>
      <c r="G9" s="96" t="s">
        <v>155</v>
      </c>
      <c r="S9" s="242"/>
      <c r="T9" s="242"/>
      <c r="U9" s="242"/>
      <c r="V9" s="242"/>
      <c r="W9" s="242"/>
      <c r="X9" s="78" t="str">
        <f ca="1">INDIRECT("B"&amp;9) &amp; CHAR(10) &amp; "vs" &amp; CHAR(10) &amp; INDIRECT("F"&amp;9)</f>
        <v>7B
vs
8B</v>
      </c>
      <c r="Y9" s="78" t="b">
        <f ca="1">$S$10=X9</f>
        <v>1</v>
      </c>
      <c r="Z9" s="78" t="b">
        <f ca="1">$S$20=X9</f>
        <v>0</v>
      </c>
      <c r="AA9" s="78" t="b">
        <f ca="1">$S$30=X9</f>
        <v>0</v>
      </c>
    </row>
    <row r="10" spans="1:27" x14ac:dyDescent="0.25">
      <c r="A10" s="93"/>
      <c r="B10" s="93"/>
      <c r="C10" s="99" t="str">
        <f>CHAR(160)</f>
        <v> </v>
      </c>
      <c r="D10" s="248">
        <f>0.791666666666667 + "00:20:00"</f>
        <v>0.8055555555555558</v>
      </c>
      <c r="E10" s="99" t="str">
        <f>CHAR(160)</f>
        <v> </v>
      </c>
      <c r="F10" s="93"/>
      <c r="G10" s="93"/>
      <c r="S10" s="261" t="str">
        <f ca="1">IF(S$3=U$3,INDIRECT("B"&amp;S$3) &amp; CHAR(10) &amp; "vs" &amp; CHAR(10) &amp; INDIRECT("F"&amp;S$3),"ERREUR DE SAISSIE")</f>
        <v>7B
vs
8B</v>
      </c>
      <c r="T10" s="261"/>
      <c r="U10" s="261"/>
      <c r="V10" s="261"/>
      <c r="W10" s="261"/>
      <c r="X10" s="78" t="str">
        <f ca="1">INDIRECT("B"&amp;10) &amp; CHAR(10) &amp; "vs" &amp; CHAR(10) &amp; INDIRECT("F"&amp;10)</f>
        <v xml:space="preserve">
vs
</v>
      </c>
      <c r="Y10" s="78" t="b">
        <f ca="1">$S$10=X10</f>
        <v>0</v>
      </c>
      <c r="Z10" s="78" t="b">
        <f ca="1">$S$20=X10</f>
        <v>0</v>
      </c>
      <c r="AA10" s="78" t="b">
        <f ca="1">$S$30=X10</f>
        <v>0</v>
      </c>
    </row>
    <row r="11" spans="1:27" x14ac:dyDescent="0.25">
      <c r="A11" s="97" t="s">
        <v>156</v>
      </c>
      <c r="B11" s="97" t="str">
        <f>INSCRITS!C20</f>
        <v>1C</v>
      </c>
      <c r="C11" s="249"/>
      <c r="D11" s="94" t="s">
        <v>188</v>
      </c>
      <c r="E11" s="249"/>
      <c r="F11" s="97" t="str">
        <f>INSCRITS!C21</f>
        <v>2C</v>
      </c>
      <c r="G11" s="97" t="s">
        <v>157</v>
      </c>
      <c r="S11" s="261"/>
      <c r="T11" s="261"/>
      <c r="U11" s="261"/>
      <c r="V11" s="261"/>
      <c r="W11" s="261"/>
      <c r="X11" s="78" t="str">
        <f ca="1">INDIRECT("B"&amp;11) &amp; CHAR(10) &amp; "vs" &amp; CHAR(10) &amp; INDIRECT("F"&amp;11)</f>
        <v>1C
vs
2C</v>
      </c>
      <c r="Y11" s="78" t="b">
        <f ca="1">$S$10=X11</f>
        <v>0</v>
      </c>
      <c r="Z11" s="78" t="b">
        <f ca="1">$S$20=X11</f>
        <v>1</v>
      </c>
      <c r="AA11" s="78" t="b">
        <f ca="1">$S$30=X11</f>
        <v>0</v>
      </c>
    </row>
    <row r="12" spans="1:27" x14ac:dyDescent="0.25">
      <c r="A12" s="97" t="s">
        <v>158</v>
      </c>
      <c r="B12" s="97" t="str">
        <f>INSCRITS!C22</f>
        <v>3C</v>
      </c>
      <c r="C12" s="249"/>
      <c r="D12" s="94" t="s">
        <v>189</v>
      </c>
      <c r="E12" s="249"/>
      <c r="F12" s="97" t="str">
        <f>INSCRITS!C23</f>
        <v>4C</v>
      </c>
      <c r="G12" s="97" t="s">
        <v>159</v>
      </c>
      <c r="S12" s="261"/>
      <c r="T12" s="261"/>
      <c r="U12" s="261"/>
      <c r="V12" s="261"/>
      <c r="W12" s="261"/>
      <c r="X12" s="78" t="str">
        <f ca="1">INDIRECT("B"&amp;12) &amp; CHAR(10) &amp; "vs" &amp; CHAR(10) &amp; INDIRECT("F"&amp;12)</f>
        <v>3C
vs
4C</v>
      </c>
      <c r="Y12" s="78" t="b">
        <f ca="1">$S$10=X12</f>
        <v>0</v>
      </c>
      <c r="Z12" s="78" t="b">
        <f ca="1">$S$20=X12</f>
        <v>0</v>
      </c>
      <c r="AA12" s="78" t="b">
        <f ca="1">$S$30=X12</f>
        <v>1</v>
      </c>
    </row>
    <row r="13" spans="1:27" x14ac:dyDescent="0.25">
      <c r="A13" s="97" t="s">
        <v>160</v>
      </c>
      <c r="B13" s="97" t="str">
        <f>INSCRITS!C24</f>
        <v>5C</v>
      </c>
      <c r="C13" s="249"/>
      <c r="D13" s="94" t="s">
        <v>190</v>
      </c>
      <c r="E13" s="249"/>
      <c r="F13" s="97" t="str">
        <f>INSCRITS!C25</f>
        <v>6C</v>
      </c>
      <c r="G13" s="97" t="s">
        <v>161</v>
      </c>
      <c r="S13" s="261"/>
      <c r="T13" s="261"/>
      <c r="U13" s="261"/>
      <c r="V13" s="261"/>
      <c r="W13" s="261"/>
      <c r="X13" s="78" t="str">
        <f ca="1">INDIRECT("B"&amp;13) &amp; CHAR(10) &amp; "vs" &amp; CHAR(10) &amp; INDIRECT("F"&amp;13)</f>
        <v>5C
vs
6C</v>
      </c>
      <c r="Y13" s="78" t="b">
        <f ca="1">$S$10=X13</f>
        <v>0</v>
      </c>
      <c r="Z13" s="78" t="b">
        <f ca="1">$S$20=X13</f>
        <v>0</v>
      </c>
      <c r="AA13" s="78" t="b">
        <f ca="1">$S$30=X13</f>
        <v>0</v>
      </c>
    </row>
    <row r="14" spans="1:27" x14ac:dyDescent="0.25">
      <c r="A14" s="97" t="s">
        <v>162</v>
      </c>
      <c r="B14" s="97" t="str">
        <f>INSCRITS!C26</f>
        <v>7C</v>
      </c>
      <c r="C14" s="249"/>
      <c r="D14" s="94" t="s">
        <v>191</v>
      </c>
      <c r="E14" s="249"/>
      <c r="F14" s="97" t="str">
        <f>INSCRITS!C27</f>
        <v>8C</v>
      </c>
      <c r="G14" s="97" t="s">
        <v>163</v>
      </c>
      <c r="S14" s="261"/>
      <c r="T14" s="261"/>
      <c r="U14" s="261"/>
      <c r="V14" s="261"/>
      <c r="W14" s="261"/>
      <c r="X14" s="78" t="str">
        <f ca="1">INDIRECT("B"&amp;14) &amp; CHAR(10) &amp; "vs" &amp; CHAR(10) &amp; INDIRECT("F"&amp;14)</f>
        <v>7C
vs
8C</v>
      </c>
      <c r="Y14" s="78" t="b">
        <f ca="1">$S$10=X14</f>
        <v>0</v>
      </c>
      <c r="Z14" s="78" t="b">
        <f ca="1">$S$20=X14</f>
        <v>0</v>
      </c>
      <c r="AA14" s="78" t="b">
        <f ca="1">$S$30=X14</f>
        <v>0</v>
      </c>
    </row>
    <row r="15" spans="1:27" x14ac:dyDescent="0.25">
      <c r="A15" s="98" t="s">
        <v>164</v>
      </c>
      <c r="B15" s="98" t="str">
        <f>INSCRITS!C29</f>
        <v>1D</v>
      </c>
      <c r="C15" s="249"/>
      <c r="D15" s="94" t="s">
        <v>192</v>
      </c>
      <c r="E15" s="249"/>
      <c r="F15" s="98" t="str">
        <f>INSCRITS!C30</f>
        <v>2D</v>
      </c>
      <c r="G15" s="98" t="s">
        <v>165</v>
      </c>
      <c r="S15" s="261"/>
      <c r="T15" s="261"/>
      <c r="U15" s="261"/>
      <c r="V15" s="261"/>
      <c r="W15" s="261"/>
      <c r="X15" s="78" t="str">
        <f ca="1">INDIRECT("B"&amp;15) &amp; CHAR(10) &amp; "vs" &amp; CHAR(10) &amp; INDIRECT("F"&amp;15)</f>
        <v>1D
vs
2D</v>
      </c>
      <c r="Y15" s="78" t="b">
        <f ca="1">$S$10=X15</f>
        <v>0</v>
      </c>
      <c r="Z15" s="78" t="b">
        <f ca="1">$S$20=X15</f>
        <v>0</v>
      </c>
      <c r="AA15" s="78" t="b">
        <f ca="1">$S$30=X15</f>
        <v>0</v>
      </c>
    </row>
    <row r="16" spans="1:27" x14ac:dyDescent="0.25">
      <c r="A16" s="98" t="s">
        <v>166</v>
      </c>
      <c r="B16" s="98" t="str">
        <f>INSCRITS!C31</f>
        <v>3D</v>
      </c>
      <c r="C16" s="249"/>
      <c r="D16" s="94" t="s">
        <v>193</v>
      </c>
      <c r="E16" s="249"/>
      <c r="F16" s="98" t="str">
        <f>INSCRITS!C32</f>
        <v>4D</v>
      </c>
      <c r="G16" s="98" t="s">
        <v>167</v>
      </c>
      <c r="X16" s="78" t="str">
        <f ca="1">INDIRECT("B"&amp;16) &amp; CHAR(10) &amp; "vs" &amp; CHAR(10) &amp; INDIRECT("F"&amp;16)</f>
        <v>3D
vs
4D</v>
      </c>
      <c r="Y16" s="78" t="b">
        <f ca="1">$S$10=X16</f>
        <v>0</v>
      </c>
      <c r="Z16" s="78" t="b">
        <f ca="1">$S$20=X16</f>
        <v>0</v>
      </c>
      <c r="AA16" s="78" t="b">
        <f ca="1">$S$30=X16</f>
        <v>0</v>
      </c>
    </row>
    <row r="17" spans="1:27" x14ac:dyDescent="0.25">
      <c r="A17" s="98" t="s">
        <v>168</v>
      </c>
      <c r="B17" s="98" t="str">
        <f>INSCRITS!C33</f>
        <v>5D</v>
      </c>
      <c r="C17" s="249"/>
      <c r="D17" s="94" t="s">
        <v>194</v>
      </c>
      <c r="E17" s="249"/>
      <c r="F17" s="98" t="str">
        <f>INSCRITS!C34</f>
        <v>6D</v>
      </c>
      <c r="G17" s="98" t="s">
        <v>169</v>
      </c>
      <c r="S17" s="242" t="s">
        <v>179</v>
      </c>
      <c r="T17" s="242"/>
      <c r="U17" s="242"/>
      <c r="V17" s="242"/>
      <c r="W17" s="242"/>
      <c r="X17" s="78" t="str">
        <f ca="1">INDIRECT("B"&amp;17) &amp; CHAR(10) &amp; "vs" &amp; CHAR(10) &amp; INDIRECT("F"&amp;17)</f>
        <v>5D
vs
6D</v>
      </c>
      <c r="Y17" s="78" t="b">
        <f ca="1">$S$10=X17</f>
        <v>0</v>
      </c>
      <c r="Z17" s="78" t="b">
        <f ca="1">$S$20=X17</f>
        <v>0</v>
      </c>
      <c r="AA17" s="78" t="b">
        <f ca="1">$S$30=X17</f>
        <v>0</v>
      </c>
    </row>
    <row r="18" spans="1:27" x14ac:dyDescent="0.25">
      <c r="A18" s="98" t="s">
        <v>170</v>
      </c>
      <c r="B18" s="98" t="str">
        <f>INSCRITS!C35</f>
        <v>7D</v>
      </c>
      <c r="C18" s="249"/>
      <c r="D18" s="94" t="s">
        <v>195</v>
      </c>
      <c r="E18" s="249"/>
      <c r="F18" s="98" t="str">
        <f>INSCRITS!C36</f>
        <v>8D</v>
      </c>
      <c r="G18" s="98" t="s">
        <v>171</v>
      </c>
      <c r="S18" s="242"/>
      <c r="T18" s="242"/>
      <c r="U18" s="242"/>
      <c r="V18" s="242"/>
      <c r="W18" s="242"/>
      <c r="X18" s="78" t="str">
        <f ca="1">INDIRECT("B"&amp;18) &amp; CHAR(10) &amp; "vs" &amp; CHAR(10) &amp; INDIRECT("F"&amp;18)</f>
        <v>7D
vs
8D</v>
      </c>
      <c r="Y18" s="78" t="b">
        <f ca="1">$S$10=X18</f>
        <v>0</v>
      </c>
      <c r="Z18" s="78" t="b">
        <f ca="1">$S$20=X18</f>
        <v>0</v>
      </c>
      <c r="AA18" s="78" t="b">
        <f ca="1">$S$30=X18</f>
        <v>0</v>
      </c>
    </row>
    <row r="19" spans="1:27" x14ac:dyDescent="0.25">
      <c r="A19" s="93"/>
      <c r="B19" s="93"/>
      <c r="C19" s="99" t="str">
        <f>CHAR(160)</f>
        <v> </v>
      </c>
      <c r="D19" s="248">
        <f>0.805555555555556 + "00:20:00"</f>
        <v>0.81944444444444486</v>
      </c>
      <c r="E19" s="99" t="str">
        <f>CHAR(160)</f>
        <v> </v>
      </c>
      <c r="F19" s="93"/>
      <c r="G19" s="93"/>
      <c r="S19" s="242"/>
      <c r="T19" s="242"/>
      <c r="U19" s="242"/>
      <c r="V19" s="242"/>
      <c r="W19" s="242"/>
      <c r="X19" s="78" t="str">
        <f ca="1">INDIRECT("B"&amp;19) &amp; CHAR(10) &amp; "vs" &amp; CHAR(10) &amp; INDIRECT("F"&amp;19)</f>
        <v xml:space="preserve">
vs
</v>
      </c>
      <c r="Y19" s="78" t="b">
        <f ca="1">$S$10=X19</f>
        <v>0</v>
      </c>
      <c r="Z19" s="78" t="b">
        <f ca="1">$S$20=X19</f>
        <v>0</v>
      </c>
      <c r="AA19" s="78" t="b">
        <f ca="1">$S$30=X19</f>
        <v>0</v>
      </c>
    </row>
    <row r="20" spans="1:27" x14ac:dyDescent="0.25">
      <c r="A20" s="95" t="s">
        <v>120</v>
      </c>
      <c r="B20" s="95" t="str">
        <f>INSCRITS!C2</f>
        <v>1A</v>
      </c>
      <c r="C20" s="249"/>
      <c r="D20" s="94" t="s">
        <v>180</v>
      </c>
      <c r="E20" s="249"/>
      <c r="F20" s="95" t="str">
        <f>INSCRITS!C4</f>
        <v>3A</v>
      </c>
      <c r="G20" s="95" t="s">
        <v>122</v>
      </c>
      <c r="S20" s="262" t="str">
        <f ca="1">IF(S$4=U$4,INDIRECT("B"&amp;S$4) &amp; CHAR(10) &amp; "vs" &amp; CHAR(10) &amp; INDIRECT("F"&amp;S$4),"ERREUR DE SAISSIE")</f>
        <v>1C
vs
2C</v>
      </c>
      <c r="T20" s="262"/>
      <c r="U20" s="262"/>
      <c r="V20" s="262"/>
      <c r="W20" s="262"/>
      <c r="X20" s="78" t="str">
        <f ca="1">INDIRECT("B"&amp;20) &amp; CHAR(10) &amp; "vs" &amp; CHAR(10) &amp; INDIRECT("F"&amp;20)</f>
        <v>1A
vs
3A</v>
      </c>
      <c r="Y20" s="78" t="b">
        <f ca="1">$S$10=X20</f>
        <v>0</v>
      </c>
      <c r="Z20" s="78" t="b">
        <f ca="1">$S$20=X20</f>
        <v>0</v>
      </c>
      <c r="AA20" s="78" t="b">
        <f ca="1">$S$30=X20</f>
        <v>0</v>
      </c>
    </row>
    <row r="21" spans="1:27" x14ac:dyDescent="0.25">
      <c r="A21" s="95" t="s">
        <v>121</v>
      </c>
      <c r="B21" s="95" t="str">
        <f>INSCRITS!C3</f>
        <v>2A</v>
      </c>
      <c r="C21" s="249"/>
      <c r="D21" s="94" t="s">
        <v>181</v>
      </c>
      <c r="E21" s="249"/>
      <c r="F21" s="95" t="str">
        <f>INSCRITS!C5</f>
        <v>4A</v>
      </c>
      <c r="G21" s="95" t="s">
        <v>123</v>
      </c>
      <c r="S21" s="262"/>
      <c r="T21" s="262"/>
      <c r="U21" s="262"/>
      <c r="V21" s="262"/>
      <c r="W21" s="262"/>
      <c r="X21" s="78" t="str">
        <f ca="1">INDIRECT("B"&amp;21) &amp; CHAR(10) &amp; "vs" &amp; CHAR(10) &amp; INDIRECT("F"&amp;21)</f>
        <v>2A
vs
4A</v>
      </c>
      <c r="Y21" s="78" t="b">
        <f ca="1">$S$10=X21</f>
        <v>0</v>
      </c>
      <c r="Z21" s="78" t="b">
        <f ca="1">$S$20=X21</f>
        <v>0</v>
      </c>
      <c r="AA21" s="78" t="b">
        <f ca="1">$S$30=X21</f>
        <v>0</v>
      </c>
    </row>
    <row r="22" spans="1:27" x14ac:dyDescent="0.25">
      <c r="A22" s="95" t="s">
        <v>148</v>
      </c>
      <c r="B22" s="95" t="str">
        <f>INSCRITS!C6</f>
        <v>5A</v>
      </c>
      <c r="C22" s="249"/>
      <c r="D22" s="94" t="s">
        <v>182</v>
      </c>
      <c r="E22" s="249"/>
      <c r="F22" s="95" t="str">
        <f>INSCRITS!C8</f>
        <v>7A</v>
      </c>
      <c r="G22" s="95" t="s">
        <v>150</v>
      </c>
      <c r="S22" s="262"/>
      <c r="T22" s="262"/>
      <c r="U22" s="262"/>
      <c r="V22" s="262"/>
      <c r="W22" s="262"/>
      <c r="X22" s="78" t="str">
        <f ca="1">INDIRECT("B"&amp;22) &amp; CHAR(10) &amp; "vs" &amp; CHAR(10) &amp; INDIRECT("F"&amp;22)</f>
        <v>5A
vs
7A</v>
      </c>
      <c r="Y22" s="78" t="b">
        <f ca="1">$S$10=X22</f>
        <v>0</v>
      </c>
      <c r="Z22" s="78" t="b">
        <f ca="1">$S$20=X22</f>
        <v>0</v>
      </c>
      <c r="AA22" s="78" t="b">
        <f ca="1">$S$30=X22</f>
        <v>0</v>
      </c>
    </row>
    <row r="23" spans="1:27" x14ac:dyDescent="0.25">
      <c r="A23" s="95" t="s">
        <v>149</v>
      </c>
      <c r="B23" s="95" t="str">
        <f>INSCRITS!C7</f>
        <v>6A</v>
      </c>
      <c r="C23" s="249"/>
      <c r="D23" s="94" t="s">
        <v>183</v>
      </c>
      <c r="E23" s="249"/>
      <c r="F23" s="95" t="str">
        <f>INSCRITS!C9</f>
        <v>8A</v>
      </c>
      <c r="G23" s="95" t="s">
        <v>151</v>
      </c>
      <c r="S23" s="262"/>
      <c r="T23" s="262"/>
      <c r="U23" s="262"/>
      <c r="V23" s="262"/>
      <c r="W23" s="262"/>
      <c r="X23" s="78" t="str">
        <f ca="1">INDIRECT("B"&amp;23) &amp; CHAR(10) &amp; "vs" &amp; CHAR(10) &amp; INDIRECT("F"&amp;23)</f>
        <v>6A
vs
8A</v>
      </c>
      <c r="Y23" s="78" t="b">
        <f ca="1">$S$10=X23</f>
        <v>0</v>
      </c>
      <c r="Z23" s="78" t="b">
        <f ca="1">$S$20=X23</f>
        <v>0</v>
      </c>
      <c r="AA23" s="78" t="b">
        <f ca="1">$S$30=X23</f>
        <v>0</v>
      </c>
    </row>
    <row r="24" spans="1:27" x14ac:dyDescent="0.25">
      <c r="A24" s="96" t="s">
        <v>124</v>
      </c>
      <c r="B24" s="96" t="str">
        <f>INSCRITS!C11</f>
        <v>1B</v>
      </c>
      <c r="C24" s="249"/>
      <c r="D24" s="94" t="s">
        <v>184</v>
      </c>
      <c r="E24" s="249"/>
      <c r="F24" s="96" t="str">
        <f>INSCRITS!C13</f>
        <v>3B</v>
      </c>
      <c r="G24" s="96" t="s">
        <v>126</v>
      </c>
      <c r="S24" s="262"/>
      <c r="T24" s="262"/>
      <c r="U24" s="262"/>
      <c r="V24" s="262"/>
      <c r="W24" s="262"/>
      <c r="X24" s="78" t="str">
        <f ca="1">INDIRECT("B"&amp;24) &amp; CHAR(10) &amp; "vs" &amp; CHAR(10) &amp; INDIRECT("F"&amp;24)</f>
        <v>1B
vs
3B</v>
      </c>
      <c r="Y24" s="78" t="b">
        <f ca="1">$S$10=X24</f>
        <v>0</v>
      </c>
      <c r="Z24" s="78" t="b">
        <f ca="1">$S$20=X24</f>
        <v>0</v>
      </c>
      <c r="AA24" s="78" t="b">
        <f ca="1">$S$30=X24</f>
        <v>0</v>
      </c>
    </row>
    <row r="25" spans="1:27" x14ac:dyDescent="0.25">
      <c r="A25" s="96" t="s">
        <v>125</v>
      </c>
      <c r="B25" s="96" t="str">
        <f>INSCRITS!C12</f>
        <v>2B</v>
      </c>
      <c r="C25" s="249"/>
      <c r="D25" s="94" t="s">
        <v>185</v>
      </c>
      <c r="E25" s="249"/>
      <c r="F25" s="96" t="str">
        <f>INSCRITS!C14</f>
        <v>4B</v>
      </c>
      <c r="G25" s="96" t="s">
        <v>127</v>
      </c>
      <c r="S25" s="262"/>
      <c r="T25" s="262"/>
      <c r="U25" s="262"/>
      <c r="V25" s="262"/>
      <c r="W25" s="262"/>
      <c r="X25" s="78" t="str">
        <f ca="1">INDIRECT("B"&amp;25) &amp; CHAR(10) &amp; "vs" &amp; CHAR(10) &amp; INDIRECT("F"&amp;25)</f>
        <v>2B
vs
4B</v>
      </c>
      <c r="Y25" s="78" t="b">
        <f ca="1">$S$10=X25</f>
        <v>0</v>
      </c>
      <c r="Z25" s="78" t="b">
        <f ca="1">$S$20=X25</f>
        <v>0</v>
      </c>
      <c r="AA25" s="78" t="b">
        <f ca="1">$S$30=X25</f>
        <v>0</v>
      </c>
    </row>
    <row r="26" spans="1:27" x14ac:dyDescent="0.25">
      <c r="A26" s="96" t="s">
        <v>152</v>
      </c>
      <c r="B26" s="96" t="str">
        <f>INSCRITS!C15</f>
        <v>5B</v>
      </c>
      <c r="C26" s="249"/>
      <c r="D26" s="94" t="s">
        <v>186</v>
      </c>
      <c r="E26" s="249"/>
      <c r="F26" s="96" t="str">
        <f>INSCRITS!C17</f>
        <v>7B</v>
      </c>
      <c r="G26" s="96" t="s">
        <v>154</v>
      </c>
      <c r="X26" s="78" t="str">
        <f ca="1">INDIRECT("B"&amp;26) &amp; CHAR(10) &amp; "vs" &amp; CHAR(10) &amp; INDIRECT("F"&amp;26)</f>
        <v>5B
vs
7B</v>
      </c>
      <c r="Y26" s="78" t="b">
        <f ca="1">$S$10=X26</f>
        <v>0</v>
      </c>
      <c r="Z26" s="78" t="b">
        <f ca="1">$S$20=X26</f>
        <v>0</v>
      </c>
      <c r="AA26" s="78" t="b">
        <f ca="1">$S$30=X26</f>
        <v>0</v>
      </c>
    </row>
    <row r="27" spans="1:27" x14ac:dyDescent="0.25">
      <c r="A27" s="96" t="s">
        <v>153</v>
      </c>
      <c r="B27" s="96" t="str">
        <f>INSCRITS!C16</f>
        <v>6B</v>
      </c>
      <c r="C27" s="249"/>
      <c r="D27" s="94" t="s">
        <v>187</v>
      </c>
      <c r="E27" s="249"/>
      <c r="F27" s="96" t="str">
        <f>INSCRITS!C18</f>
        <v>8B</v>
      </c>
      <c r="G27" s="96" t="s">
        <v>155</v>
      </c>
      <c r="S27" s="242" t="s">
        <v>179</v>
      </c>
      <c r="T27" s="242"/>
      <c r="U27" s="242"/>
      <c r="V27" s="242"/>
      <c r="W27" s="242"/>
      <c r="X27" s="78" t="str">
        <f ca="1">INDIRECT("B"&amp;27) &amp; CHAR(10) &amp; "vs" &amp; CHAR(10) &amp; INDIRECT("F"&amp;27)</f>
        <v>6B
vs
8B</v>
      </c>
      <c r="Y27" s="78" t="b">
        <f ca="1">$S$10=X27</f>
        <v>0</v>
      </c>
      <c r="Z27" s="78" t="b">
        <f ca="1">$S$20=X27</f>
        <v>0</v>
      </c>
      <c r="AA27" s="78" t="b">
        <f ca="1">$S$30=X27</f>
        <v>0</v>
      </c>
    </row>
    <row r="28" spans="1:27" x14ac:dyDescent="0.25">
      <c r="A28" s="93"/>
      <c r="B28" s="93"/>
      <c r="C28" s="99" t="str">
        <f>CHAR(160)</f>
        <v> </v>
      </c>
      <c r="D28" s="248">
        <f>0.819444444444445 + "00:20:00"</f>
        <v>0.83333333333333381</v>
      </c>
      <c r="E28" s="99" t="str">
        <f>CHAR(160)</f>
        <v> </v>
      </c>
      <c r="F28" s="93"/>
      <c r="G28" s="93"/>
      <c r="S28" s="242"/>
      <c r="T28" s="242"/>
      <c r="U28" s="242"/>
      <c r="V28" s="242"/>
      <c r="W28" s="242"/>
      <c r="X28" s="78" t="str">
        <f ca="1">INDIRECT("B"&amp;28) &amp; CHAR(10) &amp; "vs" &amp; CHAR(10) &amp; INDIRECT("F"&amp;28)</f>
        <v xml:space="preserve">
vs
</v>
      </c>
      <c r="Y28" s="78" t="b">
        <f ca="1">$S$10=X28</f>
        <v>0</v>
      </c>
      <c r="Z28" s="78" t="b">
        <f ca="1">$S$20=X28</f>
        <v>0</v>
      </c>
      <c r="AA28" s="78" t="b">
        <f ca="1">$S$30=X28</f>
        <v>0</v>
      </c>
    </row>
    <row r="29" spans="1:27" x14ac:dyDescent="0.25">
      <c r="A29" s="97" t="s">
        <v>156</v>
      </c>
      <c r="B29" s="97" t="str">
        <f>INSCRITS!C20</f>
        <v>1C</v>
      </c>
      <c r="C29" s="249"/>
      <c r="D29" s="94" t="s">
        <v>188</v>
      </c>
      <c r="E29" s="249"/>
      <c r="F29" s="97" t="str">
        <f>INSCRITS!C22</f>
        <v>3C</v>
      </c>
      <c r="G29" s="97" t="s">
        <v>158</v>
      </c>
      <c r="S29" s="242"/>
      <c r="T29" s="242"/>
      <c r="U29" s="242"/>
      <c r="V29" s="242"/>
      <c r="W29" s="242"/>
      <c r="X29" s="78" t="str">
        <f ca="1">INDIRECT("B"&amp;29) &amp; CHAR(10) &amp; "vs" &amp; CHAR(10) &amp; INDIRECT("F"&amp;29)</f>
        <v>1C
vs
3C</v>
      </c>
      <c r="Y29" s="78" t="b">
        <f ca="1">$S$10=X29</f>
        <v>0</v>
      </c>
      <c r="Z29" s="78" t="b">
        <f ca="1">$S$20=X29</f>
        <v>0</v>
      </c>
      <c r="AA29" s="78" t="b">
        <f ca="1">$S$30=X29</f>
        <v>0</v>
      </c>
    </row>
    <row r="30" spans="1:27" x14ac:dyDescent="0.25">
      <c r="A30" s="97" t="s">
        <v>157</v>
      </c>
      <c r="B30" s="97" t="str">
        <f>INSCRITS!C21</f>
        <v>2C</v>
      </c>
      <c r="C30" s="249"/>
      <c r="D30" s="94" t="s">
        <v>189</v>
      </c>
      <c r="E30" s="249"/>
      <c r="F30" s="97" t="str">
        <f>INSCRITS!C23</f>
        <v>4C</v>
      </c>
      <c r="G30" s="97" t="s">
        <v>159</v>
      </c>
      <c r="S30" s="262" t="str">
        <f ca="1">IF(S$5=U$5,INDIRECT("B"&amp;S$5) &amp; CHAR(10) &amp; "vs" &amp; CHAR(10) &amp; INDIRECT("F"&amp;S$5),"ERREUR DE SAISSIE")</f>
        <v>3C
vs
4C</v>
      </c>
      <c r="T30" s="262"/>
      <c r="U30" s="262"/>
      <c r="V30" s="262"/>
      <c r="W30" s="262"/>
      <c r="X30" s="78" t="str">
        <f ca="1">INDIRECT("B"&amp;30) &amp; CHAR(10) &amp; "vs" &amp; CHAR(10) &amp; INDIRECT("F"&amp;30)</f>
        <v>2C
vs
4C</v>
      </c>
      <c r="Y30" s="78" t="b">
        <f ca="1">$S$10=X30</f>
        <v>0</v>
      </c>
      <c r="Z30" s="78" t="b">
        <f ca="1">$S$20=X30</f>
        <v>0</v>
      </c>
      <c r="AA30" s="78" t="b">
        <f ca="1">$S$30=X30</f>
        <v>0</v>
      </c>
    </row>
    <row r="31" spans="1:27" x14ac:dyDescent="0.25">
      <c r="A31" s="97" t="s">
        <v>160</v>
      </c>
      <c r="B31" s="97" t="str">
        <f>INSCRITS!C24</f>
        <v>5C</v>
      </c>
      <c r="C31" s="249"/>
      <c r="D31" s="94" t="s">
        <v>190</v>
      </c>
      <c r="E31" s="249"/>
      <c r="F31" s="97" t="str">
        <f>INSCRITS!C26</f>
        <v>7C</v>
      </c>
      <c r="G31" s="97" t="s">
        <v>162</v>
      </c>
      <c r="S31" s="262"/>
      <c r="T31" s="262"/>
      <c r="U31" s="262"/>
      <c r="V31" s="262"/>
      <c r="W31" s="262"/>
      <c r="X31" s="78" t="str">
        <f ca="1">INDIRECT("B"&amp;31) &amp; CHAR(10) &amp; "vs" &amp; CHAR(10) &amp; INDIRECT("F"&amp;31)</f>
        <v>5C
vs
7C</v>
      </c>
      <c r="Y31" s="78" t="b">
        <f ca="1">$S$10=X31</f>
        <v>0</v>
      </c>
      <c r="Z31" s="78" t="b">
        <f ca="1">$S$20=X31</f>
        <v>0</v>
      </c>
      <c r="AA31" s="78" t="b">
        <f ca="1">$S$30=X31</f>
        <v>0</v>
      </c>
    </row>
    <row r="32" spans="1:27" x14ac:dyDescent="0.25">
      <c r="A32" s="97" t="s">
        <v>161</v>
      </c>
      <c r="B32" s="97" t="str">
        <f>INSCRITS!C25</f>
        <v>6C</v>
      </c>
      <c r="C32" s="249"/>
      <c r="D32" s="94" t="s">
        <v>191</v>
      </c>
      <c r="E32" s="249"/>
      <c r="F32" s="97" t="str">
        <f>INSCRITS!C27</f>
        <v>8C</v>
      </c>
      <c r="G32" s="97" t="s">
        <v>163</v>
      </c>
      <c r="S32" s="262"/>
      <c r="T32" s="262"/>
      <c r="U32" s="262"/>
      <c r="V32" s="262"/>
      <c r="W32" s="262"/>
      <c r="X32" s="78" t="str">
        <f ca="1">INDIRECT("B"&amp;32) &amp; CHAR(10) &amp; "vs" &amp; CHAR(10) &amp; INDIRECT("F"&amp;32)</f>
        <v>6C
vs
8C</v>
      </c>
      <c r="Y32" s="78" t="b">
        <f ca="1">$S$10=X32</f>
        <v>0</v>
      </c>
      <c r="Z32" s="78" t="b">
        <f ca="1">$S$20=X32</f>
        <v>0</v>
      </c>
      <c r="AA32" s="78" t="b">
        <f ca="1">$S$30=X32</f>
        <v>0</v>
      </c>
    </row>
    <row r="33" spans="1:27" x14ac:dyDescent="0.25">
      <c r="A33" s="98" t="s">
        <v>164</v>
      </c>
      <c r="B33" s="98" t="str">
        <f>INSCRITS!C29</f>
        <v>1D</v>
      </c>
      <c r="C33" s="249"/>
      <c r="D33" s="94" t="s">
        <v>192</v>
      </c>
      <c r="E33" s="249"/>
      <c r="F33" s="98" t="str">
        <f>INSCRITS!C31</f>
        <v>3D</v>
      </c>
      <c r="G33" s="98" t="s">
        <v>166</v>
      </c>
      <c r="S33" s="262"/>
      <c r="T33" s="262"/>
      <c r="U33" s="262"/>
      <c r="V33" s="262"/>
      <c r="W33" s="262"/>
      <c r="X33" s="78" t="str">
        <f ca="1">INDIRECT("B"&amp;33) &amp; CHAR(10) &amp; "vs" &amp; CHAR(10) &amp; INDIRECT("F"&amp;33)</f>
        <v>1D
vs
3D</v>
      </c>
      <c r="Y33" s="78" t="b">
        <f ca="1">$S$10=X33</f>
        <v>0</v>
      </c>
      <c r="Z33" s="78" t="b">
        <f ca="1">$S$20=X33</f>
        <v>0</v>
      </c>
      <c r="AA33" s="78" t="b">
        <f ca="1">$S$30=X33</f>
        <v>0</v>
      </c>
    </row>
    <row r="34" spans="1:27" x14ac:dyDescent="0.25">
      <c r="A34" s="98" t="s">
        <v>165</v>
      </c>
      <c r="B34" s="98" t="str">
        <f>INSCRITS!C30</f>
        <v>2D</v>
      </c>
      <c r="C34" s="249"/>
      <c r="D34" s="94" t="s">
        <v>193</v>
      </c>
      <c r="E34" s="249"/>
      <c r="F34" s="98" t="str">
        <f>INSCRITS!C32</f>
        <v>4D</v>
      </c>
      <c r="G34" s="98" t="s">
        <v>167</v>
      </c>
      <c r="S34" s="262"/>
      <c r="T34" s="262"/>
      <c r="U34" s="262"/>
      <c r="V34" s="262"/>
      <c r="W34" s="262"/>
      <c r="X34" s="78" t="str">
        <f ca="1">INDIRECT("B"&amp;34) &amp; CHAR(10) &amp; "vs" &amp; CHAR(10) &amp; INDIRECT("F"&amp;34)</f>
        <v>2D
vs
4D</v>
      </c>
      <c r="Y34" s="78" t="b">
        <f ca="1">$S$10=X34</f>
        <v>0</v>
      </c>
      <c r="Z34" s="78" t="b">
        <f ca="1">$S$20=X34</f>
        <v>0</v>
      </c>
      <c r="AA34" s="78" t="b">
        <f ca="1">$S$30=X34</f>
        <v>0</v>
      </c>
    </row>
    <row r="35" spans="1:27" x14ac:dyDescent="0.25">
      <c r="A35" s="98" t="s">
        <v>168</v>
      </c>
      <c r="B35" s="98" t="str">
        <f>INSCRITS!C33</f>
        <v>5D</v>
      </c>
      <c r="C35" s="249"/>
      <c r="D35" s="94" t="s">
        <v>194</v>
      </c>
      <c r="E35" s="249"/>
      <c r="F35" s="98" t="str">
        <f>INSCRITS!C35</f>
        <v>7D</v>
      </c>
      <c r="G35" s="98" t="s">
        <v>170</v>
      </c>
      <c r="S35" s="262"/>
      <c r="T35" s="262"/>
      <c r="U35" s="262"/>
      <c r="V35" s="262"/>
      <c r="W35" s="262"/>
      <c r="X35" s="78" t="str">
        <f ca="1">INDIRECT("B"&amp;35) &amp; CHAR(10) &amp; "vs" &amp; CHAR(10) &amp; INDIRECT("F"&amp;35)</f>
        <v>5D
vs
7D</v>
      </c>
      <c r="Y35" s="78" t="b">
        <f ca="1">$S$10=X35</f>
        <v>0</v>
      </c>
      <c r="Z35" s="78" t="b">
        <f ca="1">$S$20=X35</f>
        <v>0</v>
      </c>
      <c r="AA35" s="78" t="b">
        <f ca="1">$S$30=X35</f>
        <v>0</v>
      </c>
    </row>
    <row r="36" spans="1:27" x14ac:dyDescent="0.25">
      <c r="A36" s="98" t="s">
        <v>169</v>
      </c>
      <c r="B36" s="98" t="str">
        <f>INSCRITS!C34</f>
        <v>6D</v>
      </c>
      <c r="C36" s="249"/>
      <c r="D36" s="94" t="s">
        <v>195</v>
      </c>
      <c r="E36" s="249"/>
      <c r="F36" s="98" t="str">
        <f>INSCRITS!C36</f>
        <v>8D</v>
      </c>
      <c r="G36" s="98" t="s">
        <v>171</v>
      </c>
      <c r="X36" s="78" t="str">
        <f ca="1">INDIRECT("B"&amp;36) &amp; CHAR(10) &amp; "vs" &amp; CHAR(10) &amp; INDIRECT("F"&amp;36)</f>
        <v>6D
vs
8D</v>
      </c>
      <c r="Y36" s="78" t="b">
        <f ca="1">$S$10=X36</f>
        <v>0</v>
      </c>
      <c r="Z36" s="78" t="b">
        <f ca="1">$S$20=X36</f>
        <v>0</v>
      </c>
      <c r="AA36" s="78" t="b">
        <f ca="1">$S$30=X36</f>
        <v>0</v>
      </c>
    </row>
    <row r="37" spans="1:27" x14ac:dyDescent="0.25">
      <c r="A37" s="93"/>
      <c r="B37" s="93"/>
      <c r="C37" s="99" t="str">
        <f>CHAR(160)</f>
        <v> </v>
      </c>
      <c r="D37" s="248">
        <f>0.833333333333334 + "00:20:00"</f>
        <v>0.84722222222222288</v>
      </c>
      <c r="E37" s="99" t="str">
        <f>CHAR(160)</f>
        <v> </v>
      </c>
      <c r="F37" s="93"/>
      <c r="G37" s="93"/>
      <c r="X37" s="78" t="str">
        <f ca="1">INDIRECT("B"&amp;37) &amp; CHAR(10) &amp; "vs" &amp; CHAR(10) &amp; INDIRECT("F"&amp;37)</f>
        <v xml:space="preserve">
vs
</v>
      </c>
      <c r="Y37" s="78" t="b">
        <f ca="1">$S$10=X37</f>
        <v>0</v>
      </c>
      <c r="Z37" s="78" t="b">
        <f ca="1">$S$20=X37</f>
        <v>0</v>
      </c>
      <c r="AA37" s="78" t="b">
        <f ca="1">$S$30=X37</f>
        <v>0</v>
      </c>
    </row>
    <row r="38" spans="1:27" x14ac:dyDescent="0.25">
      <c r="A38" s="95" t="s">
        <v>120</v>
      </c>
      <c r="B38" s="95" t="str">
        <f>INSCRITS!C2</f>
        <v>1A</v>
      </c>
      <c r="C38" s="249"/>
      <c r="D38" s="94" t="s">
        <v>180</v>
      </c>
      <c r="E38" s="249"/>
      <c r="F38" s="95" t="str">
        <f>INSCRITS!C5</f>
        <v>4A</v>
      </c>
      <c r="G38" s="95" t="s">
        <v>123</v>
      </c>
      <c r="X38" s="78" t="str">
        <f ca="1">INDIRECT("B"&amp;38) &amp; CHAR(10) &amp; "vs" &amp; CHAR(10) &amp; INDIRECT("F"&amp;38)</f>
        <v>1A
vs
4A</v>
      </c>
      <c r="Y38" s="78" t="b">
        <f ca="1">$S$10=X38</f>
        <v>0</v>
      </c>
      <c r="Z38" s="78" t="b">
        <f ca="1">$S$20=X38</f>
        <v>0</v>
      </c>
      <c r="AA38" s="78" t="b">
        <f ca="1">$S$30=X38</f>
        <v>0</v>
      </c>
    </row>
    <row r="39" spans="1:27" x14ac:dyDescent="0.25">
      <c r="A39" s="95" t="s">
        <v>121</v>
      </c>
      <c r="B39" s="95" t="str">
        <f>INSCRITS!C3</f>
        <v>2A</v>
      </c>
      <c r="C39" s="249"/>
      <c r="D39" s="94" t="s">
        <v>181</v>
      </c>
      <c r="E39" s="249"/>
      <c r="F39" s="95" t="str">
        <f>INSCRITS!C4</f>
        <v>3A</v>
      </c>
      <c r="G39" s="95" t="s">
        <v>122</v>
      </c>
      <c r="X39" s="78" t="str">
        <f ca="1">INDIRECT("B"&amp;39) &amp; CHAR(10) &amp; "vs" &amp; CHAR(10) &amp; INDIRECT("F"&amp;39)</f>
        <v>2A
vs
3A</v>
      </c>
      <c r="Y39" s="78" t="b">
        <f ca="1">$S$10=X39</f>
        <v>0</v>
      </c>
      <c r="Z39" s="78" t="b">
        <f ca="1">$S$20=X39</f>
        <v>0</v>
      </c>
      <c r="AA39" s="78" t="b">
        <f ca="1">$S$30=X39</f>
        <v>0</v>
      </c>
    </row>
    <row r="40" spans="1:27" x14ac:dyDescent="0.25">
      <c r="A40" s="95" t="s">
        <v>148</v>
      </c>
      <c r="B40" s="95" t="str">
        <f>INSCRITS!C6</f>
        <v>5A</v>
      </c>
      <c r="C40" s="249"/>
      <c r="D40" s="94" t="s">
        <v>182</v>
      </c>
      <c r="E40" s="249"/>
      <c r="F40" s="95" t="str">
        <f>INSCRITS!C9</f>
        <v>8A</v>
      </c>
      <c r="G40" s="95" t="s">
        <v>151</v>
      </c>
      <c r="X40" s="78" t="str">
        <f ca="1">INDIRECT("B"&amp;40) &amp; CHAR(10) &amp; "vs" &amp; CHAR(10) &amp; INDIRECT("F"&amp;40)</f>
        <v>5A
vs
8A</v>
      </c>
      <c r="Y40" s="78" t="b">
        <f ca="1">$S$10=X40</f>
        <v>0</v>
      </c>
      <c r="Z40" s="78" t="b">
        <f ca="1">$S$20=X40</f>
        <v>0</v>
      </c>
      <c r="AA40" s="78" t="b">
        <f ca="1">$S$30=X40</f>
        <v>0</v>
      </c>
    </row>
    <row r="41" spans="1:27" x14ac:dyDescent="0.25">
      <c r="A41" s="95" t="s">
        <v>149</v>
      </c>
      <c r="B41" s="95" t="str">
        <f>INSCRITS!C7</f>
        <v>6A</v>
      </c>
      <c r="C41" s="249"/>
      <c r="D41" s="94" t="s">
        <v>183</v>
      </c>
      <c r="E41" s="249"/>
      <c r="F41" s="95" t="str">
        <f>INSCRITS!C8</f>
        <v>7A</v>
      </c>
      <c r="G41" s="95" t="s">
        <v>150</v>
      </c>
      <c r="X41" s="78" t="str">
        <f ca="1">INDIRECT("B"&amp;41) &amp; CHAR(10) &amp; "vs" &amp; CHAR(10) &amp; INDIRECT("F"&amp;41)</f>
        <v>6A
vs
7A</v>
      </c>
      <c r="Y41" s="78" t="b">
        <f ca="1">$S$10=X41</f>
        <v>0</v>
      </c>
      <c r="Z41" s="78" t="b">
        <f ca="1">$S$20=X41</f>
        <v>0</v>
      </c>
      <c r="AA41" s="78" t="b">
        <f ca="1">$S$30=X41</f>
        <v>0</v>
      </c>
    </row>
    <row r="42" spans="1:27" x14ac:dyDescent="0.25">
      <c r="A42" s="96" t="s">
        <v>124</v>
      </c>
      <c r="B42" s="96" t="str">
        <f>INSCRITS!C11</f>
        <v>1B</v>
      </c>
      <c r="C42" s="249"/>
      <c r="D42" s="94" t="s">
        <v>184</v>
      </c>
      <c r="E42" s="249"/>
      <c r="F42" s="96" t="str">
        <f>INSCRITS!C14</f>
        <v>4B</v>
      </c>
      <c r="G42" s="96" t="s">
        <v>127</v>
      </c>
      <c r="X42" s="78" t="str">
        <f ca="1">INDIRECT("B"&amp;42) &amp; CHAR(10) &amp; "vs" &amp; CHAR(10) &amp; INDIRECT("F"&amp;42)</f>
        <v>1B
vs
4B</v>
      </c>
      <c r="Y42" s="78" t="b">
        <f ca="1">$S$10=X42</f>
        <v>0</v>
      </c>
      <c r="Z42" s="78" t="b">
        <f ca="1">$S$20=X42</f>
        <v>0</v>
      </c>
      <c r="AA42" s="78" t="b">
        <f ca="1">$S$30=X42</f>
        <v>0</v>
      </c>
    </row>
    <row r="43" spans="1:27" x14ac:dyDescent="0.25">
      <c r="A43" s="96" t="s">
        <v>125</v>
      </c>
      <c r="B43" s="96" t="str">
        <f>INSCRITS!C12</f>
        <v>2B</v>
      </c>
      <c r="C43" s="249"/>
      <c r="D43" s="94" t="s">
        <v>185</v>
      </c>
      <c r="E43" s="249"/>
      <c r="F43" s="96" t="str">
        <f>INSCRITS!C13</f>
        <v>3B</v>
      </c>
      <c r="G43" s="96" t="s">
        <v>126</v>
      </c>
      <c r="X43" s="78" t="str">
        <f ca="1">INDIRECT("B"&amp;43) &amp; CHAR(10) &amp; "vs" &amp; CHAR(10) &amp; INDIRECT("F"&amp;43)</f>
        <v>2B
vs
3B</v>
      </c>
      <c r="Y43" s="78" t="b">
        <f ca="1">$S$10=X43</f>
        <v>0</v>
      </c>
      <c r="Z43" s="78" t="b">
        <f ca="1">$S$20=X43</f>
        <v>0</v>
      </c>
      <c r="AA43" s="78" t="b">
        <f ca="1">$S$30=X43</f>
        <v>0</v>
      </c>
    </row>
    <row r="44" spans="1:27" x14ac:dyDescent="0.25">
      <c r="A44" s="96" t="s">
        <v>152</v>
      </c>
      <c r="B44" s="96" t="str">
        <f>INSCRITS!C15</f>
        <v>5B</v>
      </c>
      <c r="C44" s="249"/>
      <c r="D44" s="94" t="s">
        <v>186</v>
      </c>
      <c r="E44" s="249"/>
      <c r="F44" s="96" t="str">
        <f>INSCRITS!C18</f>
        <v>8B</v>
      </c>
      <c r="G44" s="96" t="s">
        <v>155</v>
      </c>
      <c r="X44" s="78" t="str">
        <f ca="1">INDIRECT("B"&amp;44) &amp; CHAR(10) &amp; "vs" &amp; CHAR(10) &amp; INDIRECT("F"&amp;44)</f>
        <v>5B
vs
8B</v>
      </c>
      <c r="Y44" s="78" t="b">
        <f ca="1">$S$10=X44</f>
        <v>0</v>
      </c>
      <c r="Z44" s="78" t="b">
        <f ca="1">$S$20=X44</f>
        <v>0</v>
      </c>
      <c r="AA44" s="78" t="b">
        <f ca="1">$S$30=X44</f>
        <v>0</v>
      </c>
    </row>
    <row r="45" spans="1:27" x14ac:dyDescent="0.25">
      <c r="A45" s="96" t="s">
        <v>153</v>
      </c>
      <c r="B45" s="96" t="str">
        <f>INSCRITS!C16</f>
        <v>6B</v>
      </c>
      <c r="C45" s="249"/>
      <c r="D45" s="94" t="s">
        <v>187</v>
      </c>
      <c r="E45" s="249"/>
      <c r="F45" s="96" t="str">
        <f>INSCRITS!C17</f>
        <v>7B</v>
      </c>
      <c r="G45" s="96" t="s">
        <v>154</v>
      </c>
      <c r="X45" s="78" t="str">
        <f ca="1">INDIRECT("B"&amp;45) &amp; CHAR(10) &amp; "vs" &amp; CHAR(10) &amp; INDIRECT("F"&amp;45)</f>
        <v>6B
vs
7B</v>
      </c>
      <c r="Y45" s="78" t="b">
        <f ca="1">$S$10=X45</f>
        <v>0</v>
      </c>
      <c r="Z45" s="78" t="b">
        <f ca="1">$S$20=X45</f>
        <v>0</v>
      </c>
      <c r="AA45" s="78" t="b">
        <f ca="1">$S$30=X45</f>
        <v>0</v>
      </c>
    </row>
    <row r="46" spans="1:27" x14ac:dyDescent="0.25">
      <c r="A46" s="93"/>
      <c r="B46" s="93"/>
      <c r="C46" s="99" t="str">
        <f>CHAR(160)</f>
        <v> </v>
      </c>
      <c r="D46" s="248">
        <f>0.847222222222223 + "00:20:00"</f>
        <v>0.86111111111111183</v>
      </c>
      <c r="E46" s="99" t="str">
        <f>CHAR(160)</f>
        <v> </v>
      </c>
      <c r="F46" s="93"/>
      <c r="G46" s="93"/>
      <c r="X46" s="78" t="str">
        <f ca="1">INDIRECT("B"&amp;46) &amp; CHAR(10) &amp; "vs" &amp; CHAR(10) &amp; INDIRECT("F"&amp;46)</f>
        <v xml:space="preserve">
vs
</v>
      </c>
      <c r="Y46" s="78" t="b">
        <f ca="1">$S$10=X46</f>
        <v>0</v>
      </c>
      <c r="Z46" s="78" t="b">
        <f ca="1">$S$20=X46</f>
        <v>0</v>
      </c>
      <c r="AA46" s="78" t="b">
        <f ca="1">$S$30=X46</f>
        <v>0</v>
      </c>
    </row>
    <row r="47" spans="1:27" x14ac:dyDescent="0.25">
      <c r="A47" s="97" t="s">
        <v>156</v>
      </c>
      <c r="B47" s="97" t="str">
        <f>INSCRITS!C20</f>
        <v>1C</v>
      </c>
      <c r="C47" s="249"/>
      <c r="D47" s="94" t="s">
        <v>188</v>
      </c>
      <c r="E47" s="249"/>
      <c r="F47" s="97" t="str">
        <f>INSCRITS!C23</f>
        <v>4C</v>
      </c>
      <c r="G47" s="97" t="s">
        <v>159</v>
      </c>
      <c r="X47" s="78" t="str">
        <f ca="1">INDIRECT("B"&amp;47) &amp; CHAR(10) &amp; "vs" &amp; CHAR(10) &amp; INDIRECT("F"&amp;47)</f>
        <v>1C
vs
4C</v>
      </c>
      <c r="Y47" s="78" t="b">
        <f ca="1">$S$10=X47</f>
        <v>0</v>
      </c>
      <c r="Z47" s="78" t="b">
        <f ca="1">$S$20=X47</f>
        <v>0</v>
      </c>
      <c r="AA47" s="78" t="b">
        <f ca="1">$S$30=X47</f>
        <v>0</v>
      </c>
    </row>
    <row r="48" spans="1:27" x14ac:dyDescent="0.25">
      <c r="A48" s="97" t="s">
        <v>157</v>
      </c>
      <c r="B48" s="97" t="str">
        <f>INSCRITS!C21</f>
        <v>2C</v>
      </c>
      <c r="C48" s="249"/>
      <c r="D48" s="94" t="s">
        <v>189</v>
      </c>
      <c r="E48" s="249"/>
      <c r="F48" s="97" t="str">
        <f>INSCRITS!C22</f>
        <v>3C</v>
      </c>
      <c r="G48" s="97" t="s">
        <v>158</v>
      </c>
      <c r="X48" s="78" t="str">
        <f ca="1">INDIRECT("B"&amp;48) &amp; CHAR(10) &amp; "vs" &amp; CHAR(10) &amp; INDIRECT("F"&amp;48)</f>
        <v>2C
vs
3C</v>
      </c>
      <c r="Y48" s="78" t="b">
        <f ca="1">$S$10=X48</f>
        <v>0</v>
      </c>
      <c r="Z48" s="78" t="b">
        <f ca="1">$S$20=X48</f>
        <v>0</v>
      </c>
      <c r="AA48" s="78" t="b">
        <f ca="1">$S$30=X48</f>
        <v>0</v>
      </c>
    </row>
    <row r="49" spans="1:27" x14ac:dyDescent="0.25">
      <c r="A49" s="97" t="s">
        <v>160</v>
      </c>
      <c r="B49" s="97" t="str">
        <f>INSCRITS!C24</f>
        <v>5C</v>
      </c>
      <c r="C49" s="249"/>
      <c r="D49" s="94" t="s">
        <v>190</v>
      </c>
      <c r="E49" s="249"/>
      <c r="F49" s="97" t="str">
        <f>INSCRITS!C27</f>
        <v>8C</v>
      </c>
      <c r="G49" s="97" t="s">
        <v>163</v>
      </c>
      <c r="X49" s="78" t="str">
        <f ca="1">INDIRECT("B"&amp;49) &amp; CHAR(10) &amp; "vs" &amp; CHAR(10) &amp; INDIRECT("F"&amp;49)</f>
        <v>5C
vs
8C</v>
      </c>
      <c r="Y49" s="78" t="b">
        <f ca="1">$S$10=X49</f>
        <v>0</v>
      </c>
      <c r="Z49" s="78" t="b">
        <f ca="1">$S$20=X49</f>
        <v>0</v>
      </c>
      <c r="AA49" s="78" t="b">
        <f ca="1">$S$30=X49</f>
        <v>0</v>
      </c>
    </row>
    <row r="50" spans="1:27" x14ac:dyDescent="0.25">
      <c r="A50" s="97" t="s">
        <v>161</v>
      </c>
      <c r="B50" s="97" t="str">
        <f>INSCRITS!C25</f>
        <v>6C</v>
      </c>
      <c r="C50" s="249"/>
      <c r="D50" s="94" t="s">
        <v>191</v>
      </c>
      <c r="E50" s="249"/>
      <c r="F50" s="97" t="str">
        <f>INSCRITS!C26</f>
        <v>7C</v>
      </c>
      <c r="G50" s="97" t="s">
        <v>162</v>
      </c>
      <c r="X50" s="78" t="str">
        <f ca="1">INDIRECT("B"&amp;50) &amp; CHAR(10) &amp; "vs" &amp; CHAR(10) &amp; INDIRECT("F"&amp;50)</f>
        <v>6C
vs
7C</v>
      </c>
      <c r="Y50" s="78" t="b">
        <f ca="1">$S$10=X50</f>
        <v>0</v>
      </c>
      <c r="Z50" s="78" t="b">
        <f ca="1">$S$20=X50</f>
        <v>0</v>
      </c>
      <c r="AA50" s="78" t="b">
        <f ca="1">$S$30=X50</f>
        <v>0</v>
      </c>
    </row>
    <row r="51" spans="1:27" x14ac:dyDescent="0.25">
      <c r="A51" s="98" t="s">
        <v>164</v>
      </c>
      <c r="B51" s="98" t="str">
        <f>INSCRITS!C29</f>
        <v>1D</v>
      </c>
      <c r="C51" s="249"/>
      <c r="D51" s="94" t="s">
        <v>192</v>
      </c>
      <c r="E51" s="249"/>
      <c r="F51" s="98" t="str">
        <f>INSCRITS!C32</f>
        <v>4D</v>
      </c>
      <c r="G51" s="98" t="s">
        <v>167</v>
      </c>
      <c r="X51" s="78" t="str">
        <f ca="1">INDIRECT("B"&amp;51) &amp; CHAR(10) &amp; "vs" &amp; CHAR(10) &amp; INDIRECT("F"&amp;51)</f>
        <v>1D
vs
4D</v>
      </c>
      <c r="Y51" s="78" t="b">
        <f ca="1">$S$10=X51</f>
        <v>0</v>
      </c>
      <c r="Z51" s="78" t="b">
        <f ca="1">$S$20=X51</f>
        <v>0</v>
      </c>
      <c r="AA51" s="78" t="b">
        <f ca="1">$S$30=X51</f>
        <v>0</v>
      </c>
    </row>
    <row r="52" spans="1:27" x14ac:dyDescent="0.25">
      <c r="A52" s="98" t="s">
        <v>165</v>
      </c>
      <c r="B52" s="98" t="str">
        <f>INSCRITS!C30</f>
        <v>2D</v>
      </c>
      <c r="C52" s="249"/>
      <c r="D52" s="94" t="s">
        <v>193</v>
      </c>
      <c r="E52" s="249"/>
      <c r="F52" s="98" t="str">
        <f>INSCRITS!C31</f>
        <v>3D</v>
      </c>
      <c r="G52" s="98" t="s">
        <v>166</v>
      </c>
      <c r="X52" s="78" t="str">
        <f ca="1">INDIRECT("B"&amp;52) &amp; CHAR(10) &amp; "vs" &amp; CHAR(10) &amp; INDIRECT("F"&amp;52)</f>
        <v>2D
vs
3D</v>
      </c>
      <c r="Y52" s="78" t="b">
        <f ca="1">$S$10=X52</f>
        <v>0</v>
      </c>
      <c r="Z52" s="78" t="b">
        <f ca="1">$S$20=X52</f>
        <v>0</v>
      </c>
      <c r="AA52" s="78" t="b">
        <f ca="1">$S$30=X52</f>
        <v>0</v>
      </c>
    </row>
    <row r="53" spans="1:27" x14ac:dyDescent="0.25">
      <c r="A53" s="98" t="s">
        <v>168</v>
      </c>
      <c r="B53" s="98" t="str">
        <f>INSCRITS!C33</f>
        <v>5D</v>
      </c>
      <c r="C53" s="249"/>
      <c r="D53" s="94" t="s">
        <v>194</v>
      </c>
      <c r="E53" s="249"/>
      <c r="F53" s="98" t="str">
        <f>INSCRITS!C36</f>
        <v>8D</v>
      </c>
      <c r="G53" s="98" t="s">
        <v>171</v>
      </c>
      <c r="X53" s="78" t="str">
        <f ca="1">INDIRECT("B"&amp;53) &amp; CHAR(10) &amp; "vs" &amp; CHAR(10) &amp; INDIRECT("F"&amp;53)</f>
        <v>5D
vs
8D</v>
      </c>
      <c r="Y53" s="78" t="b">
        <f ca="1">$S$10=X53</f>
        <v>0</v>
      </c>
      <c r="Z53" s="78" t="b">
        <f ca="1">$S$20=X53</f>
        <v>0</v>
      </c>
      <c r="AA53" s="78" t="b">
        <f ca="1">$S$30=X53</f>
        <v>0</v>
      </c>
    </row>
    <row r="54" spans="1:27" x14ac:dyDescent="0.25">
      <c r="A54" s="98" t="s">
        <v>169</v>
      </c>
      <c r="B54" s="98" t="str">
        <f>INSCRITS!C34</f>
        <v>6D</v>
      </c>
      <c r="C54" s="249"/>
      <c r="D54" s="94" t="s">
        <v>195</v>
      </c>
      <c r="E54" s="249"/>
      <c r="F54" s="98" t="str">
        <f>INSCRITS!C35</f>
        <v>7D</v>
      </c>
      <c r="G54" s="98" t="s">
        <v>170</v>
      </c>
      <c r="X54" s="78" t="str">
        <f ca="1">INDIRECT("B"&amp;54) &amp; CHAR(10) &amp; "vs" &amp; CHAR(10) &amp; INDIRECT("F"&amp;54)</f>
        <v>6D
vs
7D</v>
      </c>
      <c r="Y54" s="78" t="b">
        <f ca="1">$S$10=X54</f>
        <v>0</v>
      </c>
      <c r="Z54" s="78" t="b">
        <f ca="1">$S$20=X54</f>
        <v>0</v>
      </c>
      <c r="AA54" s="78" t="b">
        <f ca="1">$S$30=X54</f>
        <v>0</v>
      </c>
    </row>
    <row r="55" spans="1:27" x14ac:dyDescent="0.25">
      <c r="A55" s="93"/>
      <c r="B55" s="93"/>
      <c r="C55" s="99" t="str">
        <f>CHAR(160)</f>
        <v> </v>
      </c>
      <c r="D55" s="248">
        <f>0.861111111111112 + "00:20:00"</f>
        <v>0.87500000000000089</v>
      </c>
      <c r="E55" s="99" t="str">
        <f>CHAR(160)</f>
        <v> </v>
      </c>
      <c r="F55" s="93"/>
      <c r="G55" s="93"/>
      <c r="X55" s="78" t="str">
        <f ca="1">INDIRECT("B"&amp;55) &amp; CHAR(10) &amp; "vs" &amp; CHAR(10) &amp; INDIRECT("F"&amp;55)</f>
        <v xml:space="preserve">
vs
</v>
      </c>
      <c r="Y55" s="78" t="b">
        <f ca="1">$S$10=X55</f>
        <v>0</v>
      </c>
      <c r="Z55" s="78" t="b">
        <f ca="1">$S$20=X55</f>
        <v>0</v>
      </c>
      <c r="AA55" s="78" t="b">
        <f ca="1">$S$30=X55</f>
        <v>0</v>
      </c>
    </row>
    <row r="56" spans="1:27" x14ac:dyDescent="0.25">
      <c r="A56" s="95" t="s">
        <v>120</v>
      </c>
      <c r="B56" s="95" t="str">
        <f>INSCRITS!C2</f>
        <v>1A</v>
      </c>
      <c r="C56" s="249"/>
      <c r="D56" s="94" t="s">
        <v>180</v>
      </c>
      <c r="E56" s="249"/>
      <c r="F56" s="95" t="str">
        <f>INSCRITS!C6</f>
        <v>5A</v>
      </c>
      <c r="G56" s="95" t="s">
        <v>148</v>
      </c>
      <c r="X56" s="78" t="str">
        <f ca="1">INDIRECT("B"&amp;56) &amp; CHAR(10) &amp; "vs" &amp; CHAR(10) &amp; INDIRECT("F"&amp;56)</f>
        <v>1A
vs
5A</v>
      </c>
      <c r="Y56" s="78" t="b">
        <f ca="1">$S$10=X56</f>
        <v>0</v>
      </c>
      <c r="Z56" s="78" t="b">
        <f ca="1">$S$20=X56</f>
        <v>0</v>
      </c>
      <c r="AA56" s="78" t="b">
        <f ca="1">$S$30=X56</f>
        <v>0</v>
      </c>
    </row>
    <row r="57" spans="1:27" x14ac:dyDescent="0.25">
      <c r="A57" s="95" t="s">
        <v>121</v>
      </c>
      <c r="B57" s="95" t="str">
        <f>INSCRITS!C3</f>
        <v>2A</v>
      </c>
      <c r="C57" s="249"/>
      <c r="D57" s="94" t="s">
        <v>181</v>
      </c>
      <c r="E57" s="249"/>
      <c r="F57" s="95" t="str">
        <f>INSCRITS!C7</f>
        <v>6A</v>
      </c>
      <c r="G57" s="95" t="s">
        <v>149</v>
      </c>
      <c r="X57" s="78" t="str">
        <f ca="1">INDIRECT("B"&amp;57) &amp; CHAR(10) &amp; "vs" &amp; CHAR(10) &amp; INDIRECT("F"&amp;57)</f>
        <v>2A
vs
6A</v>
      </c>
      <c r="Y57" s="78" t="b">
        <f ca="1">$S$10=X57</f>
        <v>0</v>
      </c>
      <c r="Z57" s="78" t="b">
        <f ca="1">$S$20=X57</f>
        <v>0</v>
      </c>
      <c r="AA57" s="78" t="b">
        <f ca="1">$S$30=X57</f>
        <v>0</v>
      </c>
    </row>
    <row r="58" spans="1:27" x14ac:dyDescent="0.25">
      <c r="A58" s="95" t="s">
        <v>122</v>
      </c>
      <c r="B58" s="95" t="str">
        <f>INSCRITS!C4</f>
        <v>3A</v>
      </c>
      <c r="C58" s="249"/>
      <c r="D58" s="94" t="s">
        <v>182</v>
      </c>
      <c r="E58" s="249"/>
      <c r="F58" s="95" t="str">
        <f>INSCRITS!C8</f>
        <v>7A</v>
      </c>
      <c r="G58" s="95" t="s">
        <v>150</v>
      </c>
      <c r="X58" s="78" t="str">
        <f ca="1">INDIRECT("B"&amp;58) &amp; CHAR(10) &amp; "vs" &amp; CHAR(10) &amp; INDIRECT("F"&amp;58)</f>
        <v>3A
vs
7A</v>
      </c>
      <c r="Y58" s="78" t="b">
        <f ca="1">$S$10=X58</f>
        <v>0</v>
      </c>
      <c r="Z58" s="78" t="b">
        <f ca="1">$S$20=X58</f>
        <v>0</v>
      </c>
      <c r="AA58" s="78" t="b">
        <f ca="1">$S$30=X58</f>
        <v>0</v>
      </c>
    </row>
    <row r="59" spans="1:27" x14ac:dyDescent="0.25">
      <c r="A59" s="95" t="s">
        <v>123</v>
      </c>
      <c r="B59" s="95" t="str">
        <f>INSCRITS!C5</f>
        <v>4A</v>
      </c>
      <c r="C59" s="249"/>
      <c r="D59" s="94" t="s">
        <v>183</v>
      </c>
      <c r="E59" s="249"/>
      <c r="F59" s="95" t="str">
        <f>INSCRITS!C9</f>
        <v>8A</v>
      </c>
      <c r="G59" s="95" t="s">
        <v>151</v>
      </c>
      <c r="X59" s="78" t="str">
        <f ca="1">INDIRECT("B"&amp;59) &amp; CHAR(10) &amp; "vs" &amp; CHAR(10) &amp; INDIRECT("F"&amp;59)</f>
        <v>4A
vs
8A</v>
      </c>
      <c r="Y59" s="78" t="b">
        <f ca="1">$S$10=X59</f>
        <v>0</v>
      </c>
      <c r="Z59" s="78" t="b">
        <f ca="1">$S$20=X59</f>
        <v>0</v>
      </c>
      <c r="AA59" s="78" t="b">
        <f ca="1">$S$30=X59</f>
        <v>0</v>
      </c>
    </row>
    <row r="60" spans="1:27" x14ac:dyDescent="0.25">
      <c r="A60" s="96" t="s">
        <v>124</v>
      </c>
      <c r="B60" s="96" t="str">
        <f>INSCRITS!C11</f>
        <v>1B</v>
      </c>
      <c r="C60" s="249"/>
      <c r="D60" s="94" t="s">
        <v>184</v>
      </c>
      <c r="E60" s="249"/>
      <c r="F60" s="96" t="str">
        <f>INSCRITS!C15</f>
        <v>5B</v>
      </c>
      <c r="G60" s="96" t="s">
        <v>152</v>
      </c>
      <c r="X60" s="78" t="str">
        <f ca="1">INDIRECT("B"&amp;60) &amp; CHAR(10) &amp; "vs" &amp; CHAR(10) &amp; INDIRECT("F"&amp;60)</f>
        <v>1B
vs
5B</v>
      </c>
      <c r="Y60" s="78" t="b">
        <f ca="1">$S$10=X60</f>
        <v>0</v>
      </c>
      <c r="Z60" s="78" t="b">
        <f ca="1">$S$20=X60</f>
        <v>0</v>
      </c>
      <c r="AA60" s="78" t="b">
        <f ca="1">$S$30=X60</f>
        <v>0</v>
      </c>
    </row>
    <row r="61" spans="1:27" x14ac:dyDescent="0.25">
      <c r="A61" s="96" t="s">
        <v>125</v>
      </c>
      <c r="B61" s="96" t="str">
        <f>INSCRITS!C12</f>
        <v>2B</v>
      </c>
      <c r="C61" s="249"/>
      <c r="D61" s="94" t="s">
        <v>185</v>
      </c>
      <c r="E61" s="249"/>
      <c r="F61" s="96" t="str">
        <f>INSCRITS!C16</f>
        <v>6B</v>
      </c>
      <c r="G61" s="96" t="s">
        <v>153</v>
      </c>
      <c r="X61" s="78" t="str">
        <f ca="1">INDIRECT("B"&amp;61) &amp; CHAR(10) &amp; "vs" &amp; CHAR(10) &amp; INDIRECT("F"&amp;61)</f>
        <v>2B
vs
6B</v>
      </c>
      <c r="Y61" s="78" t="b">
        <f ca="1">$S$10=X61</f>
        <v>0</v>
      </c>
      <c r="Z61" s="78" t="b">
        <f ca="1">$S$20=X61</f>
        <v>0</v>
      </c>
      <c r="AA61" s="78" t="b">
        <f ca="1">$S$30=X61</f>
        <v>0</v>
      </c>
    </row>
    <row r="62" spans="1:27" x14ac:dyDescent="0.25">
      <c r="A62" s="96" t="s">
        <v>126</v>
      </c>
      <c r="B62" s="96" t="str">
        <f>INSCRITS!C13</f>
        <v>3B</v>
      </c>
      <c r="C62" s="249"/>
      <c r="D62" s="94" t="s">
        <v>186</v>
      </c>
      <c r="E62" s="249"/>
      <c r="F62" s="96" t="str">
        <f>INSCRITS!C17</f>
        <v>7B</v>
      </c>
      <c r="G62" s="96" t="s">
        <v>154</v>
      </c>
      <c r="X62" s="78" t="str">
        <f ca="1">INDIRECT("B"&amp;62) &amp; CHAR(10) &amp; "vs" &amp; CHAR(10) &amp; INDIRECT("F"&amp;62)</f>
        <v>3B
vs
7B</v>
      </c>
      <c r="Y62" s="78" t="b">
        <f ca="1">$S$10=X62</f>
        <v>0</v>
      </c>
      <c r="Z62" s="78" t="b">
        <f ca="1">$S$20=X62</f>
        <v>0</v>
      </c>
      <c r="AA62" s="78" t="b">
        <f ca="1">$S$30=X62</f>
        <v>0</v>
      </c>
    </row>
    <row r="63" spans="1:27" x14ac:dyDescent="0.25">
      <c r="A63" s="96" t="s">
        <v>127</v>
      </c>
      <c r="B63" s="96" t="str">
        <f>INSCRITS!C14</f>
        <v>4B</v>
      </c>
      <c r="C63" s="249"/>
      <c r="D63" s="94" t="s">
        <v>187</v>
      </c>
      <c r="E63" s="249"/>
      <c r="F63" s="96" t="str">
        <f>INSCRITS!C18</f>
        <v>8B</v>
      </c>
      <c r="G63" s="96" t="s">
        <v>155</v>
      </c>
      <c r="X63" s="78" t="str">
        <f ca="1">INDIRECT("B"&amp;63) &amp; CHAR(10) &amp; "vs" &amp; CHAR(10) &amp; INDIRECT("F"&amp;63)</f>
        <v>4B
vs
8B</v>
      </c>
      <c r="Y63" s="78" t="b">
        <f ca="1">$S$10=X63</f>
        <v>0</v>
      </c>
      <c r="Z63" s="78" t="b">
        <f ca="1">$S$20=X63</f>
        <v>0</v>
      </c>
      <c r="AA63" s="78" t="b">
        <f ca="1">$S$30=X63</f>
        <v>0</v>
      </c>
    </row>
    <row r="64" spans="1:27" x14ac:dyDescent="0.25">
      <c r="A64" s="93"/>
      <c r="B64" s="93"/>
      <c r="C64" s="99" t="str">
        <f>CHAR(160)</f>
        <v> </v>
      </c>
      <c r="D64" s="248">
        <f>0.875000000000001 + "00:20:00"</f>
        <v>0.88888888888888984</v>
      </c>
      <c r="E64" s="99" t="str">
        <f>CHAR(160)</f>
        <v> </v>
      </c>
      <c r="F64" s="93"/>
      <c r="G64" s="93"/>
      <c r="X64" s="78" t="str">
        <f ca="1">INDIRECT("B"&amp;64) &amp; CHAR(10) &amp; "vs" &amp; CHAR(10) &amp; INDIRECT("F"&amp;64)</f>
        <v xml:space="preserve">
vs
</v>
      </c>
      <c r="Y64" s="78" t="b">
        <f ca="1">$S$10=X64</f>
        <v>0</v>
      </c>
      <c r="Z64" s="78" t="b">
        <f ca="1">$S$20=X64</f>
        <v>0</v>
      </c>
      <c r="AA64" s="78" t="b">
        <f ca="1">$S$30=X64</f>
        <v>0</v>
      </c>
    </row>
    <row r="65" spans="1:27" x14ac:dyDescent="0.25">
      <c r="A65" s="97" t="s">
        <v>156</v>
      </c>
      <c r="B65" s="97" t="str">
        <f>INSCRITS!C20</f>
        <v>1C</v>
      </c>
      <c r="C65" s="249"/>
      <c r="D65" s="94" t="s">
        <v>188</v>
      </c>
      <c r="E65" s="249"/>
      <c r="F65" s="97" t="str">
        <f>INSCRITS!C24</f>
        <v>5C</v>
      </c>
      <c r="G65" s="97" t="s">
        <v>160</v>
      </c>
      <c r="X65" s="78" t="str">
        <f ca="1">INDIRECT("B"&amp;65) &amp; CHAR(10) &amp; "vs" &amp; CHAR(10) &amp; INDIRECT("F"&amp;65)</f>
        <v>1C
vs
5C</v>
      </c>
      <c r="Y65" s="78" t="b">
        <f ca="1">$S$10=X65</f>
        <v>0</v>
      </c>
      <c r="Z65" s="78" t="b">
        <f ca="1">$S$20=X65</f>
        <v>0</v>
      </c>
      <c r="AA65" s="78" t="b">
        <f ca="1">$S$30=X65</f>
        <v>0</v>
      </c>
    </row>
    <row r="66" spans="1:27" x14ac:dyDescent="0.25">
      <c r="A66" s="97" t="s">
        <v>157</v>
      </c>
      <c r="B66" s="97" t="str">
        <f>INSCRITS!C21</f>
        <v>2C</v>
      </c>
      <c r="C66" s="249"/>
      <c r="D66" s="94" t="s">
        <v>189</v>
      </c>
      <c r="E66" s="249"/>
      <c r="F66" s="97" t="str">
        <f>INSCRITS!C25</f>
        <v>6C</v>
      </c>
      <c r="G66" s="97" t="s">
        <v>161</v>
      </c>
      <c r="X66" s="78" t="str">
        <f ca="1">INDIRECT("B"&amp;66) &amp; CHAR(10) &amp; "vs" &amp; CHAR(10) &amp; INDIRECT("F"&amp;66)</f>
        <v>2C
vs
6C</v>
      </c>
      <c r="Y66" s="78" t="b">
        <f ca="1">$S$10=X66</f>
        <v>0</v>
      </c>
      <c r="Z66" s="78" t="b">
        <f ca="1">$S$20=X66</f>
        <v>0</v>
      </c>
      <c r="AA66" s="78" t="b">
        <f ca="1">$S$30=X66</f>
        <v>0</v>
      </c>
    </row>
    <row r="67" spans="1:27" x14ac:dyDescent="0.25">
      <c r="A67" s="97" t="s">
        <v>158</v>
      </c>
      <c r="B67" s="97" t="str">
        <f>INSCRITS!C22</f>
        <v>3C</v>
      </c>
      <c r="C67" s="249"/>
      <c r="D67" s="94" t="s">
        <v>190</v>
      </c>
      <c r="E67" s="249"/>
      <c r="F67" s="97" t="str">
        <f>INSCRITS!C26</f>
        <v>7C</v>
      </c>
      <c r="G67" s="97" t="s">
        <v>162</v>
      </c>
      <c r="X67" s="78" t="str">
        <f ca="1">INDIRECT("B"&amp;67) &amp; CHAR(10) &amp; "vs" &amp; CHAR(10) &amp; INDIRECT("F"&amp;67)</f>
        <v>3C
vs
7C</v>
      </c>
      <c r="Y67" s="78" t="b">
        <f ca="1">$S$10=X67</f>
        <v>0</v>
      </c>
      <c r="Z67" s="78" t="b">
        <f ca="1">$S$20=X67</f>
        <v>0</v>
      </c>
      <c r="AA67" s="78" t="b">
        <f ca="1">$S$30=X67</f>
        <v>0</v>
      </c>
    </row>
    <row r="68" spans="1:27" x14ac:dyDescent="0.25">
      <c r="A68" s="97" t="s">
        <v>159</v>
      </c>
      <c r="B68" s="97" t="str">
        <f>INSCRITS!C23</f>
        <v>4C</v>
      </c>
      <c r="C68" s="249"/>
      <c r="D68" s="94" t="s">
        <v>191</v>
      </c>
      <c r="E68" s="249"/>
      <c r="F68" s="97" t="str">
        <f>INSCRITS!C27</f>
        <v>8C</v>
      </c>
      <c r="G68" s="97" t="s">
        <v>163</v>
      </c>
      <c r="X68" s="78" t="str">
        <f ca="1">INDIRECT("B"&amp;68) &amp; CHAR(10) &amp; "vs" &amp; CHAR(10) &amp; INDIRECT("F"&amp;68)</f>
        <v>4C
vs
8C</v>
      </c>
      <c r="Y68" s="78" t="b">
        <f ca="1">$S$10=X68</f>
        <v>0</v>
      </c>
      <c r="Z68" s="78" t="b">
        <f ca="1">$S$20=X68</f>
        <v>0</v>
      </c>
      <c r="AA68" s="78" t="b">
        <f ca="1">$S$30=X68</f>
        <v>0</v>
      </c>
    </row>
    <row r="69" spans="1:27" x14ac:dyDescent="0.25">
      <c r="A69" s="98" t="s">
        <v>164</v>
      </c>
      <c r="B69" s="98" t="str">
        <f>INSCRITS!C29</f>
        <v>1D</v>
      </c>
      <c r="C69" s="249"/>
      <c r="D69" s="94" t="s">
        <v>192</v>
      </c>
      <c r="E69" s="249"/>
      <c r="F69" s="98" t="str">
        <f>INSCRITS!C33</f>
        <v>5D</v>
      </c>
      <c r="G69" s="98" t="s">
        <v>168</v>
      </c>
      <c r="X69" s="78" t="str">
        <f ca="1">INDIRECT("B"&amp;69) &amp; CHAR(10) &amp; "vs" &amp; CHAR(10) &amp; INDIRECT("F"&amp;69)</f>
        <v>1D
vs
5D</v>
      </c>
      <c r="Y69" s="78" t="b">
        <f ca="1">$S$10=X69</f>
        <v>0</v>
      </c>
      <c r="Z69" s="78" t="b">
        <f ca="1">$S$20=X69</f>
        <v>0</v>
      </c>
      <c r="AA69" s="78" t="b">
        <f ca="1">$S$30=X69</f>
        <v>0</v>
      </c>
    </row>
    <row r="70" spans="1:27" x14ac:dyDescent="0.25">
      <c r="A70" s="98" t="s">
        <v>165</v>
      </c>
      <c r="B70" s="98" t="str">
        <f>INSCRITS!C30</f>
        <v>2D</v>
      </c>
      <c r="C70" s="249"/>
      <c r="D70" s="94" t="s">
        <v>193</v>
      </c>
      <c r="E70" s="249"/>
      <c r="F70" s="98" t="str">
        <f>INSCRITS!C34</f>
        <v>6D</v>
      </c>
      <c r="G70" s="98" t="s">
        <v>169</v>
      </c>
      <c r="X70" s="78" t="str">
        <f ca="1">INDIRECT("B"&amp;70) &amp; CHAR(10) &amp; "vs" &amp; CHAR(10) &amp; INDIRECT("F"&amp;70)</f>
        <v>2D
vs
6D</v>
      </c>
      <c r="Y70" s="78" t="b">
        <f ca="1">$S$10=X70</f>
        <v>0</v>
      </c>
      <c r="Z70" s="78" t="b">
        <f ca="1">$S$20=X70</f>
        <v>0</v>
      </c>
      <c r="AA70" s="78" t="b">
        <f ca="1">$S$30=X70</f>
        <v>0</v>
      </c>
    </row>
    <row r="71" spans="1:27" x14ac:dyDescent="0.25">
      <c r="A71" s="98" t="s">
        <v>166</v>
      </c>
      <c r="B71" s="98" t="str">
        <f>INSCRITS!C31</f>
        <v>3D</v>
      </c>
      <c r="C71" s="249"/>
      <c r="D71" s="94" t="s">
        <v>194</v>
      </c>
      <c r="E71" s="249"/>
      <c r="F71" s="98" t="str">
        <f>INSCRITS!C35</f>
        <v>7D</v>
      </c>
      <c r="G71" s="98" t="s">
        <v>170</v>
      </c>
      <c r="X71" s="78" t="str">
        <f ca="1">INDIRECT("B"&amp;71) &amp; CHAR(10) &amp; "vs" &amp; CHAR(10) &amp; INDIRECT("F"&amp;71)</f>
        <v>3D
vs
7D</v>
      </c>
      <c r="Y71" s="78" t="b">
        <f ca="1">$S$10=X71</f>
        <v>0</v>
      </c>
      <c r="Z71" s="78" t="b">
        <f ca="1">$S$20=X71</f>
        <v>0</v>
      </c>
      <c r="AA71" s="78" t="b">
        <f ca="1">$S$30=X71</f>
        <v>0</v>
      </c>
    </row>
    <row r="72" spans="1:27" x14ac:dyDescent="0.25">
      <c r="A72" s="98" t="s">
        <v>167</v>
      </c>
      <c r="B72" s="98" t="str">
        <f>INSCRITS!C32</f>
        <v>4D</v>
      </c>
      <c r="C72" s="249"/>
      <c r="D72" s="94" t="s">
        <v>195</v>
      </c>
      <c r="E72" s="249"/>
      <c r="F72" s="98" t="str">
        <f>INSCRITS!C36</f>
        <v>8D</v>
      </c>
      <c r="G72" s="98" t="s">
        <v>171</v>
      </c>
      <c r="X72" s="78" t="str">
        <f ca="1">INDIRECT("B"&amp;72) &amp; CHAR(10) &amp; "vs" &amp; CHAR(10) &amp; INDIRECT("F"&amp;72)</f>
        <v>4D
vs
8D</v>
      </c>
      <c r="Y72" s="78" t="b">
        <f ca="1">$S$10=X72</f>
        <v>0</v>
      </c>
      <c r="Z72" s="78" t="b">
        <f ca="1">$S$20=X72</f>
        <v>0</v>
      </c>
      <c r="AA72" s="78" t="b">
        <f ca="1">$S$30=X72</f>
        <v>0</v>
      </c>
    </row>
    <row r="73" spans="1:27" x14ac:dyDescent="0.25">
      <c r="A73" s="93"/>
      <c r="B73" s="93"/>
      <c r="C73" s="99" t="str">
        <f>CHAR(160)</f>
        <v> </v>
      </c>
      <c r="D73" s="248">
        <f>0.88888888888889 + "00:20:00"</f>
        <v>0.90277777777777879</v>
      </c>
      <c r="E73" s="99" t="str">
        <f>CHAR(160)</f>
        <v> </v>
      </c>
      <c r="F73" s="93"/>
      <c r="G73" s="93"/>
      <c r="X73" s="78" t="str">
        <f ca="1">INDIRECT("B"&amp;73) &amp; CHAR(10) &amp; "vs" &amp; CHAR(10) &amp; INDIRECT("F"&amp;73)</f>
        <v xml:space="preserve">
vs
</v>
      </c>
      <c r="Y73" s="78" t="b">
        <f ca="1">$S$10=X73</f>
        <v>0</v>
      </c>
      <c r="Z73" s="78" t="b">
        <f ca="1">$S$20=X73</f>
        <v>0</v>
      </c>
      <c r="AA73" s="78" t="b">
        <f ca="1">$S$30=X73</f>
        <v>0</v>
      </c>
    </row>
    <row r="74" spans="1:27" x14ac:dyDescent="0.25">
      <c r="A74" s="95" t="s">
        <v>120</v>
      </c>
      <c r="B74" s="95" t="str">
        <f>INSCRITS!C2</f>
        <v>1A</v>
      </c>
      <c r="C74" s="249"/>
      <c r="D74" s="94" t="s">
        <v>180</v>
      </c>
      <c r="E74" s="249"/>
      <c r="F74" s="95" t="str">
        <f>INSCRITS!C7</f>
        <v>6A</v>
      </c>
      <c r="G74" s="95" t="s">
        <v>149</v>
      </c>
      <c r="X74" s="78" t="str">
        <f ca="1">INDIRECT("B"&amp;74) &amp; CHAR(10) &amp; "vs" &amp; CHAR(10) &amp; INDIRECT("F"&amp;74)</f>
        <v>1A
vs
6A</v>
      </c>
      <c r="Y74" s="78" t="b">
        <f ca="1">$S$10=X74</f>
        <v>0</v>
      </c>
      <c r="Z74" s="78" t="b">
        <f ca="1">$S$20=X74</f>
        <v>0</v>
      </c>
      <c r="AA74" s="78" t="b">
        <f ca="1">$S$30=X74</f>
        <v>0</v>
      </c>
    </row>
    <row r="75" spans="1:27" x14ac:dyDescent="0.25">
      <c r="A75" s="95" t="s">
        <v>121</v>
      </c>
      <c r="B75" s="95" t="str">
        <f>INSCRITS!C3</f>
        <v>2A</v>
      </c>
      <c r="C75" s="249"/>
      <c r="D75" s="94" t="s">
        <v>181</v>
      </c>
      <c r="E75" s="249"/>
      <c r="F75" s="95" t="str">
        <f>INSCRITS!C6</f>
        <v>5A</v>
      </c>
      <c r="G75" s="95" t="s">
        <v>148</v>
      </c>
      <c r="X75" s="78" t="str">
        <f ca="1">INDIRECT("B"&amp;75) &amp; CHAR(10) &amp; "vs" &amp; CHAR(10) &amp; INDIRECT("F"&amp;75)</f>
        <v>2A
vs
5A</v>
      </c>
      <c r="Y75" s="78" t="b">
        <f ca="1">$S$10=X75</f>
        <v>0</v>
      </c>
      <c r="Z75" s="78" t="b">
        <f ca="1">$S$20=X75</f>
        <v>0</v>
      </c>
      <c r="AA75" s="78" t="b">
        <f ca="1">$S$30=X75</f>
        <v>0</v>
      </c>
    </row>
    <row r="76" spans="1:27" x14ac:dyDescent="0.25">
      <c r="A76" s="95" t="s">
        <v>122</v>
      </c>
      <c r="B76" s="95" t="str">
        <f>INSCRITS!C4</f>
        <v>3A</v>
      </c>
      <c r="C76" s="249"/>
      <c r="D76" s="94" t="s">
        <v>182</v>
      </c>
      <c r="E76" s="249"/>
      <c r="F76" s="95" t="str">
        <f>INSCRITS!C9</f>
        <v>8A</v>
      </c>
      <c r="G76" s="95" t="s">
        <v>151</v>
      </c>
      <c r="X76" s="78" t="str">
        <f ca="1">INDIRECT("B"&amp;76) &amp; CHAR(10) &amp; "vs" &amp; CHAR(10) &amp; INDIRECT("F"&amp;76)</f>
        <v>3A
vs
8A</v>
      </c>
      <c r="Y76" s="78" t="b">
        <f ca="1">$S$10=X76</f>
        <v>0</v>
      </c>
      <c r="Z76" s="78" t="b">
        <f ca="1">$S$20=X76</f>
        <v>0</v>
      </c>
      <c r="AA76" s="78" t="b">
        <f ca="1">$S$30=X76</f>
        <v>0</v>
      </c>
    </row>
    <row r="77" spans="1:27" x14ac:dyDescent="0.25">
      <c r="A77" s="95" t="s">
        <v>123</v>
      </c>
      <c r="B77" s="95" t="str">
        <f>INSCRITS!C5</f>
        <v>4A</v>
      </c>
      <c r="C77" s="249"/>
      <c r="D77" s="94" t="s">
        <v>183</v>
      </c>
      <c r="E77" s="249"/>
      <c r="F77" s="95" t="str">
        <f>INSCRITS!C8</f>
        <v>7A</v>
      </c>
      <c r="G77" s="95" t="s">
        <v>150</v>
      </c>
      <c r="X77" s="78" t="str">
        <f ca="1">INDIRECT("B"&amp;77) &amp; CHAR(10) &amp; "vs" &amp; CHAR(10) &amp; INDIRECT("F"&amp;77)</f>
        <v>4A
vs
7A</v>
      </c>
      <c r="Y77" s="78" t="b">
        <f ca="1">$S$10=X77</f>
        <v>0</v>
      </c>
      <c r="Z77" s="78" t="b">
        <f ca="1">$S$20=X77</f>
        <v>0</v>
      </c>
      <c r="AA77" s="78" t="b">
        <f ca="1">$S$30=X77</f>
        <v>0</v>
      </c>
    </row>
    <row r="78" spans="1:27" x14ac:dyDescent="0.25">
      <c r="A78" s="96" t="s">
        <v>124</v>
      </c>
      <c r="B78" s="96" t="str">
        <f>INSCRITS!C11</f>
        <v>1B</v>
      </c>
      <c r="C78" s="249"/>
      <c r="D78" s="94" t="s">
        <v>184</v>
      </c>
      <c r="E78" s="249"/>
      <c r="F78" s="96" t="str">
        <f>INSCRITS!C16</f>
        <v>6B</v>
      </c>
      <c r="G78" s="96" t="s">
        <v>153</v>
      </c>
      <c r="X78" s="78" t="str">
        <f ca="1">INDIRECT("B"&amp;78) &amp; CHAR(10) &amp; "vs" &amp; CHAR(10) &amp; INDIRECT("F"&amp;78)</f>
        <v>1B
vs
6B</v>
      </c>
      <c r="Y78" s="78" t="b">
        <f ca="1">$S$10=X78</f>
        <v>0</v>
      </c>
      <c r="Z78" s="78" t="b">
        <f ca="1">$S$20=X78</f>
        <v>0</v>
      </c>
      <c r="AA78" s="78" t="b">
        <f ca="1">$S$30=X78</f>
        <v>0</v>
      </c>
    </row>
    <row r="79" spans="1:27" x14ac:dyDescent="0.25">
      <c r="A79" s="96" t="s">
        <v>125</v>
      </c>
      <c r="B79" s="96" t="str">
        <f>INSCRITS!C12</f>
        <v>2B</v>
      </c>
      <c r="C79" s="249"/>
      <c r="D79" s="94" t="s">
        <v>185</v>
      </c>
      <c r="E79" s="249"/>
      <c r="F79" s="96" t="str">
        <f>INSCRITS!C15</f>
        <v>5B</v>
      </c>
      <c r="G79" s="96" t="s">
        <v>152</v>
      </c>
      <c r="X79" s="78" t="str">
        <f ca="1">INDIRECT("B"&amp;79) &amp; CHAR(10) &amp; "vs" &amp; CHAR(10) &amp; INDIRECT("F"&amp;79)</f>
        <v>2B
vs
5B</v>
      </c>
      <c r="Y79" s="78" t="b">
        <f ca="1">$S$10=X79</f>
        <v>0</v>
      </c>
      <c r="Z79" s="78" t="b">
        <f ca="1">$S$20=X79</f>
        <v>0</v>
      </c>
      <c r="AA79" s="78" t="b">
        <f ca="1">$S$30=X79</f>
        <v>0</v>
      </c>
    </row>
    <row r="80" spans="1:27" x14ac:dyDescent="0.25">
      <c r="A80" s="96" t="s">
        <v>126</v>
      </c>
      <c r="B80" s="96" t="str">
        <f>INSCRITS!C13</f>
        <v>3B</v>
      </c>
      <c r="C80" s="249"/>
      <c r="D80" s="94" t="s">
        <v>186</v>
      </c>
      <c r="E80" s="249"/>
      <c r="F80" s="96" t="str">
        <f>INSCRITS!C18</f>
        <v>8B</v>
      </c>
      <c r="G80" s="96" t="s">
        <v>155</v>
      </c>
      <c r="X80" s="78" t="str">
        <f ca="1">INDIRECT("B"&amp;80) &amp; CHAR(10) &amp; "vs" &amp; CHAR(10) &amp; INDIRECT("F"&amp;80)</f>
        <v>3B
vs
8B</v>
      </c>
      <c r="Y80" s="78" t="b">
        <f ca="1">$S$10=X80</f>
        <v>0</v>
      </c>
      <c r="Z80" s="78" t="b">
        <f ca="1">$S$20=X80</f>
        <v>0</v>
      </c>
      <c r="AA80" s="78" t="b">
        <f ca="1">$S$30=X80</f>
        <v>0</v>
      </c>
    </row>
    <row r="81" spans="1:27" x14ac:dyDescent="0.25">
      <c r="A81" s="96" t="s">
        <v>127</v>
      </c>
      <c r="B81" s="96" t="str">
        <f>INSCRITS!C14</f>
        <v>4B</v>
      </c>
      <c r="C81" s="249"/>
      <c r="D81" s="94" t="s">
        <v>187</v>
      </c>
      <c r="E81" s="249"/>
      <c r="F81" s="96" t="str">
        <f>INSCRITS!C17</f>
        <v>7B</v>
      </c>
      <c r="G81" s="96" t="s">
        <v>154</v>
      </c>
      <c r="X81" s="78" t="str">
        <f ca="1">INDIRECT("B"&amp;81) &amp; CHAR(10) &amp; "vs" &amp; CHAR(10) &amp; INDIRECT("F"&amp;81)</f>
        <v>4B
vs
7B</v>
      </c>
      <c r="Y81" s="78" t="b">
        <f ca="1">$S$10=X81</f>
        <v>0</v>
      </c>
      <c r="Z81" s="78" t="b">
        <f ca="1">$S$20=X81</f>
        <v>0</v>
      </c>
      <c r="AA81" s="78" t="b">
        <f ca="1">$S$30=X81</f>
        <v>0</v>
      </c>
    </row>
    <row r="82" spans="1:27" x14ac:dyDescent="0.25">
      <c r="A82" s="93"/>
      <c r="B82" s="93"/>
      <c r="C82" s="99" t="str">
        <f>CHAR(160)</f>
        <v> </v>
      </c>
      <c r="D82" s="248">
        <f>0.902777777777779 + "00:20:00"</f>
        <v>0.91666666666666785</v>
      </c>
      <c r="E82" s="99" t="str">
        <f>CHAR(160)</f>
        <v> </v>
      </c>
      <c r="F82" s="93"/>
      <c r="G82" s="93"/>
      <c r="X82" s="78" t="str">
        <f ca="1">INDIRECT("B"&amp;82) &amp; CHAR(10) &amp; "vs" &amp; CHAR(10) &amp; INDIRECT("F"&amp;82)</f>
        <v xml:space="preserve">
vs
</v>
      </c>
      <c r="Y82" s="78" t="b">
        <f ca="1">$S$10=X82</f>
        <v>0</v>
      </c>
      <c r="Z82" s="78" t="b">
        <f ca="1">$S$20=X82</f>
        <v>0</v>
      </c>
      <c r="AA82" s="78" t="b">
        <f ca="1">$S$30=X82</f>
        <v>0</v>
      </c>
    </row>
    <row r="83" spans="1:27" x14ac:dyDescent="0.25">
      <c r="A83" s="97" t="s">
        <v>156</v>
      </c>
      <c r="B83" s="97" t="str">
        <f>INSCRITS!C20</f>
        <v>1C</v>
      </c>
      <c r="C83" s="249"/>
      <c r="D83" s="94" t="s">
        <v>188</v>
      </c>
      <c r="E83" s="249"/>
      <c r="F83" s="97" t="str">
        <f>INSCRITS!C25</f>
        <v>6C</v>
      </c>
      <c r="G83" s="97" t="s">
        <v>161</v>
      </c>
      <c r="X83" s="78" t="str">
        <f ca="1">INDIRECT("B"&amp;83) &amp; CHAR(10) &amp; "vs" &amp; CHAR(10) &amp; INDIRECT("F"&amp;83)</f>
        <v>1C
vs
6C</v>
      </c>
      <c r="Y83" s="78" t="b">
        <f ca="1">$S$10=X83</f>
        <v>0</v>
      </c>
      <c r="Z83" s="78" t="b">
        <f ca="1">$S$20=X83</f>
        <v>0</v>
      </c>
      <c r="AA83" s="78" t="b">
        <f ca="1">$S$30=X83</f>
        <v>0</v>
      </c>
    </row>
    <row r="84" spans="1:27" x14ac:dyDescent="0.25">
      <c r="A84" s="97" t="s">
        <v>157</v>
      </c>
      <c r="B84" s="97" t="str">
        <f>INSCRITS!C21</f>
        <v>2C</v>
      </c>
      <c r="C84" s="249"/>
      <c r="D84" s="94" t="s">
        <v>189</v>
      </c>
      <c r="E84" s="249"/>
      <c r="F84" s="97" t="str">
        <f>INSCRITS!C24</f>
        <v>5C</v>
      </c>
      <c r="G84" s="97" t="s">
        <v>160</v>
      </c>
      <c r="X84" s="78" t="str">
        <f ca="1">INDIRECT("B"&amp;84) &amp; CHAR(10) &amp; "vs" &amp; CHAR(10) &amp; INDIRECT("F"&amp;84)</f>
        <v>2C
vs
5C</v>
      </c>
      <c r="Y84" s="78" t="b">
        <f ca="1">$S$10=X84</f>
        <v>0</v>
      </c>
      <c r="Z84" s="78" t="b">
        <f ca="1">$S$20=X84</f>
        <v>0</v>
      </c>
      <c r="AA84" s="78" t="b">
        <f ca="1">$S$30=X84</f>
        <v>0</v>
      </c>
    </row>
    <row r="85" spans="1:27" x14ac:dyDescent="0.25">
      <c r="A85" s="97" t="s">
        <v>158</v>
      </c>
      <c r="B85" s="97" t="str">
        <f>INSCRITS!C22</f>
        <v>3C</v>
      </c>
      <c r="C85" s="249"/>
      <c r="D85" s="94" t="s">
        <v>190</v>
      </c>
      <c r="E85" s="249"/>
      <c r="F85" s="97" t="str">
        <f>INSCRITS!C27</f>
        <v>8C</v>
      </c>
      <c r="G85" s="97" t="s">
        <v>163</v>
      </c>
      <c r="X85" s="78" t="str">
        <f ca="1">INDIRECT("B"&amp;85) &amp; CHAR(10) &amp; "vs" &amp; CHAR(10) &amp; INDIRECT("F"&amp;85)</f>
        <v>3C
vs
8C</v>
      </c>
      <c r="Y85" s="78" t="b">
        <f ca="1">$S$10=X85</f>
        <v>0</v>
      </c>
      <c r="Z85" s="78" t="b">
        <f ca="1">$S$20=X85</f>
        <v>0</v>
      </c>
      <c r="AA85" s="78" t="b">
        <f ca="1">$S$30=X85</f>
        <v>0</v>
      </c>
    </row>
    <row r="86" spans="1:27" x14ac:dyDescent="0.25">
      <c r="A86" s="97" t="s">
        <v>159</v>
      </c>
      <c r="B86" s="97" t="str">
        <f>INSCRITS!C23</f>
        <v>4C</v>
      </c>
      <c r="C86" s="249"/>
      <c r="D86" s="94" t="s">
        <v>191</v>
      </c>
      <c r="E86" s="249"/>
      <c r="F86" s="97" t="str">
        <f>INSCRITS!C26</f>
        <v>7C</v>
      </c>
      <c r="G86" s="97" t="s">
        <v>162</v>
      </c>
      <c r="X86" s="78" t="str">
        <f ca="1">INDIRECT("B"&amp;86) &amp; CHAR(10) &amp; "vs" &amp; CHAR(10) &amp; INDIRECT("F"&amp;86)</f>
        <v>4C
vs
7C</v>
      </c>
      <c r="Y86" s="78" t="b">
        <f ca="1">$S$10=X86</f>
        <v>0</v>
      </c>
      <c r="Z86" s="78" t="b">
        <f ca="1">$S$20=X86</f>
        <v>0</v>
      </c>
      <c r="AA86" s="78" t="b">
        <f ca="1">$S$30=X86</f>
        <v>0</v>
      </c>
    </row>
    <row r="87" spans="1:27" x14ac:dyDescent="0.25">
      <c r="A87" s="98" t="s">
        <v>164</v>
      </c>
      <c r="B87" s="98" t="str">
        <f>INSCRITS!C29</f>
        <v>1D</v>
      </c>
      <c r="C87" s="249"/>
      <c r="D87" s="94" t="s">
        <v>192</v>
      </c>
      <c r="E87" s="249"/>
      <c r="F87" s="98" t="str">
        <f>INSCRITS!C34</f>
        <v>6D</v>
      </c>
      <c r="G87" s="98" t="s">
        <v>169</v>
      </c>
      <c r="X87" s="78" t="str">
        <f ca="1">INDIRECT("B"&amp;87) &amp; CHAR(10) &amp; "vs" &amp; CHAR(10) &amp; INDIRECT("F"&amp;87)</f>
        <v>1D
vs
6D</v>
      </c>
      <c r="Y87" s="78" t="b">
        <f ca="1">$S$10=X87</f>
        <v>0</v>
      </c>
      <c r="Z87" s="78" t="b">
        <f ca="1">$S$20=X87</f>
        <v>0</v>
      </c>
      <c r="AA87" s="78" t="b">
        <f ca="1">$S$30=X87</f>
        <v>0</v>
      </c>
    </row>
    <row r="88" spans="1:27" x14ac:dyDescent="0.25">
      <c r="A88" s="98" t="s">
        <v>165</v>
      </c>
      <c r="B88" s="98" t="str">
        <f>INSCRITS!C30</f>
        <v>2D</v>
      </c>
      <c r="C88" s="249"/>
      <c r="D88" s="94" t="s">
        <v>193</v>
      </c>
      <c r="E88" s="249"/>
      <c r="F88" s="98" t="str">
        <f>INSCRITS!C33</f>
        <v>5D</v>
      </c>
      <c r="G88" s="98" t="s">
        <v>168</v>
      </c>
      <c r="X88" s="78" t="str">
        <f ca="1">INDIRECT("B"&amp;88) &amp; CHAR(10) &amp; "vs" &amp; CHAR(10) &amp; INDIRECT("F"&amp;88)</f>
        <v>2D
vs
5D</v>
      </c>
      <c r="Y88" s="78" t="b">
        <f ca="1">$S$10=X88</f>
        <v>0</v>
      </c>
      <c r="Z88" s="78" t="b">
        <f ca="1">$S$20=X88</f>
        <v>0</v>
      </c>
      <c r="AA88" s="78" t="b">
        <f ca="1">$S$30=X88</f>
        <v>0</v>
      </c>
    </row>
    <row r="89" spans="1:27" x14ac:dyDescent="0.25">
      <c r="A89" s="98" t="s">
        <v>166</v>
      </c>
      <c r="B89" s="98" t="str">
        <f>INSCRITS!C31</f>
        <v>3D</v>
      </c>
      <c r="C89" s="249"/>
      <c r="D89" s="94" t="s">
        <v>194</v>
      </c>
      <c r="E89" s="249"/>
      <c r="F89" s="98" t="str">
        <f>INSCRITS!C36</f>
        <v>8D</v>
      </c>
      <c r="G89" s="98" t="s">
        <v>171</v>
      </c>
      <c r="X89" s="78" t="str">
        <f ca="1">INDIRECT("B"&amp;89) &amp; CHAR(10) &amp; "vs" &amp; CHAR(10) &amp; INDIRECT("F"&amp;89)</f>
        <v>3D
vs
8D</v>
      </c>
      <c r="Y89" s="78" t="b">
        <f ca="1">$S$10=X89</f>
        <v>0</v>
      </c>
      <c r="Z89" s="78" t="b">
        <f ca="1">$S$20=X89</f>
        <v>0</v>
      </c>
      <c r="AA89" s="78" t="b">
        <f ca="1">$S$30=X89</f>
        <v>0</v>
      </c>
    </row>
    <row r="90" spans="1:27" x14ac:dyDescent="0.25">
      <c r="A90" s="98" t="s">
        <v>167</v>
      </c>
      <c r="B90" s="98" t="str">
        <f>INSCRITS!C32</f>
        <v>4D</v>
      </c>
      <c r="C90" s="249"/>
      <c r="D90" s="94" t="s">
        <v>195</v>
      </c>
      <c r="E90" s="249"/>
      <c r="F90" s="98" t="str">
        <f>INSCRITS!C35</f>
        <v>7D</v>
      </c>
      <c r="G90" s="98" t="s">
        <v>170</v>
      </c>
      <c r="X90" s="78" t="str">
        <f ca="1">INDIRECT("B"&amp;90) &amp; CHAR(10) &amp; "vs" &amp; CHAR(10) &amp; INDIRECT("F"&amp;90)</f>
        <v>4D
vs
7D</v>
      </c>
      <c r="Y90" s="78" t="b">
        <f ca="1">$S$10=X90</f>
        <v>0</v>
      </c>
      <c r="Z90" s="78" t="b">
        <f ca="1">$S$20=X90</f>
        <v>0</v>
      </c>
      <c r="AA90" s="78" t="b">
        <f ca="1">$S$30=X90</f>
        <v>0</v>
      </c>
    </row>
    <row r="91" spans="1:27" x14ac:dyDescent="0.25">
      <c r="A91" s="93"/>
      <c r="B91" s="93"/>
      <c r="C91" s="99" t="str">
        <f>CHAR(160)</f>
        <v> </v>
      </c>
      <c r="D91" s="248">
        <f>0.916666666666668 + "00:20:00"</f>
        <v>0.9305555555555568</v>
      </c>
      <c r="E91" s="99" t="str">
        <f>CHAR(160)</f>
        <v> </v>
      </c>
      <c r="F91" s="93"/>
      <c r="G91" s="93"/>
      <c r="X91" s="78" t="str">
        <f ca="1">INDIRECT("B"&amp;91) &amp; CHAR(10) &amp; "vs" &amp; CHAR(10) &amp; INDIRECT("F"&amp;91)</f>
        <v xml:space="preserve">
vs
</v>
      </c>
      <c r="Y91" s="78" t="b">
        <f ca="1">$S$10=X91</f>
        <v>0</v>
      </c>
      <c r="Z91" s="78" t="b">
        <f ca="1">$S$20=X91</f>
        <v>0</v>
      </c>
      <c r="AA91" s="78" t="b">
        <f ca="1">$S$30=X91</f>
        <v>0</v>
      </c>
    </row>
    <row r="92" spans="1:27" x14ac:dyDescent="0.25">
      <c r="A92" s="95" t="s">
        <v>120</v>
      </c>
      <c r="B92" s="95" t="str">
        <f>INSCRITS!C2</f>
        <v>1A</v>
      </c>
      <c r="C92" s="249"/>
      <c r="D92" s="94" t="s">
        <v>180</v>
      </c>
      <c r="E92" s="249"/>
      <c r="F92" s="95" t="str">
        <f>INSCRITS!C8</f>
        <v>7A</v>
      </c>
      <c r="G92" s="95" t="s">
        <v>150</v>
      </c>
      <c r="X92" s="78" t="str">
        <f ca="1">INDIRECT("B"&amp;92) &amp; CHAR(10) &amp; "vs" &amp; CHAR(10) &amp; INDIRECT("F"&amp;92)</f>
        <v>1A
vs
7A</v>
      </c>
      <c r="Y92" s="78" t="b">
        <f ca="1">$S$10=X92</f>
        <v>0</v>
      </c>
      <c r="Z92" s="78" t="b">
        <f ca="1">$S$20=X92</f>
        <v>0</v>
      </c>
      <c r="AA92" s="78" t="b">
        <f ca="1">$S$30=X92</f>
        <v>0</v>
      </c>
    </row>
    <row r="93" spans="1:27" x14ac:dyDescent="0.25">
      <c r="A93" s="95" t="s">
        <v>121</v>
      </c>
      <c r="B93" s="95" t="str">
        <f>INSCRITS!C3</f>
        <v>2A</v>
      </c>
      <c r="C93" s="249"/>
      <c r="D93" s="94" t="s">
        <v>181</v>
      </c>
      <c r="E93" s="249"/>
      <c r="F93" s="95" t="str">
        <f>INSCRITS!C9</f>
        <v>8A</v>
      </c>
      <c r="G93" s="95" t="s">
        <v>151</v>
      </c>
      <c r="X93" s="78" t="str">
        <f ca="1">INDIRECT("B"&amp;93) &amp; CHAR(10) &amp; "vs" &amp; CHAR(10) &amp; INDIRECT("F"&amp;93)</f>
        <v>2A
vs
8A</v>
      </c>
      <c r="Y93" s="78" t="b">
        <f ca="1">$S$10=X93</f>
        <v>0</v>
      </c>
      <c r="Z93" s="78" t="b">
        <f ca="1">$S$20=X93</f>
        <v>0</v>
      </c>
      <c r="AA93" s="78" t="b">
        <f ca="1">$S$30=X93</f>
        <v>0</v>
      </c>
    </row>
    <row r="94" spans="1:27" x14ac:dyDescent="0.25">
      <c r="A94" s="95" t="s">
        <v>122</v>
      </c>
      <c r="B94" s="95" t="str">
        <f>INSCRITS!C4</f>
        <v>3A</v>
      </c>
      <c r="C94" s="249"/>
      <c r="D94" s="94" t="s">
        <v>182</v>
      </c>
      <c r="E94" s="249"/>
      <c r="F94" s="95" t="str">
        <f>INSCRITS!C6</f>
        <v>5A</v>
      </c>
      <c r="G94" s="95" t="s">
        <v>148</v>
      </c>
      <c r="X94" s="78" t="str">
        <f ca="1">INDIRECT("B"&amp;94) &amp; CHAR(10) &amp; "vs" &amp; CHAR(10) &amp; INDIRECT("F"&amp;94)</f>
        <v>3A
vs
5A</v>
      </c>
      <c r="Y94" s="78" t="b">
        <f ca="1">$S$10=X94</f>
        <v>0</v>
      </c>
      <c r="Z94" s="78" t="b">
        <f ca="1">$S$20=X94</f>
        <v>0</v>
      </c>
      <c r="AA94" s="78" t="b">
        <f ca="1">$S$30=X94</f>
        <v>0</v>
      </c>
    </row>
    <row r="95" spans="1:27" x14ac:dyDescent="0.25">
      <c r="A95" s="95" t="s">
        <v>123</v>
      </c>
      <c r="B95" s="95" t="str">
        <f>INSCRITS!C5</f>
        <v>4A</v>
      </c>
      <c r="C95" s="249"/>
      <c r="D95" s="94" t="s">
        <v>183</v>
      </c>
      <c r="E95" s="249"/>
      <c r="F95" s="95" t="str">
        <f>INSCRITS!C7</f>
        <v>6A</v>
      </c>
      <c r="G95" s="95" t="s">
        <v>149</v>
      </c>
      <c r="X95" s="78" t="str">
        <f ca="1">INDIRECT("B"&amp;95) &amp; CHAR(10) &amp; "vs" &amp; CHAR(10) &amp; INDIRECT("F"&amp;95)</f>
        <v>4A
vs
6A</v>
      </c>
      <c r="Y95" s="78" t="b">
        <f ca="1">$S$10=X95</f>
        <v>0</v>
      </c>
      <c r="Z95" s="78" t="b">
        <f ca="1">$S$20=X95</f>
        <v>0</v>
      </c>
      <c r="AA95" s="78" t="b">
        <f ca="1">$S$30=X95</f>
        <v>0</v>
      </c>
    </row>
    <row r="96" spans="1:27" x14ac:dyDescent="0.25">
      <c r="A96" s="96" t="s">
        <v>124</v>
      </c>
      <c r="B96" s="96" t="str">
        <f>INSCRITS!C11</f>
        <v>1B</v>
      </c>
      <c r="C96" s="249"/>
      <c r="D96" s="94" t="s">
        <v>184</v>
      </c>
      <c r="E96" s="249"/>
      <c r="F96" s="96" t="str">
        <f>INSCRITS!C17</f>
        <v>7B</v>
      </c>
      <c r="G96" s="96" t="s">
        <v>154</v>
      </c>
      <c r="X96" s="78" t="str">
        <f ca="1">INDIRECT("B"&amp;96) &amp; CHAR(10) &amp; "vs" &amp; CHAR(10) &amp; INDIRECT("F"&amp;96)</f>
        <v>1B
vs
7B</v>
      </c>
      <c r="Y96" s="78" t="b">
        <f ca="1">$S$10=X96</f>
        <v>0</v>
      </c>
      <c r="Z96" s="78" t="b">
        <f ca="1">$S$20=X96</f>
        <v>0</v>
      </c>
      <c r="AA96" s="78" t="b">
        <f ca="1">$S$30=X96</f>
        <v>0</v>
      </c>
    </row>
    <row r="97" spans="1:27" x14ac:dyDescent="0.25">
      <c r="A97" s="96" t="s">
        <v>125</v>
      </c>
      <c r="B97" s="96" t="str">
        <f>INSCRITS!C12</f>
        <v>2B</v>
      </c>
      <c r="C97" s="249"/>
      <c r="D97" s="94" t="s">
        <v>185</v>
      </c>
      <c r="E97" s="249"/>
      <c r="F97" s="96" t="str">
        <f>INSCRITS!C18</f>
        <v>8B</v>
      </c>
      <c r="G97" s="96" t="s">
        <v>155</v>
      </c>
      <c r="X97" s="78" t="str">
        <f ca="1">INDIRECT("B"&amp;97) &amp; CHAR(10) &amp; "vs" &amp; CHAR(10) &amp; INDIRECT("F"&amp;97)</f>
        <v>2B
vs
8B</v>
      </c>
      <c r="Y97" s="78" t="b">
        <f ca="1">$S$10=X97</f>
        <v>0</v>
      </c>
      <c r="Z97" s="78" t="b">
        <f ca="1">$S$20=X97</f>
        <v>0</v>
      </c>
      <c r="AA97" s="78" t="b">
        <f ca="1">$S$30=X97</f>
        <v>0</v>
      </c>
    </row>
    <row r="98" spans="1:27" x14ac:dyDescent="0.25">
      <c r="A98" s="96" t="s">
        <v>126</v>
      </c>
      <c r="B98" s="96" t="str">
        <f>INSCRITS!C13</f>
        <v>3B</v>
      </c>
      <c r="C98" s="249"/>
      <c r="D98" s="94" t="s">
        <v>186</v>
      </c>
      <c r="E98" s="249"/>
      <c r="F98" s="96" t="str">
        <f>INSCRITS!C15</f>
        <v>5B</v>
      </c>
      <c r="G98" s="96" t="s">
        <v>152</v>
      </c>
      <c r="X98" s="78" t="str">
        <f ca="1">INDIRECT("B"&amp;98) &amp; CHAR(10) &amp; "vs" &amp; CHAR(10) &amp; INDIRECT("F"&amp;98)</f>
        <v>3B
vs
5B</v>
      </c>
      <c r="Y98" s="78" t="b">
        <f ca="1">$S$10=X98</f>
        <v>0</v>
      </c>
      <c r="Z98" s="78" t="b">
        <f ca="1">$S$20=X98</f>
        <v>0</v>
      </c>
      <c r="AA98" s="78" t="b">
        <f ca="1">$S$30=X98</f>
        <v>0</v>
      </c>
    </row>
    <row r="99" spans="1:27" x14ac:dyDescent="0.25">
      <c r="A99" s="96" t="s">
        <v>127</v>
      </c>
      <c r="B99" s="96" t="str">
        <f>INSCRITS!C14</f>
        <v>4B</v>
      </c>
      <c r="C99" s="249"/>
      <c r="D99" s="94" t="s">
        <v>187</v>
      </c>
      <c r="E99" s="249"/>
      <c r="F99" s="96" t="str">
        <f>INSCRITS!C16</f>
        <v>6B</v>
      </c>
      <c r="G99" s="96" t="s">
        <v>153</v>
      </c>
      <c r="X99" s="78" t="str">
        <f ca="1">INDIRECT("B"&amp;99) &amp; CHAR(10) &amp; "vs" &amp; CHAR(10) &amp; INDIRECT("F"&amp;99)</f>
        <v>4B
vs
6B</v>
      </c>
      <c r="Y99" s="78" t="b">
        <f ca="1">$S$10=X99</f>
        <v>0</v>
      </c>
      <c r="Z99" s="78" t="b">
        <f ca="1">$S$20=X99</f>
        <v>0</v>
      </c>
      <c r="AA99" s="78" t="b">
        <f ca="1">$S$30=X99</f>
        <v>0</v>
      </c>
    </row>
    <row r="100" spans="1:27" x14ac:dyDescent="0.25">
      <c r="A100" s="93"/>
      <c r="B100" s="93"/>
      <c r="C100" s="99" t="str">
        <f>CHAR(160)</f>
        <v> </v>
      </c>
      <c r="D100" s="248">
        <f>0.930555555555557 + "00:20:00"</f>
        <v>0.94444444444444586</v>
      </c>
      <c r="E100" s="99" t="str">
        <f>CHAR(160)</f>
        <v> </v>
      </c>
      <c r="F100" s="93"/>
      <c r="G100" s="93"/>
      <c r="X100" s="78" t="str">
        <f ca="1">INDIRECT("B"&amp;100) &amp; CHAR(10) &amp; "vs" &amp; CHAR(10) &amp; INDIRECT("F"&amp;100)</f>
        <v xml:space="preserve">
vs
</v>
      </c>
      <c r="Y100" s="78" t="b">
        <f ca="1">$S$10=X100</f>
        <v>0</v>
      </c>
      <c r="Z100" s="78" t="b">
        <f ca="1">$S$20=X100</f>
        <v>0</v>
      </c>
      <c r="AA100" s="78" t="b">
        <f ca="1">$S$30=X100</f>
        <v>0</v>
      </c>
    </row>
    <row r="101" spans="1:27" x14ac:dyDescent="0.25">
      <c r="A101" s="97" t="s">
        <v>156</v>
      </c>
      <c r="B101" s="97" t="str">
        <f>INSCRITS!C20</f>
        <v>1C</v>
      </c>
      <c r="C101" s="249"/>
      <c r="D101" s="94" t="s">
        <v>188</v>
      </c>
      <c r="E101" s="249"/>
      <c r="F101" s="97" t="str">
        <f>INSCRITS!C26</f>
        <v>7C</v>
      </c>
      <c r="G101" s="97" t="s">
        <v>162</v>
      </c>
      <c r="X101" s="78" t="str">
        <f ca="1">INDIRECT("B"&amp;101) &amp; CHAR(10) &amp; "vs" &amp; CHAR(10) &amp; INDIRECT("F"&amp;101)</f>
        <v>1C
vs
7C</v>
      </c>
      <c r="Y101" s="78" t="b">
        <f ca="1">$S$10=X101</f>
        <v>0</v>
      </c>
      <c r="Z101" s="78" t="b">
        <f ca="1">$S$20=X101</f>
        <v>0</v>
      </c>
      <c r="AA101" s="78" t="b">
        <f ca="1">$S$30=X101</f>
        <v>0</v>
      </c>
    </row>
    <row r="102" spans="1:27" x14ac:dyDescent="0.25">
      <c r="A102" s="97" t="s">
        <v>157</v>
      </c>
      <c r="B102" s="97" t="str">
        <f>INSCRITS!C21</f>
        <v>2C</v>
      </c>
      <c r="C102" s="249"/>
      <c r="D102" s="94" t="s">
        <v>189</v>
      </c>
      <c r="E102" s="249"/>
      <c r="F102" s="97" t="str">
        <f>INSCRITS!C27</f>
        <v>8C</v>
      </c>
      <c r="G102" s="97" t="s">
        <v>163</v>
      </c>
      <c r="X102" s="78" t="str">
        <f ca="1">INDIRECT("B"&amp;102) &amp; CHAR(10) &amp; "vs" &amp; CHAR(10) &amp; INDIRECT("F"&amp;102)</f>
        <v>2C
vs
8C</v>
      </c>
      <c r="Y102" s="78" t="b">
        <f ca="1">$S$10=X102</f>
        <v>0</v>
      </c>
      <c r="Z102" s="78" t="b">
        <f ca="1">$S$20=X102</f>
        <v>0</v>
      </c>
      <c r="AA102" s="78" t="b">
        <f ca="1">$S$30=X102</f>
        <v>0</v>
      </c>
    </row>
    <row r="103" spans="1:27" x14ac:dyDescent="0.25">
      <c r="A103" s="97" t="s">
        <v>158</v>
      </c>
      <c r="B103" s="97" t="str">
        <f>INSCRITS!C22</f>
        <v>3C</v>
      </c>
      <c r="C103" s="249"/>
      <c r="D103" s="94" t="s">
        <v>190</v>
      </c>
      <c r="E103" s="249"/>
      <c r="F103" s="97" t="str">
        <f>INSCRITS!C24</f>
        <v>5C</v>
      </c>
      <c r="G103" s="97" t="s">
        <v>160</v>
      </c>
      <c r="X103" s="78" t="str">
        <f ca="1">INDIRECT("B"&amp;103) &amp; CHAR(10) &amp; "vs" &amp; CHAR(10) &amp; INDIRECT("F"&amp;103)</f>
        <v>3C
vs
5C</v>
      </c>
      <c r="Y103" s="78" t="b">
        <f ca="1">$S$10=X103</f>
        <v>0</v>
      </c>
      <c r="Z103" s="78" t="b">
        <f ca="1">$S$20=X103</f>
        <v>0</v>
      </c>
      <c r="AA103" s="78" t="b">
        <f ca="1">$S$30=X103</f>
        <v>0</v>
      </c>
    </row>
    <row r="104" spans="1:27" x14ac:dyDescent="0.25">
      <c r="A104" s="97" t="s">
        <v>159</v>
      </c>
      <c r="B104" s="97" t="str">
        <f>INSCRITS!C23</f>
        <v>4C</v>
      </c>
      <c r="C104" s="249"/>
      <c r="D104" s="94" t="s">
        <v>191</v>
      </c>
      <c r="E104" s="249"/>
      <c r="F104" s="97" t="str">
        <f>INSCRITS!C25</f>
        <v>6C</v>
      </c>
      <c r="G104" s="97" t="s">
        <v>161</v>
      </c>
      <c r="X104" s="78" t="str">
        <f ca="1">INDIRECT("B"&amp;104) &amp; CHAR(10) &amp; "vs" &amp; CHAR(10) &amp; INDIRECT("F"&amp;104)</f>
        <v>4C
vs
6C</v>
      </c>
      <c r="Y104" s="78" t="b">
        <f ca="1">$S$10=X104</f>
        <v>0</v>
      </c>
      <c r="Z104" s="78" t="b">
        <f ca="1">$S$20=X104</f>
        <v>0</v>
      </c>
      <c r="AA104" s="78" t="b">
        <f ca="1">$S$30=X104</f>
        <v>0</v>
      </c>
    </row>
    <row r="105" spans="1:27" x14ac:dyDescent="0.25">
      <c r="A105" s="98" t="s">
        <v>164</v>
      </c>
      <c r="B105" s="98" t="str">
        <f>INSCRITS!C29</f>
        <v>1D</v>
      </c>
      <c r="C105" s="249"/>
      <c r="D105" s="94" t="s">
        <v>192</v>
      </c>
      <c r="E105" s="249"/>
      <c r="F105" s="98" t="str">
        <f>INSCRITS!C35</f>
        <v>7D</v>
      </c>
      <c r="G105" s="98" t="s">
        <v>170</v>
      </c>
      <c r="X105" s="78" t="str">
        <f ca="1">INDIRECT("B"&amp;105) &amp; CHAR(10) &amp; "vs" &amp; CHAR(10) &amp; INDIRECT("F"&amp;105)</f>
        <v>1D
vs
7D</v>
      </c>
      <c r="Y105" s="78" t="b">
        <f ca="1">$S$10=X105</f>
        <v>0</v>
      </c>
      <c r="Z105" s="78" t="b">
        <f ca="1">$S$20=X105</f>
        <v>0</v>
      </c>
      <c r="AA105" s="78" t="b">
        <f ca="1">$S$30=X105</f>
        <v>0</v>
      </c>
    </row>
    <row r="106" spans="1:27" x14ac:dyDescent="0.25">
      <c r="A106" s="98" t="s">
        <v>165</v>
      </c>
      <c r="B106" s="98" t="str">
        <f>INSCRITS!C30</f>
        <v>2D</v>
      </c>
      <c r="C106" s="249"/>
      <c r="D106" s="94" t="s">
        <v>193</v>
      </c>
      <c r="E106" s="249"/>
      <c r="F106" s="98" t="str">
        <f>INSCRITS!C36</f>
        <v>8D</v>
      </c>
      <c r="G106" s="98" t="s">
        <v>171</v>
      </c>
      <c r="X106" s="78" t="str">
        <f ca="1">INDIRECT("B"&amp;106) &amp; CHAR(10) &amp; "vs" &amp; CHAR(10) &amp; INDIRECT("F"&amp;106)</f>
        <v>2D
vs
8D</v>
      </c>
      <c r="Y106" s="78" t="b">
        <f ca="1">$S$10=X106</f>
        <v>0</v>
      </c>
      <c r="Z106" s="78" t="b">
        <f ca="1">$S$20=X106</f>
        <v>0</v>
      </c>
      <c r="AA106" s="78" t="b">
        <f ca="1">$S$30=X106</f>
        <v>0</v>
      </c>
    </row>
    <row r="107" spans="1:27" x14ac:dyDescent="0.25">
      <c r="A107" s="98" t="s">
        <v>166</v>
      </c>
      <c r="B107" s="98" t="str">
        <f>INSCRITS!C31</f>
        <v>3D</v>
      </c>
      <c r="C107" s="249"/>
      <c r="D107" s="94" t="s">
        <v>194</v>
      </c>
      <c r="E107" s="249"/>
      <c r="F107" s="98" t="str">
        <f>INSCRITS!C33</f>
        <v>5D</v>
      </c>
      <c r="G107" s="98" t="s">
        <v>168</v>
      </c>
      <c r="X107" s="78" t="str">
        <f ca="1">INDIRECT("B"&amp;107) &amp; CHAR(10) &amp; "vs" &amp; CHAR(10) &amp; INDIRECT("F"&amp;107)</f>
        <v>3D
vs
5D</v>
      </c>
      <c r="Y107" s="78" t="b">
        <f ca="1">$S$10=X107</f>
        <v>0</v>
      </c>
      <c r="Z107" s="78" t="b">
        <f ca="1">$S$20=X107</f>
        <v>0</v>
      </c>
      <c r="AA107" s="78" t="b">
        <f ca="1">$S$30=X107</f>
        <v>0</v>
      </c>
    </row>
    <row r="108" spans="1:27" x14ac:dyDescent="0.25">
      <c r="A108" s="98" t="s">
        <v>167</v>
      </c>
      <c r="B108" s="98" t="str">
        <f>INSCRITS!C32</f>
        <v>4D</v>
      </c>
      <c r="C108" s="249"/>
      <c r="D108" s="94" t="s">
        <v>195</v>
      </c>
      <c r="E108" s="249"/>
      <c r="F108" s="98" t="str">
        <f>INSCRITS!C34</f>
        <v>6D</v>
      </c>
      <c r="G108" s="98" t="s">
        <v>169</v>
      </c>
      <c r="X108" s="78" t="str">
        <f ca="1">INDIRECT("B"&amp;108) &amp; CHAR(10) &amp; "vs" &amp; CHAR(10) &amp; INDIRECT("F"&amp;108)</f>
        <v>4D
vs
6D</v>
      </c>
      <c r="Y108" s="78" t="b">
        <f ca="1">$S$10=X108</f>
        <v>0</v>
      </c>
      <c r="Z108" s="78" t="b">
        <f ca="1">$S$20=X108</f>
        <v>0</v>
      </c>
      <c r="AA108" s="78" t="b">
        <f ca="1">$S$30=X108</f>
        <v>0</v>
      </c>
    </row>
    <row r="109" spans="1:27" x14ac:dyDescent="0.25">
      <c r="A109" s="93"/>
      <c r="B109" s="93"/>
      <c r="C109" s="99" t="str">
        <f>CHAR(160)</f>
        <v> </v>
      </c>
      <c r="D109" s="248">
        <f>0.944444444444446 + "00:20:00"</f>
        <v>0.95833333333333481</v>
      </c>
      <c r="E109" s="99" t="str">
        <f>CHAR(160)</f>
        <v> </v>
      </c>
      <c r="F109" s="93"/>
      <c r="G109" s="93"/>
      <c r="X109" s="78" t="str">
        <f ca="1">INDIRECT("B"&amp;109) &amp; CHAR(10) &amp; "vs" &amp; CHAR(10) &amp; INDIRECT("F"&amp;109)</f>
        <v xml:space="preserve">
vs
</v>
      </c>
      <c r="Y109" s="78" t="b">
        <f ca="1">$S$10=X109</f>
        <v>0</v>
      </c>
      <c r="Z109" s="78" t="b">
        <f ca="1">$S$20=X109</f>
        <v>0</v>
      </c>
      <c r="AA109" s="78" t="b">
        <f ca="1">$S$30=X109</f>
        <v>0</v>
      </c>
    </row>
    <row r="110" spans="1:27" x14ac:dyDescent="0.25">
      <c r="A110" s="95" t="s">
        <v>120</v>
      </c>
      <c r="B110" s="95" t="str">
        <f>INSCRITS!C2</f>
        <v>1A</v>
      </c>
      <c r="C110" s="249"/>
      <c r="D110" s="94" t="s">
        <v>180</v>
      </c>
      <c r="E110" s="249"/>
      <c r="F110" s="95" t="str">
        <f>INSCRITS!C9</f>
        <v>8A</v>
      </c>
      <c r="G110" s="95" t="s">
        <v>151</v>
      </c>
      <c r="X110" s="78" t="str">
        <f ca="1">INDIRECT("B"&amp;110) &amp; CHAR(10) &amp; "vs" &amp; CHAR(10) &amp; INDIRECT("F"&amp;110)</f>
        <v>1A
vs
8A</v>
      </c>
      <c r="Y110" s="78" t="b">
        <f ca="1">$S$10=X110</f>
        <v>0</v>
      </c>
      <c r="Z110" s="78" t="b">
        <f ca="1">$S$20=X110</f>
        <v>0</v>
      </c>
      <c r="AA110" s="78" t="b">
        <f ca="1">$S$30=X110</f>
        <v>0</v>
      </c>
    </row>
    <row r="111" spans="1:27" x14ac:dyDescent="0.25">
      <c r="A111" s="95" t="s">
        <v>121</v>
      </c>
      <c r="B111" s="95" t="str">
        <f>INSCRITS!C3</f>
        <v>2A</v>
      </c>
      <c r="C111" s="249"/>
      <c r="D111" s="94" t="s">
        <v>181</v>
      </c>
      <c r="E111" s="249"/>
      <c r="F111" s="95" t="str">
        <f>INSCRITS!C8</f>
        <v>7A</v>
      </c>
      <c r="G111" s="95" t="s">
        <v>150</v>
      </c>
      <c r="X111" s="78" t="str">
        <f ca="1">INDIRECT("B"&amp;111) &amp; CHAR(10) &amp; "vs" &amp; CHAR(10) &amp; INDIRECT("F"&amp;111)</f>
        <v>2A
vs
7A</v>
      </c>
      <c r="Y111" s="78" t="b">
        <f ca="1">$S$10=X111</f>
        <v>0</v>
      </c>
      <c r="Z111" s="78" t="b">
        <f ca="1">$S$20=X111</f>
        <v>0</v>
      </c>
      <c r="AA111" s="78" t="b">
        <f ca="1">$S$30=X111</f>
        <v>0</v>
      </c>
    </row>
    <row r="112" spans="1:27" x14ac:dyDescent="0.25">
      <c r="A112" s="95" t="s">
        <v>122</v>
      </c>
      <c r="B112" s="95" t="str">
        <f>INSCRITS!C4</f>
        <v>3A</v>
      </c>
      <c r="C112" s="249"/>
      <c r="D112" s="94" t="s">
        <v>182</v>
      </c>
      <c r="E112" s="249"/>
      <c r="F112" s="95" t="str">
        <f>INSCRITS!C7</f>
        <v>6A</v>
      </c>
      <c r="G112" s="95" t="s">
        <v>149</v>
      </c>
      <c r="X112" s="78" t="str">
        <f ca="1">INDIRECT("B"&amp;112) &amp; CHAR(10) &amp; "vs" &amp; CHAR(10) &amp; INDIRECT("F"&amp;112)</f>
        <v>3A
vs
6A</v>
      </c>
      <c r="Y112" s="78" t="b">
        <f ca="1">$S$10=X112</f>
        <v>0</v>
      </c>
      <c r="Z112" s="78" t="b">
        <f ca="1">$S$20=X112</f>
        <v>0</v>
      </c>
      <c r="AA112" s="78" t="b">
        <f ca="1">$S$30=X112</f>
        <v>0</v>
      </c>
    </row>
    <row r="113" spans="1:27" x14ac:dyDescent="0.25">
      <c r="A113" s="95" t="s">
        <v>123</v>
      </c>
      <c r="B113" s="95" t="str">
        <f>INSCRITS!C5</f>
        <v>4A</v>
      </c>
      <c r="C113" s="249"/>
      <c r="D113" s="94" t="s">
        <v>183</v>
      </c>
      <c r="E113" s="249"/>
      <c r="F113" s="95" t="str">
        <f>INSCRITS!C6</f>
        <v>5A</v>
      </c>
      <c r="G113" s="95" t="s">
        <v>148</v>
      </c>
      <c r="X113" s="78" t="str">
        <f ca="1">INDIRECT("B"&amp;113) &amp; CHAR(10) &amp; "vs" &amp; CHAR(10) &amp; INDIRECT("F"&amp;113)</f>
        <v>4A
vs
5A</v>
      </c>
      <c r="Y113" s="78" t="b">
        <f ca="1">$S$10=X113</f>
        <v>0</v>
      </c>
      <c r="Z113" s="78" t="b">
        <f ca="1">$S$20=X113</f>
        <v>0</v>
      </c>
      <c r="AA113" s="78" t="b">
        <f ca="1">$S$30=X113</f>
        <v>0</v>
      </c>
    </row>
    <row r="114" spans="1:27" x14ac:dyDescent="0.25">
      <c r="A114" s="96" t="s">
        <v>124</v>
      </c>
      <c r="B114" s="96" t="str">
        <f>INSCRITS!C11</f>
        <v>1B</v>
      </c>
      <c r="C114" s="249"/>
      <c r="D114" s="94" t="s">
        <v>184</v>
      </c>
      <c r="E114" s="249"/>
      <c r="F114" s="96" t="str">
        <f>INSCRITS!C18</f>
        <v>8B</v>
      </c>
      <c r="G114" s="96" t="s">
        <v>155</v>
      </c>
      <c r="X114" s="78" t="str">
        <f ca="1">INDIRECT("B"&amp;114) &amp; CHAR(10) &amp; "vs" &amp; CHAR(10) &amp; INDIRECT("F"&amp;114)</f>
        <v>1B
vs
8B</v>
      </c>
      <c r="Y114" s="78" t="b">
        <f ca="1">$S$10=X114</f>
        <v>0</v>
      </c>
      <c r="Z114" s="78" t="b">
        <f ca="1">$S$20=X114</f>
        <v>0</v>
      </c>
      <c r="AA114" s="78" t="b">
        <f ca="1">$S$30=X114</f>
        <v>0</v>
      </c>
    </row>
    <row r="115" spans="1:27" x14ac:dyDescent="0.25">
      <c r="A115" s="96" t="s">
        <v>125</v>
      </c>
      <c r="B115" s="96" t="str">
        <f>INSCRITS!C12</f>
        <v>2B</v>
      </c>
      <c r="C115" s="249"/>
      <c r="D115" s="94" t="s">
        <v>185</v>
      </c>
      <c r="E115" s="249"/>
      <c r="F115" s="96" t="str">
        <f>INSCRITS!C17</f>
        <v>7B</v>
      </c>
      <c r="G115" s="96" t="s">
        <v>154</v>
      </c>
      <c r="X115" s="78" t="str">
        <f ca="1">INDIRECT("B"&amp;115) &amp; CHAR(10) &amp; "vs" &amp; CHAR(10) &amp; INDIRECT("F"&amp;115)</f>
        <v>2B
vs
7B</v>
      </c>
      <c r="Y115" s="78" t="b">
        <f ca="1">$S$10=X115</f>
        <v>0</v>
      </c>
      <c r="Z115" s="78" t="b">
        <f ca="1">$S$20=X115</f>
        <v>0</v>
      </c>
      <c r="AA115" s="78" t="b">
        <f ca="1">$S$30=X115</f>
        <v>0</v>
      </c>
    </row>
    <row r="116" spans="1:27" x14ac:dyDescent="0.25">
      <c r="A116" s="96" t="s">
        <v>126</v>
      </c>
      <c r="B116" s="96" t="str">
        <f>INSCRITS!C13</f>
        <v>3B</v>
      </c>
      <c r="C116" s="249"/>
      <c r="D116" s="94" t="s">
        <v>186</v>
      </c>
      <c r="E116" s="249"/>
      <c r="F116" s="96" t="str">
        <f>INSCRITS!C16</f>
        <v>6B</v>
      </c>
      <c r="G116" s="96" t="s">
        <v>153</v>
      </c>
      <c r="X116" s="78" t="str">
        <f ca="1">INDIRECT("B"&amp;116) &amp; CHAR(10) &amp; "vs" &amp; CHAR(10) &amp; INDIRECT("F"&amp;116)</f>
        <v>3B
vs
6B</v>
      </c>
      <c r="Y116" s="78" t="b">
        <f ca="1">$S$10=X116</f>
        <v>0</v>
      </c>
      <c r="Z116" s="78" t="b">
        <f ca="1">$S$20=X116</f>
        <v>0</v>
      </c>
      <c r="AA116" s="78" t="b">
        <f ca="1">$S$30=X116</f>
        <v>0</v>
      </c>
    </row>
    <row r="117" spans="1:27" x14ac:dyDescent="0.25">
      <c r="A117" s="96" t="s">
        <v>127</v>
      </c>
      <c r="B117" s="96" t="str">
        <f>INSCRITS!C14</f>
        <v>4B</v>
      </c>
      <c r="C117" s="249"/>
      <c r="D117" s="94" t="s">
        <v>187</v>
      </c>
      <c r="E117" s="249"/>
      <c r="F117" s="96" t="str">
        <f>INSCRITS!C15</f>
        <v>5B</v>
      </c>
      <c r="G117" s="96" t="s">
        <v>152</v>
      </c>
      <c r="X117" s="78" t="str">
        <f ca="1">INDIRECT("B"&amp;117) &amp; CHAR(10) &amp; "vs" &amp; CHAR(10) &amp; INDIRECT("F"&amp;117)</f>
        <v>4B
vs
5B</v>
      </c>
      <c r="Y117" s="78" t="b">
        <f ca="1">$S$10=X117</f>
        <v>0</v>
      </c>
      <c r="Z117" s="78" t="b">
        <f ca="1">$S$20=X117</f>
        <v>0</v>
      </c>
      <c r="AA117" s="78" t="b">
        <f ca="1">$S$30=X117</f>
        <v>0</v>
      </c>
    </row>
    <row r="118" spans="1:27" x14ac:dyDescent="0.25">
      <c r="A118" s="93"/>
      <c r="B118" s="93"/>
      <c r="C118" s="99" t="str">
        <f>CHAR(160)</f>
        <v> </v>
      </c>
      <c r="D118" s="248">
        <f>0.958333333333335 + "00:20:00"</f>
        <v>0.97222222222222388</v>
      </c>
      <c r="E118" s="99" t="str">
        <f>CHAR(160)</f>
        <v> </v>
      </c>
      <c r="F118" s="93"/>
      <c r="G118" s="93"/>
      <c r="X118" s="78" t="str">
        <f ca="1">INDIRECT("B"&amp;118) &amp; CHAR(10) &amp; "vs" &amp; CHAR(10) &amp; INDIRECT("F"&amp;118)</f>
        <v xml:space="preserve">
vs
</v>
      </c>
      <c r="Y118" s="78" t="b">
        <f ca="1">$S$10=X118</f>
        <v>0</v>
      </c>
      <c r="Z118" s="78" t="b">
        <f ca="1">$S$20=X118</f>
        <v>0</v>
      </c>
      <c r="AA118" s="78" t="b">
        <f ca="1">$S$30=X118</f>
        <v>0</v>
      </c>
    </row>
    <row r="119" spans="1:27" x14ac:dyDescent="0.25">
      <c r="A119" s="97" t="s">
        <v>156</v>
      </c>
      <c r="B119" s="97" t="str">
        <f>INSCRITS!C20</f>
        <v>1C</v>
      </c>
      <c r="C119" s="249"/>
      <c r="D119" s="94" t="s">
        <v>188</v>
      </c>
      <c r="E119" s="249"/>
      <c r="F119" s="97" t="str">
        <f>INSCRITS!C27</f>
        <v>8C</v>
      </c>
      <c r="G119" s="97" t="s">
        <v>163</v>
      </c>
      <c r="X119" s="78" t="str">
        <f ca="1">INDIRECT("B"&amp;119) &amp; CHAR(10) &amp; "vs" &amp; CHAR(10) &amp; INDIRECT("F"&amp;119)</f>
        <v>1C
vs
8C</v>
      </c>
      <c r="Y119" s="78" t="b">
        <f ca="1">$S$10=X119</f>
        <v>0</v>
      </c>
      <c r="Z119" s="78" t="b">
        <f ca="1">$S$20=X119</f>
        <v>0</v>
      </c>
      <c r="AA119" s="78" t="b">
        <f ca="1">$S$30=X119</f>
        <v>0</v>
      </c>
    </row>
    <row r="120" spans="1:27" x14ac:dyDescent="0.25">
      <c r="A120" s="97" t="s">
        <v>157</v>
      </c>
      <c r="B120" s="97" t="str">
        <f>INSCRITS!C21</f>
        <v>2C</v>
      </c>
      <c r="C120" s="249"/>
      <c r="D120" s="94" t="s">
        <v>189</v>
      </c>
      <c r="E120" s="249"/>
      <c r="F120" s="97" t="str">
        <f>INSCRITS!C26</f>
        <v>7C</v>
      </c>
      <c r="G120" s="97" t="s">
        <v>162</v>
      </c>
      <c r="X120" s="78" t="str">
        <f ca="1">INDIRECT("B"&amp;120) &amp; CHAR(10) &amp; "vs" &amp; CHAR(10) &amp; INDIRECT("F"&amp;120)</f>
        <v>2C
vs
7C</v>
      </c>
      <c r="Y120" s="78" t="b">
        <f ca="1">$S$10=X120</f>
        <v>0</v>
      </c>
      <c r="Z120" s="78" t="b">
        <f ca="1">$S$20=X120</f>
        <v>0</v>
      </c>
      <c r="AA120" s="78" t="b">
        <f ca="1">$S$30=X120</f>
        <v>0</v>
      </c>
    </row>
    <row r="121" spans="1:27" x14ac:dyDescent="0.25">
      <c r="A121" s="97" t="s">
        <v>158</v>
      </c>
      <c r="B121" s="97" t="str">
        <f>INSCRITS!C22</f>
        <v>3C</v>
      </c>
      <c r="C121" s="249"/>
      <c r="D121" s="94" t="s">
        <v>190</v>
      </c>
      <c r="E121" s="249"/>
      <c r="F121" s="97" t="str">
        <f>INSCRITS!C25</f>
        <v>6C</v>
      </c>
      <c r="G121" s="97" t="s">
        <v>161</v>
      </c>
      <c r="X121" s="78" t="str">
        <f ca="1">INDIRECT("B"&amp;121) &amp; CHAR(10) &amp; "vs" &amp; CHAR(10) &amp; INDIRECT("F"&amp;121)</f>
        <v>3C
vs
6C</v>
      </c>
      <c r="Y121" s="78" t="b">
        <f ca="1">$S$10=X121</f>
        <v>0</v>
      </c>
      <c r="Z121" s="78" t="b">
        <f ca="1">$S$20=X121</f>
        <v>0</v>
      </c>
      <c r="AA121" s="78" t="b">
        <f ca="1">$S$30=X121</f>
        <v>0</v>
      </c>
    </row>
    <row r="122" spans="1:27" x14ac:dyDescent="0.25">
      <c r="A122" s="97" t="s">
        <v>159</v>
      </c>
      <c r="B122" s="97" t="str">
        <f>INSCRITS!C23</f>
        <v>4C</v>
      </c>
      <c r="C122" s="249"/>
      <c r="D122" s="94" t="s">
        <v>191</v>
      </c>
      <c r="E122" s="249"/>
      <c r="F122" s="97" t="str">
        <f>INSCRITS!C24</f>
        <v>5C</v>
      </c>
      <c r="G122" s="97" t="s">
        <v>160</v>
      </c>
      <c r="X122" s="78" t="str">
        <f ca="1">INDIRECT("B"&amp;122) &amp; CHAR(10) &amp; "vs" &amp; CHAR(10) &amp; INDIRECT("F"&amp;122)</f>
        <v>4C
vs
5C</v>
      </c>
      <c r="Y122" s="78" t="b">
        <f ca="1">$S$10=X122</f>
        <v>0</v>
      </c>
      <c r="Z122" s="78" t="b">
        <f ca="1">$S$20=X122</f>
        <v>0</v>
      </c>
      <c r="AA122" s="78" t="b">
        <f ca="1">$S$30=X122</f>
        <v>0</v>
      </c>
    </row>
    <row r="123" spans="1:27" x14ac:dyDescent="0.25">
      <c r="A123" s="98" t="s">
        <v>164</v>
      </c>
      <c r="B123" s="98" t="str">
        <f>INSCRITS!C29</f>
        <v>1D</v>
      </c>
      <c r="C123" s="249"/>
      <c r="D123" s="94" t="s">
        <v>192</v>
      </c>
      <c r="E123" s="249"/>
      <c r="F123" s="98" t="str">
        <f>INSCRITS!C36</f>
        <v>8D</v>
      </c>
      <c r="G123" s="98" t="s">
        <v>171</v>
      </c>
      <c r="X123" s="78" t="str">
        <f ca="1">INDIRECT("B"&amp;123) &amp; CHAR(10) &amp; "vs" &amp; CHAR(10) &amp; INDIRECT("F"&amp;123)</f>
        <v>1D
vs
8D</v>
      </c>
      <c r="Y123" s="78" t="b">
        <f ca="1">$S$10=X123</f>
        <v>0</v>
      </c>
      <c r="Z123" s="78" t="b">
        <f ca="1">$S$20=X123</f>
        <v>0</v>
      </c>
      <c r="AA123" s="78" t="b">
        <f ca="1">$S$30=X123</f>
        <v>0</v>
      </c>
    </row>
    <row r="124" spans="1:27" x14ac:dyDescent="0.25">
      <c r="A124" s="98" t="s">
        <v>165</v>
      </c>
      <c r="B124" s="98" t="str">
        <f>INSCRITS!C30</f>
        <v>2D</v>
      </c>
      <c r="C124" s="249"/>
      <c r="D124" s="94" t="s">
        <v>193</v>
      </c>
      <c r="E124" s="249"/>
      <c r="F124" s="98" t="str">
        <f>INSCRITS!C35</f>
        <v>7D</v>
      </c>
      <c r="G124" s="98" t="s">
        <v>170</v>
      </c>
      <c r="X124" s="78" t="str">
        <f ca="1">INDIRECT("B"&amp;124) &amp; CHAR(10) &amp; "vs" &amp; CHAR(10) &amp; INDIRECT("F"&amp;124)</f>
        <v>2D
vs
7D</v>
      </c>
      <c r="Y124" s="78" t="b">
        <f ca="1">$S$10=X124</f>
        <v>0</v>
      </c>
      <c r="Z124" s="78" t="b">
        <f ca="1">$S$20=X124</f>
        <v>0</v>
      </c>
      <c r="AA124" s="78" t="b">
        <f ca="1">$S$30=X124</f>
        <v>0</v>
      </c>
    </row>
    <row r="125" spans="1:27" x14ac:dyDescent="0.25">
      <c r="A125" s="98" t="s">
        <v>166</v>
      </c>
      <c r="B125" s="98" t="str">
        <f>INSCRITS!C31</f>
        <v>3D</v>
      </c>
      <c r="C125" s="249"/>
      <c r="D125" s="94" t="s">
        <v>194</v>
      </c>
      <c r="E125" s="249"/>
      <c r="F125" s="98" t="str">
        <f>INSCRITS!C34</f>
        <v>6D</v>
      </c>
      <c r="G125" s="98" t="s">
        <v>169</v>
      </c>
      <c r="X125" s="78" t="str">
        <f ca="1">INDIRECT("B"&amp;125) &amp; CHAR(10) &amp; "vs" &amp; CHAR(10) &amp; INDIRECT("F"&amp;125)</f>
        <v>3D
vs
6D</v>
      </c>
      <c r="Y125" s="78" t="b">
        <f ca="1">$S$10=X125</f>
        <v>0</v>
      </c>
      <c r="Z125" s="78" t="b">
        <f ca="1">$S$20=X125</f>
        <v>0</v>
      </c>
      <c r="AA125" s="78" t="b">
        <f ca="1">$S$30=X125</f>
        <v>0</v>
      </c>
    </row>
    <row r="126" spans="1:27" x14ac:dyDescent="0.25">
      <c r="A126" s="98" t="s">
        <v>167</v>
      </c>
      <c r="B126" s="98" t="str">
        <f>INSCRITS!C32</f>
        <v>4D</v>
      </c>
      <c r="C126" s="249"/>
      <c r="D126" s="94" t="s">
        <v>195</v>
      </c>
      <c r="E126" s="249"/>
      <c r="F126" s="98" t="str">
        <f>INSCRITS!C33</f>
        <v>5D</v>
      </c>
      <c r="G126" s="98" t="s">
        <v>168</v>
      </c>
      <c r="X126" s="78" t="str">
        <f ca="1">INDIRECT("B"&amp;126) &amp; CHAR(10) &amp; "vs" &amp; CHAR(10) &amp; INDIRECT("F"&amp;126)</f>
        <v>4D
vs
5D</v>
      </c>
      <c r="Y126" s="78" t="b">
        <f ca="1">$S$10=X126</f>
        <v>0</v>
      </c>
      <c r="Z126" s="78" t="b">
        <f ca="1">$S$20=X126</f>
        <v>0</v>
      </c>
      <c r="AA126" s="78" t="b">
        <f ca="1">$S$30=X126</f>
        <v>0</v>
      </c>
    </row>
    <row r="127" spans="1:27" x14ac:dyDescent="0.25">
      <c r="A127" s="93"/>
      <c r="B127" s="93"/>
      <c r="C127" s="99" t="str">
        <f>CHAR(160)</f>
        <v> </v>
      </c>
      <c r="D127" s="248">
        <f>0.972222222222224 + "00:20:00"</f>
        <v>0.98611111111111283</v>
      </c>
      <c r="E127" s="99" t="str">
        <f>CHAR(160)</f>
        <v> </v>
      </c>
      <c r="F127" s="93"/>
      <c r="G127" s="93"/>
      <c r="X127" s="78" t="str">
        <f ca="1">INDIRECT("B"&amp;127) &amp; CHAR(10) &amp; "vs" &amp; CHAR(10) &amp; INDIRECT("F"&amp;127)</f>
        <v xml:space="preserve">
vs
</v>
      </c>
      <c r="Y127" s="78" t="b">
        <f ca="1">$S$10=X127</f>
        <v>0</v>
      </c>
      <c r="Z127" s="78" t="b">
        <f ca="1">$S$20=X127</f>
        <v>0</v>
      </c>
      <c r="AA127" s="78" t="b">
        <f ca="1">$S$30=X127</f>
        <v>0</v>
      </c>
    </row>
    <row r="128" spans="1:27" x14ac:dyDescent="0.25">
      <c r="X128" s="78" t="str">
        <f ca="1">INDIRECT("B"&amp;128) &amp; CHAR(10) &amp; "vs" &amp; CHAR(10) &amp; INDIRECT("F"&amp;128)</f>
        <v xml:space="preserve">
vs
</v>
      </c>
      <c r="Y128" s="78" t="b">
        <f ca="1">$S$10=X128</f>
        <v>0</v>
      </c>
      <c r="Z128" s="78" t="b">
        <f ca="1">$S$20=X128</f>
        <v>0</v>
      </c>
      <c r="AA128" s="78" t="b">
        <f ca="1">$S$30=X128</f>
        <v>0</v>
      </c>
    </row>
    <row r="129" spans="4:27" x14ac:dyDescent="0.25">
      <c r="X129" s="78" t="str">
        <f ca="1">INDIRECT("B"&amp;129) &amp; CHAR(10) &amp; "vs" &amp; CHAR(10) &amp; INDIRECT("F"&amp;129)</f>
        <v xml:space="preserve">
vs
</v>
      </c>
      <c r="Y129" s="78" t="b">
        <f ca="1">$S$10=X129</f>
        <v>0</v>
      </c>
      <c r="Z129" s="78" t="b">
        <f ca="1">$S$20=X129</f>
        <v>0</v>
      </c>
      <c r="AA129" s="78" t="b">
        <f ca="1">$S$30=X129</f>
        <v>0</v>
      </c>
    </row>
    <row r="130" spans="4:27" x14ac:dyDescent="0.25">
      <c r="X130" s="78" t="str">
        <f ca="1">INDIRECT("B"&amp;130) &amp; CHAR(10) &amp; "vs" &amp; CHAR(10) &amp; INDIRECT("F"&amp;130)</f>
        <v xml:space="preserve">
vs
</v>
      </c>
      <c r="Y130" s="78" t="b">
        <f ca="1">$S$10=X130</f>
        <v>0</v>
      </c>
      <c r="Z130" s="78" t="b">
        <f ca="1">$S$20=X130</f>
        <v>0</v>
      </c>
      <c r="AA130" s="78" t="b">
        <f ca="1">$S$30=X130</f>
        <v>0</v>
      </c>
    </row>
    <row r="131" spans="4:27" x14ac:dyDescent="0.25">
      <c r="X131" s="78" t="str">
        <f ca="1">INDIRECT("B"&amp;131) &amp; CHAR(10) &amp; "vs" &amp; CHAR(10) &amp; INDIRECT("F"&amp;131)</f>
        <v xml:space="preserve">
vs
</v>
      </c>
      <c r="Y131" s="78" t="b">
        <f ca="1">$S$10=X131</f>
        <v>0</v>
      </c>
      <c r="Z131" s="78" t="b">
        <f ca="1">$S$20=X131</f>
        <v>0</v>
      </c>
      <c r="AA131" s="78" t="b">
        <f ca="1">$S$30=X131</f>
        <v>0</v>
      </c>
    </row>
    <row r="132" spans="4:27" x14ac:dyDescent="0.25">
      <c r="X132" s="78" t="str">
        <f ca="1">INDIRECT("B"&amp;132) &amp; CHAR(10) &amp; "vs" &amp; CHAR(10) &amp; INDIRECT("F"&amp;132)</f>
        <v xml:space="preserve">
vs
</v>
      </c>
      <c r="Y132" s="78" t="b">
        <f ca="1">$S$10=X132</f>
        <v>0</v>
      </c>
      <c r="Z132" s="78" t="b">
        <f ca="1">$S$20=X132</f>
        <v>0</v>
      </c>
      <c r="AA132" s="78" t="b">
        <f ca="1">$S$30=X132</f>
        <v>0</v>
      </c>
    </row>
    <row r="133" spans="4:27" x14ac:dyDescent="0.25">
      <c r="X133" s="78" t="str">
        <f ca="1">INDIRECT("B"&amp;133) &amp; CHAR(10) &amp; "vs" &amp; CHAR(10) &amp; INDIRECT("F"&amp;133)</f>
        <v xml:space="preserve">
vs
</v>
      </c>
      <c r="Y133" s="78" t="b">
        <f ca="1">$S$10=X133</f>
        <v>0</v>
      </c>
      <c r="Z133" s="78" t="b">
        <f ca="1">$S$20=X133</f>
        <v>0</v>
      </c>
      <c r="AA133" s="78" t="b">
        <f ca="1">$S$30=X133</f>
        <v>0</v>
      </c>
    </row>
    <row r="134" spans="4:27" x14ac:dyDescent="0.25">
      <c r="X134" s="78" t="str">
        <f ca="1">INDIRECT("B"&amp;134) &amp; CHAR(10) &amp; "vs" &amp; CHAR(10) &amp; INDIRECT("F"&amp;134)</f>
        <v xml:space="preserve">
vs
</v>
      </c>
      <c r="Y134" s="78" t="b">
        <f ca="1">$S$10=X134</f>
        <v>0</v>
      </c>
      <c r="Z134" s="78" t="b">
        <f ca="1">$S$20=X134</f>
        <v>0</v>
      </c>
      <c r="AA134" s="78" t="b">
        <f ca="1">$S$30=X134</f>
        <v>0</v>
      </c>
    </row>
    <row r="135" spans="4:27" x14ac:dyDescent="0.25">
      <c r="X135" s="78" t="str">
        <f ca="1">INDIRECT("B"&amp;135) &amp; CHAR(10) &amp; "vs" &amp; CHAR(10) &amp; INDIRECT("F"&amp;135)</f>
        <v xml:space="preserve">
vs
</v>
      </c>
      <c r="Y135" s="78" t="b">
        <f ca="1">$S$10=X135</f>
        <v>0</v>
      </c>
      <c r="Z135" s="78" t="b">
        <f ca="1">$S$20=X135</f>
        <v>0</v>
      </c>
      <c r="AA135" s="78" t="b">
        <f ca="1">$S$30=X135</f>
        <v>0</v>
      </c>
    </row>
    <row r="136" spans="4:27" x14ac:dyDescent="0.25">
      <c r="D136" s="78">
        <f>0.986111111111113 + "00:20:00"</f>
        <v>1.000000000000002</v>
      </c>
      <c r="X136" s="78" t="str">
        <f ca="1">INDIRECT("B"&amp;136) &amp; CHAR(10) &amp; "vs" &amp; CHAR(10) &amp; INDIRECT("F"&amp;136)</f>
        <v xml:space="preserve">
vs
</v>
      </c>
      <c r="Y136" s="78" t="b">
        <f ca="1">$S$10=X136</f>
        <v>0</v>
      </c>
      <c r="Z136" s="78" t="b">
        <f ca="1">$S$20=X136</f>
        <v>0</v>
      </c>
      <c r="AA136" s="78" t="b">
        <f ca="1">$S$30=X136</f>
        <v>0</v>
      </c>
    </row>
    <row r="137" spans="4:27" x14ac:dyDescent="0.25">
      <c r="X137" s="78" t="str">
        <f ca="1">INDIRECT("B"&amp;137) &amp; CHAR(10) &amp; "vs" &amp; CHAR(10) &amp; INDIRECT("F"&amp;137)</f>
        <v xml:space="preserve">
vs
</v>
      </c>
      <c r="Y137" s="78" t="b">
        <f ca="1">$S$10=X137</f>
        <v>0</v>
      </c>
      <c r="Z137" s="78" t="b">
        <f ca="1">$S$20=X137</f>
        <v>0</v>
      </c>
      <c r="AA137" s="78" t="b">
        <f ca="1">$S$30=X137</f>
        <v>0</v>
      </c>
    </row>
    <row r="138" spans="4:27" x14ac:dyDescent="0.25">
      <c r="X138" s="78" t="str">
        <f ca="1">INDIRECT("B"&amp;138) &amp; CHAR(10) &amp; "vs" &amp; CHAR(10) &amp; INDIRECT("F"&amp;138)</f>
        <v xml:space="preserve">
vs
</v>
      </c>
      <c r="Y138" s="78" t="b">
        <f ca="1">$S$10=X138</f>
        <v>0</v>
      </c>
      <c r="Z138" s="78" t="b">
        <f ca="1">$S$20=X138</f>
        <v>0</v>
      </c>
      <c r="AA138" s="78" t="b">
        <f ca="1">$S$30=X138</f>
        <v>0</v>
      </c>
    </row>
    <row r="139" spans="4:27" x14ac:dyDescent="0.25">
      <c r="X139" s="78" t="str">
        <f ca="1">INDIRECT("B"&amp;139) &amp; CHAR(10) &amp; "vs" &amp; CHAR(10) &amp; INDIRECT("F"&amp;139)</f>
        <v xml:space="preserve">
vs
</v>
      </c>
      <c r="Y139" s="78" t="b">
        <f ca="1">$S$10=X139</f>
        <v>0</v>
      </c>
      <c r="Z139" s="78" t="b">
        <f ca="1">$S$20=X139</f>
        <v>0</v>
      </c>
      <c r="AA139" s="78" t="b">
        <f ca="1">$S$30=X139</f>
        <v>0</v>
      </c>
    </row>
    <row r="140" spans="4:27" x14ac:dyDescent="0.25">
      <c r="X140" s="78" t="str">
        <f ca="1">INDIRECT("B"&amp;140) &amp; CHAR(10) &amp; "vs" &amp; CHAR(10) &amp; INDIRECT("F"&amp;140)</f>
        <v xml:space="preserve">
vs
</v>
      </c>
      <c r="Y140" s="78" t="b">
        <f ca="1">$S$10=X140</f>
        <v>0</v>
      </c>
      <c r="Z140" s="78" t="b">
        <f ca="1">$S$20=X140</f>
        <v>0</v>
      </c>
      <c r="AA140" s="78" t="b">
        <f ca="1">$S$30=X140</f>
        <v>0</v>
      </c>
    </row>
    <row r="141" spans="4:27" x14ac:dyDescent="0.25">
      <c r="X141" s="78" t="str">
        <f ca="1">INDIRECT("B"&amp;141) &amp; CHAR(10) &amp; "vs" &amp; CHAR(10) &amp; INDIRECT("F"&amp;141)</f>
        <v xml:space="preserve">
vs
</v>
      </c>
      <c r="Y141" s="78" t="b">
        <f ca="1">$S$10=X141</f>
        <v>0</v>
      </c>
      <c r="Z141" s="78" t="b">
        <f ca="1">$S$20=X141</f>
        <v>0</v>
      </c>
      <c r="AA141" s="78" t="b">
        <f ca="1">$S$30=X141</f>
        <v>0</v>
      </c>
    </row>
    <row r="142" spans="4:27" x14ac:dyDescent="0.25">
      <c r="X142" s="78" t="str">
        <f ca="1">INDIRECT("B"&amp;142) &amp; CHAR(10) &amp; "vs" &amp; CHAR(10) &amp; INDIRECT("F"&amp;142)</f>
        <v xml:space="preserve">
vs
</v>
      </c>
      <c r="Y142" s="78" t="b">
        <f ca="1">$S$10=X142</f>
        <v>0</v>
      </c>
      <c r="Z142" s="78" t="b">
        <f ca="1">$S$20=X142</f>
        <v>0</v>
      </c>
      <c r="AA142" s="78" t="b">
        <f ca="1">$S$30=X142</f>
        <v>0</v>
      </c>
    </row>
    <row r="143" spans="4:27" x14ac:dyDescent="0.25">
      <c r="X143" s="78" t="str">
        <f ca="1">INDIRECT("B"&amp;143) &amp; CHAR(10) &amp; "vs" &amp; CHAR(10) &amp; INDIRECT("F"&amp;143)</f>
        <v xml:space="preserve">
vs
</v>
      </c>
      <c r="Y143" s="78" t="b">
        <f ca="1">$S$10=X143</f>
        <v>0</v>
      </c>
      <c r="Z143" s="78" t="b">
        <f ca="1">$S$20=X143</f>
        <v>0</v>
      </c>
      <c r="AA143" s="78" t="b">
        <f ca="1">$S$30=X143</f>
        <v>0</v>
      </c>
    </row>
    <row r="144" spans="4:27" x14ac:dyDescent="0.25">
      <c r="X144" s="78" t="str">
        <f ca="1">INDIRECT("B"&amp;144) &amp; CHAR(10) &amp; "vs" &amp; CHAR(10) &amp; INDIRECT("F"&amp;144)</f>
        <v xml:space="preserve">
vs
</v>
      </c>
      <c r="Y144" s="78" t="b">
        <f ca="1">$S$10=X144</f>
        <v>0</v>
      </c>
      <c r="Z144" s="78" t="b">
        <f ca="1">$S$20=X144</f>
        <v>0</v>
      </c>
      <c r="AA144" s="78" t="b">
        <f ca="1">$S$30=X144</f>
        <v>0</v>
      </c>
    </row>
    <row r="145" spans="4:27" x14ac:dyDescent="0.25">
      <c r="D145" s="78">
        <f>1 + "00:20:00"</f>
        <v>1.0138888888888888</v>
      </c>
      <c r="X145" s="78" t="str">
        <f ca="1">INDIRECT("B"&amp;145) &amp; CHAR(10) &amp; "vs" &amp; CHAR(10) &amp; INDIRECT("F"&amp;145)</f>
        <v xml:space="preserve">
vs
</v>
      </c>
      <c r="Y145" s="78" t="b">
        <f ca="1">$S$10=X145</f>
        <v>0</v>
      </c>
      <c r="Z145" s="78" t="b">
        <f ca="1">$S$20=X145</f>
        <v>0</v>
      </c>
      <c r="AA145" s="78" t="b">
        <f ca="1">$S$30=X145</f>
        <v>0</v>
      </c>
    </row>
    <row r="146" spans="4:27" x14ac:dyDescent="0.25">
      <c r="X146" s="78" t="str">
        <f ca="1">INDIRECT("B"&amp;146) &amp; CHAR(10) &amp; "vs" &amp; CHAR(10) &amp; INDIRECT("F"&amp;146)</f>
        <v xml:space="preserve">
vs
</v>
      </c>
      <c r="Y146" s="78" t="b">
        <f ca="1">$S$10=X146</f>
        <v>0</v>
      </c>
      <c r="Z146" s="78" t="b">
        <f ca="1">$S$20=X146</f>
        <v>0</v>
      </c>
      <c r="AA146" s="78" t="b">
        <f ca="1">$S$30=X146</f>
        <v>0</v>
      </c>
    </row>
    <row r="147" spans="4:27" x14ac:dyDescent="0.25">
      <c r="X147" s="78" t="str">
        <f ca="1">INDIRECT("B"&amp;147) &amp; CHAR(10) &amp; "vs" &amp; CHAR(10) &amp; INDIRECT("F"&amp;147)</f>
        <v xml:space="preserve">
vs
</v>
      </c>
      <c r="Y147" s="78" t="b">
        <f ca="1">$S$10=X147</f>
        <v>0</v>
      </c>
      <c r="Z147" s="78" t="b">
        <f ca="1">$S$20=X147</f>
        <v>0</v>
      </c>
      <c r="AA147" s="78" t="b">
        <f ca="1">$S$30=X147</f>
        <v>0</v>
      </c>
    </row>
    <row r="148" spans="4:27" x14ac:dyDescent="0.25">
      <c r="X148" s="78" t="str">
        <f ca="1">INDIRECT("B"&amp;148) &amp; CHAR(10) &amp; "vs" &amp; CHAR(10) &amp; INDIRECT("F"&amp;148)</f>
        <v xml:space="preserve">
vs
</v>
      </c>
      <c r="Y148" s="78" t="b">
        <f ca="1">$S$10=X148</f>
        <v>0</v>
      </c>
      <c r="Z148" s="78" t="b">
        <f ca="1">$S$20=X148</f>
        <v>0</v>
      </c>
      <c r="AA148" s="78" t="b">
        <f ca="1">$S$30=X148</f>
        <v>0</v>
      </c>
    </row>
    <row r="149" spans="4:27" x14ac:dyDescent="0.25">
      <c r="X149" s="78" t="str">
        <f ca="1">INDIRECT("B"&amp;149) &amp; CHAR(10) &amp; "vs" &amp; CHAR(10) &amp; INDIRECT("F"&amp;149)</f>
        <v xml:space="preserve">
vs
</v>
      </c>
      <c r="Y149" s="78" t="b">
        <f ca="1">$S$10=X149</f>
        <v>0</v>
      </c>
      <c r="Z149" s="78" t="b">
        <f ca="1">$S$20=X149</f>
        <v>0</v>
      </c>
      <c r="AA149" s="78" t="b">
        <f ca="1">$S$30=X149</f>
        <v>0</v>
      </c>
    </row>
    <row r="150" spans="4:27" x14ac:dyDescent="0.25">
      <c r="X150" s="78" t="str">
        <f ca="1">INDIRECT("B"&amp;150) &amp; CHAR(10) &amp; "vs" &amp; CHAR(10) &amp; INDIRECT("F"&amp;150)</f>
        <v xml:space="preserve">
vs
</v>
      </c>
      <c r="Y150" s="78" t="b">
        <f ca="1">$S$10=X150</f>
        <v>0</v>
      </c>
      <c r="Z150" s="78" t="b">
        <f ca="1">$S$20=X150</f>
        <v>0</v>
      </c>
      <c r="AA150" s="78" t="b">
        <f ca="1">$S$30=X150</f>
        <v>0</v>
      </c>
    </row>
    <row r="151" spans="4:27" x14ac:dyDescent="0.25">
      <c r="X151" s="78" t="str">
        <f ca="1">INDIRECT("B"&amp;151) &amp; CHAR(10) &amp; "vs" &amp; CHAR(10) &amp; INDIRECT("F"&amp;151)</f>
        <v xml:space="preserve">
vs
</v>
      </c>
      <c r="Y151" s="78" t="b">
        <f ca="1">$S$10=X151</f>
        <v>0</v>
      </c>
      <c r="Z151" s="78" t="b">
        <f ca="1">$S$20=X151</f>
        <v>0</v>
      </c>
      <c r="AA151" s="78" t="b">
        <f ca="1">$S$30=X151</f>
        <v>0</v>
      </c>
    </row>
    <row r="152" spans="4:27" x14ac:dyDescent="0.25">
      <c r="X152" s="78" t="str">
        <f ca="1">INDIRECT("B"&amp;152) &amp; CHAR(10) &amp; "vs" &amp; CHAR(10) &amp; INDIRECT("F"&amp;152)</f>
        <v xml:space="preserve">
vs
</v>
      </c>
      <c r="Y152" s="78" t="b">
        <f ca="1">$S$10=X152</f>
        <v>0</v>
      </c>
      <c r="Z152" s="78" t="b">
        <f ca="1">$S$20=X152</f>
        <v>0</v>
      </c>
      <c r="AA152" s="78" t="b">
        <f ca="1">$S$30=X152</f>
        <v>0</v>
      </c>
    </row>
    <row r="153" spans="4:27" x14ac:dyDescent="0.25">
      <c r="X153" s="78" t="str">
        <f ca="1">INDIRECT("B"&amp;153) &amp; CHAR(10) &amp; "vs" &amp; CHAR(10) &amp; INDIRECT("F"&amp;153)</f>
        <v xml:space="preserve">
vs
</v>
      </c>
      <c r="Y153" s="78" t="b">
        <f ca="1">$S$10=X153</f>
        <v>0</v>
      </c>
      <c r="Z153" s="78" t="b">
        <f ca="1">$S$20=X153</f>
        <v>0</v>
      </c>
      <c r="AA153" s="78" t="b">
        <f ca="1">$S$30=X153</f>
        <v>0</v>
      </c>
    </row>
    <row r="154" spans="4:27" x14ac:dyDescent="0.25">
      <c r="D154" s="78">
        <f>1.01388888888889 + "00:20:00"</f>
        <v>1.0277777777777788</v>
      </c>
      <c r="X154" s="78" t="str">
        <f ca="1">INDIRECT("B"&amp;154) &amp; CHAR(10) &amp; "vs" &amp; CHAR(10) &amp; INDIRECT("F"&amp;154)</f>
        <v xml:space="preserve">
vs
</v>
      </c>
      <c r="Y154" s="78" t="b">
        <f ca="1">$S$10=X154</f>
        <v>0</v>
      </c>
      <c r="Z154" s="78" t="b">
        <f ca="1">$S$20=X154</f>
        <v>0</v>
      </c>
      <c r="AA154" s="78" t="b">
        <f ca="1">$S$30=X154</f>
        <v>0</v>
      </c>
    </row>
    <row r="155" spans="4:27" x14ac:dyDescent="0.25">
      <c r="X155" s="78" t="str">
        <f ca="1">INDIRECT("B"&amp;155) &amp; CHAR(10) &amp; "vs" &amp; CHAR(10) &amp; INDIRECT("F"&amp;155)</f>
        <v xml:space="preserve">
vs
</v>
      </c>
      <c r="Y155" s="78" t="b">
        <f ca="1">$S$10=X155</f>
        <v>0</v>
      </c>
      <c r="Z155" s="78" t="b">
        <f ca="1">$S$20=X155</f>
        <v>0</v>
      </c>
      <c r="AA155" s="78" t="b">
        <f ca="1">$S$30=X155</f>
        <v>0</v>
      </c>
    </row>
    <row r="156" spans="4:27" x14ac:dyDescent="0.25">
      <c r="X156" s="78" t="str">
        <f ca="1">INDIRECT("B"&amp;156) &amp; CHAR(10) &amp; "vs" &amp; CHAR(10) &amp; INDIRECT("F"&amp;156)</f>
        <v xml:space="preserve">
vs
</v>
      </c>
      <c r="Y156" s="78" t="b">
        <f ca="1">$S$10=X156</f>
        <v>0</v>
      </c>
      <c r="Z156" s="78" t="b">
        <f ca="1">$S$20=X156</f>
        <v>0</v>
      </c>
      <c r="AA156" s="78" t="b">
        <f ca="1">$S$30=X156</f>
        <v>0</v>
      </c>
    </row>
    <row r="157" spans="4:27" x14ac:dyDescent="0.25">
      <c r="X157" s="78" t="str">
        <f ca="1">INDIRECT("B"&amp;157) &amp; CHAR(10) &amp; "vs" &amp; CHAR(10) &amp; INDIRECT("F"&amp;157)</f>
        <v xml:space="preserve">
vs
</v>
      </c>
      <c r="Y157" s="78" t="b">
        <f ca="1">$S$10=X157</f>
        <v>0</v>
      </c>
      <c r="Z157" s="78" t="b">
        <f ca="1">$S$20=X157</f>
        <v>0</v>
      </c>
      <c r="AA157" s="78" t="b">
        <f ca="1">$S$30=X157</f>
        <v>0</v>
      </c>
    </row>
    <row r="158" spans="4:27" x14ac:dyDescent="0.25">
      <c r="X158" s="78" t="str">
        <f ca="1">INDIRECT("B"&amp;158) &amp; CHAR(10) &amp; "vs" &amp; CHAR(10) &amp; INDIRECT("F"&amp;158)</f>
        <v xml:space="preserve">
vs
</v>
      </c>
      <c r="Y158" s="78" t="b">
        <f ca="1">$S$10=X158</f>
        <v>0</v>
      </c>
      <c r="Z158" s="78" t="b">
        <f ca="1">$S$20=X158</f>
        <v>0</v>
      </c>
      <c r="AA158" s="78" t="b">
        <f ca="1">$S$30=X158</f>
        <v>0</v>
      </c>
    </row>
    <row r="159" spans="4:27" x14ac:dyDescent="0.25">
      <c r="X159" s="78" t="str">
        <f ca="1">INDIRECT("B"&amp;159) &amp; CHAR(10) &amp; "vs" &amp; CHAR(10) &amp; INDIRECT("F"&amp;159)</f>
        <v xml:space="preserve">
vs
</v>
      </c>
      <c r="Y159" s="78" t="b">
        <f ca="1">$S$10=X159</f>
        <v>0</v>
      </c>
      <c r="Z159" s="78" t="b">
        <f ca="1">$S$20=X159</f>
        <v>0</v>
      </c>
      <c r="AA159" s="78" t="b">
        <f ca="1">$S$30=X159</f>
        <v>0</v>
      </c>
    </row>
    <row r="160" spans="4:27" x14ac:dyDescent="0.25">
      <c r="X160" s="78" t="str">
        <f ca="1">INDIRECT("B"&amp;160) &amp; CHAR(10) &amp; "vs" &amp; CHAR(10) &amp; INDIRECT("F"&amp;160)</f>
        <v xml:space="preserve">
vs
</v>
      </c>
      <c r="Y160" s="78" t="b">
        <f ca="1">$S$10=X160</f>
        <v>0</v>
      </c>
      <c r="Z160" s="78" t="b">
        <f ca="1">$S$20=X160</f>
        <v>0</v>
      </c>
      <c r="AA160" s="78" t="b">
        <f ca="1">$S$30=X160</f>
        <v>0</v>
      </c>
    </row>
    <row r="161" spans="4:27" x14ac:dyDescent="0.25">
      <c r="X161" s="78" t="str">
        <f ca="1">INDIRECT("B"&amp;161) &amp; CHAR(10) &amp; "vs" &amp; CHAR(10) &amp; INDIRECT("F"&amp;161)</f>
        <v xml:space="preserve">
vs
</v>
      </c>
      <c r="Y161" s="78" t="b">
        <f ca="1">$S$10=X161</f>
        <v>0</v>
      </c>
      <c r="Z161" s="78" t="b">
        <f ca="1">$S$20=X161</f>
        <v>0</v>
      </c>
      <c r="AA161" s="78" t="b">
        <f ca="1">$S$30=X161</f>
        <v>0</v>
      </c>
    </row>
    <row r="162" spans="4:27" x14ac:dyDescent="0.25">
      <c r="X162" s="78" t="str">
        <f ca="1">INDIRECT("B"&amp;162) &amp; CHAR(10) &amp; "vs" &amp; CHAR(10) &amp; INDIRECT("F"&amp;162)</f>
        <v xml:space="preserve">
vs
</v>
      </c>
      <c r="Y162" s="78" t="b">
        <f ca="1">$S$10=X162</f>
        <v>0</v>
      </c>
      <c r="Z162" s="78" t="b">
        <f ca="1">$S$20=X162</f>
        <v>0</v>
      </c>
      <c r="AA162" s="78" t="b">
        <f ca="1">$S$30=X162</f>
        <v>0</v>
      </c>
    </row>
    <row r="163" spans="4:27" x14ac:dyDescent="0.25">
      <c r="D163" s="78">
        <f>1.02777777777778 + "00:20:00"</f>
        <v>1.0416666666666687</v>
      </c>
      <c r="X163" s="78" t="str">
        <f ca="1">INDIRECT("B"&amp;163) &amp; CHAR(10) &amp; "vs" &amp; CHAR(10) &amp; INDIRECT("F"&amp;163)</f>
        <v xml:space="preserve">
vs
</v>
      </c>
      <c r="Y163" s="78" t="b">
        <f ca="1">$S$10=X163</f>
        <v>0</v>
      </c>
      <c r="Z163" s="78" t="b">
        <f ca="1">$S$20=X163</f>
        <v>0</v>
      </c>
      <c r="AA163" s="78" t="b">
        <f ca="1">$S$30=X163</f>
        <v>0</v>
      </c>
    </row>
    <row r="164" spans="4:27" x14ac:dyDescent="0.25">
      <c r="X164" s="78" t="str">
        <f ca="1">INDIRECT("B"&amp;164) &amp; CHAR(10) &amp; "vs" &amp; CHAR(10) &amp; INDIRECT("F"&amp;164)</f>
        <v xml:space="preserve">
vs
</v>
      </c>
      <c r="Y164" s="78" t="b">
        <f ca="1">$S$10=X164</f>
        <v>0</v>
      </c>
      <c r="Z164" s="78" t="b">
        <f ca="1">$S$20=X164</f>
        <v>0</v>
      </c>
      <c r="AA164" s="78" t="b">
        <f ca="1">$S$30=X164</f>
        <v>0</v>
      </c>
    </row>
    <row r="165" spans="4:27" x14ac:dyDescent="0.25">
      <c r="X165" s="78" t="str">
        <f ca="1">INDIRECT("B"&amp;165) &amp; CHAR(10) &amp; "vs" &amp; CHAR(10) &amp; INDIRECT("F"&amp;165)</f>
        <v xml:space="preserve">
vs
</v>
      </c>
      <c r="Y165" s="78" t="b">
        <f ca="1">$S$10=X165</f>
        <v>0</v>
      </c>
      <c r="Z165" s="78" t="b">
        <f ca="1">$S$20=X165</f>
        <v>0</v>
      </c>
      <c r="AA165" s="78" t="b">
        <f ca="1">$S$30=X165</f>
        <v>0</v>
      </c>
    </row>
    <row r="166" spans="4:27" x14ac:dyDescent="0.25">
      <c r="X166" s="78" t="str">
        <f ca="1">INDIRECT("B"&amp;166) &amp; CHAR(10) &amp; "vs" &amp; CHAR(10) &amp; INDIRECT("F"&amp;166)</f>
        <v xml:space="preserve">
vs
</v>
      </c>
      <c r="Y166" s="78" t="b">
        <f ca="1">$S$10=X166</f>
        <v>0</v>
      </c>
      <c r="Z166" s="78" t="b">
        <f ca="1">$S$20=X166</f>
        <v>0</v>
      </c>
      <c r="AA166" s="78" t="b">
        <f ca="1">$S$30=X166</f>
        <v>0</v>
      </c>
    </row>
    <row r="167" spans="4:27" x14ac:dyDescent="0.25">
      <c r="X167" s="78" t="str">
        <f ca="1">INDIRECT("B"&amp;167) &amp; CHAR(10) &amp; "vs" &amp; CHAR(10) &amp; INDIRECT("F"&amp;167)</f>
        <v xml:space="preserve">
vs
</v>
      </c>
      <c r="Y167" s="78" t="b">
        <f ca="1">$S$10=X167</f>
        <v>0</v>
      </c>
      <c r="Z167" s="78" t="b">
        <f ca="1">$S$20=X167</f>
        <v>0</v>
      </c>
      <c r="AA167" s="78" t="b">
        <f ca="1">$S$30=X167</f>
        <v>0</v>
      </c>
    </row>
    <row r="168" spans="4:27" x14ac:dyDescent="0.25">
      <c r="X168" s="78" t="str">
        <f ca="1">INDIRECT("B"&amp;168) &amp; CHAR(10) &amp; "vs" &amp; CHAR(10) &amp; INDIRECT("F"&amp;168)</f>
        <v xml:space="preserve">
vs
</v>
      </c>
      <c r="Y168" s="78" t="b">
        <f ca="1">$S$10=X168</f>
        <v>0</v>
      </c>
      <c r="Z168" s="78" t="b">
        <f ca="1">$S$20=X168</f>
        <v>0</v>
      </c>
      <c r="AA168" s="78" t="b">
        <f ca="1">$S$30=X168</f>
        <v>0</v>
      </c>
    </row>
    <row r="169" spans="4:27" x14ac:dyDescent="0.25">
      <c r="X169" s="78" t="str">
        <f ca="1">INDIRECT("B"&amp;169) &amp; CHAR(10) &amp; "vs" &amp; CHAR(10) &amp; INDIRECT("F"&amp;169)</f>
        <v xml:space="preserve">
vs
</v>
      </c>
      <c r="Y169" s="78" t="b">
        <f ca="1">$S$10=X169</f>
        <v>0</v>
      </c>
      <c r="Z169" s="78" t="b">
        <f ca="1">$S$20=X169</f>
        <v>0</v>
      </c>
      <c r="AA169" s="78" t="b">
        <f ca="1">$S$30=X169</f>
        <v>0</v>
      </c>
    </row>
    <row r="170" spans="4:27" x14ac:dyDescent="0.25">
      <c r="X170" s="78" t="str">
        <f ca="1">INDIRECT("B"&amp;170) &amp; CHAR(10) &amp; "vs" &amp; CHAR(10) &amp; INDIRECT("F"&amp;170)</f>
        <v xml:space="preserve">
vs
</v>
      </c>
      <c r="Y170" s="78" t="b">
        <f ca="1">$S$10=X170</f>
        <v>0</v>
      </c>
      <c r="Z170" s="78" t="b">
        <f ca="1">$S$20=X170</f>
        <v>0</v>
      </c>
      <c r="AA170" s="78" t="b">
        <f ca="1">$S$30=X170</f>
        <v>0</v>
      </c>
    </row>
    <row r="171" spans="4:27" x14ac:dyDescent="0.25">
      <c r="X171" s="78" t="str">
        <f ca="1">INDIRECT("B"&amp;171) &amp; CHAR(10) &amp; "vs" &amp; CHAR(10) &amp; INDIRECT("F"&amp;171)</f>
        <v xml:space="preserve">
vs
</v>
      </c>
      <c r="Y171" s="78" t="b">
        <f ca="1">$S$10=X171</f>
        <v>0</v>
      </c>
      <c r="Z171" s="78" t="b">
        <f ca="1">$S$20=X171</f>
        <v>0</v>
      </c>
      <c r="AA171" s="78" t="b">
        <f ca="1">$S$30=X171</f>
        <v>0</v>
      </c>
    </row>
    <row r="172" spans="4:27" x14ac:dyDescent="0.25">
      <c r="D172" s="78">
        <f>1.04166666666667 + "00:20:00"</f>
        <v>1.0555555555555589</v>
      </c>
      <c r="X172" s="78" t="str">
        <f ca="1">INDIRECT("B"&amp;172) &amp; CHAR(10) &amp; "vs" &amp; CHAR(10) &amp; INDIRECT("F"&amp;172)</f>
        <v xml:space="preserve">
vs
</v>
      </c>
      <c r="Y172" s="78" t="b">
        <f ca="1">$S$10=X172</f>
        <v>0</v>
      </c>
      <c r="Z172" s="78" t="b">
        <f ca="1">$S$20=X172</f>
        <v>0</v>
      </c>
      <c r="AA172" s="78" t="b">
        <f ca="1">$S$30=X172</f>
        <v>0</v>
      </c>
    </row>
    <row r="173" spans="4:27" x14ac:dyDescent="0.25">
      <c r="X173" s="78" t="str">
        <f ca="1">INDIRECT("B"&amp;173) &amp; CHAR(10) &amp; "vs" &amp; CHAR(10) &amp; INDIRECT("F"&amp;173)</f>
        <v xml:space="preserve">
vs
</v>
      </c>
      <c r="Y173" s="78" t="b">
        <f ca="1">$S$10=X173</f>
        <v>0</v>
      </c>
      <c r="Z173" s="78" t="b">
        <f ca="1">$S$20=X173</f>
        <v>0</v>
      </c>
      <c r="AA173" s="78" t="b">
        <f ca="1">$S$30=X173</f>
        <v>0</v>
      </c>
    </row>
    <row r="174" spans="4:27" x14ac:dyDescent="0.25">
      <c r="X174" s="78" t="str">
        <f ca="1">INDIRECT("B"&amp;174) &amp; CHAR(10) &amp; "vs" &amp; CHAR(10) &amp; INDIRECT("F"&amp;174)</f>
        <v xml:space="preserve">
vs
</v>
      </c>
      <c r="Y174" s="78" t="b">
        <f ca="1">$S$10=X174</f>
        <v>0</v>
      </c>
      <c r="Z174" s="78" t="b">
        <f ca="1">$S$20=X174</f>
        <v>0</v>
      </c>
      <c r="AA174" s="78" t="b">
        <f ca="1">$S$30=X174</f>
        <v>0</v>
      </c>
    </row>
    <row r="175" spans="4:27" x14ac:dyDescent="0.25">
      <c r="X175" s="78" t="str">
        <f ca="1">INDIRECT("B"&amp;175) &amp; CHAR(10) &amp; "vs" &amp; CHAR(10) &amp; INDIRECT("F"&amp;175)</f>
        <v xml:space="preserve">
vs
</v>
      </c>
      <c r="Y175" s="78" t="b">
        <f ca="1">$S$10=X175</f>
        <v>0</v>
      </c>
      <c r="Z175" s="78" t="b">
        <f ca="1">$S$20=X175</f>
        <v>0</v>
      </c>
      <c r="AA175" s="78" t="b">
        <f ca="1">$S$30=X175</f>
        <v>0</v>
      </c>
    </row>
    <row r="176" spans="4:27" x14ac:dyDescent="0.25">
      <c r="X176" s="78" t="str">
        <f ca="1">INDIRECT("B"&amp;176) &amp; CHAR(10) &amp; "vs" &amp; CHAR(10) &amp; INDIRECT("F"&amp;176)</f>
        <v xml:space="preserve">
vs
</v>
      </c>
      <c r="Y176" s="78" t="b">
        <f ca="1">$S$10=X176</f>
        <v>0</v>
      </c>
      <c r="Z176" s="78" t="b">
        <f ca="1">$S$20=X176</f>
        <v>0</v>
      </c>
      <c r="AA176" s="78" t="b">
        <f ca="1">$S$30=X176</f>
        <v>0</v>
      </c>
    </row>
    <row r="177" spans="4:27" x14ac:dyDescent="0.25">
      <c r="X177" s="78" t="str">
        <f ca="1">INDIRECT("B"&amp;177) &amp; CHAR(10) &amp; "vs" &amp; CHAR(10) &amp; INDIRECT("F"&amp;177)</f>
        <v xml:space="preserve">
vs
</v>
      </c>
      <c r="Y177" s="78" t="b">
        <f ca="1">$S$10=X177</f>
        <v>0</v>
      </c>
      <c r="Z177" s="78" t="b">
        <f ca="1">$S$20=X177</f>
        <v>0</v>
      </c>
      <c r="AA177" s="78" t="b">
        <f ca="1">$S$30=X177</f>
        <v>0</v>
      </c>
    </row>
    <row r="178" spans="4:27" x14ac:dyDescent="0.25">
      <c r="X178" s="78" t="str">
        <f ca="1">INDIRECT("B"&amp;178) &amp; CHAR(10) &amp; "vs" &amp; CHAR(10) &amp; INDIRECT("F"&amp;178)</f>
        <v xml:space="preserve">
vs
</v>
      </c>
      <c r="Y178" s="78" t="b">
        <f ca="1">$S$10=X178</f>
        <v>0</v>
      </c>
      <c r="Z178" s="78" t="b">
        <f ca="1">$S$20=X178</f>
        <v>0</v>
      </c>
      <c r="AA178" s="78" t="b">
        <f ca="1">$S$30=X178</f>
        <v>0</v>
      </c>
    </row>
    <row r="179" spans="4:27" x14ac:dyDescent="0.25">
      <c r="X179" s="78" t="str">
        <f ca="1">INDIRECT("B"&amp;179) &amp; CHAR(10) &amp; "vs" &amp; CHAR(10) &amp; INDIRECT("F"&amp;179)</f>
        <v xml:space="preserve">
vs
</v>
      </c>
      <c r="Y179" s="78" t="b">
        <f ca="1">$S$10=X179</f>
        <v>0</v>
      </c>
      <c r="Z179" s="78" t="b">
        <f ca="1">$S$20=X179</f>
        <v>0</v>
      </c>
      <c r="AA179" s="78" t="b">
        <f ca="1">$S$30=X179</f>
        <v>0</v>
      </c>
    </row>
    <row r="180" spans="4:27" x14ac:dyDescent="0.25">
      <c r="X180" s="78" t="str">
        <f ca="1">INDIRECT("B"&amp;180) &amp; CHAR(10) &amp; "vs" &amp; CHAR(10) &amp; INDIRECT("F"&amp;180)</f>
        <v xml:space="preserve">
vs
</v>
      </c>
      <c r="Y180" s="78" t="b">
        <f ca="1">$S$10=X180</f>
        <v>0</v>
      </c>
      <c r="Z180" s="78" t="b">
        <f ca="1">$S$20=X180</f>
        <v>0</v>
      </c>
      <c r="AA180" s="78" t="b">
        <f ca="1">$S$30=X180</f>
        <v>0</v>
      </c>
    </row>
    <row r="181" spans="4:27" x14ac:dyDescent="0.25">
      <c r="D181" s="78">
        <f>1.05555555555556 + "00:20:00"</f>
        <v>1.0694444444444489</v>
      </c>
      <c r="X181" s="78" t="str">
        <f ca="1">INDIRECT("B"&amp;181) &amp; CHAR(10) &amp; "vs" &amp; CHAR(10) &amp; INDIRECT("F"&amp;181)</f>
        <v xml:space="preserve">
vs
</v>
      </c>
      <c r="Y181" s="78" t="b">
        <f ca="1">$S$10=X181</f>
        <v>0</v>
      </c>
      <c r="Z181" s="78" t="b">
        <f ca="1">$S$20=X181</f>
        <v>0</v>
      </c>
      <c r="AA181" s="78" t="b">
        <f ca="1">$S$30=X181</f>
        <v>0</v>
      </c>
    </row>
    <row r="182" spans="4:27" x14ac:dyDescent="0.25">
      <c r="X182" s="78" t="str">
        <f ca="1">INDIRECT("B"&amp;182) &amp; CHAR(10) &amp; "vs" &amp; CHAR(10) &amp; INDIRECT("F"&amp;182)</f>
        <v xml:space="preserve">
vs
</v>
      </c>
      <c r="Y182" s="78" t="b">
        <f ca="1">$S$10=X182</f>
        <v>0</v>
      </c>
      <c r="Z182" s="78" t="b">
        <f ca="1">$S$20=X182</f>
        <v>0</v>
      </c>
      <c r="AA182" s="78" t="b">
        <f ca="1">$S$30=X182</f>
        <v>0</v>
      </c>
    </row>
    <row r="183" spans="4:27" x14ac:dyDescent="0.25">
      <c r="X183" s="78" t="str">
        <f ca="1">INDIRECT("B"&amp;183) &amp; CHAR(10) &amp; "vs" &amp; CHAR(10) &amp; INDIRECT("F"&amp;183)</f>
        <v xml:space="preserve">
vs
</v>
      </c>
      <c r="Y183" s="78" t="b">
        <f ca="1">$S$10=X183</f>
        <v>0</v>
      </c>
      <c r="Z183" s="78" t="b">
        <f ca="1">$S$20=X183</f>
        <v>0</v>
      </c>
      <c r="AA183" s="78" t="b">
        <f ca="1">$S$30=X183</f>
        <v>0</v>
      </c>
    </row>
    <row r="184" spans="4:27" x14ac:dyDescent="0.25">
      <c r="X184" s="78" t="str">
        <f ca="1">INDIRECT("B"&amp;184) &amp; CHAR(10) &amp; "vs" &amp; CHAR(10) &amp; INDIRECT("F"&amp;184)</f>
        <v xml:space="preserve">
vs
</v>
      </c>
      <c r="Y184" s="78" t="b">
        <f ca="1">$S$10=X184</f>
        <v>0</v>
      </c>
      <c r="Z184" s="78" t="b">
        <f ca="1">$S$20=X184</f>
        <v>0</v>
      </c>
      <c r="AA184" s="78" t="b">
        <f ca="1">$S$30=X184</f>
        <v>0</v>
      </c>
    </row>
    <row r="185" spans="4:27" x14ac:dyDescent="0.25">
      <c r="X185" s="78" t="str">
        <f ca="1">INDIRECT("B"&amp;185) &amp; CHAR(10) &amp; "vs" &amp; CHAR(10) &amp; INDIRECT("F"&amp;185)</f>
        <v xml:space="preserve">
vs
</v>
      </c>
      <c r="Y185" s="78" t="b">
        <f ca="1">$S$10=X185</f>
        <v>0</v>
      </c>
      <c r="Z185" s="78" t="b">
        <f ca="1">$S$20=X185</f>
        <v>0</v>
      </c>
      <c r="AA185" s="78" t="b">
        <f ca="1">$S$30=X185</f>
        <v>0</v>
      </c>
    </row>
    <row r="186" spans="4:27" x14ac:dyDescent="0.25">
      <c r="X186" s="78" t="str">
        <f ca="1">INDIRECT("B"&amp;186) &amp; CHAR(10) &amp; "vs" &amp; CHAR(10) &amp; INDIRECT("F"&amp;186)</f>
        <v xml:space="preserve">
vs
</v>
      </c>
      <c r="Y186" s="78" t="b">
        <f ca="1">$S$10=X186</f>
        <v>0</v>
      </c>
      <c r="Z186" s="78" t="b">
        <f ca="1">$S$20=X186</f>
        <v>0</v>
      </c>
      <c r="AA186" s="78" t="b">
        <f ca="1">$S$30=X186</f>
        <v>0</v>
      </c>
    </row>
    <row r="187" spans="4:27" x14ac:dyDescent="0.25">
      <c r="X187" s="78" t="str">
        <f ca="1">INDIRECT("B"&amp;187) &amp; CHAR(10) &amp; "vs" &amp; CHAR(10) &amp; INDIRECT("F"&amp;187)</f>
        <v xml:space="preserve">
vs
</v>
      </c>
      <c r="Y187" s="78" t="b">
        <f ca="1">$S$10=X187</f>
        <v>0</v>
      </c>
      <c r="Z187" s="78" t="b">
        <f ca="1">$S$20=X187</f>
        <v>0</v>
      </c>
      <c r="AA187" s="78" t="b">
        <f ca="1">$S$30=X187</f>
        <v>0</v>
      </c>
    </row>
    <row r="188" spans="4:27" x14ac:dyDescent="0.25">
      <c r="X188" s="78" t="str">
        <f ca="1">INDIRECT("B"&amp;188) &amp; CHAR(10) &amp; "vs" &amp; CHAR(10) &amp; INDIRECT("F"&amp;188)</f>
        <v xml:space="preserve">
vs
</v>
      </c>
      <c r="Y188" s="78" t="b">
        <f ca="1">$S$10=X188</f>
        <v>0</v>
      </c>
      <c r="Z188" s="78" t="b">
        <f ca="1">$S$20=X188</f>
        <v>0</v>
      </c>
      <c r="AA188" s="78" t="b">
        <f ca="1">$S$30=X188</f>
        <v>0</v>
      </c>
    </row>
    <row r="189" spans="4:27" x14ac:dyDescent="0.25">
      <c r="X189" s="78" t="str">
        <f ca="1">INDIRECT("B"&amp;189) &amp; CHAR(10) &amp; "vs" &amp; CHAR(10) &amp; INDIRECT("F"&amp;189)</f>
        <v xml:space="preserve">
vs
</v>
      </c>
      <c r="Y189" s="78" t="b">
        <f ca="1">$S$10=X189</f>
        <v>0</v>
      </c>
      <c r="Z189" s="78" t="b">
        <f ca="1">$S$20=X189</f>
        <v>0</v>
      </c>
      <c r="AA189" s="78" t="b">
        <f ca="1">$S$30=X189</f>
        <v>0</v>
      </c>
    </row>
    <row r="190" spans="4:27" x14ac:dyDescent="0.25">
      <c r="D190" s="78">
        <f>1.06944444444445 + "00:20:00"</f>
        <v>1.0833333333333388</v>
      </c>
      <c r="X190" s="78" t="str">
        <f ca="1">INDIRECT("B"&amp;190) &amp; CHAR(10) &amp; "vs" &amp; CHAR(10) &amp; INDIRECT("F"&amp;190)</f>
        <v xml:space="preserve">
vs
</v>
      </c>
      <c r="Y190" s="78" t="b">
        <f ca="1">$S$10=X190</f>
        <v>0</v>
      </c>
      <c r="Z190" s="78" t="b">
        <f ca="1">$S$20=X190</f>
        <v>0</v>
      </c>
      <c r="AA190" s="78" t="b">
        <f ca="1">$S$30=X190</f>
        <v>0</v>
      </c>
    </row>
    <row r="191" spans="4:27" x14ac:dyDescent="0.25">
      <c r="X191" s="78" t="str">
        <f ca="1">INDIRECT("B"&amp;191) &amp; CHAR(10) &amp; "vs" &amp; CHAR(10) &amp; INDIRECT("F"&amp;191)</f>
        <v xml:space="preserve">
vs
</v>
      </c>
      <c r="Y191" s="78" t="b">
        <f ca="1">$S$10=X191</f>
        <v>0</v>
      </c>
      <c r="Z191" s="78" t="b">
        <f ca="1">$S$20=X191</f>
        <v>0</v>
      </c>
      <c r="AA191" s="78" t="b">
        <f ca="1">$S$30=X191</f>
        <v>0</v>
      </c>
    </row>
    <row r="192" spans="4:27" x14ac:dyDescent="0.25">
      <c r="X192" s="78" t="str">
        <f ca="1">INDIRECT("B"&amp;192) &amp; CHAR(10) &amp; "vs" &amp; CHAR(10) &amp; INDIRECT("F"&amp;192)</f>
        <v xml:space="preserve">
vs
</v>
      </c>
      <c r="Y192" s="78" t="b">
        <f ca="1">$S$10=X192</f>
        <v>0</v>
      </c>
      <c r="Z192" s="78" t="b">
        <f ca="1">$S$20=X192</f>
        <v>0</v>
      </c>
      <c r="AA192" s="78" t="b">
        <f ca="1">$S$30=X192</f>
        <v>0</v>
      </c>
    </row>
    <row r="193" spans="4:27" x14ac:dyDescent="0.25">
      <c r="X193" s="78" t="str">
        <f ca="1">INDIRECT("B"&amp;193) &amp; CHAR(10) &amp; "vs" &amp; CHAR(10) &amp; INDIRECT("F"&amp;193)</f>
        <v xml:space="preserve">
vs
</v>
      </c>
      <c r="Y193" s="78" t="b">
        <f ca="1">$S$10=X193</f>
        <v>0</v>
      </c>
      <c r="Z193" s="78" t="b">
        <f ca="1">$S$20=X193</f>
        <v>0</v>
      </c>
      <c r="AA193" s="78" t="b">
        <f ca="1">$S$30=X193</f>
        <v>0</v>
      </c>
    </row>
    <row r="194" spans="4:27" x14ac:dyDescent="0.25">
      <c r="X194" s="78" t="str">
        <f ca="1">INDIRECT("B"&amp;194) &amp; CHAR(10) &amp; "vs" &amp; CHAR(10) &amp; INDIRECT("F"&amp;194)</f>
        <v xml:space="preserve">
vs
</v>
      </c>
      <c r="Y194" s="78" t="b">
        <f ca="1">$S$10=X194</f>
        <v>0</v>
      </c>
      <c r="Z194" s="78" t="b">
        <f ca="1">$S$20=X194</f>
        <v>0</v>
      </c>
      <c r="AA194" s="78" t="b">
        <f ca="1">$S$30=X194</f>
        <v>0</v>
      </c>
    </row>
    <row r="195" spans="4:27" x14ac:dyDescent="0.25">
      <c r="X195" s="78" t="str">
        <f ca="1">INDIRECT("B"&amp;195) &amp; CHAR(10) &amp; "vs" &amp; CHAR(10) &amp; INDIRECT("F"&amp;195)</f>
        <v xml:space="preserve">
vs
</v>
      </c>
      <c r="Y195" s="78" t="b">
        <f ca="1">$S$10=X195</f>
        <v>0</v>
      </c>
      <c r="Z195" s="78" t="b">
        <f ca="1">$S$20=X195</f>
        <v>0</v>
      </c>
      <c r="AA195" s="78" t="b">
        <f ca="1">$S$30=X195</f>
        <v>0</v>
      </c>
    </row>
    <row r="196" spans="4:27" x14ac:dyDescent="0.25">
      <c r="X196" s="78" t="str">
        <f ca="1">INDIRECT("B"&amp;196) &amp; CHAR(10) &amp; "vs" &amp; CHAR(10) &amp; INDIRECT("F"&amp;196)</f>
        <v xml:space="preserve">
vs
</v>
      </c>
      <c r="Y196" s="78" t="b">
        <f ca="1">$S$10=X196</f>
        <v>0</v>
      </c>
      <c r="Z196" s="78" t="b">
        <f ca="1">$S$20=X196</f>
        <v>0</v>
      </c>
      <c r="AA196" s="78" t="b">
        <f ca="1">$S$30=X196</f>
        <v>0</v>
      </c>
    </row>
    <row r="197" spans="4:27" x14ac:dyDescent="0.25">
      <c r="X197" s="78" t="str">
        <f ca="1">INDIRECT("B"&amp;197) &amp; CHAR(10) &amp; "vs" &amp; CHAR(10) &amp; INDIRECT("F"&amp;197)</f>
        <v xml:space="preserve">
vs
</v>
      </c>
      <c r="Y197" s="78" t="b">
        <f ca="1">$S$10=X197</f>
        <v>0</v>
      </c>
      <c r="Z197" s="78" t="b">
        <f ca="1">$S$20=X197</f>
        <v>0</v>
      </c>
      <c r="AA197" s="78" t="b">
        <f ca="1">$S$30=X197</f>
        <v>0</v>
      </c>
    </row>
    <row r="198" spans="4:27" x14ac:dyDescent="0.25">
      <c r="X198" s="78" t="str">
        <f ca="1">INDIRECT("B"&amp;198) &amp; CHAR(10) &amp; "vs" &amp; CHAR(10) &amp; INDIRECT("F"&amp;198)</f>
        <v xml:space="preserve">
vs
</v>
      </c>
      <c r="Y198" s="78" t="b">
        <f ca="1">$S$10=X198</f>
        <v>0</v>
      </c>
      <c r="Z198" s="78" t="b">
        <f ca="1">$S$20=X198</f>
        <v>0</v>
      </c>
      <c r="AA198" s="78" t="b">
        <f ca="1">$S$30=X198</f>
        <v>0</v>
      </c>
    </row>
    <row r="199" spans="4:27" x14ac:dyDescent="0.25">
      <c r="D199" s="78">
        <f>1.08333333333334 + "00:20:00"</f>
        <v>1.0972222222222288</v>
      </c>
      <c r="X199" s="78" t="str">
        <f ca="1">INDIRECT("B"&amp;199) &amp; CHAR(10) &amp; "vs" &amp; CHAR(10) &amp; INDIRECT("F"&amp;199)</f>
        <v xml:space="preserve">
vs
</v>
      </c>
      <c r="Y199" s="78" t="b">
        <f ca="1">$S$10=X199</f>
        <v>0</v>
      </c>
      <c r="Z199" s="78" t="b">
        <f ca="1">$S$20=X199</f>
        <v>0</v>
      </c>
      <c r="AA199" s="78" t="b">
        <f ca="1">$S$30=X199</f>
        <v>0</v>
      </c>
    </row>
    <row r="200" spans="4:27" x14ac:dyDescent="0.25">
      <c r="X200" s="78" t="str">
        <f ca="1">INDIRECT("B"&amp;200) &amp; CHAR(10) &amp; "vs" &amp; CHAR(10) &amp; INDIRECT("F"&amp;200)</f>
        <v xml:space="preserve">
vs
</v>
      </c>
      <c r="Y200" s="78" t="b">
        <f ca="1">$S$10=X200</f>
        <v>0</v>
      </c>
      <c r="Z200" s="78" t="b">
        <f ca="1">$S$20=X200</f>
        <v>0</v>
      </c>
      <c r="AA200" s="78" t="b">
        <f ca="1">$S$30=X200</f>
        <v>0</v>
      </c>
    </row>
    <row r="208" spans="4:27" x14ac:dyDescent="0.25">
      <c r="D208" s="78">
        <f>1.09722222222223 + "00:20:00"</f>
        <v>1.1111111111111189</v>
      </c>
    </row>
    <row r="217" spans="4:4" x14ac:dyDescent="0.25">
      <c r="D217" s="78">
        <f>1.11111111111112 + "00:20:00"</f>
        <v>1.1250000000000089</v>
      </c>
    </row>
    <row r="226" spans="4:4" x14ac:dyDescent="0.25">
      <c r="D226" s="78">
        <f>1.12500000000001 + "00:20:00"</f>
        <v>1.1388888888888988</v>
      </c>
    </row>
    <row r="235" spans="4:4" x14ac:dyDescent="0.25">
      <c r="D235" s="78">
        <f>1.1388888888889 + "00:20:00"</f>
        <v>1.1527777777777888</v>
      </c>
    </row>
    <row r="244" spans="4:4" x14ac:dyDescent="0.25">
      <c r="D244" s="78">
        <f>1.15277777777779 + "00:20:00"</f>
        <v>1.1666666666666787</v>
      </c>
    </row>
    <row r="253" spans="4:4" x14ac:dyDescent="0.25">
      <c r="D253" s="78">
        <f>1.16666666666668 + "00:20:00"</f>
        <v>1.1805555555555689</v>
      </c>
    </row>
    <row r="262" spans="4:4" x14ac:dyDescent="0.25">
      <c r="D262" s="78">
        <f>1.18055555555557 + "00:20:00"</f>
        <v>1.1944444444444589</v>
      </c>
    </row>
    <row r="271" spans="4:4" x14ac:dyDescent="0.25">
      <c r="D271" s="78">
        <f>1.19444444444446 + "00:20:00"</f>
        <v>1.2083333333333488</v>
      </c>
    </row>
    <row r="280" spans="4:4" x14ac:dyDescent="0.25">
      <c r="D280" s="78">
        <f>1.20833333333335 + "00:20:00"</f>
        <v>1.2222222222222388</v>
      </c>
    </row>
    <row r="289" spans="4:4" x14ac:dyDescent="0.25">
      <c r="D289" s="78">
        <f>1.22222222222224 + "00:20:00"</f>
        <v>1.2361111111111289</v>
      </c>
    </row>
    <row r="298" spans="4:4" x14ac:dyDescent="0.25">
      <c r="D298" s="78">
        <f>1.23611111111113 + "00:20:00"</f>
        <v>1.2500000000000189</v>
      </c>
    </row>
    <row r="307" spans="4:4" x14ac:dyDescent="0.25">
      <c r="D307" s="78">
        <f>1.25000000000002 + "00:20:00"</f>
        <v>1.2638888888889088</v>
      </c>
    </row>
    <row r="316" spans="4:4" x14ac:dyDescent="0.25">
      <c r="D316" s="78">
        <f>1.26388888888891 + "00:20:00"</f>
        <v>1.2777777777777988</v>
      </c>
    </row>
    <row r="325" spans="4:4" x14ac:dyDescent="0.25">
      <c r="D325" s="78">
        <f>1.2777777777778 + "00:20:00"</f>
        <v>1.2916666666666889</v>
      </c>
    </row>
    <row r="334" spans="4:4" x14ac:dyDescent="0.25">
      <c r="D334" s="78">
        <f>1.29166666666669 + "00:20:00"</f>
        <v>1.3055555555555789</v>
      </c>
    </row>
    <row r="343" spans="4:4" x14ac:dyDescent="0.25">
      <c r="D343" s="78">
        <f>1.30555555555558 + "00:20:00"</f>
        <v>1.3194444444444688</v>
      </c>
    </row>
    <row r="352" spans="4:4" x14ac:dyDescent="0.25">
      <c r="D352" s="78">
        <f>1.31944444444447 + "00:20:00"</f>
        <v>1.3333333333333588</v>
      </c>
    </row>
    <row r="361" spans="4:4" x14ac:dyDescent="0.25">
      <c r="D361" s="78">
        <f>1.33333333333336 + "00:20:00"</f>
        <v>1.3472222222222487</v>
      </c>
    </row>
    <row r="370" spans="4:4" x14ac:dyDescent="0.25">
      <c r="D370" s="78">
        <f>1.34722222222225 + "00:20:00"</f>
        <v>1.3611111111111389</v>
      </c>
    </row>
    <row r="379" spans="4:4" x14ac:dyDescent="0.25">
      <c r="D379" s="78">
        <f>1.36111111111114 + "00:20:00"</f>
        <v>1.3750000000000289</v>
      </c>
    </row>
    <row r="388" spans="4:4" x14ac:dyDescent="0.25">
      <c r="D388" s="78">
        <f>1.37500000000003 + "00:20:00"</f>
        <v>1.3888888888889188</v>
      </c>
    </row>
    <row r="397" spans="4:4" x14ac:dyDescent="0.25">
      <c r="D397" s="78">
        <f>1.38888888888892 + "00:20:00"</f>
        <v>1.4027777777778088</v>
      </c>
    </row>
    <row r="406" spans="4:4" x14ac:dyDescent="0.25">
      <c r="D406" s="78">
        <f>1.40277777777781 + "00:20:00"</f>
        <v>1.4166666666666989</v>
      </c>
    </row>
    <row r="415" spans="4:4" x14ac:dyDescent="0.25">
      <c r="D415" s="78">
        <f>1.4166666666667 + "00:20:00"</f>
        <v>1.4305555555555889</v>
      </c>
    </row>
    <row r="424" spans="4:4" x14ac:dyDescent="0.25">
      <c r="D424" s="78">
        <f>1.43055555555559 + "00:20:00"</f>
        <v>1.4444444444444788</v>
      </c>
    </row>
    <row r="433" spans="4:4" x14ac:dyDescent="0.25">
      <c r="D433" s="78">
        <f>1.44444444444448 + "00:20:00"</f>
        <v>1.4583333333333688</v>
      </c>
    </row>
    <row r="442" spans="4:4" x14ac:dyDescent="0.25">
      <c r="D442" s="78">
        <f>1.45833333333337 + "00:20:00"</f>
        <v>1.4722222222222587</v>
      </c>
    </row>
    <row r="451" spans="4:4" x14ac:dyDescent="0.25">
      <c r="D451" s="78">
        <f>1.47222222222226 + "00:20:00"</f>
        <v>1.4861111111111489</v>
      </c>
    </row>
    <row r="460" spans="4:4" x14ac:dyDescent="0.25">
      <c r="D460" s="78">
        <f>1.48611111111115 + "00:20:00"</f>
        <v>1.5000000000000389</v>
      </c>
    </row>
    <row r="469" spans="4:4" x14ac:dyDescent="0.25">
      <c r="D469" s="78">
        <f>1.50000000000004 + "00:20:00"</f>
        <v>1.5138888888889288</v>
      </c>
    </row>
    <row r="478" spans="4:4" x14ac:dyDescent="0.25">
      <c r="D478" s="78">
        <f>1.51388888888893 + "00:20:00"</f>
        <v>1.5277777777778188</v>
      </c>
    </row>
    <row r="487" spans="4:4" x14ac:dyDescent="0.25">
      <c r="D487" s="78">
        <f>1.52777777777782 + "00:20:00"</f>
        <v>1.5416666666667089</v>
      </c>
    </row>
    <row r="496" spans="4:4" x14ac:dyDescent="0.25">
      <c r="D496" s="78">
        <f>1.54166666666671 + "00:20:00"</f>
        <v>1.5555555555555989</v>
      </c>
    </row>
    <row r="505" spans="4:4" x14ac:dyDescent="0.25">
      <c r="D505" s="78">
        <f>1.5555555555556 + "00:20:00"</f>
        <v>1.5694444444444888</v>
      </c>
    </row>
    <row r="514" spans="4:4" x14ac:dyDescent="0.25">
      <c r="D514" s="78">
        <f>1.56944444444449 + "00:20:00"</f>
        <v>1.5833333333333788</v>
      </c>
    </row>
    <row r="523" spans="4:4" x14ac:dyDescent="0.25">
      <c r="D523" s="78">
        <f>1.58333333333338 + "00:20:00"</f>
        <v>1.597222222222269</v>
      </c>
    </row>
    <row r="532" spans="4:4" x14ac:dyDescent="0.25">
      <c r="D532" s="78">
        <f>1.59722222222227 + "00:20:00"</f>
        <v>1.6111111111111589</v>
      </c>
    </row>
    <row r="541" spans="4:4" x14ac:dyDescent="0.25">
      <c r="D541" s="78">
        <f>1.61111111111116 + "00:20:00"</f>
        <v>1.6250000000000488</v>
      </c>
    </row>
    <row r="550" spans="4:4" x14ac:dyDescent="0.25">
      <c r="D550" s="78">
        <f>1.62500000000005 + "00:20:00"</f>
        <v>1.6388888888889388</v>
      </c>
    </row>
    <row r="559" spans="4:4" x14ac:dyDescent="0.25">
      <c r="D559" s="78">
        <f>1.63888888888894 + "00:20:00"</f>
        <v>1.6527777777778287</v>
      </c>
    </row>
    <row r="568" spans="4:4" x14ac:dyDescent="0.25">
      <c r="D568" s="78">
        <f>1.65277777777783 + "00:20:00"</f>
        <v>1.6666666666667189</v>
      </c>
    </row>
    <row r="577" spans="4:4" x14ac:dyDescent="0.25">
      <c r="D577" s="78">
        <f>1.66666666666672 + "00:20:00"</f>
        <v>1.6805555555556089</v>
      </c>
    </row>
    <row r="586" spans="4:4" x14ac:dyDescent="0.25">
      <c r="D586" s="78">
        <f>1.68055555555561 + "00:20:00"</f>
        <v>1.6944444444444988</v>
      </c>
    </row>
    <row r="595" spans="4:4" x14ac:dyDescent="0.25">
      <c r="D595" s="78">
        <f>1.6944444444445 + "00:20:00"</f>
        <v>1.7083333333333888</v>
      </c>
    </row>
    <row r="604" spans="4:4" x14ac:dyDescent="0.25">
      <c r="D604" s="78">
        <f>1.70833333333339 + "00:20:00"</f>
        <v>1.7222222222222789</v>
      </c>
    </row>
    <row r="613" spans="4:4" x14ac:dyDescent="0.25">
      <c r="D613" s="78">
        <f>1.72222222222228 + "00:20:00"</f>
        <v>1.7361111111111689</v>
      </c>
    </row>
    <row r="622" spans="4:4" x14ac:dyDescent="0.25">
      <c r="D622" s="78">
        <f>1.73611111111117 + "00:20:00"</f>
        <v>1.7500000000000588</v>
      </c>
    </row>
    <row r="631" spans="4:4" x14ac:dyDescent="0.25">
      <c r="D631" s="78">
        <f>1.75000000000006 + "00:20:00"</f>
        <v>1.7638888888889488</v>
      </c>
    </row>
    <row r="640" spans="4:4" x14ac:dyDescent="0.25">
      <c r="D640" s="78">
        <f>1.76388888888895 + "00:20:00"</f>
        <v>1.7777777777778387</v>
      </c>
    </row>
    <row r="649" spans="4:4" x14ac:dyDescent="0.25">
      <c r="D649" s="78">
        <f>1.77777777777784 + "00:20:00"</f>
        <v>1.7916666666667289</v>
      </c>
    </row>
    <row r="658" spans="4:4" x14ac:dyDescent="0.25">
      <c r="D658" s="78">
        <f>1.79166666666673 + "00:20:00"</f>
        <v>1.8055555555556189</v>
      </c>
    </row>
    <row r="667" spans="4:4" x14ac:dyDescent="0.25">
      <c r="D667" s="78">
        <f>1.80555555555562 + "00:20:00"</f>
        <v>1.8194444444445088</v>
      </c>
    </row>
    <row r="676" spans="4:4" x14ac:dyDescent="0.25">
      <c r="D676" s="78">
        <f>1.81944444444451 + "00:20:00"</f>
        <v>1.8333333333333988</v>
      </c>
    </row>
    <row r="685" spans="4:4" x14ac:dyDescent="0.25">
      <c r="D685" s="78">
        <f>1.8333333333334 + "00:20:00"</f>
        <v>1.8472222222222889</v>
      </c>
    </row>
    <row r="694" spans="4:4" x14ac:dyDescent="0.25">
      <c r="D694" s="78">
        <f>1.84722222222229 + "00:20:00"</f>
        <v>1.8611111111111789</v>
      </c>
    </row>
    <row r="703" spans="4:4" x14ac:dyDescent="0.25">
      <c r="D703" s="78">
        <f>1.86111111111118 + "00:20:00"</f>
        <v>1.8750000000000688</v>
      </c>
    </row>
    <row r="712" spans="4:4" x14ac:dyDescent="0.25">
      <c r="D712" s="78">
        <f>1.87500000000007 + "00:20:00"</f>
        <v>1.8888888888889588</v>
      </c>
    </row>
    <row r="721" spans="4:4" x14ac:dyDescent="0.25">
      <c r="D721" s="78">
        <f>1.88888888888896 + "00:20:00"</f>
        <v>1.9027777777778487</v>
      </c>
    </row>
    <row r="730" spans="4:4" x14ac:dyDescent="0.25">
      <c r="D730" s="78">
        <f>1.90277777777785 + "00:20:00"</f>
        <v>1.9166666666667389</v>
      </c>
    </row>
    <row r="739" spans="4:4" x14ac:dyDescent="0.25">
      <c r="D739" s="78">
        <f>1.91666666666674 + "00:20:00"</f>
        <v>1.9305555555556289</v>
      </c>
    </row>
    <row r="748" spans="4:4" x14ac:dyDescent="0.25">
      <c r="D748" s="78">
        <f>1.93055555555563 + "00:20:00"</f>
        <v>1.9444444444445188</v>
      </c>
    </row>
    <row r="757" spans="4:4" x14ac:dyDescent="0.25">
      <c r="D757" s="78">
        <f>1.94444444444452 + "00:20:00"</f>
        <v>1.9583333333334088</v>
      </c>
    </row>
    <row r="766" spans="4:4" x14ac:dyDescent="0.25">
      <c r="D766" s="78">
        <f>1.95833333333341 + "00:20:00"</f>
        <v>1.9722222222222989</v>
      </c>
    </row>
    <row r="775" spans="4:4" x14ac:dyDescent="0.25">
      <c r="D775" s="78">
        <f>1.9722222222223 + "00:20:00"</f>
        <v>1.9861111111111889</v>
      </c>
    </row>
    <row r="784" spans="4:4" x14ac:dyDescent="0.25">
      <c r="D784" s="78">
        <f>1.98611111111119 + "00:20:00"</f>
        <v>2.000000000000079</v>
      </c>
    </row>
    <row r="793" spans="4:4" x14ac:dyDescent="0.25">
      <c r="D793" s="78">
        <f>2.00000000000008 + "00:20:00"</f>
        <v>2.0138888888889688</v>
      </c>
    </row>
    <row r="802" spans="4:4" x14ac:dyDescent="0.25">
      <c r="D802" s="78">
        <f>2.01388888888897 + "00:20:00"</f>
        <v>2.0277777777778589</v>
      </c>
    </row>
    <row r="811" spans="4:4" x14ac:dyDescent="0.25">
      <c r="D811" s="78">
        <f>2.02777777777786 + "00:20:00"</f>
        <v>2.0416666666667487</v>
      </c>
    </row>
    <row r="820" spans="4:4" x14ac:dyDescent="0.25">
      <c r="D820" s="78">
        <f>2.04166666666675 + "00:20:00"</f>
        <v>2.0555555555556388</v>
      </c>
    </row>
    <row r="829" spans="4:4" x14ac:dyDescent="0.25">
      <c r="D829" s="78">
        <f>2.05555555555564 + "00:20:00"</f>
        <v>2.069444444444529</v>
      </c>
    </row>
    <row r="838" spans="4:4" x14ac:dyDescent="0.25">
      <c r="D838" s="78">
        <f>2.06944444444453 + "00:20:00"</f>
        <v>2.0833333333334187</v>
      </c>
    </row>
    <row r="847" spans="4:4" x14ac:dyDescent="0.25">
      <c r="D847" s="78">
        <f>2.08333333333342 + "00:20:00"</f>
        <v>2.0972222222223089</v>
      </c>
    </row>
    <row r="856" spans="4:4" x14ac:dyDescent="0.25">
      <c r="D856" s="78">
        <f>2.09722222222231 + "00:20:00"</f>
        <v>2.1111111111111986</v>
      </c>
    </row>
    <row r="865" spans="4:4" x14ac:dyDescent="0.25">
      <c r="D865" s="78">
        <f>2.1111111111112 + "00:20:00"</f>
        <v>2.1250000000000888</v>
      </c>
    </row>
    <row r="874" spans="4:4" x14ac:dyDescent="0.25">
      <c r="D874" s="78">
        <f>2.12500000000009 + "00:20:00"</f>
        <v>2.138888888888979</v>
      </c>
    </row>
    <row r="883" spans="4:4" x14ac:dyDescent="0.25">
      <c r="D883" s="78">
        <f>2.13888888888898 + "00:20:00"</f>
        <v>2.1527777777778687</v>
      </c>
    </row>
    <row r="892" spans="4:4" x14ac:dyDescent="0.25">
      <c r="D892" s="78">
        <f>2.15277777777787 + "00:20:00"</f>
        <v>2.1666666666667589</v>
      </c>
    </row>
    <row r="901" spans="4:4" x14ac:dyDescent="0.25">
      <c r="D901" s="78">
        <f>2.16666666666676 + "00:20:00"</f>
        <v>2.1805555555556491</v>
      </c>
    </row>
    <row r="910" spans="4:4" x14ac:dyDescent="0.25">
      <c r="D910" s="78">
        <f>2.18055555555565 + "00:20:00"</f>
        <v>2.1944444444445388</v>
      </c>
    </row>
    <row r="919" spans="4:4" x14ac:dyDescent="0.25">
      <c r="D919" s="78">
        <f>2.19444444444454 + "00:20:00"</f>
        <v>2.208333333333429</v>
      </c>
    </row>
    <row r="928" spans="4:4" x14ac:dyDescent="0.25">
      <c r="D928" s="78">
        <f>2.20833333333343 + "00:20:00"</f>
        <v>2.2222222222223187</v>
      </c>
    </row>
    <row r="937" spans="4:4" x14ac:dyDescent="0.25">
      <c r="D937" s="78">
        <f>2.22222222222232 + "00:20:00"</f>
        <v>2.2361111111112089</v>
      </c>
    </row>
    <row r="946" spans="4:4" x14ac:dyDescent="0.25">
      <c r="D946" s="78">
        <f>2.23611111111121 + "00:20:00"</f>
        <v>2.250000000000099</v>
      </c>
    </row>
    <row r="955" spans="4:4" x14ac:dyDescent="0.25">
      <c r="D955" s="78">
        <f>2.2500000000001 + "00:20:00"</f>
        <v>2.2638888888889888</v>
      </c>
    </row>
    <row r="964" spans="4:4" x14ac:dyDescent="0.25">
      <c r="D964" s="78">
        <f>2.26388888888899 + "00:20:00"</f>
        <v>2.2777777777778789</v>
      </c>
    </row>
    <row r="973" spans="4:4" x14ac:dyDescent="0.25">
      <c r="D973" s="78">
        <f>2.27777777777788 + "00:20:00"</f>
        <v>2.2916666666667687</v>
      </c>
    </row>
    <row r="982" spans="4:4" x14ac:dyDescent="0.25">
      <c r="D982" s="78">
        <f>2.29166666666677 + "00:20:00"</f>
        <v>2.3055555555556588</v>
      </c>
    </row>
    <row r="991" spans="4:4" x14ac:dyDescent="0.25">
      <c r="D991" s="78">
        <f>2.30555555555566 + "00:20:00"</f>
        <v>2.319444444444549</v>
      </c>
    </row>
    <row r="1000" spans="4:4" x14ac:dyDescent="0.25">
      <c r="D1000" s="78">
        <f>2.31944444444455 + "00:20:00"</f>
        <v>2.3333333333334387</v>
      </c>
    </row>
  </sheetData>
  <sheetProtection selectLockedCells="1"/>
  <mergeCells count="6">
    <mergeCell ref="S7:W9"/>
    <mergeCell ref="S10:W15"/>
    <mergeCell ref="S17:W19"/>
    <mergeCell ref="S20:W25"/>
    <mergeCell ref="S27:W29"/>
    <mergeCell ref="S30:W35"/>
  </mergeCells>
  <conditionalFormatting sqref="C2">
    <cfRule type="expression" dxfId="639" priority="447">
      <formula>$C2&lt;$E2</formula>
    </cfRule>
    <cfRule type="expression" dxfId="638" priority="448">
      <formula>$C2&gt;$E2</formula>
    </cfRule>
  </conditionalFormatting>
  <conditionalFormatting sqref="E2">
    <cfRule type="expression" dxfId="637" priority="445">
      <formula>$C2&gt;$E2</formula>
    </cfRule>
    <cfRule type="expression" dxfId="636" priority="446">
      <formula>$C2&lt;$E2</formula>
    </cfRule>
  </conditionalFormatting>
  <conditionalFormatting sqref="C3">
    <cfRule type="expression" dxfId="635" priority="443">
      <formula>$C3&lt;$E3</formula>
    </cfRule>
    <cfRule type="expression" dxfId="634" priority="444">
      <formula>$C3&gt;$E3</formula>
    </cfRule>
  </conditionalFormatting>
  <conditionalFormatting sqref="E3">
    <cfRule type="expression" dxfId="633" priority="441">
      <formula>$C3&gt;$E3</formula>
    </cfRule>
    <cfRule type="expression" dxfId="632" priority="442">
      <formula>$C3&lt;$E3</formula>
    </cfRule>
  </conditionalFormatting>
  <conditionalFormatting sqref="C4">
    <cfRule type="expression" dxfId="631" priority="439">
      <formula>$C4&lt;$E4</formula>
    </cfRule>
    <cfRule type="expression" dxfId="630" priority="440">
      <formula>$C4&gt;$E4</formula>
    </cfRule>
  </conditionalFormatting>
  <conditionalFormatting sqref="E4">
    <cfRule type="expression" dxfId="629" priority="437">
      <formula>$C4&gt;$E4</formula>
    </cfRule>
    <cfRule type="expression" dxfId="628" priority="438">
      <formula>$C4&lt;$E4</formula>
    </cfRule>
  </conditionalFormatting>
  <conditionalFormatting sqref="C5">
    <cfRule type="expression" dxfId="627" priority="435">
      <formula>$C5&lt;$E5</formula>
    </cfRule>
    <cfRule type="expression" dxfId="626" priority="436">
      <formula>$C5&gt;$E5</formula>
    </cfRule>
  </conditionalFormatting>
  <conditionalFormatting sqref="E5">
    <cfRule type="expression" dxfId="625" priority="433">
      <formula>$C5&gt;$E5</formula>
    </cfRule>
    <cfRule type="expression" dxfId="624" priority="434">
      <formula>$C5&lt;$E5</formula>
    </cfRule>
  </conditionalFormatting>
  <conditionalFormatting sqref="C6">
    <cfRule type="expression" dxfId="623" priority="431">
      <formula>$C6&lt;$E6</formula>
    </cfRule>
    <cfRule type="expression" dxfId="622" priority="432">
      <formula>$C6&gt;$E6</formula>
    </cfRule>
  </conditionalFormatting>
  <conditionalFormatting sqref="E6">
    <cfRule type="expression" dxfId="621" priority="429">
      <formula>$C6&gt;$E6</formula>
    </cfRule>
    <cfRule type="expression" dxfId="620" priority="430">
      <formula>$C6&lt;$E6</formula>
    </cfRule>
  </conditionalFormatting>
  <conditionalFormatting sqref="C7">
    <cfRule type="expression" dxfId="619" priority="427">
      <formula>$C7&lt;$E7</formula>
    </cfRule>
    <cfRule type="expression" dxfId="618" priority="428">
      <formula>$C7&gt;$E7</formula>
    </cfRule>
  </conditionalFormatting>
  <conditionalFormatting sqref="E7">
    <cfRule type="expression" dxfId="617" priority="425">
      <formula>$C7&gt;$E7</formula>
    </cfRule>
    <cfRule type="expression" dxfId="616" priority="426">
      <formula>$C7&lt;$E7</formula>
    </cfRule>
  </conditionalFormatting>
  <conditionalFormatting sqref="C8">
    <cfRule type="expression" dxfId="615" priority="423">
      <formula>$C8&lt;$E8</formula>
    </cfRule>
    <cfRule type="expression" dxfId="614" priority="424">
      <formula>$C8&gt;$E8</formula>
    </cfRule>
  </conditionalFormatting>
  <conditionalFormatting sqref="E8">
    <cfRule type="expression" dxfId="613" priority="421">
      <formula>$C8&gt;$E8</formula>
    </cfRule>
    <cfRule type="expression" dxfId="612" priority="422">
      <formula>$C8&lt;$E8</formula>
    </cfRule>
  </conditionalFormatting>
  <conditionalFormatting sqref="C9">
    <cfRule type="expression" dxfId="611" priority="419">
      <formula>$C9&lt;$E9</formula>
    </cfRule>
    <cfRule type="expression" dxfId="610" priority="420">
      <formula>$C9&gt;$E9</formula>
    </cfRule>
  </conditionalFormatting>
  <conditionalFormatting sqref="E9">
    <cfRule type="expression" dxfId="609" priority="417">
      <formula>$C9&gt;$E9</formula>
    </cfRule>
    <cfRule type="expression" dxfId="608" priority="418">
      <formula>$C9&lt;$E9</formula>
    </cfRule>
  </conditionalFormatting>
  <conditionalFormatting sqref="C11">
    <cfRule type="expression" dxfId="607" priority="415">
      <formula>$C11&lt;$E11</formula>
    </cfRule>
    <cfRule type="expression" dxfId="606" priority="416">
      <formula>$C11&gt;$E11</formula>
    </cfRule>
  </conditionalFormatting>
  <conditionalFormatting sqref="E11">
    <cfRule type="expression" dxfId="605" priority="413">
      <formula>$C11&gt;$E11</formula>
    </cfRule>
    <cfRule type="expression" dxfId="604" priority="414">
      <formula>$C11&lt;$E11</formula>
    </cfRule>
  </conditionalFormatting>
  <conditionalFormatting sqref="C12">
    <cfRule type="expression" dxfId="603" priority="411">
      <formula>$C12&lt;$E12</formula>
    </cfRule>
    <cfRule type="expression" dxfId="602" priority="412">
      <formula>$C12&gt;$E12</formula>
    </cfRule>
  </conditionalFormatting>
  <conditionalFormatting sqref="E12">
    <cfRule type="expression" dxfId="601" priority="409">
      <formula>$C12&gt;$E12</formula>
    </cfRule>
    <cfRule type="expression" dxfId="600" priority="410">
      <formula>$C12&lt;$E12</formula>
    </cfRule>
  </conditionalFormatting>
  <conditionalFormatting sqref="C13">
    <cfRule type="expression" dxfId="599" priority="408">
      <formula>$C13&gt;$E13</formula>
    </cfRule>
  </conditionalFormatting>
  <conditionalFormatting sqref="C13">
    <cfRule type="expression" dxfId="598" priority="407">
      <formula>$C13&lt;$E13</formula>
    </cfRule>
  </conditionalFormatting>
  <conditionalFormatting sqref="E13">
    <cfRule type="expression" dxfId="597" priority="406">
      <formula>$C13&lt;$E13</formula>
    </cfRule>
  </conditionalFormatting>
  <conditionalFormatting sqref="E13">
    <cfRule type="expression" dxfId="596" priority="405">
      <formula>$C13&gt;$E13</formula>
    </cfRule>
  </conditionalFormatting>
  <conditionalFormatting sqref="C14">
    <cfRule type="expression" dxfId="595" priority="404">
      <formula>$C14&gt;$E14</formula>
    </cfRule>
  </conditionalFormatting>
  <conditionalFormatting sqref="C14">
    <cfRule type="expression" dxfId="594" priority="403">
      <formula>$C14&lt;$E14</formula>
    </cfRule>
  </conditionalFormatting>
  <conditionalFormatting sqref="E14">
    <cfRule type="expression" dxfId="593" priority="402">
      <formula>$C14&lt;$E14</formula>
    </cfRule>
  </conditionalFormatting>
  <conditionalFormatting sqref="E14">
    <cfRule type="expression" dxfId="592" priority="401">
      <formula>$C14&gt;$E14</formula>
    </cfRule>
  </conditionalFormatting>
  <conditionalFormatting sqref="C15">
    <cfRule type="expression" dxfId="591" priority="400">
      <formula>$C15&gt;$E15</formula>
    </cfRule>
  </conditionalFormatting>
  <conditionalFormatting sqref="C15">
    <cfRule type="expression" dxfId="590" priority="399">
      <formula>$C15&lt;$E15</formula>
    </cfRule>
  </conditionalFormatting>
  <conditionalFormatting sqref="E15">
    <cfRule type="expression" dxfId="589" priority="398">
      <formula>$C15&lt;$E15</formula>
    </cfRule>
  </conditionalFormatting>
  <conditionalFormatting sqref="E15">
    <cfRule type="expression" dxfId="588" priority="397">
      <formula>$C15&gt;$E15</formula>
    </cfRule>
  </conditionalFormatting>
  <conditionalFormatting sqref="C16">
    <cfRule type="expression" dxfId="587" priority="396">
      <formula>$C16&gt;$E16</formula>
    </cfRule>
  </conditionalFormatting>
  <conditionalFormatting sqref="C16">
    <cfRule type="expression" dxfId="586" priority="395">
      <formula>$C16&lt;$E16</formula>
    </cfRule>
  </conditionalFormatting>
  <conditionalFormatting sqref="E16">
    <cfRule type="expression" dxfId="585" priority="394">
      <formula>$C16&lt;$E16</formula>
    </cfRule>
  </conditionalFormatting>
  <conditionalFormatting sqref="E16">
    <cfRule type="expression" dxfId="584" priority="393">
      <formula>$C16&gt;$E16</formula>
    </cfRule>
  </conditionalFormatting>
  <conditionalFormatting sqref="C17">
    <cfRule type="expression" dxfId="583" priority="392">
      <formula>$C17&gt;$E17</formula>
    </cfRule>
  </conditionalFormatting>
  <conditionalFormatting sqref="C17">
    <cfRule type="expression" dxfId="582" priority="391">
      <formula>$C17&lt;$E17</formula>
    </cfRule>
  </conditionalFormatting>
  <conditionalFormatting sqref="E17">
    <cfRule type="expression" dxfId="581" priority="390">
      <formula>$C17&lt;$E17</formula>
    </cfRule>
  </conditionalFormatting>
  <conditionalFormatting sqref="E17">
    <cfRule type="expression" dxfId="580" priority="389">
      <formula>$C17&gt;$E17</formula>
    </cfRule>
  </conditionalFormatting>
  <conditionalFormatting sqref="C18">
    <cfRule type="expression" dxfId="579" priority="388">
      <formula>$C18&gt;$E18</formula>
    </cfRule>
  </conditionalFormatting>
  <conditionalFormatting sqref="C18">
    <cfRule type="expression" dxfId="578" priority="387">
      <formula>$C18&lt;$E18</formula>
    </cfRule>
  </conditionalFormatting>
  <conditionalFormatting sqref="E18">
    <cfRule type="expression" dxfId="577" priority="386">
      <formula>$C18&lt;$E18</formula>
    </cfRule>
  </conditionalFormatting>
  <conditionalFormatting sqref="E18">
    <cfRule type="expression" dxfId="576" priority="385">
      <formula>$C18&gt;$E18</formula>
    </cfRule>
  </conditionalFormatting>
  <conditionalFormatting sqref="C20">
    <cfRule type="expression" dxfId="575" priority="384">
      <formula>$C20&gt;$E20</formula>
    </cfRule>
  </conditionalFormatting>
  <conditionalFormatting sqref="C20">
    <cfRule type="expression" dxfId="574" priority="383">
      <formula>$C20&lt;$E20</formula>
    </cfRule>
  </conditionalFormatting>
  <conditionalFormatting sqref="E20">
    <cfRule type="expression" dxfId="573" priority="382">
      <formula>$C20&lt;$E20</formula>
    </cfRule>
  </conditionalFormatting>
  <conditionalFormatting sqref="E20">
    <cfRule type="expression" dxfId="572" priority="381">
      <formula>$C20&gt;$E20</formula>
    </cfRule>
  </conditionalFormatting>
  <conditionalFormatting sqref="C21">
    <cfRule type="expression" dxfId="571" priority="380">
      <formula>$C21&gt;$E21</formula>
    </cfRule>
  </conditionalFormatting>
  <conditionalFormatting sqref="C21">
    <cfRule type="expression" dxfId="570" priority="379">
      <formula>$C21&lt;$E21</formula>
    </cfRule>
  </conditionalFormatting>
  <conditionalFormatting sqref="E21">
    <cfRule type="expression" dxfId="569" priority="378">
      <formula>$C21&lt;$E21</formula>
    </cfRule>
  </conditionalFormatting>
  <conditionalFormatting sqref="E21">
    <cfRule type="expression" dxfId="568" priority="377">
      <formula>$C21&gt;$E21</formula>
    </cfRule>
  </conditionalFormatting>
  <conditionalFormatting sqref="C22">
    <cfRule type="expression" dxfId="567" priority="376">
      <formula>$C22&gt;$E22</formula>
    </cfRule>
  </conditionalFormatting>
  <conditionalFormatting sqref="C22">
    <cfRule type="expression" dxfId="566" priority="375">
      <formula>$C22&lt;$E22</formula>
    </cfRule>
  </conditionalFormatting>
  <conditionalFormatting sqref="E22">
    <cfRule type="expression" dxfId="565" priority="374">
      <formula>$C22&lt;$E22</formula>
    </cfRule>
  </conditionalFormatting>
  <conditionalFormatting sqref="E22">
    <cfRule type="expression" dxfId="564" priority="373">
      <formula>$C22&gt;$E22</formula>
    </cfRule>
  </conditionalFormatting>
  <conditionalFormatting sqref="C23">
    <cfRule type="expression" dxfId="563" priority="372">
      <formula>$C23&gt;$E23</formula>
    </cfRule>
  </conditionalFormatting>
  <conditionalFormatting sqref="C23">
    <cfRule type="expression" dxfId="562" priority="371">
      <formula>$C23&lt;$E23</formula>
    </cfRule>
  </conditionalFormatting>
  <conditionalFormatting sqref="E23">
    <cfRule type="expression" dxfId="561" priority="370">
      <formula>$C23&lt;$E23</formula>
    </cfRule>
  </conditionalFormatting>
  <conditionalFormatting sqref="E23">
    <cfRule type="expression" dxfId="560" priority="369">
      <formula>$C23&gt;$E23</formula>
    </cfRule>
  </conditionalFormatting>
  <conditionalFormatting sqref="C24">
    <cfRule type="expression" dxfId="559" priority="368">
      <formula>$C24&gt;$E24</formula>
    </cfRule>
  </conditionalFormatting>
  <conditionalFormatting sqref="C24">
    <cfRule type="expression" dxfId="558" priority="367">
      <formula>$C24&lt;$E24</formula>
    </cfRule>
  </conditionalFormatting>
  <conditionalFormatting sqref="E24">
    <cfRule type="expression" dxfId="557" priority="366">
      <formula>$C24&lt;$E24</formula>
    </cfRule>
  </conditionalFormatting>
  <conditionalFormatting sqref="E24">
    <cfRule type="expression" dxfId="556" priority="365">
      <formula>$C24&gt;$E24</formula>
    </cfRule>
  </conditionalFormatting>
  <conditionalFormatting sqref="C25">
    <cfRule type="expression" dxfId="555" priority="364">
      <formula>$C25&gt;$E25</formula>
    </cfRule>
  </conditionalFormatting>
  <conditionalFormatting sqref="C25">
    <cfRule type="expression" dxfId="554" priority="363">
      <formula>$C25&lt;$E25</formula>
    </cfRule>
  </conditionalFormatting>
  <conditionalFormatting sqref="E25">
    <cfRule type="expression" dxfId="553" priority="362">
      <formula>$C25&lt;$E25</formula>
    </cfRule>
  </conditionalFormatting>
  <conditionalFormatting sqref="E25">
    <cfRule type="expression" dxfId="552" priority="361">
      <formula>$C25&gt;$E25</formula>
    </cfRule>
  </conditionalFormatting>
  <conditionalFormatting sqref="C26">
    <cfRule type="expression" dxfId="551" priority="360">
      <formula>$C26&gt;$E26</formula>
    </cfRule>
  </conditionalFormatting>
  <conditionalFormatting sqref="C26">
    <cfRule type="expression" dxfId="550" priority="359">
      <formula>$C26&lt;$E26</formula>
    </cfRule>
  </conditionalFormatting>
  <conditionalFormatting sqref="E26">
    <cfRule type="expression" dxfId="549" priority="358">
      <formula>$C26&lt;$E26</formula>
    </cfRule>
  </conditionalFormatting>
  <conditionalFormatting sqref="E26">
    <cfRule type="expression" dxfId="548" priority="357">
      <formula>$C26&gt;$E26</formula>
    </cfRule>
  </conditionalFormatting>
  <conditionalFormatting sqref="C27">
    <cfRule type="expression" dxfId="547" priority="356">
      <formula>$C27&gt;$E27</formula>
    </cfRule>
  </conditionalFormatting>
  <conditionalFormatting sqref="C27">
    <cfRule type="expression" dxfId="546" priority="355">
      <formula>$C27&lt;$E27</formula>
    </cfRule>
  </conditionalFormatting>
  <conditionalFormatting sqref="E27">
    <cfRule type="expression" dxfId="545" priority="354">
      <formula>$C27&lt;$E27</formula>
    </cfRule>
  </conditionalFormatting>
  <conditionalFormatting sqref="E27">
    <cfRule type="expression" dxfId="544" priority="353">
      <formula>$C27&gt;$E27</formula>
    </cfRule>
  </conditionalFormatting>
  <conditionalFormatting sqref="C29">
    <cfRule type="expression" dxfId="543" priority="352">
      <formula>$C29&gt;$E29</formula>
    </cfRule>
  </conditionalFormatting>
  <conditionalFormatting sqref="C29">
    <cfRule type="expression" dxfId="542" priority="351">
      <formula>$C29&lt;$E29</formula>
    </cfRule>
  </conditionalFormatting>
  <conditionalFormatting sqref="E29">
    <cfRule type="expression" dxfId="541" priority="350">
      <formula>$C29&lt;$E29</formula>
    </cfRule>
  </conditionalFormatting>
  <conditionalFormatting sqref="E29">
    <cfRule type="expression" dxfId="540" priority="349">
      <formula>$C29&gt;$E29</formula>
    </cfRule>
  </conditionalFormatting>
  <conditionalFormatting sqref="C30">
    <cfRule type="expression" dxfId="539" priority="348">
      <formula>$C30&gt;$E30</formula>
    </cfRule>
  </conditionalFormatting>
  <conditionalFormatting sqref="C30">
    <cfRule type="expression" dxfId="538" priority="347">
      <formula>$C30&lt;$E30</formula>
    </cfRule>
  </conditionalFormatting>
  <conditionalFormatting sqref="E30">
    <cfRule type="expression" dxfId="537" priority="346">
      <formula>$C30&lt;$E30</formula>
    </cfRule>
  </conditionalFormatting>
  <conditionalFormatting sqref="E30">
    <cfRule type="expression" dxfId="536" priority="345">
      <formula>$C30&gt;$E30</formula>
    </cfRule>
  </conditionalFormatting>
  <conditionalFormatting sqref="C31">
    <cfRule type="expression" dxfId="535" priority="344">
      <formula>$C31&gt;$E31</formula>
    </cfRule>
  </conditionalFormatting>
  <conditionalFormatting sqref="C31">
    <cfRule type="expression" dxfId="534" priority="343">
      <formula>$C31&lt;$E31</formula>
    </cfRule>
  </conditionalFormatting>
  <conditionalFormatting sqref="E31">
    <cfRule type="expression" dxfId="533" priority="342">
      <formula>$C31&lt;$E31</formula>
    </cfRule>
  </conditionalFormatting>
  <conditionalFormatting sqref="E31">
    <cfRule type="expression" dxfId="532" priority="341">
      <formula>$C31&gt;$E31</formula>
    </cfRule>
  </conditionalFormatting>
  <conditionalFormatting sqref="C32">
    <cfRule type="expression" dxfId="531" priority="340">
      <formula>$C32&gt;$E32</formula>
    </cfRule>
  </conditionalFormatting>
  <conditionalFormatting sqref="C32">
    <cfRule type="expression" dxfId="530" priority="339">
      <formula>$C32&lt;$E32</formula>
    </cfRule>
  </conditionalFormatting>
  <conditionalFormatting sqref="E32">
    <cfRule type="expression" dxfId="529" priority="338">
      <formula>$C32&lt;$E32</formula>
    </cfRule>
  </conditionalFormatting>
  <conditionalFormatting sqref="E32">
    <cfRule type="expression" dxfId="528" priority="337">
      <formula>$C32&gt;$E32</formula>
    </cfRule>
  </conditionalFormatting>
  <conditionalFormatting sqref="C33">
    <cfRule type="expression" dxfId="527" priority="336">
      <formula>$C33&gt;$E33</formula>
    </cfRule>
  </conditionalFormatting>
  <conditionalFormatting sqref="C33">
    <cfRule type="expression" dxfId="526" priority="335">
      <formula>$C33&lt;$E33</formula>
    </cfRule>
  </conditionalFormatting>
  <conditionalFormatting sqref="E33">
    <cfRule type="expression" dxfId="525" priority="334">
      <formula>$C33&lt;$E33</formula>
    </cfRule>
  </conditionalFormatting>
  <conditionalFormatting sqref="E33">
    <cfRule type="expression" dxfId="524" priority="333">
      <formula>$C33&gt;$E33</formula>
    </cfRule>
  </conditionalFormatting>
  <conditionalFormatting sqref="C34">
    <cfRule type="expression" dxfId="523" priority="332">
      <formula>$C34&gt;$E34</formula>
    </cfRule>
  </conditionalFormatting>
  <conditionalFormatting sqref="C34">
    <cfRule type="expression" dxfId="522" priority="331">
      <formula>$C34&lt;$E34</formula>
    </cfRule>
  </conditionalFormatting>
  <conditionalFormatting sqref="E34">
    <cfRule type="expression" dxfId="521" priority="330">
      <formula>$C34&lt;$E34</formula>
    </cfRule>
  </conditionalFormatting>
  <conditionalFormatting sqref="E34">
    <cfRule type="expression" dxfId="520" priority="329">
      <formula>$C34&gt;$E34</formula>
    </cfRule>
  </conditionalFormatting>
  <conditionalFormatting sqref="C35">
    <cfRule type="expression" dxfId="519" priority="328">
      <formula>$C35&gt;$E35</formula>
    </cfRule>
  </conditionalFormatting>
  <conditionalFormatting sqref="C35">
    <cfRule type="expression" dxfId="518" priority="327">
      <formula>$C35&lt;$E35</formula>
    </cfRule>
  </conditionalFormatting>
  <conditionalFormatting sqref="E35">
    <cfRule type="expression" dxfId="517" priority="326">
      <formula>$C35&lt;$E35</formula>
    </cfRule>
  </conditionalFormatting>
  <conditionalFormatting sqref="E35">
    <cfRule type="expression" dxfId="516" priority="325">
      <formula>$C35&gt;$E35</formula>
    </cfRule>
  </conditionalFormatting>
  <conditionalFormatting sqref="C36">
    <cfRule type="expression" dxfId="515" priority="324">
      <formula>$C36&gt;$E36</formula>
    </cfRule>
  </conditionalFormatting>
  <conditionalFormatting sqref="C36">
    <cfRule type="expression" dxfId="514" priority="323">
      <formula>$C36&lt;$E36</formula>
    </cfRule>
  </conditionalFormatting>
  <conditionalFormatting sqref="E36">
    <cfRule type="expression" dxfId="513" priority="322">
      <formula>$C36&lt;$E36</formula>
    </cfRule>
  </conditionalFormatting>
  <conditionalFormatting sqref="E36">
    <cfRule type="expression" dxfId="512" priority="321">
      <formula>$C36&gt;$E36</formula>
    </cfRule>
  </conditionalFormatting>
  <conditionalFormatting sqref="C38">
    <cfRule type="expression" dxfId="511" priority="320">
      <formula>$C38&gt;$E38</formula>
    </cfRule>
  </conditionalFormatting>
  <conditionalFormatting sqref="C38">
    <cfRule type="expression" dxfId="510" priority="319">
      <formula>$C38&lt;$E38</formula>
    </cfRule>
  </conditionalFormatting>
  <conditionalFormatting sqref="E38">
    <cfRule type="expression" dxfId="509" priority="318">
      <formula>$C38&lt;$E38</formula>
    </cfRule>
  </conditionalFormatting>
  <conditionalFormatting sqref="E38">
    <cfRule type="expression" dxfId="508" priority="317">
      <formula>$C38&gt;$E38</formula>
    </cfRule>
  </conditionalFormatting>
  <conditionalFormatting sqref="C39">
    <cfRule type="expression" dxfId="507" priority="316">
      <formula>$C39&gt;$E39</formula>
    </cfRule>
  </conditionalFormatting>
  <conditionalFormatting sqref="C39">
    <cfRule type="expression" dxfId="506" priority="315">
      <formula>$C39&lt;$E39</formula>
    </cfRule>
  </conditionalFormatting>
  <conditionalFormatting sqref="E39">
    <cfRule type="expression" dxfId="505" priority="314">
      <formula>$C39&lt;$E39</formula>
    </cfRule>
  </conditionalFormatting>
  <conditionalFormatting sqref="E39">
    <cfRule type="expression" dxfId="504" priority="313">
      <formula>$C39&gt;$E39</formula>
    </cfRule>
  </conditionalFormatting>
  <conditionalFormatting sqref="C40">
    <cfRule type="expression" dxfId="503" priority="312">
      <formula>$C40&gt;$E40</formula>
    </cfRule>
  </conditionalFormatting>
  <conditionalFormatting sqref="C40">
    <cfRule type="expression" dxfId="502" priority="311">
      <formula>$C40&lt;$E40</formula>
    </cfRule>
  </conditionalFormatting>
  <conditionalFormatting sqref="E40">
    <cfRule type="expression" dxfId="501" priority="310">
      <formula>$C40&lt;$E40</formula>
    </cfRule>
  </conditionalFormatting>
  <conditionalFormatting sqref="E40">
    <cfRule type="expression" dxfId="500" priority="309">
      <formula>$C40&gt;$E40</formula>
    </cfRule>
  </conditionalFormatting>
  <conditionalFormatting sqref="C41">
    <cfRule type="expression" dxfId="499" priority="308">
      <formula>$C41&gt;$E41</formula>
    </cfRule>
  </conditionalFormatting>
  <conditionalFormatting sqref="C41">
    <cfRule type="expression" dxfId="498" priority="307">
      <formula>$C41&lt;$E41</formula>
    </cfRule>
  </conditionalFormatting>
  <conditionalFormatting sqref="E41">
    <cfRule type="expression" dxfId="497" priority="306">
      <formula>$C41&lt;$E41</formula>
    </cfRule>
  </conditionalFormatting>
  <conditionalFormatting sqref="E41">
    <cfRule type="expression" dxfId="496" priority="305">
      <formula>$C41&gt;$E41</formula>
    </cfRule>
  </conditionalFormatting>
  <conditionalFormatting sqref="C42">
    <cfRule type="expression" dxfId="495" priority="304">
      <formula>$C42&gt;$E42</formula>
    </cfRule>
  </conditionalFormatting>
  <conditionalFormatting sqref="C42">
    <cfRule type="expression" dxfId="494" priority="303">
      <formula>$C42&lt;$E42</formula>
    </cfRule>
  </conditionalFormatting>
  <conditionalFormatting sqref="E42">
    <cfRule type="expression" dxfId="493" priority="302">
      <formula>$C42&lt;$E42</formula>
    </cfRule>
  </conditionalFormatting>
  <conditionalFormatting sqref="E42">
    <cfRule type="expression" dxfId="492" priority="301">
      <formula>$C42&gt;$E42</formula>
    </cfRule>
  </conditionalFormatting>
  <conditionalFormatting sqref="C43">
    <cfRule type="expression" dxfId="491" priority="300">
      <formula>$C43&gt;$E43</formula>
    </cfRule>
  </conditionalFormatting>
  <conditionalFormatting sqref="C43">
    <cfRule type="expression" dxfId="490" priority="299">
      <formula>$C43&lt;$E43</formula>
    </cfRule>
  </conditionalFormatting>
  <conditionalFormatting sqref="E43">
    <cfRule type="expression" dxfId="489" priority="298">
      <formula>$C43&lt;$E43</formula>
    </cfRule>
  </conditionalFormatting>
  <conditionalFormatting sqref="E43">
    <cfRule type="expression" dxfId="488" priority="297">
      <formula>$C43&gt;$E43</formula>
    </cfRule>
  </conditionalFormatting>
  <conditionalFormatting sqref="C44">
    <cfRule type="expression" dxfId="487" priority="296">
      <formula>$C44&gt;$E44</formula>
    </cfRule>
  </conditionalFormatting>
  <conditionalFormatting sqref="C44">
    <cfRule type="expression" dxfId="486" priority="295">
      <formula>$C44&lt;$E44</formula>
    </cfRule>
  </conditionalFormatting>
  <conditionalFormatting sqref="E44">
    <cfRule type="expression" dxfId="485" priority="294">
      <formula>$C44&lt;$E44</formula>
    </cfRule>
  </conditionalFormatting>
  <conditionalFormatting sqref="E44">
    <cfRule type="expression" dxfId="484" priority="293">
      <formula>$C44&gt;$E44</formula>
    </cfRule>
  </conditionalFormatting>
  <conditionalFormatting sqref="C45">
    <cfRule type="expression" dxfId="483" priority="292">
      <formula>$C45&gt;$E45</formula>
    </cfRule>
  </conditionalFormatting>
  <conditionalFormatting sqref="C45">
    <cfRule type="expression" dxfId="482" priority="291">
      <formula>$C45&lt;$E45</formula>
    </cfRule>
  </conditionalFormatting>
  <conditionalFormatting sqref="E45">
    <cfRule type="expression" dxfId="481" priority="290">
      <formula>$C45&lt;$E45</formula>
    </cfRule>
  </conditionalFormatting>
  <conditionalFormatting sqref="E45">
    <cfRule type="expression" dxfId="480" priority="289">
      <formula>$C45&gt;$E45</formula>
    </cfRule>
  </conditionalFormatting>
  <conditionalFormatting sqref="C47">
    <cfRule type="expression" dxfId="479" priority="288">
      <formula>$C47&gt;$E47</formula>
    </cfRule>
  </conditionalFormatting>
  <conditionalFormatting sqref="C47">
    <cfRule type="expression" dxfId="478" priority="287">
      <formula>$C47&lt;$E47</formula>
    </cfRule>
  </conditionalFormatting>
  <conditionalFormatting sqref="E47">
    <cfRule type="expression" dxfId="477" priority="286">
      <formula>$C47&lt;$E47</formula>
    </cfRule>
  </conditionalFormatting>
  <conditionalFormatting sqref="E47">
    <cfRule type="expression" dxfId="476" priority="285">
      <formula>$C47&gt;$E47</formula>
    </cfRule>
  </conditionalFormatting>
  <conditionalFormatting sqref="C48">
    <cfRule type="expression" dxfId="475" priority="284">
      <formula>$C48&gt;$E48</formula>
    </cfRule>
  </conditionalFormatting>
  <conditionalFormatting sqref="C48">
    <cfRule type="expression" dxfId="474" priority="283">
      <formula>$C48&lt;$E48</formula>
    </cfRule>
  </conditionalFormatting>
  <conditionalFormatting sqref="E48">
    <cfRule type="expression" dxfId="473" priority="282">
      <formula>$C48&lt;$E48</formula>
    </cfRule>
  </conditionalFormatting>
  <conditionalFormatting sqref="E48">
    <cfRule type="expression" dxfId="472" priority="281">
      <formula>$C48&gt;$E48</formula>
    </cfRule>
  </conditionalFormatting>
  <conditionalFormatting sqref="C49">
    <cfRule type="expression" dxfId="471" priority="280">
      <formula>$C49&gt;$E49</formula>
    </cfRule>
  </conditionalFormatting>
  <conditionalFormatting sqref="C49">
    <cfRule type="expression" dxfId="470" priority="279">
      <formula>$C49&lt;$E49</formula>
    </cfRule>
  </conditionalFormatting>
  <conditionalFormatting sqref="E49">
    <cfRule type="expression" dxfId="469" priority="278">
      <formula>$C49&lt;$E49</formula>
    </cfRule>
  </conditionalFormatting>
  <conditionalFormatting sqref="E49">
    <cfRule type="expression" dxfId="468" priority="277">
      <formula>$C49&gt;$E49</formula>
    </cfRule>
  </conditionalFormatting>
  <conditionalFormatting sqref="C50">
    <cfRule type="expression" dxfId="467" priority="276">
      <formula>$C50&gt;$E50</formula>
    </cfRule>
  </conditionalFormatting>
  <conditionalFormatting sqref="C50">
    <cfRule type="expression" dxfId="466" priority="275">
      <formula>$C50&lt;$E50</formula>
    </cfRule>
  </conditionalFormatting>
  <conditionalFormatting sqref="E50">
    <cfRule type="expression" dxfId="465" priority="274">
      <formula>$C50&lt;$E50</formula>
    </cfRule>
  </conditionalFormatting>
  <conditionalFormatting sqref="E50">
    <cfRule type="expression" dxfId="464" priority="273">
      <formula>$C50&gt;$E50</formula>
    </cfRule>
  </conditionalFormatting>
  <conditionalFormatting sqref="C51">
    <cfRule type="expression" dxfId="463" priority="272">
      <formula>$C51&gt;$E51</formula>
    </cfRule>
  </conditionalFormatting>
  <conditionalFormatting sqref="C51">
    <cfRule type="expression" dxfId="462" priority="271">
      <formula>$C51&lt;$E51</formula>
    </cfRule>
  </conditionalFormatting>
  <conditionalFormatting sqref="E51">
    <cfRule type="expression" dxfId="461" priority="270">
      <formula>$C51&lt;$E51</formula>
    </cfRule>
  </conditionalFormatting>
  <conditionalFormatting sqref="E51">
    <cfRule type="expression" dxfId="460" priority="269">
      <formula>$C51&gt;$E51</formula>
    </cfRule>
  </conditionalFormatting>
  <conditionalFormatting sqref="C52">
    <cfRule type="expression" dxfId="459" priority="268">
      <formula>$C52&gt;$E52</formula>
    </cfRule>
  </conditionalFormatting>
  <conditionalFormatting sqref="C52">
    <cfRule type="expression" dxfId="458" priority="267">
      <formula>$C52&lt;$E52</formula>
    </cfRule>
  </conditionalFormatting>
  <conditionalFormatting sqref="E52">
    <cfRule type="expression" dxfId="457" priority="266">
      <formula>$C52&lt;$E52</formula>
    </cfRule>
  </conditionalFormatting>
  <conditionalFormatting sqref="E52">
    <cfRule type="expression" dxfId="456" priority="265">
      <formula>$C52&gt;$E52</formula>
    </cfRule>
  </conditionalFormatting>
  <conditionalFormatting sqref="C53">
    <cfRule type="expression" dxfId="455" priority="264">
      <formula>$C53&gt;$E53</formula>
    </cfRule>
  </conditionalFormatting>
  <conditionalFormatting sqref="C53">
    <cfRule type="expression" dxfId="454" priority="263">
      <formula>$C53&lt;$E53</formula>
    </cfRule>
  </conditionalFormatting>
  <conditionalFormatting sqref="E53">
    <cfRule type="expression" dxfId="453" priority="262">
      <formula>$C53&lt;$E53</formula>
    </cfRule>
  </conditionalFormatting>
  <conditionalFormatting sqref="E53">
    <cfRule type="expression" dxfId="452" priority="261">
      <formula>$C53&gt;$E53</formula>
    </cfRule>
  </conditionalFormatting>
  <conditionalFormatting sqref="C54">
    <cfRule type="expression" dxfId="451" priority="260">
      <formula>$C54&gt;$E54</formula>
    </cfRule>
  </conditionalFormatting>
  <conditionalFormatting sqref="C54">
    <cfRule type="expression" dxfId="450" priority="259">
      <formula>$C54&lt;$E54</formula>
    </cfRule>
  </conditionalFormatting>
  <conditionalFormatting sqref="E54">
    <cfRule type="expression" dxfId="449" priority="258">
      <formula>$C54&lt;$E54</formula>
    </cfRule>
  </conditionalFormatting>
  <conditionalFormatting sqref="E54">
    <cfRule type="expression" dxfId="448" priority="257">
      <formula>$C54&gt;$E54</formula>
    </cfRule>
  </conditionalFormatting>
  <conditionalFormatting sqref="C56">
    <cfRule type="expression" dxfId="447" priority="256">
      <formula>$C56&gt;$E56</formula>
    </cfRule>
  </conditionalFormatting>
  <conditionalFormatting sqref="C56">
    <cfRule type="expression" dxfId="446" priority="255">
      <formula>$C56&lt;$E56</formula>
    </cfRule>
  </conditionalFormatting>
  <conditionalFormatting sqref="E56">
    <cfRule type="expression" dxfId="445" priority="254">
      <formula>$C56&lt;$E56</formula>
    </cfRule>
  </conditionalFormatting>
  <conditionalFormatting sqref="E56">
    <cfRule type="expression" dxfId="444" priority="253">
      <formula>$C56&gt;$E56</formula>
    </cfRule>
  </conditionalFormatting>
  <conditionalFormatting sqref="C57">
    <cfRule type="expression" dxfId="443" priority="252">
      <formula>$C57&gt;$E57</formula>
    </cfRule>
  </conditionalFormatting>
  <conditionalFormatting sqref="C57">
    <cfRule type="expression" dxfId="442" priority="251">
      <formula>$C57&lt;$E57</formula>
    </cfRule>
  </conditionalFormatting>
  <conditionalFormatting sqref="E57">
    <cfRule type="expression" dxfId="441" priority="250">
      <formula>$C57&lt;$E57</formula>
    </cfRule>
  </conditionalFormatting>
  <conditionalFormatting sqref="E57">
    <cfRule type="expression" dxfId="440" priority="249">
      <formula>$C57&gt;$E57</formula>
    </cfRule>
  </conditionalFormatting>
  <conditionalFormatting sqref="C58">
    <cfRule type="expression" dxfId="439" priority="248">
      <formula>$C58&gt;$E58</formula>
    </cfRule>
  </conditionalFormatting>
  <conditionalFormatting sqref="C58">
    <cfRule type="expression" dxfId="438" priority="247">
      <formula>$C58&lt;$E58</formula>
    </cfRule>
  </conditionalFormatting>
  <conditionalFormatting sqref="E58">
    <cfRule type="expression" dxfId="437" priority="246">
      <formula>$C58&lt;$E58</formula>
    </cfRule>
  </conditionalFormatting>
  <conditionalFormatting sqref="E58">
    <cfRule type="expression" dxfId="436" priority="245">
      <formula>$C58&gt;$E58</formula>
    </cfRule>
  </conditionalFormatting>
  <conditionalFormatting sqref="C59">
    <cfRule type="expression" dxfId="435" priority="244">
      <formula>$C59&gt;$E59</formula>
    </cfRule>
  </conditionalFormatting>
  <conditionalFormatting sqref="C59">
    <cfRule type="expression" dxfId="434" priority="243">
      <formula>$C59&lt;$E59</formula>
    </cfRule>
  </conditionalFormatting>
  <conditionalFormatting sqref="E59">
    <cfRule type="expression" dxfId="433" priority="242">
      <formula>$C59&lt;$E59</formula>
    </cfRule>
  </conditionalFormatting>
  <conditionalFormatting sqref="E59">
    <cfRule type="expression" dxfId="432" priority="241">
      <formula>$C59&gt;$E59</formula>
    </cfRule>
  </conditionalFormatting>
  <conditionalFormatting sqref="C60">
    <cfRule type="expression" dxfId="431" priority="240">
      <formula>$C60&gt;$E60</formula>
    </cfRule>
  </conditionalFormatting>
  <conditionalFormatting sqref="C60">
    <cfRule type="expression" dxfId="430" priority="239">
      <formula>$C60&lt;$E60</formula>
    </cfRule>
  </conditionalFormatting>
  <conditionalFormatting sqref="E60">
    <cfRule type="expression" dxfId="429" priority="238">
      <formula>$C60&lt;$E60</formula>
    </cfRule>
  </conditionalFormatting>
  <conditionalFormatting sqref="E60">
    <cfRule type="expression" dxfId="428" priority="237">
      <formula>$C60&gt;$E60</formula>
    </cfRule>
  </conditionalFormatting>
  <conditionalFormatting sqref="C61">
    <cfRule type="expression" dxfId="427" priority="236">
      <formula>$C61&gt;$E61</formula>
    </cfRule>
  </conditionalFormatting>
  <conditionalFormatting sqref="C61">
    <cfRule type="expression" dxfId="426" priority="235">
      <formula>$C61&lt;$E61</formula>
    </cfRule>
  </conditionalFormatting>
  <conditionalFormatting sqref="E61">
    <cfRule type="expression" dxfId="425" priority="234">
      <formula>$C61&lt;$E61</formula>
    </cfRule>
  </conditionalFormatting>
  <conditionalFormatting sqref="E61">
    <cfRule type="expression" dxfId="424" priority="233">
      <formula>$C61&gt;$E61</formula>
    </cfRule>
  </conditionalFormatting>
  <conditionalFormatting sqref="C62">
    <cfRule type="expression" dxfId="423" priority="232">
      <formula>$C62&gt;$E62</formula>
    </cfRule>
  </conditionalFormatting>
  <conditionalFormatting sqref="C62">
    <cfRule type="expression" dxfId="422" priority="231">
      <formula>$C62&lt;$E62</formula>
    </cfRule>
  </conditionalFormatting>
  <conditionalFormatting sqref="E62">
    <cfRule type="expression" dxfId="421" priority="230">
      <formula>$C62&lt;$E62</formula>
    </cfRule>
  </conditionalFormatting>
  <conditionalFormatting sqref="E62">
    <cfRule type="expression" dxfId="420" priority="229">
      <formula>$C62&gt;$E62</formula>
    </cfRule>
  </conditionalFormatting>
  <conditionalFormatting sqref="C63">
    <cfRule type="expression" dxfId="419" priority="228">
      <formula>$C63&gt;$E63</formula>
    </cfRule>
  </conditionalFormatting>
  <conditionalFormatting sqref="C63">
    <cfRule type="expression" dxfId="418" priority="227">
      <formula>$C63&lt;$E63</formula>
    </cfRule>
  </conditionalFormatting>
  <conditionalFormatting sqref="E63">
    <cfRule type="expression" dxfId="417" priority="226">
      <formula>$C63&lt;$E63</formula>
    </cfRule>
  </conditionalFormatting>
  <conditionalFormatting sqref="E63">
    <cfRule type="expression" dxfId="416" priority="225">
      <formula>$C63&gt;$E63</formula>
    </cfRule>
  </conditionalFormatting>
  <conditionalFormatting sqref="C65">
    <cfRule type="expression" dxfId="415" priority="224">
      <formula>$C65&gt;$E65</formula>
    </cfRule>
  </conditionalFormatting>
  <conditionalFormatting sqref="C65">
    <cfRule type="expression" dxfId="414" priority="223">
      <formula>$C65&lt;$E65</formula>
    </cfRule>
  </conditionalFormatting>
  <conditionalFormatting sqref="E65">
    <cfRule type="expression" dxfId="413" priority="222">
      <formula>$C65&lt;$E65</formula>
    </cfRule>
  </conditionalFormatting>
  <conditionalFormatting sqref="E65">
    <cfRule type="expression" dxfId="412" priority="221">
      <formula>$C65&gt;$E65</formula>
    </cfRule>
  </conditionalFormatting>
  <conditionalFormatting sqref="C66">
    <cfRule type="expression" dxfId="411" priority="220">
      <formula>$C66&gt;$E66</formula>
    </cfRule>
  </conditionalFormatting>
  <conditionalFormatting sqref="C66">
    <cfRule type="expression" dxfId="410" priority="219">
      <formula>$C66&lt;$E66</formula>
    </cfRule>
  </conditionalFormatting>
  <conditionalFormatting sqref="E66">
    <cfRule type="expression" dxfId="409" priority="218">
      <formula>$C66&lt;$E66</formula>
    </cfRule>
  </conditionalFormatting>
  <conditionalFormatting sqref="E66">
    <cfRule type="expression" dxfId="408" priority="217">
      <formula>$C66&gt;$E66</formula>
    </cfRule>
  </conditionalFormatting>
  <conditionalFormatting sqref="C67">
    <cfRule type="expression" dxfId="407" priority="216">
      <formula>$C67&gt;$E67</formula>
    </cfRule>
  </conditionalFormatting>
  <conditionalFormatting sqref="C67">
    <cfRule type="expression" dxfId="406" priority="215">
      <formula>$C67&lt;$E67</formula>
    </cfRule>
  </conditionalFormatting>
  <conditionalFormatting sqref="E67">
    <cfRule type="expression" dxfId="405" priority="214">
      <formula>$C67&lt;$E67</formula>
    </cfRule>
  </conditionalFormatting>
  <conditionalFormatting sqref="E67">
    <cfRule type="expression" dxfId="404" priority="213">
      <formula>$C67&gt;$E67</formula>
    </cfRule>
  </conditionalFormatting>
  <conditionalFormatting sqref="C68">
    <cfRule type="expression" dxfId="403" priority="212">
      <formula>$C68&gt;$E68</formula>
    </cfRule>
  </conditionalFormatting>
  <conditionalFormatting sqref="C68">
    <cfRule type="expression" dxfId="402" priority="211">
      <formula>$C68&lt;$E68</formula>
    </cfRule>
  </conditionalFormatting>
  <conditionalFormatting sqref="E68">
    <cfRule type="expression" dxfId="401" priority="210">
      <formula>$C68&lt;$E68</formula>
    </cfRule>
  </conditionalFormatting>
  <conditionalFormatting sqref="E68">
    <cfRule type="expression" dxfId="400" priority="209">
      <formula>$C68&gt;$E68</formula>
    </cfRule>
  </conditionalFormatting>
  <conditionalFormatting sqref="C69">
    <cfRule type="expression" dxfId="399" priority="208">
      <formula>$C69&gt;$E69</formula>
    </cfRule>
  </conditionalFormatting>
  <conditionalFormatting sqref="C69">
    <cfRule type="expression" dxfId="398" priority="207">
      <formula>$C69&lt;$E69</formula>
    </cfRule>
  </conditionalFormatting>
  <conditionalFormatting sqref="E69">
    <cfRule type="expression" dxfId="397" priority="206">
      <formula>$C69&lt;$E69</formula>
    </cfRule>
  </conditionalFormatting>
  <conditionalFormatting sqref="E69">
    <cfRule type="expression" dxfId="396" priority="205">
      <formula>$C69&gt;$E69</formula>
    </cfRule>
  </conditionalFormatting>
  <conditionalFormatting sqref="C70">
    <cfRule type="expression" dxfId="395" priority="204">
      <formula>$C70&gt;$E70</formula>
    </cfRule>
  </conditionalFormatting>
  <conditionalFormatting sqref="C70">
    <cfRule type="expression" dxfId="394" priority="203">
      <formula>$C70&lt;$E70</formula>
    </cfRule>
  </conditionalFormatting>
  <conditionalFormatting sqref="E70">
    <cfRule type="expression" dxfId="393" priority="202">
      <formula>$C70&lt;$E70</formula>
    </cfRule>
  </conditionalFormatting>
  <conditionalFormatting sqref="E70">
    <cfRule type="expression" dxfId="392" priority="201">
      <formula>$C70&gt;$E70</formula>
    </cfRule>
  </conditionalFormatting>
  <conditionalFormatting sqref="C71">
    <cfRule type="expression" dxfId="391" priority="200">
      <formula>$C71&gt;$E71</formula>
    </cfRule>
  </conditionalFormatting>
  <conditionalFormatting sqref="C71">
    <cfRule type="expression" dxfId="390" priority="199">
      <formula>$C71&lt;$E71</formula>
    </cfRule>
  </conditionalFormatting>
  <conditionalFormatting sqref="E71">
    <cfRule type="expression" dxfId="389" priority="198">
      <formula>$C71&lt;$E71</formula>
    </cfRule>
  </conditionalFormatting>
  <conditionalFormatting sqref="E71">
    <cfRule type="expression" dxfId="388" priority="197">
      <formula>$C71&gt;$E71</formula>
    </cfRule>
  </conditionalFormatting>
  <conditionalFormatting sqref="C72">
    <cfRule type="expression" dxfId="387" priority="196">
      <formula>$C72&gt;$E72</formula>
    </cfRule>
  </conditionalFormatting>
  <conditionalFormatting sqref="C72">
    <cfRule type="expression" dxfId="386" priority="195">
      <formula>$C72&lt;$E72</formula>
    </cfRule>
  </conditionalFormatting>
  <conditionalFormatting sqref="E72">
    <cfRule type="expression" dxfId="385" priority="194">
      <formula>$C72&lt;$E72</formula>
    </cfRule>
  </conditionalFormatting>
  <conditionalFormatting sqref="E72">
    <cfRule type="expression" dxfId="384" priority="193">
      <formula>$C72&gt;$E72</formula>
    </cfRule>
  </conditionalFormatting>
  <conditionalFormatting sqref="C74">
    <cfRule type="expression" dxfId="383" priority="192">
      <formula>$C74&gt;$E74</formula>
    </cfRule>
  </conditionalFormatting>
  <conditionalFormatting sqref="C74">
    <cfRule type="expression" dxfId="382" priority="191">
      <formula>$C74&lt;$E74</formula>
    </cfRule>
  </conditionalFormatting>
  <conditionalFormatting sqref="E74">
    <cfRule type="expression" dxfId="381" priority="190">
      <formula>$C74&lt;$E74</formula>
    </cfRule>
  </conditionalFormatting>
  <conditionalFormatting sqref="E74">
    <cfRule type="expression" dxfId="380" priority="189">
      <formula>$C74&gt;$E74</formula>
    </cfRule>
  </conditionalFormatting>
  <conditionalFormatting sqref="C75">
    <cfRule type="expression" dxfId="379" priority="188">
      <formula>$C75&gt;$E75</formula>
    </cfRule>
  </conditionalFormatting>
  <conditionalFormatting sqref="C75">
    <cfRule type="expression" dxfId="378" priority="187">
      <formula>$C75&lt;$E75</formula>
    </cfRule>
  </conditionalFormatting>
  <conditionalFormatting sqref="E75">
    <cfRule type="expression" dxfId="377" priority="186">
      <formula>$C75&lt;$E75</formula>
    </cfRule>
  </conditionalFormatting>
  <conditionalFormatting sqref="E75">
    <cfRule type="expression" dxfId="376" priority="185">
      <formula>$C75&gt;$E75</formula>
    </cfRule>
  </conditionalFormatting>
  <conditionalFormatting sqref="C76">
    <cfRule type="expression" dxfId="375" priority="184">
      <formula>$C76&gt;$E76</formula>
    </cfRule>
  </conditionalFormatting>
  <conditionalFormatting sqref="C76">
    <cfRule type="expression" dxfId="374" priority="183">
      <formula>$C76&lt;$E76</formula>
    </cfRule>
  </conditionalFormatting>
  <conditionalFormatting sqref="E76">
    <cfRule type="expression" dxfId="373" priority="182">
      <formula>$C76&lt;$E76</formula>
    </cfRule>
  </conditionalFormatting>
  <conditionalFormatting sqref="E76">
    <cfRule type="expression" dxfId="372" priority="181">
      <formula>$C76&gt;$E76</formula>
    </cfRule>
  </conditionalFormatting>
  <conditionalFormatting sqref="C77">
    <cfRule type="expression" dxfId="371" priority="180">
      <formula>$C77&gt;$E77</formula>
    </cfRule>
  </conditionalFormatting>
  <conditionalFormatting sqref="C77">
    <cfRule type="expression" dxfId="370" priority="179">
      <formula>$C77&lt;$E77</formula>
    </cfRule>
  </conditionalFormatting>
  <conditionalFormatting sqref="E77">
    <cfRule type="expression" dxfId="369" priority="178">
      <formula>$C77&lt;$E77</formula>
    </cfRule>
  </conditionalFormatting>
  <conditionalFormatting sqref="E77">
    <cfRule type="expression" dxfId="368" priority="177">
      <formula>$C77&gt;$E77</formula>
    </cfRule>
  </conditionalFormatting>
  <conditionalFormatting sqref="C78">
    <cfRule type="expression" dxfId="367" priority="176">
      <formula>$C78&gt;$E78</formula>
    </cfRule>
  </conditionalFormatting>
  <conditionalFormatting sqref="C78">
    <cfRule type="expression" dxfId="366" priority="175">
      <formula>$C78&lt;$E78</formula>
    </cfRule>
  </conditionalFormatting>
  <conditionalFormatting sqref="E78">
    <cfRule type="expression" dxfId="365" priority="174">
      <formula>$C78&lt;$E78</formula>
    </cfRule>
  </conditionalFormatting>
  <conditionalFormatting sqref="E78">
    <cfRule type="expression" dxfId="364" priority="173">
      <formula>$C78&gt;$E78</formula>
    </cfRule>
  </conditionalFormatting>
  <conditionalFormatting sqref="C79">
    <cfRule type="expression" dxfId="363" priority="172">
      <formula>$C79&gt;$E79</formula>
    </cfRule>
  </conditionalFormatting>
  <conditionalFormatting sqref="C79">
    <cfRule type="expression" dxfId="362" priority="171">
      <formula>$C79&lt;$E79</formula>
    </cfRule>
  </conditionalFormatting>
  <conditionalFormatting sqref="E79">
    <cfRule type="expression" dxfId="361" priority="170">
      <formula>$C79&lt;$E79</formula>
    </cfRule>
  </conditionalFormatting>
  <conditionalFormatting sqref="E79">
    <cfRule type="expression" dxfId="360" priority="169">
      <formula>$C79&gt;$E79</formula>
    </cfRule>
  </conditionalFormatting>
  <conditionalFormatting sqref="C80">
    <cfRule type="expression" dxfId="359" priority="168">
      <formula>$C80&gt;$E80</formula>
    </cfRule>
  </conditionalFormatting>
  <conditionalFormatting sqref="C80">
    <cfRule type="expression" dxfId="358" priority="167">
      <formula>$C80&lt;$E80</formula>
    </cfRule>
  </conditionalFormatting>
  <conditionalFormatting sqref="E80">
    <cfRule type="expression" dxfId="357" priority="166">
      <formula>$C80&lt;$E80</formula>
    </cfRule>
  </conditionalFormatting>
  <conditionalFormatting sqref="E80">
    <cfRule type="expression" dxfId="356" priority="165">
      <formula>$C80&gt;$E80</formula>
    </cfRule>
  </conditionalFormatting>
  <conditionalFormatting sqref="C81">
    <cfRule type="expression" dxfId="355" priority="164">
      <formula>$C81&gt;$E81</formula>
    </cfRule>
  </conditionalFormatting>
  <conditionalFormatting sqref="C81">
    <cfRule type="expression" dxfId="354" priority="163">
      <formula>$C81&lt;$E81</formula>
    </cfRule>
  </conditionalFormatting>
  <conditionalFormatting sqref="E81">
    <cfRule type="expression" dxfId="353" priority="162">
      <formula>$C81&lt;$E81</formula>
    </cfRule>
  </conditionalFormatting>
  <conditionalFormatting sqref="E81">
    <cfRule type="expression" dxfId="352" priority="161">
      <formula>$C81&gt;$E81</formula>
    </cfRule>
  </conditionalFormatting>
  <conditionalFormatting sqref="C83">
    <cfRule type="expression" dxfId="351" priority="160">
      <formula>$C83&gt;$E83</formula>
    </cfRule>
  </conditionalFormatting>
  <conditionalFormatting sqref="C83">
    <cfRule type="expression" dxfId="350" priority="159">
      <formula>$C83&lt;$E83</formula>
    </cfRule>
  </conditionalFormatting>
  <conditionalFormatting sqref="E83">
    <cfRule type="expression" dxfId="349" priority="158">
      <formula>$C83&lt;$E83</formula>
    </cfRule>
  </conditionalFormatting>
  <conditionalFormatting sqref="E83">
    <cfRule type="expression" dxfId="348" priority="157">
      <formula>$C83&gt;$E83</formula>
    </cfRule>
  </conditionalFormatting>
  <conditionalFormatting sqref="C84">
    <cfRule type="expression" dxfId="347" priority="156">
      <formula>$C84&gt;$E84</formula>
    </cfRule>
  </conditionalFormatting>
  <conditionalFormatting sqref="C84">
    <cfRule type="expression" dxfId="346" priority="155">
      <formula>$C84&lt;$E84</formula>
    </cfRule>
  </conditionalFormatting>
  <conditionalFormatting sqref="E84">
    <cfRule type="expression" dxfId="345" priority="154">
      <formula>$C84&lt;$E84</formula>
    </cfRule>
  </conditionalFormatting>
  <conditionalFormatting sqref="E84">
    <cfRule type="expression" dxfId="344" priority="153">
      <formula>$C84&gt;$E84</formula>
    </cfRule>
  </conditionalFormatting>
  <conditionalFormatting sqref="C85">
    <cfRule type="expression" dxfId="343" priority="152">
      <formula>$C85&gt;$E85</formula>
    </cfRule>
  </conditionalFormatting>
  <conditionalFormatting sqref="C85">
    <cfRule type="expression" dxfId="342" priority="151">
      <formula>$C85&lt;$E85</formula>
    </cfRule>
  </conditionalFormatting>
  <conditionalFormatting sqref="E85">
    <cfRule type="expression" dxfId="341" priority="150">
      <formula>$C85&lt;$E85</formula>
    </cfRule>
  </conditionalFormatting>
  <conditionalFormatting sqref="E85">
    <cfRule type="expression" dxfId="340" priority="149">
      <formula>$C85&gt;$E85</formula>
    </cfRule>
  </conditionalFormatting>
  <conditionalFormatting sqref="C86">
    <cfRule type="expression" dxfId="339" priority="148">
      <formula>$C86&gt;$E86</formula>
    </cfRule>
  </conditionalFormatting>
  <conditionalFormatting sqref="C86">
    <cfRule type="expression" dxfId="338" priority="147">
      <formula>$C86&lt;$E86</formula>
    </cfRule>
  </conditionalFormatting>
  <conditionalFormatting sqref="E86">
    <cfRule type="expression" dxfId="337" priority="146">
      <formula>$C86&lt;$E86</formula>
    </cfRule>
  </conditionalFormatting>
  <conditionalFormatting sqref="E86">
    <cfRule type="expression" dxfId="336" priority="145">
      <formula>$C86&gt;$E86</formula>
    </cfRule>
  </conditionalFormatting>
  <conditionalFormatting sqref="C87">
    <cfRule type="expression" dxfId="335" priority="144">
      <formula>$C87&gt;$E87</formula>
    </cfRule>
  </conditionalFormatting>
  <conditionalFormatting sqref="C87">
    <cfRule type="expression" dxfId="334" priority="143">
      <formula>$C87&lt;$E87</formula>
    </cfRule>
  </conditionalFormatting>
  <conditionalFormatting sqref="E87">
    <cfRule type="expression" dxfId="333" priority="142">
      <formula>$C87&lt;$E87</formula>
    </cfRule>
  </conditionalFormatting>
  <conditionalFormatting sqref="E87">
    <cfRule type="expression" dxfId="332" priority="141">
      <formula>$C87&gt;$E87</formula>
    </cfRule>
  </conditionalFormatting>
  <conditionalFormatting sqref="C88">
    <cfRule type="expression" dxfId="331" priority="140">
      <formula>$C88&gt;$E88</formula>
    </cfRule>
  </conditionalFormatting>
  <conditionalFormatting sqref="C88">
    <cfRule type="expression" dxfId="330" priority="139">
      <formula>$C88&lt;$E88</formula>
    </cfRule>
  </conditionalFormatting>
  <conditionalFormatting sqref="E88">
    <cfRule type="expression" dxfId="329" priority="138">
      <formula>$C88&lt;$E88</formula>
    </cfRule>
  </conditionalFormatting>
  <conditionalFormatting sqref="E88">
    <cfRule type="expression" dxfId="328" priority="137">
      <formula>$C88&gt;$E88</formula>
    </cfRule>
  </conditionalFormatting>
  <conditionalFormatting sqref="C89">
    <cfRule type="expression" dxfId="327" priority="136">
      <formula>$C89&gt;$E89</formula>
    </cfRule>
  </conditionalFormatting>
  <conditionalFormatting sqref="C89">
    <cfRule type="expression" dxfId="326" priority="135">
      <formula>$C89&lt;$E89</formula>
    </cfRule>
  </conditionalFormatting>
  <conditionalFormatting sqref="E89">
    <cfRule type="expression" dxfId="325" priority="134">
      <formula>$C89&lt;$E89</formula>
    </cfRule>
  </conditionalFormatting>
  <conditionalFormatting sqref="E89">
    <cfRule type="expression" dxfId="324" priority="133">
      <formula>$C89&gt;$E89</formula>
    </cfRule>
  </conditionalFormatting>
  <conditionalFormatting sqref="C90">
    <cfRule type="expression" dxfId="323" priority="132">
      <formula>$C90&gt;$E90</formula>
    </cfRule>
  </conditionalFormatting>
  <conditionalFormatting sqref="C90">
    <cfRule type="expression" dxfId="322" priority="131">
      <formula>$C90&lt;$E90</formula>
    </cfRule>
  </conditionalFormatting>
  <conditionalFormatting sqref="E90">
    <cfRule type="expression" dxfId="321" priority="130">
      <formula>$C90&lt;$E90</formula>
    </cfRule>
  </conditionalFormatting>
  <conditionalFormatting sqref="E90">
    <cfRule type="expression" dxfId="320" priority="129">
      <formula>$C90&gt;$E90</formula>
    </cfRule>
  </conditionalFormatting>
  <conditionalFormatting sqref="C92">
    <cfRule type="expression" dxfId="319" priority="128">
      <formula>$C92&gt;$E92</formula>
    </cfRule>
  </conditionalFormatting>
  <conditionalFormatting sqref="C92">
    <cfRule type="expression" dxfId="318" priority="127">
      <formula>$C92&lt;$E92</formula>
    </cfRule>
  </conditionalFormatting>
  <conditionalFormatting sqref="E92">
    <cfRule type="expression" dxfId="317" priority="126">
      <formula>$C92&lt;$E92</formula>
    </cfRule>
  </conditionalFormatting>
  <conditionalFormatting sqref="E92">
    <cfRule type="expression" dxfId="316" priority="125">
      <formula>$C92&gt;$E92</formula>
    </cfRule>
  </conditionalFormatting>
  <conditionalFormatting sqref="C93">
    <cfRule type="expression" dxfId="315" priority="124">
      <formula>$C93&gt;$E93</formula>
    </cfRule>
  </conditionalFormatting>
  <conditionalFormatting sqref="C93">
    <cfRule type="expression" dxfId="314" priority="123">
      <formula>$C93&lt;$E93</formula>
    </cfRule>
  </conditionalFormatting>
  <conditionalFormatting sqref="E93">
    <cfRule type="expression" dxfId="313" priority="122">
      <formula>$C93&lt;$E93</formula>
    </cfRule>
  </conditionalFormatting>
  <conditionalFormatting sqref="E93">
    <cfRule type="expression" dxfId="312" priority="121">
      <formula>$C93&gt;$E93</formula>
    </cfRule>
  </conditionalFormatting>
  <conditionalFormatting sqref="C94">
    <cfRule type="expression" dxfId="311" priority="120">
      <formula>$C94&gt;$E94</formula>
    </cfRule>
  </conditionalFormatting>
  <conditionalFormatting sqref="C94">
    <cfRule type="expression" dxfId="310" priority="119">
      <formula>$C94&lt;$E94</formula>
    </cfRule>
  </conditionalFormatting>
  <conditionalFormatting sqref="E94">
    <cfRule type="expression" dxfId="309" priority="118">
      <formula>$C94&lt;$E94</formula>
    </cfRule>
  </conditionalFormatting>
  <conditionalFormatting sqref="E94">
    <cfRule type="expression" dxfId="308" priority="117">
      <formula>$C94&gt;$E94</formula>
    </cfRule>
  </conditionalFormatting>
  <conditionalFormatting sqref="C95">
    <cfRule type="expression" dxfId="307" priority="116">
      <formula>$C95&gt;$E95</formula>
    </cfRule>
  </conditionalFormatting>
  <conditionalFormatting sqref="C95">
    <cfRule type="expression" dxfId="306" priority="115">
      <formula>$C95&lt;$E95</formula>
    </cfRule>
  </conditionalFormatting>
  <conditionalFormatting sqref="E95">
    <cfRule type="expression" dxfId="305" priority="114">
      <formula>$C95&lt;$E95</formula>
    </cfRule>
  </conditionalFormatting>
  <conditionalFormatting sqref="E95">
    <cfRule type="expression" dxfId="304" priority="113">
      <formula>$C95&gt;$E95</formula>
    </cfRule>
  </conditionalFormatting>
  <conditionalFormatting sqref="C96">
    <cfRule type="expression" dxfId="303" priority="112">
      <formula>$C96&gt;$E96</formula>
    </cfRule>
  </conditionalFormatting>
  <conditionalFormatting sqref="C96">
    <cfRule type="expression" dxfId="302" priority="111">
      <formula>$C96&lt;$E96</formula>
    </cfRule>
  </conditionalFormatting>
  <conditionalFormatting sqref="E96">
    <cfRule type="expression" dxfId="301" priority="110">
      <formula>$C96&lt;$E96</formula>
    </cfRule>
  </conditionalFormatting>
  <conditionalFormatting sqref="E96">
    <cfRule type="expression" dxfId="300" priority="109">
      <formula>$C96&gt;$E96</formula>
    </cfRule>
  </conditionalFormatting>
  <conditionalFormatting sqref="C97">
    <cfRule type="expression" dxfId="299" priority="108">
      <formula>$C97&gt;$E97</formula>
    </cfRule>
  </conditionalFormatting>
  <conditionalFormatting sqref="C97">
    <cfRule type="expression" dxfId="298" priority="107">
      <formula>$C97&lt;$E97</formula>
    </cfRule>
  </conditionalFormatting>
  <conditionalFormatting sqref="E97">
    <cfRule type="expression" dxfId="297" priority="106">
      <formula>$C97&lt;$E97</formula>
    </cfRule>
  </conditionalFormatting>
  <conditionalFormatting sqref="E97">
    <cfRule type="expression" dxfId="296" priority="105">
      <formula>$C97&gt;$E97</formula>
    </cfRule>
  </conditionalFormatting>
  <conditionalFormatting sqref="C98">
    <cfRule type="expression" dxfId="295" priority="104">
      <formula>$C98&gt;$E98</formula>
    </cfRule>
  </conditionalFormatting>
  <conditionalFormatting sqref="C98">
    <cfRule type="expression" dxfId="294" priority="103">
      <formula>$C98&lt;$E98</formula>
    </cfRule>
  </conditionalFormatting>
  <conditionalFormatting sqref="E98">
    <cfRule type="expression" dxfId="293" priority="102">
      <formula>$C98&lt;$E98</formula>
    </cfRule>
  </conditionalFormatting>
  <conditionalFormatting sqref="E98">
    <cfRule type="expression" dxfId="292" priority="101">
      <formula>$C98&gt;$E98</formula>
    </cfRule>
  </conditionalFormatting>
  <conditionalFormatting sqref="C99">
    <cfRule type="expression" dxfId="291" priority="100">
      <formula>$C99&gt;$E99</formula>
    </cfRule>
  </conditionalFormatting>
  <conditionalFormatting sqref="C99">
    <cfRule type="expression" dxfId="290" priority="99">
      <formula>$C99&lt;$E99</formula>
    </cfRule>
  </conditionalFormatting>
  <conditionalFormatting sqref="E99">
    <cfRule type="expression" dxfId="289" priority="98">
      <formula>$C99&lt;$E99</formula>
    </cfRule>
  </conditionalFormatting>
  <conditionalFormatting sqref="E99">
    <cfRule type="expression" dxfId="288" priority="97">
      <formula>$C99&gt;$E99</formula>
    </cfRule>
  </conditionalFormatting>
  <conditionalFormatting sqref="C101">
    <cfRule type="expression" dxfId="287" priority="96">
      <formula>$C101&gt;$E101</formula>
    </cfRule>
  </conditionalFormatting>
  <conditionalFormatting sqref="C101">
    <cfRule type="expression" dxfId="286" priority="95">
      <formula>$C101&lt;$E101</formula>
    </cfRule>
  </conditionalFormatting>
  <conditionalFormatting sqref="E101">
    <cfRule type="expression" dxfId="285" priority="94">
      <formula>$C101&lt;$E101</formula>
    </cfRule>
  </conditionalFormatting>
  <conditionalFormatting sqref="E101">
    <cfRule type="expression" dxfId="284" priority="93">
      <formula>$C101&gt;$E101</formula>
    </cfRule>
  </conditionalFormatting>
  <conditionalFormatting sqref="C102">
    <cfRule type="expression" dxfId="283" priority="92">
      <formula>$C102&gt;$E102</formula>
    </cfRule>
  </conditionalFormatting>
  <conditionalFormatting sqref="C102">
    <cfRule type="expression" dxfId="282" priority="91">
      <formula>$C102&lt;$E102</formula>
    </cfRule>
  </conditionalFormatting>
  <conditionalFormatting sqref="E102">
    <cfRule type="expression" dxfId="281" priority="90">
      <formula>$C102&lt;$E102</formula>
    </cfRule>
  </conditionalFormatting>
  <conditionalFormatting sqref="E102">
    <cfRule type="expression" dxfId="280" priority="89">
      <formula>$C102&gt;$E102</formula>
    </cfRule>
  </conditionalFormatting>
  <conditionalFormatting sqref="C103">
    <cfRule type="expression" dxfId="279" priority="88">
      <formula>$C103&gt;$E103</formula>
    </cfRule>
  </conditionalFormatting>
  <conditionalFormatting sqref="C103">
    <cfRule type="expression" dxfId="278" priority="87">
      <formula>$C103&lt;$E103</formula>
    </cfRule>
  </conditionalFormatting>
  <conditionalFormatting sqref="E103">
    <cfRule type="expression" dxfId="277" priority="86">
      <formula>$C103&lt;$E103</formula>
    </cfRule>
  </conditionalFormatting>
  <conditionalFormatting sqref="E103">
    <cfRule type="expression" dxfId="276" priority="85">
      <formula>$C103&gt;$E103</formula>
    </cfRule>
  </conditionalFormatting>
  <conditionalFormatting sqref="C104">
    <cfRule type="expression" dxfId="275" priority="84">
      <formula>$C104&gt;$E104</formula>
    </cfRule>
  </conditionalFormatting>
  <conditionalFormatting sqref="C104">
    <cfRule type="expression" dxfId="274" priority="83">
      <formula>$C104&lt;$E104</formula>
    </cfRule>
  </conditionalFormatting>
  <conditionalFormatting sqref="E104">
    <cfRule type="expression" dxfId="273" priority="82">
      <formula>$C104&lt;$E104</formula>
    </cfRule>
  </conditionalFormatting>
  <conditionalFormatting sqref="E104">
    <cfRule type="expression" dxfId="272" priority="81">
      <formula>$C104&gt;$E104</formula>
    </cfRule>
  </conditionalFormatting>
  <conditionalFormatting sqref="C105">
    <cfRule type="expression" dxfId="271" priority="80">
      <formula>$C105&gt;$E105</formula>
    </cfRule>
  </conditionalFormatting>
  <conditionalFormatting sqref="C105">
    <cfRule type="expression" dxfId="270" priority="79">
      <formula>$C105&lt;$E105</formula>
    </cfRule>
  </conditionalFormatting>
  <conditionalFormatting sqref="E105">
    <cfRule type="expression" dxfId="269" priority="78">
      <formula>$C105&lt;$E105</formula>
    </cfRule>
  </conditionalFormatting>
  <conditionalFormatting sqref="E105">
    <cfRule type="expression" dxfId="268" priority="77">
      <formula>$C105&gt;$E105</formula>
    </cfRule>
  </conditionalFormatting>
  <conditionalFormatting sqref="C106">
    <cfRule type="expression" dxfId="267" priority="76">
      <formula>$C106&gt;$E106</formula>
    </cfRule>
  </conditionalFormatting>
  <conditionalFormatting sqref="C106">
    <cfRule type="expression" dxfId="266" priority="75">
      <formula>$C106&lt;$E106</formula>
    </cfRule>
  </conditionalFormatting>
  <conditionalFormatting sqref="E106">
    <cfRule type="expression" dxfId="265" priority="74">
      <formula>$C106&lt;$E106</formula>
    </cfRule>
  </conditionalFormatting>
  <conditionalFormatting sqref="E106">
    <cfRule type="expression" dxfId="264" priority="73">
      <formula>$C106&gt;$E106</formula>
    </cfRule>
  </conditionalFormatting>
  <conditionalFormatting sqref="C107">
    <cfRule type="expression" dxfId="263" priority="72">
      <formula>$C107&gt;$E107</formula>
    </cfRule>
  </conditionalFormatting>
  <conditionalFormatting sqref="C107">
    <cfRule type="expression" dxfId="262" priority="71">
      <formula>$C107&lt;$E107</formula>
    </cfRule>
  </conditionalFormatting>
  <conditionalFormatting sqref="E107">
    <cfRule type="expression" dxfId="261" priority="70">
      <formula>$C107&lt;$E107</formula>
    </cfRule>
  </conditionalFormatting>
  <conditionalFormatting sqref="E107">
    <cfRule type="expression" dxfId="260" priority="69">
      <formula>$C107&gt;$E107</formula>
    </cfRule>
  </conditionalFormatting>
  <conditionalFormatting sqref="C108">
    <cfRule type="expression" dxfId="259" priority="68">
      <formula>$C108&gt;$E108</formula>
    </cfRule>
  </conditionalFormatting>
  <conditionalFormatting sqref="C108">
    <cfRule type="expression" dxfId="258" priority="67">
      <formula>$C108&lt;$E108</formula>
    </cfRule>
  </conditionalFormatting>
  <conditionalFormatting sqref="E108">
    <cfRule type="expression" dxfId="257" priority="66">
      <formula>$C108&lt;$E108</formula>
    </cfRule>
  </conditionalFormatting>
  <conditionalFormatting sqref="E108">
    <cfRule type="expression" dxfId="256" priority="65">
      <formula>$C108&gt;$E108</formula>
    </cfRule>
  </conditionalFormatting>
  <conditionalFormatting sqref="C110">
    <cfRule type="expression" dxfId="255" priority="64">
      <formula>$C110&gt;$E110</formula>
    </cfRule>
  </conditionalFormatting>
  <conditionalFormatting sqref="C110">
    <cfRule type="expression" dxfId="254" priority="63">
      <formula>$C110&lt;$E110</formula>
    </cfRule>
  </conditionalFormatting>
  <conditionalFormatting sqref="E110">
    <cfRule type="expression" dxfId="253" priority="62">
      <formula>$C110&lt;$E110</formula>
    </cfRule>
  </conditionalFormatting>
  <conditionalFormatting sqref="E110">
    <cfRule type="expression" dxfId="252" priority="61">
      <formula>$C110&gt;$E110</formula>
    </cfRule>
  </conditionalFormatting>
  <conditionalFormatting sqref="C111">
    <cfRule type="expression" dxfId="251" priority="60">
      <formula>$C111&gt;$E111</formula>
    </cfRule>
  </conditionalFormatting>
  <conditionalFormatting sqref="C111">
    <cfRule type="expression" dxfId="250" priority="59">
      <formula>$C111&lt;$E111</formula>
    </cfRule>
  </conditionalFormatting>
  <conditionalFormatting sqref="E111">
    <cfRule type="expression" dxfId="249" priority="58">
      <formula>$C111&lt;$E111</formula>
    </cfRule>
  </conditionalFormatting>
  <conditionalFormatting sqref="E111">
    <cfRule type="expression" dxfId="248" priority="57">
      <formula>$C111&gt;$E111</formula>
    </cfRule>
  </conditionalFormatting>
  <conditionalFormatting sqref="C112">
    <cfRule type="expression" dxfId="247" priority="56">
      <formula>$C112&gt;$E112</formula>
    </cfRule>
  </conditionalFormatting>
  <conditionalFormatting sqref="C112">
    <cfRule type="expression" dxfId="246" priority="55">
      <formula>$C112&lt;$E112</formula>
    </cfRule>
  </conditionalFormatting>
  <conditionalFormatting sqref="E112">
    <cfRule type="expression" dxfId="245" priority="54">
      <formula>$C112&lt;$E112</formula>
    </cfRule>
  </conditionalFormatting>
  <conditionalFormatting sqref="E112">
    <cfRule type="expression" dxfId="244" priority="53">
      <formula>$C112&gt;$E112</formula>
    </cfRule>
  </conditionalFormatting>
  <conditionalFormatting sqref="C113">
    <cfRule type="expression" dxfId="243" priority="52">
      <formula>$C113&gt;$E113</formula>
    </cfRule>
  </conditionalFormatting>
  <conditionalFormatting sqref="C113">
    <cfRule type="expression" dxfId="242" priority="51">
      <formula>$C113&lt;$E113</formula>
    </cfRule>
  </conditionalFormatting>
  <conditionalFormatting sqref="E113">
    <cfRule type="expression" dxfId="241" priority="50">
      <formula>$C113&lt;$E113</formula>
    </cfRule>
  </conditionalFormatting>
  <conditionalFormatting sqref="E113">
    <cfRule type="expression" dxfId="240" priority="49">
      <formula>$C113&gt;$E113</formula>
    </cfRule>
  </conditionalFormatting>
  <conditionalFormatting sqref="C114">
    <cfRule type="expression" dxfId="239" priority="48">
      <formula>$C114&gt;$E114</formula>
    </cfRule>
  </conditionalFormatting>
  <conditionalFormatting sqref="C114">
    <cfRule type="expression" dxfId="238" priority="47">
      <formula>$C114&lt;$E114</formula>
    </cfRule>
  </conditionalFormatting>
  <conditionalFormatting sqref="E114">
    <cfRule type="expression" dxfId="237" priority="46">
      <formula>$C114&lt;$E114</formula>
    </cfRule>
  </conditionalFormatting>
  <conditionalFormatting sqref="E114">
    <cfRule type="expression" dxfId="236" priority="45">
      <formula>$C114&gt;$E114</formula>
    </cfRule>
  </conditionalFormatting>
  <conditionalFormatting sqref="C115">
    <cfRule type="expression" dxfId="235" priority="44">
      <formula>$C115&gt;$E115</formula>
    </cfRule>
  </conditionalFormatting>
  <conditionalFormatting sqref="C115">
    <cfRule type="expression" dxfId="234" priority="43">
      <formula>$C115&lt;$E115</formula>
    </cfRule>
  </conditionalFormatting>
  <conditionalFormatting sqref="E115">
    <cfRule type="expression" dxfId="233" priority="42">
      <formula>$C115&lt;$E115</formula>
    </cfRule>
  </conditionalFormatting>
  <conditionalFormatting sqref="E115">
    <cfRule type="expression" dxfId="232" priority="41">
      <formula>$C115&gt;$E115</formula>
    </cfRule>
  </conditionalFormatting>
  <conditionalFormatting sqref="C116">
    <cfRule type="expression" dxfId="231" priority="40">
      <formula>$C116&gt;$E116</formula>
    </cfRule>
  </conditionalFormatting>
  <conditionalFormatting sqref="C116">
    <cfRule type="expression" dxfId="230" priority="39">
      <formula>$C116&lt;$E116</formula>
    </cfRule>
  </conditionalFormatting>
  <conditionalFormatting sqref="E116">
    <cfRule type="expression" dxfId="229" priority="38">
      <formula>$C116&lt;$E116</formula>
    </cfRule>
  </conditionalFormatting>
  <conditionalFormatting sqref="E116">
    <cfRule type="expression" dxfId="228" priority="37">
      <formula>$C116&gt;$E116</formula>
    </cfRule>
  </conditionalFormatting>
  <conditionalFormatting sqref="C117">
    <cfRule type="expression" dxfId="227" priority="36">
      <formula>$C117&gt;$E117</formula>
    </cfRule>
  </conditionalFormatting>
  <conditionalFormatting sqref="C117">
    <cfRule type="expression" dxfId="226" priority="35">
      <formula>$C117&lt;$E117</formula>
    </cfRule>
  </conditionalFormatting>
  <conditionalFormatting sqref="E117">
    <cfRule type="expression" dxfId="225" priority="34">
      <formula>$C117&lt;$E117</formula>
    </cfRule>
  </conditionalFormatting>
  <conditionalFormatting sqref="E117">
    <cfRule type="expression" dxfId="224" priority="33">
      <formula>$C117&gt;$E117</formula>
    </cfRule>
  </conditionalFormatting>
  <conditionalFormatting sqref="C119">
    <cfRule type="expression" dxfId="223" priority="32">
      <formula>$C119&gt;$E119</formula>
    </cfRule>
  </conditionalFormatting>
  <conditionalFormatting sqref="C119">
    <cfRule type="expression" dxfId="222" priority="31">
      <formula>$C119&lt;$E119</formula>
    </cfRule>
  </conditionalFormatting>
  <conditionalFormatting sqref="E119">
    <cfRule type="expression" dxfId="221" priority="30">
      <formula>$C119&lt;$E119</formula>
    </cfRule>
  </conditionalFormatting>
  <conditionalFormatting sqref="E119">
    <cfRule type="expression" dxfId="220" priority="29">
      <formula>$C119&gt;$E119</formula>
    </cfRule>
  </conditionalFormatting>
  <conditionalFormatting sqref="C120">
    <cfRule type="expression" dxfId="219" priority="28">
      <formula>$C120&gt;$E120</formula>
    </cfRule>
  </conditionalFormatting>
  <conditionalFormatting sqref="C120">
    <cfRule type="expression" dxfId="218" priority="27">
      <formula>$C120&lt;$E120</formula>
    </cfRule>
  </conditionalFormatting>
  <conditionalFormatting sqref="E120">
    <cfRule type="expression" dxfId="217" priority="26">
      <formula>$C120&lt;$E120</formula>
    </cfRule>
  </conditionalFormatting>
  <conditionalFormatting sqref="E120">
    <cfRule type="expression" dxfId="216" priority="25">
      <formula>$C120&gt;$E120</formula>
    </cfRule>
  </conditionalFormatting>
  <conditionalFormatting sqref="C121">
    <cfRule type="expression" dxfId="215" priority="24">
      <formula>$C121&gt;$E121</formula>
    </cfRule>
  </conditionalFormatting>
  <conditionalFormatting sqref="C121">
    <cfRule type="expression" dxfId="214" priority="23">
      <formula>$C121&lt;$E121</formula>
    </cfRule>
  </conditionalFormatting>
  <conditionalFormatting sqref="E121">
    <cfRule type="expression" dxfId="213" priority="22">
      <formula>$C121&lt;$E121</formula>
    </cfRule>
  </conditionalFormatting>
  <conditionalFormatting sqref="E121">
    <cfRule type="expression" dxfId="212" priority="21">
      <formula>$C121&gt;$E121</formula>
    </cfRule>
  </conditionalFormatting>
  <conditionalFormatting sqref="C122">
    <cfRule type="expression" dxfId="211" priority="20">
      <formula>$C122&gt;$E122</formula>
    </cfRule>
  </conditionalFormatting>
  <conditionalFormatting sqref="C122">
    <cfRule type="expression" dxfId="210" priority="19">
      <formula>$C122&lt;$E122</formula>
    </cfRule>
  </conditionalFormatting>
  <conditionalFormatting sqref="E122">
    <cfRule type="expression" dxfId="209" priority="18">
      <formula>$C122&lt;$E122</formula>
    </cfRule>
  </conditionalFormatting>
  <conditionalFormatting sqref="E122">
    <cfRule type="expression" dxfId="208" priority="17">
      <formula>$C122&gt;$E122</formula>
    </cfRule>
  </conditionalFormatting>
  <conditionalFormatting sqref="C123">
    <cfRule type="expression" dxfId="207" priority="16">
      <formula>$C123&gt;$E123</formula>
    </cfRule>
  </conditionalFormatting>
  <conditionalFormatting sqref="C123">
    <cfRule type="expression" dxfId="206" priority="15">
      <formula>$C123&lt;$E123</formula>
    </cfRule>
  </conditionalFormatting>
  <conditionalFormatting sqref="E123">
    <cfRule type="expression" dxfId="205" priority="14">
      <formula>$C123&lt;$E123</formula>
    </cfRule>
  </conditionalFormatting>
  <conditionalFormatting sqref="E123">
    <cfRule type="expression" dxfId="204" priority="13">
      <formula>$C123&gt;$E123</formula>
    </cfRule>
  </conditionalFormatting>
  <conditionalFormatting sqref="C124">
    <cfRule type="expression" dxfId="203" priority="12">
      <formula>$C124&gt;$E124</formula>
    </cfRule>
  </conditionalFormatting>
  <conditionalFormatting sqref="C124">
    <cfRule type="expression" dxfId="202" priority="11">
      <formula>$C124&lt;$E124</formula>
    </cfRule>
  </conditionalFormatting>
  <conditionalFormatting sqref="E124">
    <cfRule type="expression" dxfId="201" priority="10">
      <formula>$C124&lt;$E124</formula>
    </cfRule>
  </conditionalFormatting>
  <conditionalFormatting sqref="E124">
    <cfRule type="expression" dxfId="200" priority="9">
      <formula>$C124&gt;$E124</formula>
    </cfRule>
  </conditionalFormatting>
  <conditionalFormatting sqref="C125">
    <cfRule type="expression" dxfId="199" priority="8">
      <formula>$C125&gt;$E125</formula>
    </cfRule>
  </conditionalFormatting>
  <conditionalFormatting sqref="C125">
    <cfRule type="expression" dxfId="198" priority="7">
      <formula>$C125&lt;$E125</formula>
    </cfRule>
  </conditionalFormatting>
  <conditionalFormatting sqref="E125">
    <cfRule type="expression" dxfId="197" priority="6">
      <formula>$C125&lt;$E125</formula>
    </cfRule>
  </conditionalFormatting>
  <conditionalFormatting sqref="E125">
    <cfRule type="expression" dxfId="196" priority="5">
      <formula>$C125&gt;$E125</formula>
    </cfRule>
  </conditionalFormatting>
  <conditionalFormatting sqref="C126">
    <cfRule type="expression" dxfId="195" priority="4">
      <formula>$C126&gt;$E126</formula>
    </cfRule>
  </conditionalFormatting>
  <conditionalFormatting sqref="C126">
    <cfRule type="expression" dxfId="194" priority="3">
      <formula>$C126&lt;$E126</formula>
    </cfRule>
  </conditionalFormatting>
  <conditionalFormatting sqref="E126">
    <cfRule type="expression" dxfId="193" priority="2">
      <formula>$C126&lt;$E126</formula>
    </cfRule>
  </conditionalFormatting>
  <conditionalFormatting sqref="E126">
    <cfRule type="expression" dxfId="192" priority="1">
      <formula>$C126&gt;$E126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4" name="C4PPMatch">
              <controlPr defaultSize="0" print="0" autoFill="0" autoPict="0" macro="[0]!'copyimage &quot;B1:F126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1" r:id="rId5" name="C4IMPMatch">
              <controlPr defaultSize="0" print="0" autoFill="0" autoPict="0" macro="[0]!'copyimprimer &quot;MATCHS&quot;,&quot;B1:F126&quot;'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59741-F895-4749-BA90-01D1F3C3FEC6}">
  <sheetPr codeName="Feuil64"/>
  <dimension ref="A1:N44"/>
  <sheetViews>
    <sheetView workbookViewId="0"/>
  </sheetViews>
  <sheetFormatPr baseColWidth="10" defaultRowHeight="15" x14ac:dyDescent="0.25"/>
  <cols>
    <col min="1" max="2" width="11.42578125" style="78"/>
    <col min="3" max="3" width="0" style="78" hidden="1" customWidth="1"/>
    <col min="4" max="4" width="43.5703125" style="78" customWidth="1"/>
    <col min="5" max="5" width="11.42578125" style="108"/>
    <col min="6" max="11" width="11.42578125" style="78"/>
    <col min="12" max="12" width="0" style="78" hidden="1" customWidth="1"/>
    <col min="13" max="13" width="6" style="78" customWidth="1"/>
    <col min="14" max="16384" width="11.42578125" style="78"/>
  </cols>
  <sheetData>
    <row r="1" spans="1:14" ht="15.75" thickBot="1" x14ac:dyDescent="0.3"/>
    <row r="2" spans="1:14" ht="30.95" customHeight="1" thickBot="1" x14ac:dyDescent="0.3">
      <c r="C2" s="102" t="s">
        <v>196</v>
      </c>
      <c r="D2" s="102" t="s">
        <v>172</v>
      </c>
      <c r="E2" s="109" t="s">
        <v>197</v>
      </c>
      <c r="F2" s="102" t="s">
        <v>198</v>
      </c>
      <c r="G2" s="102" t="s">
        <v>199</v>
      </c>
      <c r="H2" s="102" t="s">
        <v>200</v>
      </c>
      <c r="I2" s="102" t="s">
        <v>201</v>
      </c>
      <c r="J2" s="102" t="s">
        <v>202</v>
      </c>
      <c r="K2" s="103" t="s">
        <v>203</v>
      </c>
      <c r="L2" s="102" t="s">
        <v>204</v>
      </c>
      <c r="M2" s="103" t="s">
        <v>205</v>
      </c>
    </row>
    <row r="4" spans="1:14" ht="15.75" x14ac:dyDescent="0.25">
      <c r="A4" s="250" t="s">
        <v>174</v>
      </c>
      <c r="B4" s="104">
        <v>1</v>
      </c>
      <c r="C4" s="104" t="s">
        <v>120</v>
      </c>
      <c r="D4" s="104" t="str">
        <f>INSCRITS!C2</f>
        <v>1A</v>
      </c>
      <c r="E4" s="110">
        <f ca="1">SUM(IF(INDIRECT(ADDRESS(2,3,,,"MATCHS"))&gt;INDIRECT(ADDRESS(2,5,,,"MATCHS")),1,0),,IF(INDIRECT(ADDRESS(20,3,,,"MATCHS"))&gt;INDIRECT(ADDRESS(20,5,,,"MATCHS")),1,0),,IF(INDIRECT(ADDRESS(38,3,,,"MATCHS"))&gt;INDIRECT(ADDRESS(38,5,,,"MATCHS")),1,0),,IF(INDIRECT(ADDRESS(56,3,,,"MATCHS"))&gt;INDIRECT(ADDRESS(56,5,,,"MATCHS")),1,0),,IF(INDIRECT(ADDRESS(74,3,,,"MATCHS"))&gt;INDIRECT(ADDRESS(74,5,,,"MATCHS")),1,0),,IF(INDIRECT(ADDRESS(92,3,,,"MATCHS"))&gt;INDIRECT(ADDRESS(92,5,,,"MATCHS")),1,0),,IF(INDIRECT(ADDRESS(110,3,,,"MATCHS"))&gt;INDIRECT(ADDRESS(110,5,,,"MATCHS")),1,0),) + 0.01 * K4</f>
        <v>0</v>
      </c>
      <c r="F4" s="104">
        <f ca="1">SUM(IF(INDIRECT(ADDRESS(2,3,,,"MATCHS"))&lt;INDIRECT(ADDRESS(2,5,,,"MATCHS")),1,0),,IF(INDIRECT(ADDRESS(20,3,,,"MATCHS"))&lt;INDIRECT(ADDRESS(20,5,,,"MATCHS")),1,0),,IF(INDIRECT(ADDRESS(38,3,,,"MATCHS"))&lt;INDIRECT(ADDRESS(38,5,,,"MATCHS")),1,0),,IF(INDIRECT(ADDRESS(56,3,,,"MATCHS"))&lt;INDIRECT(ADDRESS(56,5,,,"MATCHS")),1,0),,IF(INDIRECT(ADDRESS(74,3,,,"MATCHS"))&lt;INDIRECT(ADDRESS(74,5,,,"MATCHS")),1,0),,IF(INDIRECT(ADDRESS(92,3,,,"MATCHS"))&lt;INDIRECT(ADDRESS(92,5,,,"MATCHS")),1,0),,IF(INDIRECT(ADDRESS(110,3,,,"MATCHS"))&lt;INDIRECT(ADDRESS(110,5,,,"MATCHS")),1,0),)</f>
        <v>0</v>
      </c>
      <c r="G4" s="104">
        <f ca="1">SUM(IF(IFERROR(FIND("--",INDIRECT(ADDRESS(2,3,,,"MATCHS"))),FALSE),LEFT(INDIRECT(ADDRESS(2,3,,,"MATCHS")), FIND("--",INDIRECT(ADDRESS(2,3,,,"MATCHS")),1)-1),INDIRECT(ADDRESS(2,3,,,"MATCHS"))),,IF(IFERROR(FIND("--",INDIRECT(ADDRESS(20,3,,,"MATCHS"))),FALSE),LEFT(INDIRECT(ADDRESS(20,3,,,"MATCHS")), FIND("--",INDIRECT(ADDRESS(20,3,,,"MATCHS")),1)-1),INDIRECT(ADDRESS(20,3,,,"MATCHS"))),,IF(IFERROR(FIND("--",INDIRECT(ADDRESS(38,3,,,"MATCHS"))),FALSE),LEFT(INDIRECT(ADDRESS(38,3,,,"MATCHS")), FIND("--",INDIRECT(ADDRESS(38,3,,,"MATCHS")),1)-1),INDIRECT(ADDRESS(38,3,,,"MATCHS"))),,IF(IFERROR(FIND("--",INDIRECT(ADDRESS(56,3,,,"MATCHS"))),FALSE),LEFT(INDIRECT(ADDRESS(56,3,,,"MATCHS")), FIND("--",INDIRECT(ADDRESS(56,3,,,"MATCHS")),1)-1),INDIRECT(ADDRESS(56,3,,,"MATCHS"))),,IF(IFERROR(FIND("--",INDIRECT(ADDRESS(74,3,,,"MATCHS"))),FALSE),LEFT(INDIRECT(ADDRESS(74,3,,,"MATCHS")), FIND("--",INDIRECT(ADDRESS(74,3,,,"MATCHS")),1)-1),INDIRECT(ADDRESS(74,3,,,"MATCHS"))),,IF(IFERROR(FIND("--",INDIRECT(ADDRESS(92,3,,,"MATCHS"))),FALSE),LEFT(INDIRECT(ADDRESS(92,3,,,"MATCHS")), FIND("--",INDIRECT(ADDRESS(92,3,,,"MATCHS")),1)-1),INDIRECT(ADDRESS(92,3,,,"MATCHS"))),,IF(IFERROR(FIND("--",INDIRECT(ADDRESS(110,3,,,"MATCHS"))),FALSE),LEFT(INDIRECT(ADDRESS(110,3,,,"MATCHS")), FIND("--",INDIRECT(ADDRESS(110,3,,,"MATCHS")),1)-1),INDIRECT(ADDRESS(110,3,,,"MATCHS"))),)</f>
        <v>0</v>
      </c>
      <c r="H4" s="104">
        <f ca="1">SUM(IF(IFERROR(FIND("--",INDIRECT(ADDRESS(2,3,,,"MATCHS"))),FALSE),RIGHT(INDIRECT(ADDRESS(2,3,,,"MATCHS")), FIND("--",INDIRECT(ADDRESS(2,3,,,"MATCHS")),1)),INDIRECT(ADDRESS(2,3,,,"MATCHS"))),,IF(IFERROR(FIND("--",INDIRECT(ADDRESS(20,3,,,"MATCHS"))),FALSE),RIGHT(INDIRECT(ADDRESS(20,3,,,"MATCHS")), FIND("--",INDIRECT(ADDRESS(20,3,,,"MATCHS")),1)),INDIRECT(ADDRESS(20,3,,,"MATCHS"))),,IF(IFERROR(FIND("--",INDIRECT(ADDRESS(38,3,,,"MATCHS"))),FALSE),RIGHT(INDIRECT(ADDRESS(38,3,,,"MATCHS")), FIND("--",INDIRECT(ADDRESS(38,3,,,"MATCHS")),1)),INDIRECT(ADDRESS(38,3,,,"MATCHS"))),,IF(IFERROR(FIND("--",INDIRECT(ADDRESS(56,3,,,"MATCHS"))),FALSE),RIGHT(INDIRECT(ADDRESS(56,3,,,"MATCHS")), FIND("--",INDIRECT(ADDRESS(56,3,,,"MATCHS")),1)),INDIRECT(ADDRESS(56,3,,,"MATCHS"))),,IF(IFERROR(FIND("--",INDIRECT(ADDRESS(74,3,,,"MATCHS"))),FALSE),RIGHT(INDIRECT(ADDRESS(74,3,,,"MATCHS")), FIND("--",INDIRECT(ADDRESS(74,3,,,"MATCHS")),1)),INDIRECT(ADDRESS(74,3,,,"MATCHS"))),,IF(IFERROR(FIND("--",INDIRECT(ADDRESS(92,3,,,"MATCHS"))),FALSE),RIGHT(INDIRECT(ADDRESS(92,3,,,"MATCHS")), FIND("--",INDIRECT(ADDRESS(92,3,,,"MATCHS")),1)),INDIRECT(ADDRESS(92,3,,,"MATCHS"))),,IF(IFERROR(FIND("--",INDIRECT(ADDRESS(110,3,,,"MATCHS"))),FALSE),RIGHT(INDIRECT(ADDRESS(110,3,,,"MATCHS")), FIND("--",INDIRECT(ADDRESS(110,3,,,"MATCHS")),1)),INDIRECT(ADDRESS(110,3,,,"MATCHS"))),)</f>
        <v>0</v>
      </c>
      <c r="I4" s="104">
        <f ca="1">SUM(IF(IFERROR(FIND("--",INDIRECT(ADDRESS(2,5,,,"MATCHS"))),FALSE),RIGHT(INDIRECT(ADDRESS(2,5,,,"MATCHS")), FIND("--",INDIRECT(ADDRESS(2,5,,,"MATCHS")),1)),INDIRECT(ADDRESS(2,5,,,"MATCHS"))),,IF(IFERROR(FIND("--",INDIRECT(ADDRESS(20,5,,,"MATCHS"))),FALSE),RIGHT(INDIRECT(ADDRESS(20,5,,,"MATCHS")), FIND("--",INDIRECT(ADDRESS(20,5,,,"MATCHS")),1)),INDIRECT(ADDRESS(20,5,,,"MATCHS"))),,IF(IFERROR(FIND("--",INDIRECT(ADDRESS(38,5,,,"MATCHS"))),FALSE),RIGHT(INDIRECT(ADDRESS(38,5,,,"MATCHS")), FIND("--",INDIRECT(ADDRESS(38,5,,,"MATCHS")),1)),INDIRECT(ADDRESS(38,5,,,"MATCHS"))),,IF(IFERROR(FIND("--",INDIRECT(ADDRESS(56,5,,,"MATCHS"))),FALSE),RIGHT(INDIRECT(ADDRESS(56,5,,,"MATCHS")), FIND("--",INDIRECT(ADDRESS(56,5,,,"MATCHS")),1)),INDIRECT(ADDRESS(56,5,,,"MATCHS"))),,IF(IFERROR(FIND("--",INDIRECT(ADDRESS(74,5,,,"MATCHS"))),FALSE),RIGHT(INDIRECT(ADDRESS(74,5,,,"MATCHS")), FIND("--",INDIRECT(ADDRESS(74,5,,,"MATCHS")),1)),INDIRECT(ADDRESS(74,5,,,"MATCHS"))),,IF(IFERROR(FIND("--",INDIRECT(ADDRESS(92,5,,,"MATCHS"))),FALSE),RIGHT(INDIRECT(ADDRESS(92,5,,,"MATCHS")), FIND("--",INDIRECT(ADDRESS(92,5,,,"MATCHS")),1)),INDIRECT(ADDRESS(92,5,,,"MATCHS"))),,IF(IFERROR(FIND("--",INDIRECT(ADDRESS(110,5,,,"MATCHS"))),FALSE),RIGHT(INDIRECT(ADDRESS(110,5,,,"MATCHS")), FIND("--",INDIRECT(ADDRESS(110,5,,,"MATCHS")),1)),INDIRECT(ADDRESS(110,5,,,"MATCHS"))),)</f>
        <v>0</v>
      </c>
      <c r="J4" s="104">
        <f ca="1">H4 - I4</f>
        <v>0</v>
      </c>
      <c r="K4" s="104">
        <v>0</v>
      </c>
      <c r="L4" s="104">
        <v>1</v>
      </c>
      <c r="M4" s="264">
        <v>1</v>
      </c>
      <c r="N4" s="100" t="str">
        <f>M4 &amp; "DM"</f>
        <v>1DM</v>
      </c>
    </row>
    <row r="5" spans="1:14" ht="15.75" x14ac:dyDescent="0.25">
      <c r="A5" s="250"/>
      <c r="B5" s="104">
        <v>2</v>
      </c>
      <c r="C5" s="104" t="s">
        <v>121</v>
      </c>
      <c r="D5" s="104" t="str">
        <f>INSCRITS!C3</f>
        <v>2A</v>
      </c>
      <c r="E5" s="110">
        <f ca="1">SUM(IF(INDIRECT(ADDRESS(2,5,,,"MATCHS"))&gt;INDIRECT(ADDRESS(2,3,,,"MATCHS")),1,0),,IF(INDIRECT(ADDRESS(21,3,,,"MATCHS"))&gt;INDIRECT(ADDRESS(21,5,,,"MATCHS")),1,0),,IF(INDIRECT(ADDRESS(39,3,,,"MATCHS"))&gt;INDIRECT(ADDRESS(39,5,,,"MATCHS")),1,0),,IF(INDIRECT(ADDRESS(57,3,,,"MATCHS"))&gt;INDIRECT(ADDRESS(57,5,,,"MATCHS")),1,0),,IF(INDIRECT(ADDRESS(75,3,,,"MATCHS"))&gt;INDIRECT(ADDRESS(75,5,,,"MATCHS")),1,0),,IF(INDIRECT(ADDRESS(93,3,,,"MATCHS"))&gt;INDIRECT(ADDRESS(93,5,,,"MATCHS")),1,0),,IF(INDIRECT(ADDRESS(111,3,,,"MATCHS"))&gt;INDIRECT(ADDRESS(111,5,,,"MATCHS")),1,0),) + 0.01 * K5</f>
        <v>0</v>
      </c>
      <c r="F5" s="104">
        <f ca="1">SUM(IF(INDIRECT(ADDRESS(2,5,,,"MATCHS"))&lt;INDIRECT(ADDRESS(2,3,,,"MATCHS")),1,0),,IF(INDIRECT(ADDRESS(21,3,,,"MATCHS"))&lt;INDIRECT(ADDRESS(21,5,,,"MATCHS")),1,0),,IF(INDIRECT(ADDRESS(39,3,,,"MATCHS"))&lt;INDIRECT(ADDRESS(39,5,,,"MATCHS")),1,0),,IF(INDIRECT(ADDRESS(57,3,,,"MATCHS"))&lt;INDIRECT(ADDRESS(57,5,,,"MATCHS")),1,0),,IF(INDIRECT(ADDRESS(75,3,,,"MATCHS"))&lt;INDIRECT(ADDRESS(75,5,,,"MATCHS")),1,0),,IF(INDIRECT(ADDRESS(93,3,,,"MATCHS"))&lt;INDIRECT(ADDRESS(93,5,,,"MATCHS")),1,0),,IF(INDIRECT(ADDRESS(111,3,,,"MATCHS"))&lt;INDIRECT(ADDRESS(111,5,,,"MATCHS")),1,0),)</f>
        <v>0</v>
      </c>
      <c r="G5" s="104">
        <f ca="1">SUM(IF(IFERROR(FIND("--",INDIRECT(ADDRESS(2,5,,,"MATCHS"))),FALSE),LEFT(INDIRECT(ADDRESS(2,5,,,"MATCHS")), FIND("--",INDIRECT(ADDRESS(2,5,,,"MATCHS")),1)-1),INDIRECT(ADDRESS(2,5,,,"MATCHS"))),,IF(IFERROR(FIND("--",INDIRECT(ADDRESS(21,3,,,"MATCHS"))),FALSE),LEFT(INDIRECT(ADDRESS(21,3,,,"MATCHS")), FIND("--",INDIRECT(ADDRESS(21,3,,,"MATCHS")),1)-1),INDIRECT(ADDRESS(21,3,,,"MATCHS"))),,IF(IFERROR(FIND("--",INDIRECT(ADDRESS(39,3,,,"MATCHS"))),FALSE),LEFT(INDIRECT(ADDRESS(39,3,,,"MATCHS")), FIND("--",INDIRECT(ADDRESS(39,3,,,"MATCHS")),1)-1),INDIRECT(ADDRESS(39,3,,,"MATCHS"))),,IF(IFERROR(FIND("--",INDIRECT(ADDRESS(57,3,,,"MATCHS"))),FALSE),LEFT(INDIRECT(ADDRESS(57,3,,,"MATCHS")), FIND("--",INDIRECT(ADDRESS(57,3,,,"MATCHS")),1)-1),INDIRECT(ADDRESS(57,3,,,"MATCHS"))),,IF(IFERROR(FIND("--",INDIRECT(ADDRESS(75,3,,,"MATCHS"))),FALSE),LEFT(INDIRECT(ADDRESS(75,3,,,"MATCHS")), FIND("--",INDIRECT(ADDRESS(75,3,,,"MATCHS")),1)-1),INDIRECT(ADDRESS(75,3,,,"MATCHS"))),,IF(IFERROR(FIND("--",INDIRECT(ADDRESS(93,3,,,"MATCHS"))),FALSE),LEFT(INDIRECT(ADDRESS(93,3,,,"MATCHS")), FIND("--",INDIRECT(ADDRESS(93,3,,,"MATCHS")),1)-1),INDIRECT(ADDRESS(93,3,,,"MATCHS"))),,IF(IFERROR(FIND("--",INDIRECT(ADDRESS(111,3,,,"MATCHS"))),FALSE),LEFT(INDIRECT(ADDRESS(111,3,,,"MATCHS")), FIND("--",INDIRECT(ADDRESS(111,3,,,"MATCHS")),1)-1),INDIRECT(ADDRESS(111,3,,,"MATCHS"))),)</f>
        <v>0</v>
      </c>
      <c r="H5" s="104">
        <f ca="1">SUM(IF(IFERROR(FIND("--",INDIRECT(ADDRESS(2,5,,,"MATCHS"))),FALSE),RIGHT(INDIRECT(ADDRESS(2,5,,,"MATCHS")), FIND("--",INDIRECT(ADDRESS(2,5,,,"MATCHS")),1)),INDIRECT(ADDRESS(2,5,,,"MATCHS"))),,IF(IFERROR(FIND("--",INDIRECT(ADDRESS(21,3,,,"MATCHS"))),FALSE),RIGHT(INDIRECT(ADDRESS(21,3,,,"MATCHS")), FIND("--",INDIRECT(ADDRESS(21,3,,,"MATCHS")),1)),INDIRECT(ADDRESS(21,3,,,"MATCHS"))),,IF(IFERROR(FIND("--",INDIRECT(ADDRESS(39,3,,,"MATCHS"))),FALSE),RIGHT(INDIRECT(ADDRESS(39,3,,,"MATCHS")), FIND("--",INDIRECT(ADDRESS(39,3,,,"MATCHS")),1)),INDIRECT(ADDRESS(39,3,,,"MATCHS"))),,IF(IFERROR(FIND("--",INDIRECT(ADDRESS(57,3,,,"MATCHS"))),FALSE),RIGHT(INDIRECT(ADDRESS(57,3,,,"MATCHS")), FIND("--",INDIRECT(ADDRESS(57,3,,,"MATCHS")),1)),INDIRECT(ADDRESS(57,3,,,"MATCHS"))),,IF(IFERROR(FIND("--",INDIRECT(ADDRESS(75,3,,,"MATCHS"))),FALSE),RIGHT(INDIRECT(ADDRESS(75,3,,,"MATCHS")), FIND("--",INDIRECT(ADDRESS(75,3,,,"MATCHS")),1)),INDIRECT(ADDRESS(75,3,,,"MATCHS"))),,IF(IFERROR(FIND("--",INDIRECT(ADDRESS(93,3,,,"MATCHS"))),FALSE),RIGHT(INDIRECT(ADDRESS(93,3,,,"MATCHS")), FIND("--",INDIRECT(ADDRESS(93,3,,,"MATCHS")),1)),INDIRECT(ADDRESS(93,3,,,"MATCHS"))),,IF(IFERROR(FIND("--",INDIRECT(ADDRESS(111,3,,,"MATCHS"))),FALSE),RIGHT(INDIRECT(ADDRESS(111,3,,,"MATCHS")), FIND("--",INDIRECT(ADDRESS(111,3,,,"MATCHS")),1)),INDIRECT(ADDRESS(111,3,,,"MATCHS"))),)</f>
        <v>0</v>
      </c>
      <c r="I5" s="104">
        <f ca="1">SUM(IF(IFERROR(FIND("--",INDIRECT(ADDRESS(2,3,,,"MATCHS"))),FALSE),RIGHT(INDIRECT(ADDRESS(2,3,,,"MATCHS")), FIND("--",INDIRECT(ADDRESS(2,3,,,"MATCHS")),1)),INDIRECT(ADDRESS(2,3,,,"MATCHS"))),,IF(IFERROR(FIND("--",INDIRECT(ADDRESS(21,5,,,"MATCHS"))),FALSE),RIGHT(INDIRECT(ADDRESS(21,5,,,"MATCHS")), FIND("--",INDIRECT(ADDRESS(21,5,,,"MATCHS")),1)),INDIRECT(ADDRESS(21,5,,,"MATCHS"))),,IF(IFERROR(FIND("--",INDIRECT(ADDRESS(39,5,,,"MATCHS"))),FALSE),RIGHT(INDIRECT(ADDRESS(39,5,,,"MATCHS")), FIND("--",INDIRECT(ADDRESS(39,5,,,"MATCHS")),1)),INDIRECT(ADDRESS(39,5,,,"MATCHS"))),,IF(IFERROR(FIND("--",INDIRECT(ADDRESS(57,5,,,"MATCHS"))),FALSE),RIGHT(INDIRECT(ADDRESS(57,5,,,"MATCHS")), FIND("--",INDIRECT(ADDRESS(57,5,,,"MATCHS")),1)),INDIRECT(ADDRESS(57,5,,,"MATCHS"))),,IF(IFERROR(FIND("--",INDIRECT(ADDRESS(75,5,,,"MATCHS"))),FALSE),RIGHT(INDIRECT(ADDRESS(75,5,,,"MATCHS")), FIND("--",INDIRECT(ADDRESS(75,5,,,"MATCHS")),1)),INDIRECT(ADDRESS(75,5,,,"MATCHS"))),,IF(IFERROR(FIND("--",INDIRECT(ADDRESS(93,5,,,"MATCHS"))),FALSE),RIGHT(INDIRECT(ADDRESS(93,5,,,"MATCHS")), FIND("--",INDIRECT(ADDRESS(93,5,,,"MATCHS")),1)),INDIRECT(ADDRESS(93,5,,,"MATCHS"))),,IF(IFERROR(FIND("--",INDIRECT(ADDRESS(111,5,,,"MATCHS"))),FALSE),RIGHT(INDIRECT(ADDRESS(111,5,,,"MATCHS")), FIND("--",INDIRECT(ADDRESS(111,5,,,"MATCHS")),1)),INDIRECT(ADDRESS(111,5,,,"MATCHS"))),)</f>
        <v>0</v>
      </c>
      <c r="J5" s="104">
        <f ca="1">H5 - I5</f>
        <v>0</v>
      </c>
      <c r="K5" s="104">
        <v>0</v>
      </c>
      <c r="L5" s="104">
        <v>2</v>
      </c>
      <c r="M5" s="265">
        <v>3</v>
      </c>
      <c r="N5" s="100" t="str">
        <f>M5 &amp; "DM"</f>
        <v>3DM</v>
      </c>
    </row>
    <row r="6" spans="1:14" ht="15.75" x14ac:dyDescent="0.25">
      <c r="A6" s="250"/>
      <c r="B6" s="104">
        <v>3</v>
      </c>
      <c r="C6" s="104" t="s">
        <v>122</v>
      </c>
      <c r="D6" s="104" t="str">
        <f>INSCRITS!C4</f>
        <v>3A</v>
      </c>
      <c r="E6" s="110">
        <f ca="1">SUM(IF(INDIRECT(ADDRESS(3,3,,,"MATCHS"))&gt;INDIRECT(ADDRESS(3,5,,,"MATCHS")),1,0),,IF(INDIRECT(ADDRESS(20,5,,,"MATCHS"))&gt;INDIRECT(ADDRESS(20,3,,,"MATCHS")),1,0),,IF(INDIRECT(ADDRESS(39,5,,,"MATCHS"))&gt;INDIRECT(ADDRESS(39,3,,,"MATCHS")),1,0),,IF(INDIRECT(ADDRESS(58,3,,,"MATCHS"))&gt;INDIRECT(ADDRESS(58,5,,,"MATCHS")),1,0),,IF(INDIRECT(ADDRESS(76,3,,,"MATCHS"))&gt;INDIRECT(ADDRESS(76,5,,,"MATCHS")),1,0),,IF(INDIRECT(ADDRESS(94,3,,,"MATCHS"))&gt;INDIRECT(ADDRESS(94,5,,,"MATCHS")),1,0),,IF(INDIRECT(ADDRESS(112,3,,,"MATCHS"))&gt;INDIRECT(ADDRESS(112,5,,,"MATCHS")),1,0),) + 0.01 * K6</f>
        <v>0</v>
      </c>
      <c r="F6" s="104">
        <f ca="1">SUM(IF(INDIRECT(ADDRESS(3,3,,,"MATCHS"))&lt;INDIRECT(ADDRESS(3,5,,,"MATCHS")),1,0),,IF(INDIRECT(ADDRESS(20,5,,,"MATCHS"))&lt;INDIRECT(ADDRESS(20,3,,,"MATCHS")),1,0),,IF(INDIRECT(ADDRESS(39,5,,,"MATCHS"))&lt;INDIRECT(ADDRESS(39,3,,,"MATCHS")),1,0),,IF(INDIRECT(ADDRESS(58,3,,,"MATCHS"))&lt;INDIRECT(ADDRESS(58,5,,,"MATCHS")),1,0),,IF(INDIRECT(ADDRESS(76,3,,,"MATCHS"))&lt;INDIRECT(ADDRESS(76,5,,,"MATCHS")),1,0),,IF(INDIRECT(ADDRESS(94,3,,,"MATCHS"))&lt;INDIRECT(ADDRESS(94,5,,,"MATCHS")),1,0),,IF(INDIRECT(ADDRESS(112,3,,,"MATCHS"))&lt;INDIRECT(ADDRESS(112,5,,,"MATCHS")),1,0),)</f>
        <v>0</v>
      </c>
      <c r="G6" s="104">
        <f ca="1">SUM(IF(IFERROR(FIND("--",INDIRECT(ADDRESS(3,3,,,"MATCHS"))),FALSE),LEFT(INDIRECT(ADDRESS(3,3,,,"MATCHS")), FIND("--",INDIRECT(ADDRESS(3,3,,,"MATCHS")),1)-1),INDIRECT(ADDRESS(3,3,,,"MATCHS"))),,IF(IFERROR(FIND("--",INDIRECT(ADDRESS(20,5,,,"MATCHS"))),FALSE),LEFT(INDIRECT(ADDRESS(20,5,,,"MATCHS")), FIND("--",INDIRECT(ADDRESS(20,5,,,"MATCHS")),1)-1),INDIRECT(ADDRESS(20,5,,,"MATCHS"))),,IF(IFERROR(FIND("--",INDIRECT(ADDRESS(39,5,,,"MATCHS"))),FALSE),LEFT(INDIRECT(ADDRESS(39,5,,,"MATCHS")), FIND("--",INDIRECT(ADDRESS(39,5,,,"MATCHS")),1)-1),INDIRECT(ADDRESS(39,5,,,"MATCHS"))),,IF(IFERROR(FIND("--",INDIRECT(ADDRESS(58,3,,,"MATCHS"))),FALSE),LEFT(INDIRECT(ADDRESS(58,3,,,"MATCHS")), FIND("--",INDIRECT(ADDRESS(58,3,,,"MATCHS")),1)-1),INDIRECT(ADDRESS(58,3,,,"MATCHS"))),,IF(IFERROR(FIND("--",INDIRECT(ADDRESS(76,3,,,"MATCHS"))),FALSE),LEFT(INDIRECT(ADDRESS(76,3,,,"MATCHS")), FIND("--",INDIRECT(ADDRESS(76,3,,,"MATCHS")),1)-1),INDIRECT(ADDRESS(76,3,,,"MATCHS"))),,IF(IFERROR(FIND("--",INDIRECT(ADDRESS(94,3,,,"MATCHS"))),FALSE),LEFT(INDIRECT(ADDRESS(94,3,,,"MATCHS")), FIND("--",INDIRECT(ADDRESS(94,3,,,"MATCHS")),1)-1),INDIRECT(ADDRESS(94,3,,,"MATCHS"))),,IF(IFERROR(FIND("--",INDIRECT(ADDRESS(112,3,,,"MATCHS"))),FALSE),LEFT(INDIRECT(ADDRESS(112,3,,,"MATCHS")), FIND("--",INDIRECT(ADDRESS(112,3,,,"MATCHS")),1)-1),INDIRECT(ADDRESS(112,3,,,"MATCHS"))),)</f>
        <v>0</v>
      </c>
      <c r="H6" s="104">
        <f ca="1">SUM(IF(IFERROR(FIND("--",INDIRECT(ADDRESS(3,3,,,"MATCHS"))),FALSE),RIGHT(INDIRECT(ADDRESS(3,3,,,"MATCHS")), FIND("--",INDIRECT(ADDRESS(3,3,,,"MATCHS")),1)),INDIRECT(ADDRESS(3,3,,,"MATCHS"))),,IF(IFERROR(FIND("--",INDIRECT(ADDRESS(20,5,,,"MATCHS"))),FALSE),RIGHT(INDIRECT(ADDRESS(20,5,,,"MATCHS")), FIND("--",INDIRECT(ADDRESS(20,5,,,"MATCHS")),1)),INDIRECT(ADDRESS(20,5,,,"MATCHS"))),,IF(IFERROR(FIND("--",INDIRECT(ADDRESS(39,5,,,"MATCHS"))),FALSE),RIGHT(INDIRECT(ADDRESS(39,5,,,"MATCHS")), FIND("--",INDIRECT(ADDRESS(39,5,,,"MATCHS")),1)),INDIRECT(ADDRESS(39,5,,,"MATCHS"))),,IF(IFERROR(FIND("--",INDIRECT(ADDRESS(58,3,,,"MATCHS"))),FALSE),RIGHT(INDIRECT(ADDRESS(58,3,,,"MATCHS")), FIND("--",INDIRECT(ADDRESS(58,3,,,"MATCHS")),1)),INDIRECT(ADDRESS(58,3,,,"MATCHS"))),,IF(IFERROR(FIND("--",INDIRECT(ADDRESS(76,3,,,"MATCHS"))),FALSE),RIGHT(INDIRECT(ADDRESS(76,3,,,"MATCHS")), FIND("--",INDIRECT(ADDRESS(76,3,,,"MATCHS")),1)),INDIRECT(ADDRESS(76,3,,,"MATCHS"))),,IF(IFERROR(FIND("--",INDIRECT(ADDRESS(94,3,,,"MATCHS"))),FALSE),RIGHT(INDIRECT(ADDRESS(94,3,,,"MATCHS")), FIND("--",INDIRECT(ADDRESS(94,3,,,"MATCHS")),1)),INDIRECT(ADDRESS(94,3,,,"MATCHS"))),,IF(IFERROR(FIND("--",INDIRECT(ADDRESS(112,3,,,"MATCHS"))),FALSE),RIGHT(INDIRECT(ADDRESS(112,3,,,"MATCHS")), FIND("--",INDIRECT(ADDRESS(112,3,,,"MATCHS")),1)),INDIRECT(ADDRESS(112,3,,,"MATCHS"))),)</f>
        <v>0</v>
      </c>
      <c r="I6" s="104">
        <f ca="1">SUM(IF(IFERROR(FIND("--",INDIRECT(ADDRESS(3,5,,,"MATCHS"))),FALSE),RIGHT(INDIRECT(ADDRESS(3,5,,,"MATCHS")), FIND("--",INDIRECT(ADDRESS(3,5,,,"MATCHS")),1)),INDIRECT(ADDRESS(3,5,,,"MATCHS"))),,IF(IFERROR(FIND("--",INDIRECT(ADDRESS(20,3,,,"MATCHS"))),FALSE),RIGHT(INDIRECT(ADDRESS(20,3,,,"MATCHS")), FIND("--",INDIRECT(ADDRESS(20,3,,,"MATCHS")),1)),INDIRECT(ADDRESS(20,3,,,"MATCHS"))),,IF(IFERROR(FIND("--",INDIRECT(ADDRESS(39,3,,,"MATCHS"))),FALSE),RIGHT(INDIRECT(ADDRESS(39,3,,,"MATCHS")), FIND("--",INDIRECT(ADDRESS(39,3,,,"MATCHS")),1)),INDIRECT(ADDRESS(39,3,,,"MATCHS"))),,IF(IFERROR(FIND("--",INDIRECT(ADDRESS(58,5,,,"MATCHS"))),FALSE),RIGHT(INDIRECT(ADDRESS(58,5,,,"MATCHS")), FIND("--",INDIRECT(ADDRESS(58,5,,,"MATCHS")),1)),INDIRECT(ADDRESS(58,5,,,"MATCHS"))),,IF(IFERROR(FIND("--",INDIRECT(ADDRESS(76,5,,,"MATCHS"))),FALSE),RIGHT(INDIRECT(ADDRESS(76,5,,,"MATCHS")), FIND("--",INDIRECT(ADDRESS(76,5,,,"MATCHS")),1)),INDIRECT(ADDRESS(76,5,,,"MATCHS"))),,IF(IFERROR(FIND("--",INDIRECT(ADDRESS(94,5,,,"MATCHS"))),FALSE),RIGHT(INDIRECT(ADDRESS(94,5,,,"MATCHS")), FIND("--",INDIRECT(ADDRESS(94,5,,,"MATCHS")),1)),INDIRECT(ADDRESS(94,5,,,"MATCHS"))),,IF(IFERROR(FIND("--",INDIRECT(ADDRESS(112,5,,,"MATCHS"))),FALSE),RIGHT(INDIRECT(ADDRESS(112,5,,,"MATCHS")), FIND("--",INDIRECT(ADDRESS(112,5,,,"MATCHS")),1)),INDIRECT(ADDRESS(112,5,,,"MATCHS"))),)</f>
        <v>0</v>
      </c>
      <c r="J6" s="104">
        <f ca="1">H6 - I6</f>
        <v>0</v>
      </c>
      <c r="K6" s="104">
        <v>0</v>
      </c>
      <c r="L6" s="104">
        <v>3</v>
      </c>
      <c r="M6" s="265">
        <v>2</v>
      </c>
      <c r="N6" s="100" t="str">
        <f>M6 &amp; "DM"</f>
        <v>2DM</v>
      </c>
    </row>
    <row r="7" spans="1:14" ht="15.75" x14ac:dyDescent="0.25">
      <c r="A7" s="250"/>
      <c r="B7" s="104">
        <v>4</v>
      </c>
      <c r="C7" s="104" t="s">
        <v>123</v>
      </c>
      <c r="D7" s="104" t="str">
        <f>INSCRITS!C5</f>
        <v>4A</v>
      </c>
      <c r="E7" s="110">
        <f ca="1">SUM(IF(INDIRECT(ADDRESS(3,5,,,"MATCHS"))&gt;INDIRECT(ADDRESS(3,3,,,"MATCHS")),1,0),,IF(INDIRECT(ADDRESS(21,5,,,"MATCHS"))&gt;INDIRECT(ADDRESS(21,3,,,"MATCHS")),1,0),,IF(INDIRECT(ADDRESS(38,5,,,"MATCHS"))&gt;INDIRECT(ADDRESS(38,3,,,"MATCHS")),1,0),,IF(INDIRECT(ADDRESS(59,3,,,"MATCHS"))&gt;INDIRECT(ADDRESS(59,5,,,"MATCHS")),1,0),,IF(INDIRECT(ADDRESS(77,3,,,"MATCHS"))&gt;INDIRECT(ADDRESS(77,5,,,"MATCHS")),1,0),,IF(INDIRECT(ADDRESS(95,3,,,"MATCHS"))&gt;INDIRECT(ADDRESS(95,5,,,"MATCHS")),1,0),,IF(INDIRECT(ADDRESS(113,3,,,"MATCHS"))&gt;INDIRECT(ADDRESS(113,5,,,"MATCHS")),1,0),) + 0.01 * K7</f>
        <v>0</v>
      </c>
      <c r="F7" s="104">
        <f ca="1">SUM(IF(INDIRECT(ADDRESS(3,5,,,"MATCHS"))&lt;INDIRECT(ADDRESS(3,3,,,"MATCHS")),1,0),,IF(INDIRECT(ADDRESS(21,5,,,"MATCHS"))&lt;INDIRECT(ADDRESS(21,3,,,"MATCHS")),1,0),,IF(INDIRECT(ADDRESS(38,5,,,"MATCHS"))&lt;INDIRECT(ADDRESS(38,3,,,"MATCHS")),1,0),,IF(INDIRECT(ADDRESS(59,3,,,"MATCHS"))&lt;INDIRECT(ADDRESS(59,5,,,"MATCHS")),1,0),,IF(INDIRECT(ADDRESS(77,3,,,"MATCHS"))&lt;INDIRECT(ADDRESS(77,5,,,"MATCHS")),1,0),,IF(INDIRECT(ADDRESS(95,3,,,"MATCHS"))&lt;INDIRECT(ADDRESS(95,5,,,"MATCHS")),1,0),,IF(INDIRECT(ADDRESS(113,3,,,"MATCHS"))&lt;INDIRECT(ADDRESS(113,5,,,"MATCHS")),1,0),)</f>
        <v>0</v>
      </c>
      <c r="G7" s="104">
        <f ca="1">SUM(IF(IFERROR(FIND("--",INDIRECT(ADDRESS(3,5,,,"MATCHS"))),FALSE),LEFT(INDIRECT(ADDRESS(3,5,,,"MATCHS")), FIND("--",INDIRECT(ADDRESS(3,5,,,"MATCHS")),1)-1),INDIRECT(ADDRESS(3,5,,,"MATCHS"))),,IF(IFERROR(FIND("--",INDIRECT(ADDRESS(21,5,,,"MATCHS"))),FALSE),LEFT(INDIRECT(ADDRESS(21,5,,,"MATCHS")), FIND("--",INDIRECT(ADDRESS(21,5,,,"MATCHS")),1)-1),INDIRECT(ADDRESS(21,5,,,"MATCHS"))),,IF(IFERROR(FIND("--",INDIRECT(ADDRESS(38,5,,,"MATCHS"))),FALSE),LEFT(INDIRECT(ADDRESS(38,5,,,"MATCHS")), FIND("--",INDIRECT(ADDRESS(38,5,,,"MATCHS")),1)-1),INDIRECT(ADDRESS(38,5,,,"MATCHS"))),,IF(IFERROR(FIND("--",INDIRECT(ADDRESS(59,3,,,"MATCHS"))),FALSE),LEFT(INDIRECT(ADDRESS(59,3,,,"MATCHS")), FIND("--",INDIRECT(ADDRESS(59,3,,,"MATCHS")),1)-1),INDIRECT(ADDRESS(59,3,,,"MATCHS"))),,IF(IFERROR(FIND("--",INDIRECT(ADDRESS(77,3,,,"MATCHS"))),FALSE),LEFT(INDIRECT(ADDRESS(77,3,,,"MATCHS")), FIND("--",INDIRECT(ADDRESS(77,3,,,"MATCHS")),1)-1),INDIRECT(ADDRESS(77,3,,,"MATCHS"))),,IF(IFERROR(FIND("--",INDIRECT(ADDRESS(95,3,,,"MATCHS"))),FALSE),LEFT(INDIRECT(ADDRESS(95,3,,,"MATCHS")), FIND("--",INDIRECT(ADDRESS(95,3,,,"MATCHS")),1)-1),INDIRECT(ADDRESS(95,3,,,"MATCHS"))),,IF(IFERROR(FIND("--",INDIRECT(ADDRESS(113,3,,,"MATCHS"))),FALSE),LEFT(INDIRECT(ADDRESS(113,3,,,"MATCHS")), FIND("--",INDIRECT(ADDRESS(113,3,,,"MATCHS")),1)-1),INDIRECT(ADDRESS(113,3,,,"MATCHS"))),)</f>
        <v>0</v>
      </c>
      <c r="H7" s="104">
        <f ca="1">SUM(IF(IFERROR(FIND("--",INDIRECT(ADDRESS(3,5,,,"MATCHS"))),FALSE),RIGHT(INDIRECT(ADDRESS(3,5,,,"MATCHS")), FIND("--",INDIRECT(ADDRESS(3,5,,,"MATCHS")),1)),INDIRECT(ADDRESS(3,5,,,"MATCHS"))),,IF(IFERROR(FIND("--",INDIRECT(ADDRESS(21,5,,,"MATCHS"))),FALSE),RIGHT(INDIRECT(ADDRESS(21,5,,,"MATCHS")), FIND("--",INDIRECT(ADDRESS(21,5,,,"MATCHS")),1)),INDIRECT(ADDRESS(21,5,,,"MATCHS"))),,IF(IFERROR(FIND("--",INDIRECT(ADDRESS(38,5,,,"MATCHS"))),FALSE),RIGHT(INDIRECT(ADDRESS(38,5,,,"MATCHS")), FIND("--",INDIRECT(ADDRESS(38,5,,,"MATCHS")),1)),INDIRECT(ADDRESS(38,5,,,"MATCHS"))),,IF(IFERROR(FIND("--",INDIRECT(ADDRESS(59,3,,,"MATCHS"))),FALSE),RIGHT(INDIRECT(ADDRESS(59,3,,,"MATCHS")), FIND("--",INDIRECT(ADDRESS(59,3,,,"MATCHS")),1)),INDIRECT(ADDRESS(59,3,,,"MATCHS"))),,IF(IFERROR(FIND("--",INDIRECT(ADDRESS(77,3,,,"MATCHS"))),FALSE),RIGHT(INDIRECT(ADDRESS(77,3,,,"MATCHS")), FIND("--",INDIRECT(ADDRESS(77,3,,,"MATCHS")),1)),INDIRECT(ADDRESS(77,3,,,"MATCHS"))),,IF(IFERROR(FIND("--",INDIRECT(ADDRESS(95,3,,,"MATCHS"))),FALSE),RIGHT(INDIRECT(ADDRESS(95,3,,,"MATCHS")), FIND("--",INDIRECT(ADDRESS(95,3,,,"MATCHS")),1)),INDIRECT(ADDRESS(95,3,,,"MATCHS"))),,IF(IFERROR(FIND("--",INDIRECT(ADDRESS(113,3,,,"MATCHS"))),FALSE),RIGHT(INDIRECT(ADDRESS(113,3,,,"MATCHS")), FIND("--",INDIRECT(ADDRESS(113,3,,,"MATCHS")),1)),INDIRECT(ADDRESS(113,3,,,"MATCHS"))),)</f>
        <v>0</v>
      </c>
      <c r="I7" s="104">
        <f ca="1">SUM(IF(IFERROR(FIND("--",INDIRECT(ADDRESS(3,3,,,"MATCHS"))),FALSE),RIGHT(INDIRECT(ADDRESS(3,3,,,"MATCHS")), FIND("--",INDIRECT(ADDRESS(3,3,,,"MATCHS")),1)),INDIRECT(ADDRESS(3,3,,,"MATCHS"))),,IF(IFERROR(FIND("--",INDIRECT(ADDRESS(21,3,,,"MATCHS"))),FALSE),RIGHT(INDIRECT(ADDRESS(21,3,,,"MATCHS")), FIND("--",INDIRECT(ADDRESS(21,3,,,"MATCHS")),1)),INDIRECT(ADDRESS(21,3,,,"MATCHS"))),,IF(IFERROR(FIND("--",INDIRECT(ADDRESS(38,3,,,"MATCHS"))),FALSE),RIGHT(INDIRECT(ADDRESS(38,3,,,"MATCHS")), FIND("--",INDIRECT(ADDRESS(38,3,,,"MATCHS")),1)),INDIRECT(ADDRESS(38,3,,,"MATCHS"))),,IF(IFERROR(FIND("--",INDIRECT(ADDRESS(59,5,,,"MATCHS"))),FALSE),RIGHT(INDIRECT(ADDRESS(59,5,,,"MATCHS")), FIND("--",INDIRECT(ADDRESS(59,5,,,"MATCHS")),1)),INDIRECT(ADDRESS(59,5,,,"MATCHS"))),,IF(IFERROR(FIND("--",INDIRECT(ADDRESS(77,5,,,"MATCHS"))),FALSE),RIGHT(INDIRECT(ADDRESS(77,5,,,"MATCHS")), FIND("--",INDIRECT(ADDRESS(77,5,,,"MATCHS")),1)),INDIRECT(ADDRESS(77,5,,,"MATCHS"))),,IF(IFERROR(FIND("--",INDIRECT(ADDRESS(95,5,,,"MATCHS"))),FALSE),RIGHT(INDIRECT(ADDRESS(95,5,,,"MATCHS")), FIND("--",INDIRECT(ADDRESS(95,5,,,"MATCHS")),1)),INDIRECT(ADDRESS(95,5,,,"MATCHS"))),,IF(IFERROR(FIND("--",INDIRECT(ADDRESS(113,5,,,"MATCHS"))),FALSE),RIGHT(INDIRECT(ADDRESS(113,5,,,"MATCHS")), FIND("--",INDIRECT(ADDRESS(113,5,,,"MATCHS")),1)),INDIRECT(ADDRESS(113,5,,,"MATCHS"))),)</f>
        <v>0</v>
      </c>
      <c r="J7" s="104">
        <f ca="1">H7 - I7</f>
        <v>0</v>
      </c>
      <c r="K7" s="104">
        <v>0</v>
      </c>
      <c r="L7" s="104">
        <v>4</v>
      </c>
      <c r="M7" s="265">
        <v>4</v>
      </c>
      <c r="N7" s="100" t="str">
        <f>M7 &amp; "DM"</f>
        <v>4DM</v>
      </c>
    </row>
    <row r="8" spans="1:14" ht="15.75" x14ac:dyDescent="0.25">
      <c r="A8" s="250"/>
      <c r="B8" s="104">
        <v>5</v>
      </c>
      <c r="C8" s="104" t="s">
        <v>148</v>
      </c>
      <c r="D8" s="104" t="str">
        <f>INSCRITS!C6</f>
        <v>5A</v>
      </c>
      <c r="E8" s="110">
        <f ca="1">SUM(IF(INDIRECT(ADDRESS(4,3,,,"MATCHS"))&gt;INDIRECT(ADDRESS(4,5,,,"MATCHS")),1,0),,IF(INDIRECT(ADDRESS(22,3,,,"MATCHS"))&gt;INDIRECT(ADDRESS(22,5,,,"MATCHS")),1,0),,IF(INDIRECT(ADDRESS(40,3,,,"MATCHS"))&gt;INDIRECT(ADDRESS(40,5,,,"MATCHS")),1,0),,IF(INDIRECT(ADDRESS(56,5,,,"MATCHS"))&gt;INDIRECT(ADDRESS(56,3,,,"MATCHS")),1,0),,IF(INDIRECT(ADDRESS(75,5,,,"MATCHS"))&gt;INDIRECT(ADDRESS(75,3,,,"MATCHS")),1,0),,IF(INDIRECT(ADDRESS(94,5,,,"MATCHS"))&gt;INDIRECT(ADDRESS(94,3,,,"MATCHS")),1,0),,IF(INDIRECT(ADDRESS(113,5,,,"MATCHS"))&gt;INDIRECT(ADDRESS(113,3,,,"MATCHS")),1,0),) + 0.01 * K8</f>
        <v>0</v>
      </c>
      <c r="F8" s="104">
        <f ca="1">SUM(IF(INDIRECT(ADDRESS(4,3,,,"MATCHS"))&lt;INDIRECT(ADDRESS(4,5,,,"MATCHS")),1,0),,IF(INDIRECT(ADDRESS(22,3,,,"MATCHS"))&lt;INDIRECT(ADDRESS(22,5,,,"MATCHS")),1,0),,IF(INDIRECT(ADDRESS(40,3,,,"MATCHS"))&lt;INDIRECT(ADDRESS(40,5,,,"MATCHS")),1,0),,IF(INDIRECT(ADDRESS(56,5,,,"MATCHS"))&lt;INDIRECT(ADDRESS(56,3,,,"MATCHS")),1,0),,IF(INDIRECT(ADDRESS(75,5,,,"MATCHS"))&lt;INDIRECT(ADDRESS(75,3,,,"MATCHS")),1,0),,IF(INDIRECT(ADDRESS(94,5,,,"MATCHS"))&lt;INDIRECT(ADDRESS(94,3,,,"MATCHS")),1,0),,IF(INDIRECT(ADDRESS(113,5,,,"MATCHS"))&lt;INDIRECT(ADDRESS(113,3,,,"MATCHS")),1,0),)</f>
        <v>0</v>
      </c>
      <c r="G8" s="104">
        <f ca="1">SUM(IF(IFERROR(FIND("--",INDIRECT(ADDRESS(4,3,,,"MATCHS"))),FALSE),LEFT(INDIRECT(ADDRESS(4,3,,,"MATCHS")), FIND("--",INDIRECT(ADDRESS(4,3,,,"MATCHS")),1)-1),INDIRECT(ADDRESS(4,3,,,"MATCHS"))),,IF(IFERROR(FIND("--",INDIRECT(ADDRESS(22,3,,,"MATCHS"))),FALSE),LEFT(INDIRECT(ADDRESS(22,3,,,"MATCHS")), FIND("--",INDIRECT(ADDRESS(22,3,,,"MATCHS")),1)-1),INDIRECT(ADDRESS(22,3,,,"MATCHS"))),,IF(IFERROR(FIND("--",INDIRECT(ADDRESS(40,3,,,"MATCHS"))),FALSE),LEFT(INDIRECT(ADDRESS(40,3,,,"MATCHS")), FIND("--",INDIRECT(ADDRESS(40,3,,,"MATCHS")),1)-1),INDIRECT(ADDRESS(40,3,,,"MATCHS"))),,IF(IFERROR(FIND("--",INDIRECT(ADDRESS(56,5,,,"MATCHS"))),FALSE),LEFT(INDIRECT(ADDRESS(56,5,,,"MATCHS")), FIND("--",INDIRECT(ADDRESS(56,5,,,"MATCHS")),1)-1),INDIRECT(ADDRESS(56,5,,,"MATCHS"))),,IF(IFERROR(FIND("--",INDIRECT(ADDRESS(75,5,,,"MATCHS"))),FALSE),LEFT(INDIRECT(ADDRESS(75,5,,,"MATCHS")), FIND("--",INDIRECT(ADDRESS(75,5,,,"MATCHS")),1)-1),INDIRECT(ADDRESS(75,5,,,"MATCHS"))),,IF(IFERROR(FIND("--",INDIRECT(ADDRESS(94,5,,,"MATCHS"))),FALSE),LEFT(INDIRECT(ADDRESS(94,5,,,"MATCHS")), FIND("--",INDIRECT(ADDRESS(94,5,,,"MATCHS")),1)-1),INDIRECT(ADDRESS(94,5,,,"MATCHS"))),,IF(IFERROR(FIND("--",INDIRECT(ADDRESS(113,5,,,"MATCHS"))),FALSE),LEFT(INDIRECT(ADDRESS(113,5,,,"MATCHS")), FIND("--",INDIRECT(ADDRESS(113,5,,,"MATCHS")),1)-1),INDIRECT(ADDRESS(113,5,,,"MATCHS"))),)</f>
        <v>0</v>
      </c>
      <c r="H8" s="104">
        <f ca="1">SUM(IF(IFERROR(FIND("--",INDIRECT(ADDRESS(4,3,,,"MATCHS"))),FALSE),RIGHT(INDIRECT(ADDRESS(4,3,,,"MATCHS")), FIND("--",INDIRECT(ADDRESS(4,3,,,"MATCHS")),1)),INDIRECT(ADDRESS(4,3,,,"MATCHS"))),,IF(IFERROR(FIND("--",INDIRECT(ADDRESS(22,3,,,"MATCHS"))),FALSE),RIGHT(INDIRECT(ADDRESS(22,3,,,"MATCHS")), FIND("--",INDIRECT(ADDRESS(22,3,,,"MATCHS")),1)),INDIRECT(ADDRESS(22,3,,,"MATCHS"))),,IF(IFERROR(FIND("--",INDIRECT(ADDRESS(40,3,,,"MATCHS"))),FALSE),RIGHT(INDIRECT(ADDRESS(40,3,,,"MATCHS")), FIND("--",INDIRECT(ADDRESS(40,3,,,"MATCHS")),1)),INDIRECT(ADDRESS(40,3,,,"MATCHS"))),,IF(IFERROR(FIND("--",INDIRECT(ADDRESS(56,5,,,"MATCHS"))),FALSE),RIGHT(INDIRECT(ADDRESS(56,5,,,"MATCHS")), FIND("--",INDIRECT(ADDRESS(56,5,,,"MATCHS")),1)),INDIRECT(ADDRESS(56,5,,,"MATCHS"))),,IF(IFERROR(FIND("--",INDIRECT(ADDRESS(75,5,,,"MATCHS"))),FALSE),RIGHT(INDIRECT(ADDRESS(75,5,,,"MATCHS")), FIND("--",INDIRECT(ADDRESS(75,5,,,"MATCHS")),1)),INDIRECT(ADDRESS(75,5,,,"MATCHS"))),,IF(IFERROR(FIND("--",INDIRECT(ADDRESS(94,5,,,"MATCHS"))),FALSE),RIGHT(INDIRECT(ADDRESS(94,5,,,"MATCHS")), FIND("--",INDIRECT(ADDRESS(94,5,,,"MATCHS")),1)),INDIRECT(ADDRESS(94,5,,,"MATCHS"))),,IF(IFERROR(FIND("--",INDIRECT(ADDRESS(113,5,,,"MATCHS"))),FALSE),RIGHT(INDIRECT(ADDRESS(113,5,,,"MATCHS")), FIND("--",INDIRECT(ADDRESS(113,5,,,"MATCHS")),1)),INDIRECT(ADDRESS(113,5,,,"MATCHS"))),)</f>
        <v>0</v>
      </c>
      <c r="I8" s="104">
        <f ca="1">SUM(IF(IFERROR(FIND("--",INDIRECT(ADDRESS(4,5,,,"MATCHS"))),FALSE),RIGHT(INDIRECT(ADDRESS(4,5,,,"MATCHS")), FIND("--",INDIRECT(ADDRESS(4,5,,,"MATCHS")),1)),INDIRECT(ADDRESS(4,5,,,"MATCHS"))),,IF(IFERROR(FIND("--",INDIRECT(ADDRESS(22,5,,,"MATCHS"))),FALSE),RIGHT(INDIRECT(ADDRESS(22,5,,,"MATCHS")), FIND("--",INDIRECT(ADDRESS(22,5,,,"MATCHS")),1)),INDIRECT(ADDRESS(22,5,,,"MATCHS"))),,IF(IFERROR(FIND("--",INDIRECT(ADDRESS(40,5,,,"MATCHS"))),FALSE),RIGHT(INDIRECT(ADDRESS(40,5,,,"MATCHS")), FIND("--",INDIRECT(ADDRESS(40,5,,,"MATCHS")),1)),INDIRECT(ADDRESS(40,5,,,"MATCHS"))),,IF(IFERROR(FIND("--",INDIRECT(ADDRESS(56,3,,,"MATCHS"))),FALSE),RIGHT(INDIRECT(ADDRESS(56,3,,,"MATCHS")), FIND("--",INDIRECT(ADDRESS(56,3,,,"MATCHS")),1)),INDIRECT(ADDRESS(56,3,,,"MATCHS"))),,IF(IFERROR(FIND("--",INDIRECT(ADDRESS(75,3,,,"MATCHS"))),FALSE),RIGHT(INDIRECT(ADDRESS(75,3,,,"MATCHS")), FIND("--",INDIRECT(ADDRESS(75,3,,,"MATCHS")),1)),INDIRECT(ADDRESS(75,3,,,"MATCHS"))),,IF(IFERROR(FIND("--",INDIRECT(ADDRESS(94,3,,,"MATCHS"))),FALSE),RIGHT(INDIRECT(ADDRESS(94,3,,,"MATCHS")), FIND("--",INDIRECT(ADDRESS(94,3,,,"MATCHS")),1)),INDIRECT(ADDRESS(94,3,,,"MATCHS"))),,IF(IFERROR(FIND("--",INDIRECT(ADDRESS(113,3,,,"MATCHS"))),FALSE),RIGHT(INDIRECT(ADDRESS(113,3,,,"MATCHS")), FIND("--",INDIRECT(ADDRESS(113,3,,,"MATCHS")),1)),INDIRECT(ADDRESS(113,3,,,"MATCHS"))),)</f>
        <v>0</v>
      </c>
      <c r="J8" s="104">
        <f ca="1">H8 - I8</f>
        <v>0</v>
      </c>
      <c r="K8" s="104">
        <v>0</v>
      </c>
      <c r="L8" s="104">
        <v>5</v>
      </c>
      <c r="M8" s="265">
        <v>5</v>
      </c>
      <c r="N8" s="100" t="str">
        <f>M8 &amp; "DM"</f>
        <v>5DM</v>
      </c>
    </row>
    <row r="9" spans="1:14" ht="15.75" x14ac:dyDescent="0.25">
      <c r="A9" s="250"/>
      <c r="B9" s="104">
        <v>6</v>
      </c>
      <c r="C9" s="104" t="s">
        <v>149</v>
      </c>
      <c r="D9" s="104" t="str">
        <f>INSCRITS!C7</f>
        <v>6A</v>
      </c>
      <c r="E9" s="110">
        <f ca="1">SUM(IF(INDIRECT(ADDRESS(4,5,,,"MATCHS"))&gt;INDIRECT(ADDRESS(4,3,,,"MATCHS")),1,0),,IF(INDIRECT(ADDRESS(23,3,,,"MATCHS"))&gt;INDIRECT(ADDRESS(23,5,,,"MATCHS")),1,0),,IF(INDIRECT(ADDRESS(41,3,,,"MATCHS"))&gt;INDIRECT(ADDRESS(41,5,,,"MATCHS")),1,0),,IF(INDIRECT(ADDRESS(57,5,,,"MATCHS"))&gt;INDIRECT(ADDRESS(57,3,,,"MATCHS")),1,0),,IF(INDIRECT(ADDRESS(74,5,,,"MATCHS"))&gt;INDIRECT(ADDRESS(74,3,,,"MATCHS")),1,0),,IF(INDIRECT(ADDRESS(95,5,,,"MATCHS"))&gt;INDIRECT(ADDRESS(95,3,,,"MATCHS")),1,0),,IF(INDIRECT(ADDRESS(112,5,,,"MATCHS"))&gt;INDIRECT(ADDRESS(112,3,,,"MATCHS")),1,0),) + 0.01 * K9</f>
        <v>0</v>
      </c>
      <c r="F9" s="104">
        <f ca="1">SUM(IF(INDIRECT(ADDRESS(4,5,,,"MATCHS"))&lt;INDIRECT(ADDRESS(4,3,,,"MATCHS")),1,0),,IF(INDIRECT(ADDRESS(23,3,,,"MATCHS"))&lt;INDIRECT(ADDRESS(23,5,,,"MATCHS")),1,0),,IF(INDIRECT(ADDRESS(41,3,,,"MATCHS"))&lt;INDIRECT(ADDRESS(41,5,,,"MATCHS")),1,0),,IF(INDIRECT(ADDRESS(57,5,,,"MATCHS"))&lt;INDIRECT(ADDRESS(57,3,,,"MATCHS")),1,0),,IF(INDIRECT(ADDRESS(74,5,,,"MATCHS"))&lt;INDIRECT(ADDRESS(74,3,,,"MATCHS")),1,0),,IF(INDIRECT(ADDRESS(95,5,,,"MATCHS"))&lt;INDIRECT(ADDRESS(95,3,,,"MATCHS")),1,0),,IF(INDIRECT(ADDRESS(112,5,,,"MATCHS"))&lt;INDIRECT(ADDRESS(112,3,,,"MATCHS")),1,0),)</f>
        <v>0</v>
      </c>
      <c r="G9" s="104">
        <f ca="1">SUM(IF(IFERROR(FIND("--",INDIRECT(ADDRESS(4,5,,,"MATCHS"))),FALSE),LEFT(INDIRECT(ADDRESS(4,5,,,"MATCHS")), FIND("--",INDIRECT(ADDRESS(4,5,,,"MATCHS")),1)-1),INDIRECT(ADDRESS(4,5,,,"MATCHS"))),,IF(IFERROR(FIND("--",INDIRECT(ADDRESS(23,3,,,"MATCHS"))),FALSE),LEFT(INDIRECT(ADDRESS(23,3,,,"MATCHS")), FIND("--",INDIRECT(ADDRESS(23,3,,,"MATCHS")),1)-1),INDIRECT(ADDRESS(23,3,,,"MATCHS"))),,IF(IFERROR(FIND("--",INDIRECT(ADDRESS(41,3,,,"MATCHS"))),FALSE),LEFT(INDIRECT(ADDRESS(41,3,,,"MATCHS")), FIND("--",INDIRECT(ADDRESS(41,3,,,"MATCHS")),1)-1),INDIRECT(ADDRESS(41,3,,,"MATCHS"))),,IF(IFERROR(FIND("--",INDIRECT(ADDRESS(57,5,,,"MATCHS"))),FALSE),LEFT(INDIRECT(ADDRESS(57,5,,,"MATCHS")), FIND("--",INDIRECT(ADDRESS(57,5,,,"MATCHS")),1)-1),INDIRECT(ADDRESS(57,5,,,"MATCHS"))),,IF(IFERROR(FIND("--",INDIRECT(ADDRESS(74,5,,,"MATCHS"))),FALSE),LEFT(INDIRECT(ADDRESS(74,5,,,"MATCHS")), FIND("--",INDIRECT(ADDRESS(74,5,,,"MATCHS")),1)-1),INDIRECT(ADDRESS(74,5,,,"MATCHS"))),,IF(IFERROR(FIND("--",INDIRECT(ADDRESS(95,5,,,"MATCHS"))),FALSE),LEFT(INDIRECT(ADDRESS(95,5,,,"MATCHS")), FIND("--",INDIRECT(ADDRESS(95,5,,,"MATCHS")),1)-1),INDIRECT(ADDRESS(95,5,,,"MATCHS"))),,IF(IFERROR(FIND("--",INDIRECT(ADDRESS(112,5,,,"MATCHS"))),FALSE),LEFT(INDIRECT(ADDRESS(112,5,,,"MATCHS")), FIND("--",INDIRECT(ADDRESS(112,5,,,"MATCHS")),1)-1),INDIRECT(ADDRESS(112,5,,,"MATCHS"))),)</f>
        <v>0</v>
      </c>
      <c r="H9" s="104">
        <f ca="1">SUM(IF(IFERROR(FIND("--",INDIRECT(ADDRESS(4,5,,,"MATCHS"))),FALSE),RIGHT(INDIRECT(ADDRESS(4,5,,,"MATCHS")), FIND("--",INDIRECT(ADDRESS(4,5,,,"MATCHS")),1)),INDIRECT(ADDRESS(4,5,,,"MATCHS"))),,IF(IFERROR(FIND("--",INDIRECT(ADDRESS(23,3,,,"MATCHS"))),FALSE),RIGHT(INDIRECT(ADDRESS(23,3,,,"MATCHS")), FIND("--",INDIRECT(ADDRESS(23,3,,,"MATCHS")),1)),INDIRECT(ADDRESS(23,3,,,"MATCHS"))),,IF(IFERROR(FIND("--",INDIRECT(ADDRESS(41,3,,,"MATCHS"))),FALSE),RIGHT(INDIRECT(ADDRESS(41,3,,,"MATCHS")), FIND("--",INDIRECT(ADDRESS(41,3,,,"MATCHS")),1)),INDIRECT(ADDRESS(41,3,,,"MATCHS"))),,IF(IFERROR(FIND("--",INDIRECT(ADDRESS(57,5,,,"MATCHS"))),FALSE),RIGHT(INDIRECT(ADDRESS(57,5,,,"MATCHS")), FIND("--",INDIRECT(ADDRESS(57,5,,,"MATCHS")),1)),INDIRECT(ADDRESS(57,5,,,"MATCHS"))),,IF(IFERROR(FIND("--",INDIRECT(ADDRESS(74,5,,,"MATCHS"))),FALSE),RIGHT(INDIRECT(ADDRESS(74,5,,,"MATCHS")), FIND("--",INDIRECT(ADDRESS(74,5,,,"MATCHS")),1)),INDIRECT(ADDRESS(74,5,,,"MATCHS"))),,IF(IFERROR(FIND("--",INDIRECT(ADDRESS(95,5,,,"MATCHS"))),FALSE),RIGHT(INDIRECT(ADDRESS(95,5,,,"MATCHS")), FIND("--",INDIRECT(ADDRESS(95,5,,,"MATCHS")),1)),INDIRECT(ADDRESS(95,5,,,"MATCHS"))),,IF(IFERROR(FIND("--",INDIRECT(ADDRESS(112,5,,,"MATCHS"))),FALSE),RIGHT(INDIRECT(ADDRESS(112,5,,,"MATCHS")), FIND("--",INDIRECT(ADDRESS(112,5,,,"MATCHS")),1)),INDIRECT(ADDRESS(112,5,,,"MATCHS"))),)</f>
        <v>0</v>
      </c>
      <c r="I9" s="104">
        <f ca="1">SUM(IF(IFERROR(FIND("--",INDIRECT(ADDRESS(4,3,,,"MATCHS"))),FALSE),RIGHT(INDIRECT(ADDRESS(4,3,,,"MATCHS")), FIND("--",INDIRECT(ADDRESS(4,3,,,"MATCHS")),1)),INDIRECT(ADDRESS(4,3,,,"MATCHS"))),,IF(IFERROR(FIND("--",INDIRECT(ADDRESS(23,5,,,"MATCHS"))),FALSE),RIGHT(INDIRECT(ADDRESS(23,5,,,"MATCHS")), FIND("--",INDIRECT(ADDRESS(23,5,,,"MATCHS")),1)),INDIRECT(ADDRESS(23,5,,,"MATCHS"))),,IF(IFERROR(FIND("--",INDIRECT(ADDRESS(41,5,,,"MATCHS"))),FALSE),RIGHT(INDIRECT(ADDRESS(41,5,,,"MATCHS")), FIND("--",INDIRECT(ADDRESS(41,5,,,"MATCHS")),1)),INDIRECT(ADDRESS(41,5,,,"MATCHS"))),,IF(IFERROR(FIND("--",INDIRECT(ADDRESS(57,3,,,"MATCHS"))),FALSE),RIGHT(INDIRECT(ADDRESS(57,3,,,"MATCHS")), FIND("--",INDIRECT(ADDRESS(57,3,,,"MATCHS")),1)),INDIRECT(ADDRESS(57,3,,,"MATCHS"))),,IF(IFERROR(FIND("--",INDIRECT(ADDRESS(74,3,,,"MATCHS"))),FALSE),RIGHT(INDIRECT(ADDRESS(74,3,,,"MATCHS")), FIND("--",INDIRECT(ADDRESS(74,3,,,"MATCHS")),1)),INDIRECT(ADDRESS(74,3,,,"MATCHS"))),,IF(IFERROR(FIND("--",INDIRECT(ADDRESS(95,3,,,"MATCHS"))),FALSE),RIGHT(INDIRECT(ADDRESS(95,3,,,"MATCHS")), FIND("--",INDIRECT(ADDRESS(95,3,,,"MATCHS")),1)),INDIRECT(ADDRESS(95,3,,,"MATCHS"))),,IF(IFERROR(FIND("--",INDIRECT(ADDRESS(112,3,,,"MATCHS"))),FALSE),RIGHT(INDIRECT(ADDRESS(112,3,,,"MATCHS")), FIND("--",INDIRECT(ADDRESS(112,3,,,"MATCHS")),1)),INDIRECT(ADDRESS(112,3,,,"MATCHS"))),)</f>
        <v>0</v>
      </c>
      <c r="J9" s="104">
        <f ca="1">H9 - I9</f>
        <v>0</v>
      </c>
      <c r="K9" s="104">
        <v>0</v>
      </c>
      <c r="L9" s="104">
        <v>6</v>
      </c>
      <c r="M9" s="265">
        <v>7</v>
      </c>
      <c r="N9" s="100" t="str">
        <f>M9 &amp; "DM"</f>
        <v>7DM</v>
      </c>
    </row>
    <row r="10" spans="1:14" ht="15.75" x14ac:dyDescent="0.25">
      <c r="A10" s="250"/>
      <c r="B10" s="104">
        <v>7</v>
      </c>
      <c r="C10" s="104" t="s">
        <v>150</v>
      </c>
      <c r="D10" s="104" t="str">
        <f>INSCRITS!C8</f>
        <v>7A</v>
      </c>
      <c r="E10" s="110">
        <f ca="1">SUM(IF(INDIRECT(ADDRESS(5,3,,,"MATCHS"))&gt;INDIRECT(ADDRESS(5,5,,,"MATCHS")),1,0),,IF(INDIRECT(ADDRESS(22,5,,,"MATCHS"))&gt;INDIRECT(ADDRESS(22,3,,,"MATCHS")),1,0),,IF(INDIRECT(ADDRESS(41,5,,,"MATCHS"))&gt;INDIRECT(ADDRESS(41,3,,,"MATCHS")),1,0),,IF(INDIRECT(ADDRESS(58,5,,,"MATCHS"))&gt;INDIRECT(ADDRESS(58,3,,,"MATCHS")),1,0),,IF(INDIRECT(ADDRESS(77,5,,,"MATCHS"))&gt;INDIRECT(ADDRESS(77,3,,,"MATCHS")),1,0),,IF(INDIRECT(ADDRESS(92,5,,,"MATCHS"))&gt;INDIRECT(ADDRESS(92,3,,,"MATCHS")),1,0),,IF(INDIRECT(ADDRESS(111,5,,,"MATCHS"))&gt;INDIRECT(ADDRESS(111,3,,,"MATCHS")),1,0),) + 0.01 * K10</f>
        <v>0</v>
      </c>
      <c r="F10" s="104">
        <f ca="1">SUM(IF(INDIRECT(ADDRESS(5,3,,,"MATCHS"))&lt;INDIRECT(ADDRESS(5,5,,,"MATCHS")),1,0),,IF(INDIRECT(ADDRESS(22,5,,,"MATCHS"))&lt;INDIRECT(ADDRESS(22,3,,,"MATCHS")),1,0),,IF(INDIRECT(ADDRESS(41,5,,,"MATCHS"))&lt;INDIRECT(ADDRESS(41,3,,,"MATCHS")),1,0),,IF(INDIRECT(ADDRESS(58,5,,,"MATCHS"))&lt;INDIRECT(ADDRESS(58,3,,,"MATCHS")),1,0),,IF(INDIRECT(ADDRESS(77,5,,,"MATCHS"))&lt;INDIRECT(ADDRESS(77,3,,,"MATCHS")),1,0),,IF(INDIRECT(ADDRESS(92,5,,,"MATCHS"))&lt;INDIRECT(ADDRESS(92,3,,,"MATCHS")),1,0),,IF(INDIRECT(ADDRESS(111,5,,,"MATCHS"))&lt;INDIRECT(ADDRESS(111,3,,,"MATCHS")),1,0),)</f>
        <v>0</v>
      </c>
      <c r="G10" s="104">
        <f ca="1">SUM(IF(IFERROR(FIND("--",INDIRECT(ADDRESS(5,3,,,"MATCHS"))),FALSE),LEFT(INDIRECT(ADDRESS(5,3,,,"MATCHS")), FIND("--",INDIRECT(ADDRESS(5,3,,,"MATCHS")),1)-1),INDIRECT(ADDRESS(5,3,,,"MATCHS"))),,IF(IFERROR(FIND("--",INDIRECT(ADDRESS(22,5,,,"MATCHS"))),FALSE),LEFT(INDIRECT(ADDRESS(22,5,,,"MATCHS")), FIND("--",INDIRECT(ADDRESS(22,5,,,"MATCHS")),1)-1),INDIRECT(ADDRESS(22,5,,,"MATCHS"))),,IF(IFERROR(FIND("--",INDIRECT(ADDRESS(41,5,,,"MATCHS"))),FALSE),LEFT(INDIRECT(ADDRESS(41,5,,,"MATCHS")), FIND("--",INDIRECT(ADDRESS(41,5,,,"MATCHS")),1)-1),INDIRECT(ADDRESS(41,5,,,"MATCHS"))),,IF(IFERROR(FIND("--",INDIRECT(ADDRESS(58,5,,,"MATCHS"))),FALSE),LEFT(INDIRECT(ADDRESS(58,5,,,"MATCHS")), FIND("--",INDIRECT(ADDRESS(58,5,,,"MATCHS")),1)-1),INDIRECT(ADDRESS(58,5,,,"MATCHS"))),,IF(IFERROR(FIND("--",INDIRECT(ADDRESS(77,5,,,"MATCHS"))),FALSE),LEFT(INDIRECT(ADDRESS(77,5,,,"MATCHS")), FIND("--",INDIRECT(ADDRESS(77,5,,,"MATCHS")),1)-1),INDIRECT(ADDRESS(77,5,,,"MATCHS"))),,IF(IFERROR(FIND("--",INDIRECT(ADDRESS(92,5,,,"MATCHS"))),FALSE),LEFT(INDIRECT(ADDRESS(92,5,,,"MATCHS")), FIND("--",INDIRECT(ADDRESS(92,5,,,"MATCHS")),1)-1),INDIRECT(ADDRESS(92,5,,,"MATCHS"))),,IF(IFERROR(FIND("--",INDIRECT(ADDRESS(111,5,,,"MATCHS"))),FALSE),LEFT(INDIRECT(ADDRESS(111,5,,,"MATCHS")), FIND("--",INDIRECT(ADDRESS(111,5,,,"MATCHS")),1)-1),INDIRECT(ADDRESS(111,5,,,"MATCHS"))),)</f>
        <v>0</v>
      </c>
      <c r="H10" s="104">
        <f ca="1">SUM(IF(IFERROR(FIND("--",INDIRECT(ADDRESS(5,3,,,"MATCHS"))),FALSE),RIGHT(INDIRECT(ADDRESS(5,3,,,"MATCHS")), FIND("--",INDIRECT(ADDRESS(5,3,,,"MATCHS")),1)),INDIRECT(ADDRESS(5,3,,,"MATCHS"))),,IF(IFERROR(FIND("--",INDIRECT(ADDRESS(22,5,,,"MATCHS"))),FALSE),RIGHT(INDIRECT(ADDRESS(22,5,,,"MATCHS")), FIND("--",INDIRECT(ADDRESS(22,5,,,"MATCHS")),1)),INDIRECT(ADDRESS(22,5,,,"MATCHS"))),,IF(IFERROR(FIND("--",INDIRECT(ADDRESS(41,5,,,"MATCHS"))),FALSE),RIGHT(INDIRECT(ADDRESS(41,5,,,"MATCHS")), FIND("--",INDIRECT(ADDRESS(41,5,,,"MATCHS")),1)),INDIRECT(ADDRESS(41,5,,,"MATCHS"))),,IF(IFERROR(FIND("--",INDIRECT(ADDRESS(58,5,,,"MATCHS"))),FALSE),RIGHT(INDIRECT(ADDRESS(58,5,,,"MATCHS")), FIND("--",INDIRECT(ADDRESS(58,5,,,"MATCHS")),1)),INDIRECT(ADDRESS(58,5,,,"MATCHS"))),,IF(IFERROR(FIND("--",INDIRECT(ADDRESS(77,5,,,"MATCHS"))),FALSE),RIGHT(INDIRECT(ADDRESS(77,5,,,"MATCHS")), FIND("--",INDIRECT(ADDRESS(77,5,,,"MATCHS")),1)),INDIRECT(ADDRESS(77,5,,,"MATCHS"))),,IF(IFERROR(FIND("--",INDIRECT(ADDRESS(92,5,,,"MATCHS"))),FALSE),RIGHT(INDIRECT(ADDRESS(92,5,,,"MATCHS")), FIND("--",INDIRECT(ADDRESS(92,5,,,"MATCHS")),1)),INDIRECT(ADDRESS(92,5,,,"MATCHS"))),,IF(IFERROR(FIND("--",INDIRECT(ADDRESS(111,5,,,"MATCHS"))),FALSE),RIGHT(INDIRECT(ADDRESS(111,5,,,"MATCHS")), FIND("--",INDIRECT(ADDRESS(111,5,,,"MATCHS")),1)),INDIRECT(ADDRESS(111,5,,,"MATCHS"))),)</f>
        <v>0</v>
      </c>
      <c r="I10" s="104">
        <f ca="1">SUM(IF(IFERROR(FIND("--",INDIRECT(ADDRESS(5,5,,,"MATCHS"))),FALSE),RIGHT(INDIRECT(ADDRESS(5,5,,,"MATCHS")), FIND("--",INDIRECT(ADDRESS(5,5,,,"MATCHS")),1)),INDIRECT(ADDRESS(5,5,,,"MATCHS"))),,IF(IFERROR(FIND("--",INDIRECT(ADDRESS(22,3,,,"MATCHS"))),FALSE),RIGHT(INDIRECT(ADDRESS(22,3,,,"MATCHS")), FIND("--",INDIRECT(ADDRESS(22,3,,,"MATCHS")),1)),INDIRECT(ADDRESS(22,3,,,"MATCHS"))),,IF(IFERROR(FIND("--",INDIRECT(ADDRESS(41,3,,,"MATCHS"))),FALSE),RIGHT(INDIRECT(ADDRESS(41,3,,,"MATCHS")), FIND("--",INDIRECT(ADDRESS(41,3,,,"MATCHS")),1)),INDIRECT(ADDRESS(41,3,,,"MATCHS"))),,IF(IFERROR(FIND("--",INDIRECT(ADDRESS(58,3,,,"MATCHS"))),FALSE),RIGHT(INDIRECT(ADDRESS(58,3,,,"MATCHS")), FIND("--",INDIRECT(ADDRESS(58,3,,,"MATCHS")),1)),INDIRECT(ADDRESS(58,3,,,"MATCHS"))),,IF(IFERROR(FIND("--",INDIRECT(ADDRESS(77,3,,,"MATCHS"))),FALSE),RIGHT(INDIRECT(ADDRESS(77,3,,,"MATCHS")), FIND("--",INDIRECT(ADDRESS(77,3,,,"MATCHS")),1)),INDIRECT(ADDRESS(77,3,,,"MATCHS"))),,IF(IFERROR(FIND("--",INDIRECT(ADDRESS(92,3,,,"MATCHS"))),FALSE),RIGHT(INDIRECT(ADDRESS(92,3,,,"MATCHS")), FIND("--",INDIRECT(ADDRESS(92,3,,,"MATCHS")),1)),INDIRECT(ADDRESS(92,3,,,"MATCHS"))),,IF(IFERROR(FIND("--",INDIRECT(ADDRESS(111,3,,,"MATCHS"))),FALSE),RIGHT(INDIRECT(ADDRESS(111,3,,,"MATCHS")), FIND("--",INDIRECT(ADDRESS(111,3,,,"MATCHS")),1)),INDIRECT(ADDRESS(111,3,,,"MATCHS"))),)</f>
        <v>0</v>
      </c>
      <c r="J10" s="104">
        <f ca="1">H10 - I10</f>
        <v>0</v>
      </c>
      <c r="K10" s="104">
        <v>0</v>
      </c>
      <c r="L10" s="104">
        <v>7</v>
      </c>
      <c r="M10" s="265">
        <v>6</v>
      </c>
      <c r="N10" s="100" t="str">
        <f>M10 &amp; "DM"</f>
        <v>6DM</v>
      </c>
    </row>
    <row r="11" spans="1:14" ht="15.75" x14ac:dyDescent="0.25">
      <c r="A11" s="250"/>
      <c r="B11" s="104">
        <v>8</v>
      </c>
      <c r="C11" s="104" t="s">
        <v>151</v>
      </c>
      <c r="D11" s="104" t="str">
        <f>INSCRITS!C9</f>
        <v>8A</v>
      </c>
      <c r="E11" s="110">
        <f ca="1">SUM(IF(INDIRECT(ADDRESS(5,5,,,"MATCHS"))&gt;INDIRECT(ADDRESS(5,3,,,"MATCHS")),1,0),,IF(INDIRECT(ADDRESS(23,5,,,"MATCHS"))&gt;INDIRECT(ADDRESS(23,3,,,"MATCHS")),1,0),,IF(INDIRECT(ADDRESS(40,5,,,"MATCHS"))&gt;INDIRECT(ADDRESS(40,3,,,"MATCHS")),1,0),,IF(INDIRECT(ADDRESS(59,5,,,"MATCHS"))&gt;INDIRECT(ADDRESS(59,3,,,"MATCHS")),1,0),,IF(INDIRECT(ADDRESS(76,5,,,"MATCHS"))&gt;INDIRECT(ADDRESS(76,3,,,"MATCHS")),1,0),,IF(INDIRECT(ADDRESS(93,5,,,"MATCHS"))&gt;INDIRECT(ADDRESS(93,3,,,"MATCHS")),1,0),,IF(INDIRECT(ADDRESS(110,5,,,"MATCHS"))&gt;INDIRECT(ADDRESS(110,3,,,"MATCHS")),1,0),) + 0.01 * K11</f>
        <v>0</v>
      </c>
      <c r="F11" s="104">
        <f ca="1">SUM(IF(INDIRECT(ADDRESS(5,5,,,"MATCHS"))&lt;INDIRECT(ADDRESS(5,3,,,"MATCHS")),1,0),,IF(INDIRECT(ADDRESS(23,5,,,"MATCHS"))&lt;INDIRECT(ADDRESS(23,3,,,"MATCHS")),1,0),,IF(INDIRECT(ADDRESS(40,5,,,"MATCHS"))&lt;INDIRECT(ADDRESS(40,3,,,"MATCHS")),1,0),,IF(INDIRECT(ADDRESS(59,5,,,"MATCHS"))&lt;INDIRECT(ADDRESS(59,3,,,"MATCHS")),1,0),,IF(INDIRECT(ADDRESS(76,5,,,"MATCHS"))&lt;INDIRECT(ADDRESS(76,3,,,"MATCHS")),1,0),,IF(INDIRECT(ADDRESS(93,5,,,"MATCHS"))&lt;INDIRECT(ADDRESS(93,3,,,"MATCHS")),1,0),,IF(INDIRECT(ADDRESS(110,5,,,"MATCHS"))&lt;INDIRECT(ADDRESS(110,3,,,"MATCHS")),1,0),)</f>
        <v>0</v>
      </c>
      <c r="G11" s="104">
        <f ca="1">SUM(IF(IFERROR(FIND("--",INDIRECT(ADDRESS(5,5,,,"MATCHS"))),FALSE),LEFT(INDIRECT(ADDRESS(5,5,,,"MATCHS")), FIND("--",INDIRECT(ADDRESS(5,5,,,"MATCHS")),1)-1),INDIRECT(ADDRESS(5,5,,,"MATCHS"))),,IF(IFERROR(FIND("--",INDIRECT(ADDRESS(23,5,,,"MATCHS"))),FALSE),LEFT(INDIRECT(ADDRESS(23,5,,,"MATCHS")), FIND("--",INDIRECT(ADDRESS(23,5,,,"MATCHS")),1)-1),INDIRECT(ADDRESS(23,5,,,"MATCHS"))),,IF(IFERROR(FIND("--",INDIRECT(ADDRESS(40,5,,,"MATCHS"))),FALSE),LEFT(INDIRECT(ADDRESS(40,5,,,"MATCHS")), FIND("--",INDIRECT(ADDRESS(40,5,,,"MATCHS")),1)-1),INDIRECT(ADDRESS(40,5,,,"MATCHS"))),,IF(IFERROR(FIND("--",INDIRECT(ADDRESS(59,5,,,"MATCHS"))),FALSE),LEFT(INDIRECT(ADDRESS(59,5,,,"MATCHS")), FIND("--",INDIRECT(ADDRESS(59,5,,,"MATCHS")),1)-1),INDIRECT(ADDRESS(59,5,,,"MATCHS"))),,IF(IFERROR(FIND("--",INDIRECT(ADDRESS(76,5,,,"MATCHS"))),FALSE),LEFT(INDIRECT(ADDRESS(76,5,,,"MATCHS")), FIND("--",INDIRECT(ADDRESS(76,5,,,"MATCHS")),1)-1),INDIRECT(ADDRESS(76,5,,,"MATCHS"))),,IF(IFERROR(FIND("--",INDIRECT(ADDRESS(93,5,,,"MATCHS"))),FALSE),LEFT(INDIRECT(ADDRESS(93,5,,,"MATCHS")), FIND("--",INDIRECT(ADDRESS(93,5,,,"MATCHS")),1)-1),INDIRECT(ADDRESS(93,5,,,"MATCHS"))),,IF(IFERROR(FIND("--",INDIRECT(ADDRESS(110,5,,,"MATCHS"))),FALSE),LEFT(INDIRECT(ADDRESS(110,5,,,"MATCHS")), FIND("--",INDIRECT(ADDRESS(110,5,,,"MATCHS")),1)-1),INDIRECT(ADDRESS(110,5,,,"MATCHS"))),)</f>
        <v>0</v>
      </c>
      <c r="H11" s="104">
        <f ca="1">SUM(IF(IFERROR(FIND("--",INDIRECT(ADDRESS(5,5,,,"MATCHS"))),FALSE),RIGHT(INDIRECT(ADDRESS(5,5,,,"MATCHS")), FIND("--",INDIRECT(ADDRESS(5,5,,,"MATCHS")),1)),INDIRECT(ADDRESS(5,5,,,"MATCHS"))),,IF(IFERROR(FIND("--",INDIRECT(ADDRESS(23,5,,,"MATCHS"))),FALSE),RIGHT(INDIRECT(ADDRESS(23,5,,,"MATCHS")), FIND("--",INDIRECT(ADDRESS(23,5,,,"MATCHS")),1)),INDIRECT(ADDRESS(23,5,,,"MATCHS"))),,IF(IFERROR(FIND("--",INDIRECT(ADDRESS(40,5,,,"MATCHS"))),FALSE),RIGHT(INDIRECT(ADDRESS(40,5,,,"MATCHS")), FIND("--",INDIRECT(ADDRESS(40,5,,,"MATCHS")),1)),INDIRECT(ADDRESS(40,5,,,"MATCHS"))),,IF(IFERROR(FIND("--",INDIRECT(ADDRESS(59,5,,,"MATCHS"))),FALSE),RIGHT(INDIRECT(ADDRESS(59,5,,,"MATCHS")), FIND("--",INDIRECT(ADDRESS(59,5,,,"MATCHS")),1)),INDIRECT(ADDRESS(59,5,,,"MATCHS"))),,IF(IFERROR(FIND("--",INDIRECT(ADDRESS(76,5,,,"MATCHS"))),FALSE),RIGHT(INDIRECT(ADDRESS(76,5,,,"MATCHS")), FIND("--",INDIRECT(ADDRESS(76,5,,,"MATCHS")),1)),INDIRECT(ADDRESS(76,5,,,"MATCHS"))),,IF(IFERROR(FIND("--",INDIRECT(ADDRESS(93,5,,,"MATCHS"))),FALSE),RIGHT(INDIRECT(ADDRESS(93,5,,,"MATCHS")), FIND("--",INDIRECT(ADDRESS(93,5,,,"MATCHS")),1)),INDIRECT(ADDRESS(93,5,,,"MATCHS"))),,IF(IFERROR(FIND("--",INDIRECT(ADDRESS(110,5,,,"MATCHS"))),FALSE),RIGHT(INDIRECT(ADDRESS(110,5,,,"MATCHS")), FIND("--",INDIRECT(ADDRESS(110,5,,,"MATCHS")),1)),INDIRECT(ADDRESS(110,5,,,"MATCHS"))),)</f>
        <v>0</v>
      </c>
      <c r="I11" s="104">
        <f ca="1">SUM(IF(IFERROR(FIND("--",INDIRECT(ADDRESS(5,3,,,"MATCHS"))),FALSE),RIGHT(INDIRECT(ADDRESS(5,3,,,"MATCHS")), FIND("--",INDIRECT(ADDRESS(5,3,,,"MATCHS")),1)),INDIRECT(ADDRESS(5,3,,,"MATCHS"))),,IF(IFERROR(FIND("--",INDIRECT(ADDRESS(23,3,,,"MATCHS"))),FALSE),RIGHT(INDIRECT(ADDRESS(23,3,,,"MATCHS")), FIND("--",INDIRECT(ADDRESS(23,3,,,"MATCHS")),1)),INDIRECT(ADDRESS(23,3,,,"MATCHS"))),,IF(IFERROR(FIND("--",INDIRECT(ADDRESS(40,3,,,"MATCHS"))),FALSE),RIGHT(INDIRECT(ADDRESS(40,3,,,"MATCHS")), FIND("--",INDIRECT(ADDRESS(40,3,,,"MATCHS")),1)),INDIRECT(ADDRESS(40,3,,,"MATCHS"))),,IF(IFERROR(FIND("--",INDIRECT(ADDRESS(59,3,,,"MATCHS"))),FALSE),RIGHT(INDIRECT(ADDRESS(59,3,,,"MATCHS")), FIND("--",INDIRECT(ADDRESS(59,3,,,"MATCHS")),1)),INDIRECT(ADDRESS(59,3,,,"MATCHS"))),,IF(IFERROR(FIND("--",INDIRECT(ADDRESS(76,3,,,"MATCHS"))),FALSE),RIGHT(INDIRECT(ADDRESS(76,3,,,"MATCHS")), FIND("--",INDIRECT(ADDRESS(76,3,,,"MATCHS")),1)),INDIRECT(ADDRESS(76,3,,,"MATCHS"))),,IF(IFERROR(FIND("--",INDIRECT(ADDRESS(93,3,,,"MATCHS"))),FALSE),RIGHT(INDIRECT(ADDRESS(93,3,,,"MATCHS")), FIND("--",INDIRECT(ADDRESS(93,3,,,"MATCHS")),1)),INDIRECT(ADDRESS(93,3,,,"MATCHS"))),,IF(IFERROR(FIND("--",INDIRECT(ADDRESS(110,3,,,"MATCHS"))),FALSE),RIGHT(INDIRECT(ADDRESS(110,3,,,"MATCHS")), FIND("--",INDIRECT(ADDRESS(110,3,,,"MATCHS")),1)),INDIRECT(ADDRESS(110,3,,,"MATCHS"))),)</f>
        <v>0</v>
      </c>
      <c r="J11" s="104">
        <f ca="1">H11 - I11</f>
        <v>0</v>
      </c>
      <c r="K11" s="104">
        <v>0</v>
      </c>
      <c r="L11" s="104">
        <v>8</v>
      </c>
      <c r="M11" s="265">
        <v>8</v>
      </c>
      <c r="N11" s="100" t="str">
        <f>M11 &amp; "DM"</f>
        <v>8DM</v>
      </c>
    </row>
    <row r="12" spans="1:14" ht="15.75" thickBot="1" x14ac:dyDescent="0.3">
      <c r="M12" s="266"/>
    </row>
    <row r="13" spans="1:14" ht="30.95" customHeight="1" thickBot="1" x14ac:dyDescent="0.3">
      <c r="C13" s="102" t="s">
        <v>196</v>
      </c>
      <c r="D13" s="102" t="s">
        <v>172</v>
      </c>
      <c r="E13" s="109" t="s">
        <v>197</v>
      </c>
      <c r="F13" s="102" t="s">
        <v>198</v>
      </c>
      <c r="G13" s="102" t="s">
        <v>199</v>
      </c>
      <c r="H13" s="102" t="s">
        <v>200</v>
      </c>
      <c r="I13" s="102" t="s">
        <v>201</v>
      </c>
      <c r="J13" s="102" t="s">
        <v>202</v>
      </c>
      <c r="K13" s="103" t="s">
        <v>203</v>
      </c>
      <c r="L13" s="102" t="s">
        <v>204</v>
      </c>
      <c r="M13" s="267" t="s">
        <v>205</v>
      </c>
    </row>
    <row r="14" spans="1:14" x14ac:dyDescent="0.25">
      <c r="M14" s="266"/>
    </row>
    <row r="15" spans="1:14" ht="15.75" x14ac:dyDescent="0.25">
      <c r="A15" s="251" t="s">
        <v>175</v>
      </c>
      <c r="B15" s="105">
        <v>1</v>
      </c>
      <c r="C15" s="105" t="s">
        <v>124</v>
      </c>
      <c r="D15" s="105" t="str">
        <f>INSCRITS!C11</f>
        <v>1B</v>
      </c>
      <c r="E15" s="111">
        <f ca="1">SUM(IF(INDIRECT(ADDRESS(6,3,,,"MATCHS"))&gt;INDIRECT(ADDRESS(6,5,,,"MATCHS")),1,0),,IF(INDIRECT(ADDRESS(24,3,,,"MATCHS"))&gt;INDIRECT(ADDRESS(24,5,,,"MATCHS")),1,0),,IF(INDIRECT(ADDRESS(42,3,,,"MATCHS"))&gt;INDIRECT(ADDRESS(42,5,,,"MATCHS")),1,0),,IF(INDIRECT(ADDRESS(60,3,,,"MATCHS"))&gt;INDIRECT(ADDRESS(60,5,,,"MATCHS")),1,0),,IF(INDIRECT(ADDRESS(78,3,,,"MATCHS"))&gt;INDIRECT(ADDRESS(78,5,,,"MATCHS")),1,0),,IF(INDIRECT(ADDRESS(96,3,,,"MATCHS"))&gt;INDIRECT(ADDRESS(96,5,,,"MATCHS")),1,0),,IF(INDIRECT(ADDRESS(114,3,,,"MATCHS"))&gt;INDIRECT(ADDRESS(114,5,,,"MATCHS")),1,0),) + 0.01 * K15</f>
        <v>0</v>
      </c>
      <c r="F15" s="105">
        <f ca="1">SUM(IF(INDIRECT(ADDRESS(6,3,,,"MATCHS"))&lt;INDIRECT(ADDRESS(6,5,,,"MATCHS")),1,0),,IF(INDIRECT(ADDRESS(24,3,,,"MATCHS"))&lt;INDIRECT(ADDRESS(24,5,,,"MATCHS")),1,0),,IF(INDIRECT(ADDRESS(42,3,,,"MATCHS"))&lt;INDIRECT(ADDRESS(42,5,,,"MATCHS")),1,0),,IF(INDIRECT(ADDRESS(60,3,,,"MATCHS"))&lt;INDIRECT(ADDRESS(60,5,,,"MATCHS")),1,0),,IF(INDIRECT(ADDRESS(78,3,,,"MATCHS"))&lt;INDIRECT(ADDRESS(78,5,,,"MATCHS")),1,0),,IF(INDIRECT(ADDRESS(96,3,,,"MATCHS"))&lt;INDIRECT(ADDRESS(96,5,,,"MATCHS")),1,0),,IF(INDIRECT(ADDRESS(114,3,,,"MATCHS"))&lt;INDIRECT(ADDRESS(114,5,,,"MATCHS")),1,0),)</f>
        <v>0</v>
      </c>
      <c r="G15" s="105">
        <f ca="1">SUM(IF(IFERROR(FIND("--",INDIRECT(ADDRESS(6,3,,,"MATCHS"))),FALSE),LEFT(INDIRECT(ADDRESS(6,3,,,"MATCHS")), FIND("--",INDIRECT(ADDRESS(6,3,,,"MATCHS")),1)-1),INDIRECT(ADDRESS(6,3,,,"MATCHS"))),,IF(IFERROR(FIND("--",INDIRECT(ADDRESS(24,3,,,"MATCHS"))),FALSE),LEFT(INDIRECT(ADDRESS(24,3,,,"MATCHS")), FIND("--",INDIRECT(ADDRESS(24,3,,,"MATCHS")),1)-1),INDIRECT(ADDRESS(24,3,,,"MATCHS"))),,IF(IFERROR(FIND("--",INDIRECT(ADDRESS(42,3,,,"MATCHS"))),FALSE),LEFT(INDIRECT(ADDRESS(42,3,,,"MATCHS")), FIND("--",INDIRECT(ADDRESS(42,3,,,"MATCHS")),1)-1),INDIRECT(ADDRESS(42,3,,,"MATCHS"))),,IF(IFERROR(FIND("--",INDIRECT(ADDRESS(60,3,,,"MATCHS"))),FALSE),LEFT(INDIRECT(ADDRESS(60,3,,,"MATCHS")), FIND("--",INDIRECT(ADDRESS(60,3,,,"MATCHS")),1)-1),INDIRECT(ADDRESS(60,3,,,"MATCHS"))),,IF(IFERROR(FIND("--",INDIRECT(ADDRESS(78,3,,,"MATCHS"))),FALSE),LEFT(INDIRECT(ADDRESS(78,3,,,"MATCHS")), FIND("--",INDIRECT(ADDRESS(78,3,,,"MATCHS")),1)-1),INDIRECT(ADDRESS(78,3,,,"MATCHS"))),,IF(IFERROR(FIND("--",INDIRECT(ADDRESS(96,3,,,"MATCHS"))),FALSE),LEFT(INDIRECT(ADDRESS(96,3,,,"MATCHS")), FIND("--",INDIRECT(ADDRESS(96,3,,,"MATCHS")),1)-1),INDIRECT(ADDRESS(96,3,,,"MATCHS"))),,IF(IFERROR(FIND("--",INDIRECT(ADDRESS(114,3,,,"MATCHS"))),FALSE),LEFT(INDIRECT(ADDRESS(114,3,,,"MATCHS")), FIND("--",INDIRECT(ADDRESS(114,3,,,"MATCHS")),1)-1),INDIRECT(ADDRESS(114,3,,,"MATCHS"))),)</f>
        <v>0</v>
      </c>
      <c r="H15" s="105">
        <f ca="1">SUM(IF(IFERROR(FIND("--",INDIRECT(ADDRESS(6,3,,,"MATCHS"))),FALSE),RIGHT(INDIRECT(ADDRESS(6,3,,,"MATCHS")), FIND("--",INDIRECT(ADDRESS(6,3,,,"MATCHS")),1)),INDIRECT(ADDRESS(6,3,,,"MATCHS"))),,IF(IFERROR(FIND("--",INDIRECT(ADDRESS(24,3,,,"MATCHS"))),FALSE),RIGHT(INDIRECT(ADDRESS(24,3,,,"MATCHS")), FIND("--",INDIRECT(ADDRESS(24,3,,,"MATCHS")),1)),INDIRECT(ADDRESS(24,3,,,"MATCHS"))),,IF(IFERROR(FIND("--",INDIRECT(ADDRESS(42,3,,,"MATCHS"))),FALSE),RIGHT(INDIRECT(ADDRESS(42,3,,,"MATCHS")), FIND("--",INDIRECT(ADDRESS(42,3,,,"MATCHS")),1)),INDIRECT(ADDRESS(42,3,,,"MATCHS"))),,IF(IFERROR(FIND("--",INDIRECT(ADDRESS(60,3,,,"MATCHS"))),FALSE),RIGHT(INDIRECT(ADDRESS(60,3,,,"MATCHS")), FIND("--",INDIRECT(ADDRESS(60,3,,,"MATCHS")),1)),INDIRECT(ADDRESS(60,3,,,"MATCHS"))),,IF(IFERROR(FIND("--",INDIRECT(ADDRESS(78,3,,,"MATCHS"))),FALSE),RIGHT(INDIRECT(ADDRESS(78,3,,,"MATCHS")), FIND("--",INDIRECT(ADDRESS(78,3,,,"MATCHS")),1)),INDIRECT(ADDRESS(78,3,,,"MATCHS"))),,IF(IFERROR(FIND("--",INDIRECT(ADDRESS(96,3,,,"MATCHS"))),FALSE),RIGHT(INDIRECT(ADDRESS(96,3,,,"MATCHS")), FIND("--",INDIRECT(ADDRESS(96,3,,,"MATCHS")),1)),INDIRECT(ADDRESS(96,3,,,"MATCHS"))),,IF(IFERROR(FIND("--",INDIRECT(ADDRESS(114,3,,,"MATCHS"))),FALSE),RIGHT(INDIRECT(ADDRESS(114,3,,,"MATCHS")), FIND("--",INDIRECT(ADDRESS(114,3,,,"MATCHS")),1)),INDIRECT(ADDRESS(114,3,,,"MATCHS"))),)</f>
        <v>0</v>
      </c>
      <c r="I15" s="105">
        <f ca="1">SUM(IF(IFERROR(FIND("--",INDIRECT(ADDRESS(6,5,,,"MATCHS"))),FALSE),RIGHT(INDIRECT(ADDRESS(6,5,,,"MATCHS")), FIND("--",INDIRECT(ADDRESS(6,5,,,"MATCHS")),1)),INDIRECT(ADDRESS(6,5,,,"MATCHS"))),,IF(IFERROR(FIND("--",INDIRECT(ADDRESS(24,5,,,"MATCHS"))),FALSE),RIGHT(INDIRECT(ADDRESS(24,5,,,"MATCHS")), FIND("--",INDIRECT(ADDRESS(24,5,,,"MATCHS")),1)),INDIRECT(ADDRESS(24,5,,,"MATCHS"))),,IF(IFERROR(FIND("--",INDIRECT(ADDRESS(42,5,,,"MATCHS"))),FALSE),RIGHT(INDIRECT(ADDRESS(42,5,,,"MATCHS")), FIND("--",INDIRECT(ADDRESS(42,5,,,"MATCHS")),1)),INDIRECT(ADDRESS(42,5,,,"MATCHS"))),,IF(IFERROR(FIND("--",INDIRECT(ADDRESS(60,5,,,"MATCHS"))),FALSE),RIGHT(INDIRECT(ADDRESS(60,5,,,"MATCHS")), FIND("--",INDIRECT(ADDRESS(60,5,,,"MATCHS")),1)),INDIRECT(ADDRESS(60,5,,,"MATCHS"))),,IF(IFERROR(FIND("--",INDIRECT(ADDRESS(78,5,,,"MATCHS"))),FALSE),RIGHT(INDIRECT(ADDRESS(78,5,,,"MATCHS")), FIND("--",INDIRECT(ADDRESS(78,5,,,"MATCHS")),1)),INDIRECT(ADDRESS(78,5,,,"MATCHS"))),,IF(IFERROR(FIND("--",INDIRECT(ADDRESS(96,5,,,"MATCHS"))),FALSE),RIGHT(INDIRECT(ADDRESS(96,5,,,"MATCHS")), FIND("--",INDIRECT(ADDRESS(96,5,,,"MATCHS")),1)),INDIRECT(ADDRESS(96,5,,,"MATCHS"))),,IF(IFERROR(FIND("--",INDIRECT(ADDRESS(114,5,,,"MATCHS"))),FALSE),RIGHT(INDIRECT(ADDRESS(114,5,,,"MATCHS")), FIND("--",INDIRECT(ADDRESS(114,5,,,"MATCHS")),1)),INDIRECT(ADDRESS(114,5,,,"MATCHS"))),)</f>
        <v>0</v>
      </c>
      <c r="J15" s="105">
        <f ca="1">H15 - I15</f>
        <v>0</v>
      </c>
      <c r="K15" s="105">
        <v>0</v>
      </c>
      <c r="L15" s="105">
        <v>1</v>
      </c>
      <c r="M15" s="264">
        <v>4</v>
      </c>
      <c r="N15" s="100" t="str">
        <f>M15 &amp; "DM"</f>
        <v>4DM</v>
      </c>
    </row>
    <row r="16" spans="1:14" ht="15.75" x14ac:dyDescent="0.25">
      <c r="A16" s="251"/>
      <c r="B16" s="105">
        <v>2</v>
      </c>
      <c r="C16" s="105" t="s">
        <v>125</v>
      </c>
      <c r="D16" s="105" t="str">
        <f>INSCRITS!C12</f>
        <v>2B</v>
      </c>
      <c r="E16" s="111">
        <f ca="1">SUM(IF(INDIRECT(ADDRESS(6,5,,,"MATCHS"))&gt;INDIRECT(ADDRESS(6,3,,,"MATCHS")),1,0),,IF(INDIRECT(ADDRESS(25,3,,,"MATCHS"))&gt;INDIRECT(ADDRESS(25,5,,,"MATCHS")),1,0),,IF(INDIRECT(ADDRESS(43,3,,,"MATCHS"))&gt;INDIRECT(ADDRESS(43,5,,,"MATCHS")),1,0),,IF(INDIRECT(ADDRESS(61,3,,,"MATCHS"))&gt;INDIRECT(ADDRESS(61,5,,,"MATCHS")),1,0),,IF(INDIRECT(ADDRESS(79,3,,,"MATCHS"))&gt;INDIRECT(ADDRESS(79,5,,,"MATCHS")),1,0),,IF(INDIRECT(ADDRESS(97,3,,,"MATCHS"))&gt;INDIRECT(ADDRESS(97,5,,,"MATCHS")),1,0),,IF(INDIRECT(ADDRESS(115,3,,,"MATCHS"))&gt;INDIRECT(ADDRESS(115,5,,,"MATCHS")),1,0),) + 0.01 * K16</f>
        <v>0</v>
      </c>
      <c r="F16" s="105">
        <f ca="1">SUM(IF(INDIRECT(ADDRESS(6,5,,,"MATCHS"))&lt;INDIRECT(ADDRESS(6,3,,,"MATCHS")),1,0),,IF(INDIRECT(ADDRESS(25,3,,,"MATCHS"))&lt;INDIRECT(ADDRESS(25,5,,,"MATCHS")),1,0),,IF(INDIRECT(ADDRESS(43,3,,,"MATCHS"))&lt;INDIRECT(ADDRESS(43,5,,,"MATCHS")),1,0),,IF(INDIRECT(ADDRESS(61,3,,,"MATCHS"))&lt;INDIRECT(ADDRESS(61,5,,,"MATCHS")),1,0),,IF(INDIRECT(ADDRESS(79,3,,,"MATCHS"))&lt;INDIRECT(ADDRESS(79,5,,,"MATCHS")),1,0),,IF(INDIRECT(ADDRESS(97,3,,,"MATCHS"))&lt;INDIRECT(ADDRESS(97,5,,,"MATCHS")),1,0),,IF(INDIRECT(ADDRESS(115,3,,,"MATCHS"))&lt;INDIRECT(ADDRESS(115,5,,,"MATCHS")),1,0),)</f>
        <v>0</v>
      </c>
      <c r="G16" s="105">
        <f ca="1">SUM(IF(IFERROR(FIND("--",INDIRECT(ADDRESS(6,5,,,"MATCHS"))),FALSE),LEFT(INDIRECT(ADDRESS(6,5,,,"MATCHS")), FIND("--",INDIRECT(ADDRESS(6,5,,,"MATCHS")),1)-1),INDIRECT(ADDRESS(6,5,,,"MATCHS"))),,IF(IFERROR(FIND("--",INDIRECT(ADDRESS(25,3,,,"MATCHS"))),FALSE),LEFT(INDIRECT(ADDRESS(25,3,,,"MATCHS")), FIND("--",INDIRECT(ADDRESS(25,3,,,"MATCHS")),1)-1),INDIRECT(ADDRESS(25,3,,,"MATCHS"))),,IF(IFERROR(FIND("--",INDIRECT(ADDRESS(43,3,,,"MATCHS"))),FALSE),LEFT(INDIRECT(ADDRESS(43,3,,,"MATCHS")), FIND("--",INDIRECT(ADDRESS(43,3,,,"MATCHS")),1)-1),INDIRECT(ADDRESS(43,3,,,"MATCHS"))),,IF(IFERROR(FIND("--",INDIRECT(ADDRESS(61,3,,,"MATCHS"))),FALSE),LEFT(INDIRECT(ADDRESS(61,3,,,"MATCHS")), FIND("--",INDIRECT(ADDRESS(61,3,,,"MATCHS")),1)-1),INDIRECT(ADDRESS(61,3,,,"MATCHS"))),,IF(IFERROR(FIND("--",INDIRECT(ADDRESS(79,3,,,"MATCHS"))),FALSE),LEFT(INDIRECT(ADDRESS(79,3,,,"MATCHS")), FIND("--",INDIRECT(ADDRESS(79,3,,,"MATCHS")),1)-1),INDIRECT(ADDRESS(79,3,,,"MATCHS"))),,IF(IFERROR(FIND("--",INDIRECT(ADDRESS(97,3,,,"MATCHS"))),FALSE),LEFT(INDIRECT(ADDRESS(97,3,,,"MATCHS")), FIND("--",INDIRECT(ADDRESS(97,3,,,"MATCHS")),1)-1),INDIRECT(ADDRESS(97,3,,,"MATCHS"))),,IF(IFERROR(FIND("--",INDIRECT(ADDRESS(115,3,,,"MATCHS"))),FALSE),LEFT(INDIRECT(ADDRESS(115,3,,,"MATCHS")), FIND("--",INDIRECT(ADDRESS(115,3,,,"MATCHS")),1)-1),INDIRECT(ADDRESS(115,3,,,"MATCHS"))),)</f>
        <v>0</v>
      </c>
      <c r="H16" s="105">
        <f ca="1">SUM(IF(IFERROR(FIND("--",INDIRECT(ADDRESS(6,5,,,"MATCHS"))),FALSE),RIGHT(INDIRECT(ADDRESS(6,5,,,"MATCHS")), FIND("--",INDIRECT(ADDRESS(6,5,,,"MATCHS")),1)),INDIRECT(ADDRESS(6,5,,,"MATCHS"))),,IF(IFERROR(FIND("--",INDIRECT(ADDRESS(25,3,,,"MATCHS"))),FALSE),RIGHT(INDIRECT(ADDRESS(25,3,,,"MATCHS")), FIND("--",INDIRECT(ADDRESS(25,3,,,"MATCHS")),1)),INDIRECT(ADDRESS(25,3,,,"MATCHS"))),,IF(IFERROR(FIND("--",INDIRECT(ADDRESS(43,3,,,"MATCHS"))),FALSE),RIGHT(INDIRECT(ADDRESS(43,3,,,"MATCHS")), FIND("--",INDIRECT(ADDRESS(43,3,,,"MATCHS")),1)),INDIRECT(ADDRESS(43,3,,,"MATCHS"))),,IF(IFERROR(FIND("--",INDIRECT(ADDRESS(61,3,,,"MATCHS"))),FALSE),RIGHT(INDIRECT(ADDRESS(61,3,,,"MATCHS")), FIND("--",INDIRECT(ADDRESS(61,3,,,"MATCHS")),1)),INDIRECT(ADDRESS(61,3,,,"MATCHS"))),,IF(IFERROR(FIND("--",INDIRECT(ADDRESS(79,3,,,"MATCHS"))),FALSE),RIGHT(INDIRECT(ADDRESS(79,3,,,"MATCHS")), FIND("--",INDIRECT(ADDRESS(79,3,,,"MATCHS")),1)),INDIRECT(ADDRESS(79,3,,,"MATCHS"))),,IF(IFERROR(FIND("--",INDIRECT(ADDRESS(97,3,,,"MATCHS"))),FALSE),RIGHT(INDIRECT(ADDRESS(97,3,,,"MATCHS")), FIND("--",INDIRECT(ADDRESS(97,3,,,"MATCHS")),1)),INDIRECT(ADDRESS(97,3,,,"MATCHS"))),,IF(IFERROR(FIND("--",INDIRECT(ADDRESS(115,3,,,"MATCHS"))),FALSE),RIGHT(INDIRECT(ADDRESS(115,3,,,"MATCHS")), FIND("--",INDIRECT(ADDRESS(115,3,,,"MATCHS")),1)),INDIRECT(ADDRESS(115,3,,,"MATCHS"))),)</f>
        <v>0</v>
      </c>
      <c r="I16" s="105">
        <f ca="1">SUM(IF(IFERROR(FIND("--",INDIRECT(ADDRESS(6,3,,,"MATCHS"))),FALSE),RIGHT(INDIRECT(ADDRESS(6,3,,,"MATCHS")), FIND("--",INDIRECT(ADDRESS(6,3,,,"MATCHS")),1)),INDIRECT(ADDRESS(6,3,,,"MATCHS"))),,IF(IFERROR(FIND("--",INDIRECT(ADDRESS(25,5,,,"MATCHS"))),FALSE),RIGHT(INDIRECT(ADDRESS(25,5,,,"MATCHS")), FIND("--",INDIRECT(ADDRESS(25,5,,,"MATCHS")),1)),INDIRECT(ADDRESS(25,5,,,"MATCHS"))),,IF(IFERROR(FIND("--",INDIRECT(ADDRESS(43,5,,,"MATCHS"))),FALSE),RIGHT(INDIRECT(ADDRESS(43,5,,,"MATCHS")), FIND("--",INDIRECT(ADDRESS(43,5,,,"MATCHS")),1)),INDIRECT(ADDRESS(43,5,,,"MATCHS"))),,IF(IFERROR(FIND("--",INDIRECT(ADDRESS(61,5,,,"MATCHS"))),FALSE),RIGHT(INDIRECT(ADDRESS(61,5,,,"MATCHS")), FIND("--",INDIRECT(ADDRESS(61,5,,,"MATCHS")),1)),INDIRECT(ADDRESS(61,5,,,"MATCHS"))),,IF(IFERROR(FIND("--",INDIRECT(ADDRESS(79,5,,,"MATCHS"))),FALSE),RIGHT(INDIRECT(ADDRESS(79,5,,,"MATCHS")), FIND("--",INDIRECT(ADDRESS(79,5,,,"MATCHS")),1)),INDIRECT(ADDRESS(79,5,,,"MATCHS"))),,IF(IFERROR(FIND("--",INDIRECT(ADDRESS(97,5,,,"MATCHS"))),FALSE),RIGHT(INDIRECT(ADDRESS(97,5,,,"MATCHS")), FIND("--",INDIRECT(ADDRESS(97,5,,,"MATCHS")),1)),INDIRECT(ADDRESS(97,5,,,"MATCHS"))),,IF(IFERROR(FIND("--",INDIRECT(ADDRESS(115,5,,,"MATCHS"))),FALSE),RIGHT(INDIRECT(ADDRESS(115,5,,,"MATCHS")), FIND("--",INDIRECT(ADDRESS(115,5,,,"MATCHS")),1)),INDIRECT(ADDRESS(115,5,,,"MATCHS"))),)</f>
        <v>0</v>
      </c>
      <c r="J16" s="105">
        <f ca="1">H16 - I16</f>
        <v>0</v>
      </c>
      <c r="K16" s="105">
        <v>0</v>
      </c>
      <c r="L16" s="105">
        <v>2</v>
      </c>
      <c r="M16" s="265">
        <v>2</v>
      </c>
      <c r="N16" s="100" t="str">
        <f>M16 &amp; "DM"</f>
        <v>2DM</v>
      </c>
    </row>
    <row r="17" spans="1:14" ht="15.75" x14ac:dyDescent="0.25">
      <c r="A17" s="251"/>
      <c r="B17" s="105">
        <v>3</v>
      </c>
      <c r="C17" s="105" t="s">
        <v>126</v>
      </c>
      <c r="D17" s="105" t="str">
        <f>INSCRITS!C13</f>
        <v>3B</v>
      </c>
      <c r="E17" s="111">
        <f ca="1">SUM(IF(INDIRECT(ADDRESS(7,3,,,"MATCHS"))&gt;INDIRECT(ADDRESS(7,5,,,"MATCHS")),1,0),,IF(INDIRECT(ADDRESS(24,5,,,"MATCHS"))&gt;INDIRECT(ADDRESS(24,3,,,"MATCHS")),1,0),,IF(INDIRECT(ADDRESS(43,5,,,"MATCHS"))&gt;INDIRECT(ADDRESS(43,3,,,"MATCHS")),1,0),,IF(INDIRECT(ADDRESS(62,3,,,"MATCHS"))&gt;INDIRECT(ADDRESS(62,5,,,"MATCHS")),1,0),,IF(INDIRECT(ADDRESS(80,3,,,"MATCHS"))&gt;INDIRECT(ADDRESS(80,5,,,"MATCHS")),1,0),,IF(INDIRECT(ADDRESS(98,3,,,"MATCHS"))&gt;INDIRECT(ADDRESS(98,5,,,"MATCHS")),1,0),,IF(INDIRECT(ADDRESS(116,3,,,"MATCHS"))&gt;INDIRECT(ADDRESS(116,5,,,"MATCHS")),1,0),) + 0.01 * K17</f>
        <v>0</v>
      </c>
      <c r="F17" s="105">
        <f ca="1">SUM(IF(INDIRECT(ADDRESS(7,3,,,"MATCHS"))&lt;INDIRECT(ADDRESS(7,5,,,"MATCHS")),1,0),,IF(INDIRECT(ADDRESS(24,5,,,"MATCHS"))&lt;INDIRECT(ADDRESS(24,3,,,"MATCHS")),1,0),,IF(INDIRECT(ADDRESS(43,5,,,"MATCHS"))&lt;INDIRECT(ADDRESS(43,3,,,"MATCHS")),1,0),,IF(INDIRECT(ADDRESS(62,3,,,"MATCHS"))&lt;INDIRECT(ADDRESS(62,5,,,"MATCHS")),1,0),,IF(INDIRECT(ADDRESS(80,3,,,"MATCHS"))&lt;INDIRECT(ADDRESS(80,5,,,"MATCHS")),1,0),,IF(INDIRECT(ADDRESS(98,3,,,"MATCHS"))&lt;INDIRECT(ADDRESS(98,5,,,"MATCHS")),1,0),,IF(INDIRECT(ADDRESS(116,3,,,"MATCHS"))&lt;INDIRECT(ADDRESS(116,5,,,"MATCHS")),1,0),)</f>
        <v>0</v>
      </c>
      <c r="G17" s="105">
        <f ca="1">SUM(IF(IFERROR(FIND("--",INDIRECT(ADDRESS(7,3,,,"MATCHS"))),FALSE),LEFT(INDIRECT(ADDRESS(7,3,,,"MATCHS")), FIND("--",INDIRECT(ADDRESS(7,3,,,"MATCHS")),1)-1),INDIRECT(ADDRESS(7,3,,,"MATCHS"))),,IF(IFERROR(FIND("--",INDIRECT(ADDRESS(24,5,,,"MATCHS"))),FALSE),LEFT(INDIRECT(ADDRESS(24,5,,,"MATCHS")), FIND("--",INDIRECT(ADDRESS(24,5,,,"MATCHS")),1)-1),INDIRECT(ADDRESS(24,5,,,"MATCHS"))),,IF(IFERROR(FIND("--",INDIRECT(ADDRESS(43,5,,,"MATCHS"))),FALSE),LEFT(INDIRECT(ADDRESS(43,5,,,"MATCHS")), FIND("--",INDIRECT(ADDRESS(43,5,,,"MATCHS")),1)-1),INDIRECT(ADDRESS(43,5,,,"MATCHS"))),,IF(IFERROR(FIND("--",INDIRECT(ADDRESS(62,3,,,"MATCHS"))),FALSE),LEFT(INDIRECT(ADDRESS(62,3,,,"MATCHS")), FIND("--",INDIRECT(ADDRESS(62,3,,,"MATCHS")),1)-1),INDIRECT(ADDRESS(62,3,,,"MATCHS"))),,IF(IFERROR(FIND("--",INDIRECT(ADDRESS(80,3,,,"MATCHS"))),FALSE),LEFT(INDIRECT(ADDRESS(80,3,,,"MATCHS")), FIND("--",INDIRECT(ADDRESS(80,3,,,"MATCHS")),1)-1),INDIRECT(ADDRESS(80,3,,,"MATCHS"))),,IF(IFERROR(FIND("--",INDIRECT(ADDRESS(98,3,,,"MATCHS"))),FALSE),LEFT(INDIRECT(ADDRESS(98,3,,,"MATCHS")), FIND("--",INDIRECT(ADDRESS(98,3,,,"MATCHS")),1)-1),INDIRECT(ADDRESS(98,3,,,"MATCHS"))),,IF(IFERROR(FIND("--",INDIRECT(ADDRESS(116,3,,,"MATCHS"))),FALSE),LEFT(INDIRECT(ADDRESS(116,3,,,"MATCHS")), FIND("--",INDIRECT(ADDRESS(116,3,,,"MATCHS")),1)-1),INDIRECT(ADDRESS(116,3,,,"MATCHS"))),)</f>
        <v>0</v>
      </c>
      <c r="H17" s="105">
        <f ca="1">SUM(IF(IFERROR(FIND("--",INDIRECT(ADDRESS(7,3,,,"MATCHS"))),FALSE),RIGHT(INDIRECT(ADDRESS(7,3,,,"MATCHS")), FIND("--",INDIRECT(ADDRESS(7,3,,,"MATCHS")),1)),INDIRECT(ADDRESS(7,3,,,"MATCHS"))),,IF(IFERROR(FIND("--",INDIRECT(ADDRESS(24,5,,,"MATCHS"))),FALSE),RIGHT(INDIRECT(ADDRESS(24,5,,,"MATCHS")), FIND("--",INDIRECT(ADDRESS(24,5,,,"MATCHS")),1)),INDIRECT(ADDRESS(24,5,,,"MATCHS"))),,IF(IFERROR(FIND("--",INDIRECT(ADDRESS(43,5,,,"MATCHS"))),FALSE),RIGHT(INDIRECT(ADDRESS(43,5,,,"MATCHS")), FIND("--",INDIRECT(ADDRESS(43,5,,,"MATCHS")),1)),INDIRECT(ADDRESS(43,5,,,"MATCHS"))),,IF(IFERROR(FIND("--",INDIRECT(ADDRESS(62,3,,,"MATCHS"))),FALSE),RIGHT(INDIRECT(ADDRESS(62,3,,,"MATCHS")), FIND("--",INDIRECT(ADDRESS(62,3,,,"MATCHS")),1)),INDIRECT(ADDRESS(62,3,,,"MATCHS"))),,IF(IFERROR(FIND("--",INDIRECT(ADDRESS(80,3,,,"MATCHS"))),FALSE),RIGHT(INDIRECT(ADDRESS(80,3,,,"MATCHS")), FIND("--",INDIRECT(ADDRESS(80,3,,,"MATCHS")),1)),INDIRECT(ADDRESS(80,3,,,"MATCHS"))),,IF(IFERROR(FIND("--",INDIRECT(ADDRESS(98,3,,,"MATCHS"))),FALSE),RIGHT(INDIRECT(ADDRESS(98,3,,,"MATCHS")), FIND("--",INDIRECT(ADDRESS(98,3,,,"MATCHS")),1)),INDIRECT(ADDRESS(98,3,,,"MATCHS"))),,IF(IFERROR(FIND("--",INDIRECT(ADDRESS(116,3,,,"MATCHS"))),FALSE),RIGHT(INDIRECT(ADDRESS(116,3,,,"MATCHS")), FIND("--",INDIRECT(ADDRESS(116,3,,,"MATCHS")),1)),INDIRECT(ADDRESS(116,3,,,"MATCHS"))),)</f>
        <v>0</v>
      </c>
      <c r="I17" s="105">
        <f ca="1">SUM(IF(IFERROR(FIND("--",INDIRECT(ADDRESS(7,5,,,"MATCHS"))),FALSE),RIGHT(INDIRECT(ADDRESS(7,5,,,"MATCHS")), FIND("--",INDIRECT(ADDRESS(7,5,,,"MATCHS")),1)),INDIRECT(ADDRESS(7,5,,,"MATCHS"))),,IF(IFERROR(FIND("--",INDIRECT(ADDRESS(24,3,,,"MATCHS"))),FALSE),RIGHT(INDIRECT(ADDRESS(24,3,,,"MATCHS")), FIND("--",INDIRECT(ADDRESS(24,3,,,"MATCHS")),1)),INDIRECT(ADDRESS(24,3,,,"MATCHS"))),,IF(IFERROR(FIND("--",INDIRECT(ADDRESS(43,3,,,"MATCHS"))),FALSE),RIGHT(INDIRECT(ADDRESS(43,3,,,"MATCHS")), FIND("--",INDIRECT(ADDRESS(43,3,,,"MATCHS")),1)),INDIRECT(ADDRESS(43,3,,,"MATCHS"))),,IF(IFERROR(FIND("--",INDIRECT(ADDRESS(62,5,,,"MATCHS"))),FALSE),RIGHT(INDIRECT(ADDRESS(62,5,,,"MATCHS")), FIND("--",INDIRECT(ADDRESS(62,5,,,"MATCHS")),1)),INDIRECT(ADDRESS(62,5,,,"MATCHS"))),,IF(IFERROR(FIND("--",INDIRECT(ADDRESS(80,5,,,"MATCHS"))),FALSE),RIGHT(INDIRECT(ADDRESS(80,5,,,"MATCHS")), FIND("--",INDIRECT(ADDRESS(80,5,,,"MATCHS")),1)),INDIRECT(ADDRESS(80,5,,,"MATCHS"))),,IF(IFERROR(FIND("--",INDIRECT(ADDRESS(98,5,,,"MATCHS"))),FALSE),RIGHT(INDIRECT(ADDRESS(98,5,,,"MATCHS")), FIND("--",INDIRECT(ADDRESS(98,5,,,"MATCHS")),1)),INDIRECT(ADDRESS(98,5,,,"MATCHS"))),,IF(IFERROR(FIND("--",INDIRECT(ADDRESS(116,5,,,"MATCHS"))),FALSE),RIGHT(INDIRECT(ADDRESS(116,5,,,"MATCHS")), FIND("--",INDIRECT(ADDRESS(116,5,,,"MATCHS")),1)),INDIRECT(ADDRESS(116,5,,,"MATCHS"))),)</f>
        <v>0</v>
      </c>
      <c r="J17" s="105">
        <f ca="1">H17 - I17</f>
        <v>0</v>
      </c>
      <c r="K17" s="105">
        <v>0</v>
      </c>
      <c r="L17" s="105">
        <v>3</v>
      </c>
      <c r="M17" s="265">
        <v>3</v>
      </c>
      <c r="N17" s="100" t="str">
        <f>M17 &amp; "DM"</f>
        <v>3DM</v>
      </c>
    </row>
    <row r="18" spans="1:14" ht="15.75" x14ac:dyDescent="0.25">
      <c r="A18" s="251"/>
      <c r="B18" s="105">
        <v>4</v>
      </c>
      <c r="C18" s="105" t="s">
        <v>127</v>
      </c>
      <c r="D18" s="105" t="str">
        <f>INSCRITS!C14</f>
        <v>4B</v>
      </c>
      <c r="E18" s="111">
        <f ca="1">SUM(IF(INDIRECT(ADDRESS(7,5,,,"MATCHS"))&gt;INDIRECT(ADDRESS(7,3,,,"MATCHS")),1,0),,IF(INDIRECT(ADDRESS(25,5,,,"MATCHS"))&gt;INDIRECT(ADDRESS(25,3,,,"MATCHS")),1,0),,IF(INDIRECT(ADDRESS(42,5,,,"MATCHS"))&gt;INDIRECT(ADDRESS(42,3,,,"MATCHS")),1,0),,IF(INDIRECT(ADDRESS(63,3,,,"MATCHS"))&gt;INDIRECT(ADDRESS(63,5,,,"MATCHS")),1,0),,IF(INDIRECT(ADDRESS(81,3,,,"MATCHS"))&gt;INDIRECT(ADDRESS(81,5,,,"MATCHS")),1,0),,IF(INDIRECT(ADDRESS(99,3,,,"MATCHS"))&gt;INDIRECT(ADDRESS(99,5,,,"MATCHS")),1,0),,IF(INDIRECT(ADDRESS(117,3,,,"MATCHS"))&gt;INDIRECT(ADDRESS(117,5,,,"MATCHS")),1,0),) + 0.01 * K18</f>
        <v>0</v>
      </c>
      <c r="F18" s="105">
        <f ca="1">SUM(IF(INDIRECT(ADDRESS(7,5,,,"MATCHS"))&lt;INDIRECT(ADDRESS(7,3,,,"MATCHS")),1,0),,IF(INDIRECT(ADDRESS(25,5,,,"MATCHS"))&lt;INDIRECT(ADDRESS(25,3,,,"MATCHS")),1,0),,IF(INDIRECT(ADDRESS(42,5,,,"MATCHS"))&lt;INDIRECT(ADDRESS(42,3,,,"MATCHS")),1,0),,IF(INDIRECT(ADDRESS(63,3,,,"MATCHS"))&lt;INDIRECT(ADDRESS(63,5,,,"MATCHS")),1,0),,IF(INDIRECT(ADDRESS(81,3,,,"MATCHS"))&lt;INDIRECT(ADDRESS(81,5,,,"MATCHS")),1,0),,IF(INDIRECT(ADDRESS(99,3,,,"MATCHS"))&lt;INDIRECT(ADDRESS(99,5,,,"MATCHS")),1,0),,IF(INDIRECT(ADDRESS(117,3,,,"MATCHS"))&lt;INDIRECT(ADDRESS(117,5,,,"MATCHS")),1,0),)</f>
        <v>0</v>
      </c>
      <c r="G18" s="105">
        <f ca="1">SUM(IF(IFERROR(FIND("--",INDIRECT(ADDRESS(7,5,,,"MATCHS"))),FALSE),LEFT(INDIRECT(ADDRESS(7,5,,,"MATCHS")), FIND("--",INDIRECT(ADDRESS(7,5,,,"MATCHS")),1)-1),INDIRECT(ADDRESS(7,5,,,"MATCHS"))),,IF(IFERROR(FIND("--",INDIRECT(ADDRESS(25,5,,,"MATCHS"))),FALSE),LEFT(INDIRECT(ADDRESS(25,5,,,"MATCHS")), FIND("--",INDIRECT(ADDRESS(25,5,,,"MATCHS")),1)-1),INDIRECT(ADDRESS(25,5,,,"MATCHS"))),,IF(IFERROR(FIND("--",INDIRECT(ADDRESS(42,5,,,"MATCHS"))),FALSE),LEFT(INDIRECT(ADDRESS(42,5,,,"MATCHS")), FIND("--",INDIRECT(ADDRESS(42,5,,,"MATCHS")),1)-1),INDIRECT(ADDRESS(42,5,,,"MATCHS"))),,IF(IFERROR(FIND("--",INDIRECT(ADDRESS(63,3,,,"MATCHS"))),FALSE),LEFT(INDIRECT(ADDRESS(63,3,,,"MATCHS")), FIND("--",INDIRECT(ADDRESS(63,3,,,"MATCHS")),1)-1),INDIRECT(ADDRESS(63,3,,,"MATCHS"))),,IF(IFERROR(FIND("--",INDIRECT(ADDRESS(81,3,,,"MATCHS"))),FALSE),LEFT(INDIRECT(ADDRESS(81,3,,,"MATCHS")), FIND("--",INDIRECT(ADDRESS(81,3,,,"MATCHS")),1)-1),INDIRECT(ADDRESS(81,3,,,"MATCHS"))),,IF(IFERROR(FIND("--",INDIRECT(ADDRESS(99,3,,,"MATCHS"))),FALSE),LEFT(INDIRECT(ADDRESS(99,3,,,"MATCHS")), FIND("--",INDIRECT(ADDRESS(99,3,,,"MATCHS")),1)-1),INDIRECT(ADDRESS(99,3,,,"MATCHS"))),,IF(IFERROR(FIND("--",INDIRECT(ADDRESS(117,3,,,"MATCHS"))),FALSE),LEFT(INDIRECT(ADDRESS(117,3,,,"MATCHS")), FIND("--",INDIRECT(ADDRESS(117,3,,,"MATCHS")),1)-1),INDIRECT(ADDRESS(117,3,,,"MATCHS"))),)</f>
        <v>0</v>
      </c>
      <c r="H18" s="105">
        <f ca="1">SUM(IF(IFERROR(FIND("--",INDIRECT(ADDRESS(7,5,,,"MATCHS"))),FALSE),RIGHT(INDIRECT(ADDRESS(7,5,,,"MATCHS")), FIND("--",INDIRECT(ADDRESS(7,5,,,"MATCHS")),1)),INDIRECT(ADDRESS(7,5,,,"MATCHS"))),,IF(IFERROR(FIND("--",INDIRECT(ADDRESS(25,5,,,"MATCHS"))),FALSE),RIGHT(INDIRECT(ADDRESS(25,5,,,"MATCHS")), FIND("--",INDIRECT(ADDRESS(25,5,,,"MATCHS")),1)),INDIRECT(ADDRESS(25,5,,,"MATCHS"))),,IF(IFERROR(FIND("--",INDIRECT(ADDRESS(42,5,,,"MATCHS"))),FALSE),RIGHT(INDIRECT(ADDRESS(42,5,,,"MATCHS")), FIND("--",INDIRECT(ADDRESS(42,5,,,"MATCHS")),1)),INDIRECT(ADDRESS(42,5,,,"MATCHS"))),,IF(IFERROR(FIND("--",INDIRECT(ADDRESS(63,3,,,"MATCHS"))),FALSE),RIGHT(INDIRECT(ADDRESS(63,3,,,"MATCHS")), FIND("--",INDIRECT(ADDRESS(63,3,,,"MATCHS")),1)),INDIRECT(ADDRESS(63,3,,,"MATCHS"))),,IF(IFERROR(FIND("--",INDIRECT(ADDRESS(81,3,,,"MATCHS"))),FALSE),RIGHT(INDIRECT(ADDRESS(81,3,,,"MATCHS")), FIND("--",INDIRECT(ADDRESS(81,3,,,"MATCHS")),1)),INDIRECT(ADDRESS(81,3,,,"MATCHS"))),,IF(IFERROR(FIND("--",INDIRECT(ADDRESS(99,3,,,"MATCHS"))),FALSE),RIGHT(INDIRECT(ADDRESS(99,3,,,"MATCHS")), FIND("--",INDIRECT(ADDRESS(99,3,,,"MATCHS")),1)),INDIRECT(ADDRESS(99,3,,,"MATCHS"))),,IF(IFERROR(FIND("--",INDIRECT(ADDRESS(117,3,,,"MATCHS"))),FALSE),RIGHT(INDIRECT(ADDRESS(117,3,,,"MATCHS")), FIND("--",INDIRECT(ADDRESS(117,3,,,"MATCHS")),1)),INDIRECT(ADDRESS(117,3,,,"MATCHS"))),)</f>
        <v>0</v>
      </c>
      <c r="I18" s="105">
        <f ca="1">SUM(IF(IFERROR(FIND("--",INDIRECT(ADDRESS(7,3,,,"MATCHS"))),FALSE),RIGHT(INDIRECT(ADDRESS(7,3,,,"MATCHS")), FIND("--",INDIRECT(ADDRESS(7,3,,,"MATCHS")),1)),INDIRECT(ADDRESS(7,3,,,"MATCHS"))),,IF(IFERROR(FIND("--",INDIRECT(ADDRESS(25,3,,,"MATCHS"))),FALSE),RIGHT(INDIRECT(ADDRESS(25,3,,,"MATCHS")), FIND("--",INDIRECT(ADDRESS(25,3,,,"MATCHS")),1)),INDIRECT(ADDRESS(25,3,,,"MATCHS"))),,IF(IFERROR(FIND("--",INDIRECT(ADDRESS(42,3,,,"MATCHS"))),FALSE),RIGHT(INDIRECT(ADDRESS(42,3,,,"MATCHS")), FIND("--",INDIRECT(ADDRESS(42,3,,,"MATCHS")),1)),INDIRECT(ADDRESS(42,3,,,"MATCHS"))),,IF(IFERROR(FIND("--",INDIRECT(ADDRESS(63,5,,,"MATCHS"))),FALSE),RIGHT(INDIRECT(ADDRESS(63,5,,,"MATCHS")), FIND("--",INDIRECT(ADDRESS(63,5,,,"MATCHS")),1)),INDIRECT(ADDRESS(63,5,,,"MATCHS"))),,IF(IFERROR(FIND("--",INDIRECT(ADDRESS(81,5,,,"MATCHS"))),FALSE),RIGHT(INDIRECT(ADDRESS(81,5,,,"MATCHS")), FIND("--",INDIRECT(ADDRESS(81,5,,,"MATCHS")),1)),INDIRECT(ADDRESS(81,5,,,"MATCHS"))),,IF(IFERROR(FIND("--",INDIRECT(ADDRESS(99,5,,,"MATCHS"))),FALSE),RIGHT(INDIRECT(ADDRESS(99,5,,,"MATCHS")), FIND("--",INDIRECT(ADDRESS(99,5,,,"MATCHS")),1)),INDIRECT(ADDRESS(99,5,,,"MATCHS"))),,IF(IFERROR(FIND("--",INDIRECT(ADDRESS(117,5,,,"MATCHS"))),FALSE),RIGHT(INDIRECT(ADDRESS(117,5,,,"MATCHS")), FIND("--",INDIRECT(ADDRESS(117,5,,,"MATCHS")),1)),INDIRECT(ADDRESS(117,5,,,"MATCHS"))),)</f>
        <v>0</v>
      </c>
      <c r="J18" s="105">
        <f ca="1">H18 - I18</f>
        <v>0</v>
      </c>
      <c r="K18" s="105">
        <v>0</v>
      </c>
      <c r="L18" s="105">
        <v>4</v>
      </c>
      <c r="M18" s="265">
        <v>1</v>
      </c>
      <c r="N18" s="100" t="str">
        <f>M18 &amp; "DM"</f>
        <v>1DM</v>
      </c>
    </row>
    <row r="19" spans="1:14" ht="15.75" x14ac:dyDescent="0.25">
      <c r="A19" s="251"/>
      <c r="B19" s="105">
        <v>5</v>
      </c>
      <c r="C19" s="105" t="s">
        <v>152</v>
      </c>
      <c r="D19" s="105" t="str">
        <f>INSCRITS!C15</f>
        <v>5B</v>
      </c>
      <c r="E19" s="111">
        <f ca="1">SUM(IF(INDIRECT(ADDRESS(8,3,,,"MATCHS"))&gt;INDIRECT(ADDRESS(8,5,,,"MATCHS")),1,0),,IF(INDIRECT(ADDRESS(26,3,,,"MATCHS"))&gt;INDIRECT(ADDRESS(26,5,,,"MATCHS")),1,0),,IF(INDIRECT(ADDRESS(44,3,,,"MATCHS"))&gt;INDIRECT(ADDRESS(44,5,,,"MATCHS")),1,0),,IF(INDIRECT(ADDRESS(60,5,,,"MATCHS"))&gt;INDIRECT(ADDRESS(60,3,,,"MATCHS")),1,0),,IF(INDIRECT(ADDRESS(79,5,,,"MATCHS"))&gt;INDIRECT(ADDRESS(79,3,,,"MATCHS")),1,0),,IF(INDIRECT(ADDRESS(98,5,,,"MATCHS"))&gt;INDIRECT(ADDRESS(98,3,,,"MATCHS")),1,0),,IF(INDIRECT(ADDRESS(117,5,,,"MATCHS"))&gt;INDIRECT(ADDRESS(117,3,,,"MATCHS")),1,0),) + 0.01 * K19</f>
        <v>0</v>
      </c>
      <c r="F19" s="105">
        <f ca="1">SUM(IF(INDIRECT(ADDRESS(8,3,,,"MATCHS"))&lt;INDIRECT(ADDRESS(8,5,,,"MATCHS")),1,0),,IF(INDIRECT(ADDRESS(26,3,,,"MATCHS"))&lt;INDIRECT(ADDRESS(26,5,,,"MATCHS")),1,0),,IF(INDIRECT(ADDRESS(44,3,,,"MATCHS"))&lt;INDIRECT(ADDRESS(44,5,,,"MATCHS")),1,0),,IF(INDIRECT(ADDRESS(60,5,,,"MATCHS"))&lt;INDIRECT(ADDRESS(60,3,,,"MATCHS")),1,0),,IF(INDIRECT(ADDRESS(79,5,,,"MATCHS"))&lt;INDIRECT(ADDRESS(79,3,,,"MATCHS")),1,0),,IF(INDIRECT(ADDRESS(98,5,,,"MATCHS"))&lt;INDIRECT(ADDRESS(98,3,,,"MATCHS")),1,0),,IF(INDIRECT(ADDRESS(117,5,,,"MATCHS"))&lt;INDIRECT(ADDRESS(117,3,,,"MATCHS")),1,0),)</f>
        <v>0</v>
      </c>
      <c r="G19" s="105">
        <f ca="1">SUM(IF(IFERROR(FIND("--",INDIRECT(ADDRESS(8,3,,,"MATCHS"))),FALSE),LEFT(INDIRECT(ADDRESS(8,3,,,"MATCHS")), FIND("--",INDIRECT(ADDRESS(8,3,,,"MATCHS")),1)-1),INDIRECT(ADDRESS(8,3,,,"MATCHS"))),,IF(IFERROR(FIND("--",INDIRECT(ADDRESS(26,3,,,"MATCHS"))),FALSE),LEFT(INDIRECT(ADDRESS(26,3,,,"MATCHS")), FIND("--",INDIRECT(ADDRESS(26,3,,,"MATCHS")),1)-1),INDIRECT(ADDRESS(26,3,,,"MATCHS"))),,IF(IFERROR(FIND("--",INDIRECT(ADDRESS(44,3,,,"MATCHS"))),FALSE),LEFT(INDIRECT(ADDRESS(44,3,,,"MATCHS")), FIND("--",INDIRECT(ADDRESS(44,3,,,"MATCHS")),1)-1),INDIRECT(ADDRESS(44,3,,,"MATCHS"))),,IF(IFERROR(FIND("--",INDIRECT(ADDRESS(60,5,,,"MATCHS"))),FALSE),LEFT(INDIRECT(ADDRESS(60,5,,,"MATCHS")), FIND("--",INDIRECT(ADDRESS(60,5,,,"MATCHS")),1)-1),INDIRECT(ADDRESS(60,5,,,"MATCHS"))),,IF(IFERROR(FIND("--",INDIRECT(ADDRESS(79,5,,,"MATCHS"))),FALSE),LEFT(INDIRECT(ADDRESS(79,5,,,"MATCHS")), FIND("--",INDIRECT(ADDRESS(79,5,,,"MATCHS")),1)-1),INDIRECT(ADDRESS(79,5,,,"MATCHS"))),,IF(IFERROR(FIND("--",INDIRECT(ADDRESS(98,5,,,"MATCHS"))),FALSE),LEFT(INDIRECT(ADDRESS(98,5,,,"MATCHS")), FIND("--",INDIRECT(ADDRESS(98,5,,,"MATCHS")),1)-1),INDIRECT(ADDRESS(98,5,,,"MATCHS"))),,IF(IFERROR(FIND("--",INDIRECT(ADDRESS(117,5,,,"MATCHS"))),FALSE),LEFT(INDIRECT(ADDRESS(117,5,,,"MATCHS")), FIND("--",INDIRECT(ADDRESS(117,5,,,"MATCHS")),1)-1),INDIRECT(ADDRESS(117,5,,,"MATCHS"))),)</f>
        <v>0</v>
      </c>
      <c r="H19" s="105">
        <f ca="1">SUM(IF(IFERROR(FIND("--",INDIRECT(ADDRESS(8,3,,,"MATCHS"))),FALSE),RIGHT(INDIRECT(ADDRESS(8,3,,,"MATCHS")), FIND("--",INDIRECT(ADDRESS(8,3,,,"MATCHS")),1)),INDIRECT(ADDRESS(8,3,,,"MATCHS"))),,IF(IFERROR(FIND("--",INDIRECT(ADDRESS(26,3,,,"MATCHS"))),FALSE),RIGHT(INDIRECT(ADDRESS(26,3,,,"MATCHS")), FIND("--",INDIRECT(ADDRESS(26,3,,,"MATCHS")),1)),INDIRECT(ADDRESS(26,3,,,"MATCHS"))),,IF(IFERROR(FIND("--",INDIRECT(ADDRESS(44,3,,,"MATCHS"))),FALSE),RIGHT(INDIRECT(ADDRESS(44,3,,,"MATCHS")), FIND("--",INDIRECT(ADDRESS(44,3,,,"MATCHS")),1)),INDIRECT(ADDRESS(44,3,,,"MATCHS"))),,IF(IFERROR(FIND("--",INDIRECT(ADDRESS(60,5,,,"MATCHS"))),FALSE),RIGHT(INDIRECT(ADDRESS(60,5,,,"MATCHS")), FIND("--",INDIRECT(ADDRESS(60,5,,,"MATCHS")),1)),INDIRECT(ADDRESS(60,5,,,"MATCHS"))),,IF(IFERROR(FIND("--",INDIRECT(ADDRESS(79,5,,,"MATCHS"))),FALSE),RIGHT(INDIRECT(ADDRESS(79,5,,,"MATCHS")), FIND("--",INDIRECT(ADDRESS(79,5,,,"MATCHS")),1)),INDIRECT(ADDRESS(79,5,,,"MATCHS"))),,IF(IFERROR(FIND("--",INDIRECT(ADDRESS(98,5,,,"MATCHS"))),FALSE),RIGHT(INDIRECT(ADDRESS(98,5,,,"MATCHS")), FIND("--",INDIRECT(ADDRESS(98,5,,,"MATCHS")),1)),INDIRECT(ADDRESS(98,5,,,"MATCHS"))),,IF(IFERROR(FIND("--",INDIRECT(ADDRESS(117,5,,,"MATCHS"))),FALSE),RIGHT(INDIRECT(ADDRESS(117,5,,,"MATCHS")), FIND("--",INDIRECT(ADDRESS(117,5,,,"MATCHS")),1)),INDIRECT(ADDRESS(117,5,,,"MATCHS"))),)</f>
        <v>0</v>
      </c>
      <c r="I19" s="105">
        <f ca="1">SUM(IF(IFERROR(FIND("--",INDIRECT(ADDRESS(8,5,,,"MATCHS"))),FALSE),RIGHT(INDIRECT(ADDRESS(8,5,,,"MATCHS")), FIND("--",INDIRECT(ADDRESS(8,5,,,"MATCHS")),1)),INDIRECT(ADDRESS(8,5,,,"MATCHS"))),,IF(IFERROR(FIND("--",INDIRECT(ADDRESS(26,5,,,"MATCHS"))),FALSE),RIGHT(INDIRECT(ADDRESS(26,5,,,"MATCHS")), FIND("--",INDIRECT(ADDRESS(26,5,,,"MATCHS")),1)),INDIRECT(ADDRESS(26,5,,,"MATCHS"))),,IF(IFERROR(FIND("--",INDIRECT(ADDRESS(44,5,,,"MATCHS"))),FALSE),RIGHT(INDIRECT(ADDRESS(44,5,,,"MATCHS")), FIND("--",INDIRECT(ADDRESS(44,5,,,"MATCHS")),1)),INDIRECT(ADDRESS(44,5,,,"MATCHS"))),,IF(IFERROR(FIND("--",INDIRECT(ADDRESS(60,3,,,"MATCHS"))),FALSE),RIGHT(INDIRECT(ADDRESS(60,3,,,"MATCHS")), FIND("--",INDIRECT(ADDRESS(60,3,,,"MATCHS")),1)),INDIRECT(ADDRESS(60,3,,,"MATCHS"))),,IF(IFERROR(FIND("--",INDIRECT(ADDRESS(79,3,,,"MATCHS"))),FALSE),RIGHT(INDIRECT(ADDRESS(79,3,,,"MATCHS")), FIND("--",INDIRECT(ADDRESS(79,3,,,"MATCHS")),1)),INDIRECT(ADDRESS(79,3,,,"MATCHS"))),,IF(IFERROR(FIND("--",INDIRECT(ADDRESS(98,3,,,"MATCHS"))),FALSE),RIGHT(INDIRECT(ADDRESS(98,3,,,"MATCHS")), FIND("--",INDIRECT(ADDRESS(98,3,,,"MATCHS")),1)),INDIRECT(ADDRESS(98,3,,,"MATCHS"))),,IF(IFERROR(FIND("--",INDIRECT(ADDRESS(117,3,,,"MATCHS"))),FALSE),RIGHT(INDIRECT(ADDRESS(117,3,,,"MATCHS")), FIND("--",INDIRECT(ADDRESS(117,3,,,"MATCHS")),1)),INDIRECT(ADDRESS(117,3,,,"MATCHS"))),)</f>
        <v>0</v>
      </c>
      <c r="J19" s="105">
        <f ca="1">H19 - I19</f>
        <v>0</v>
      </c>
      <c r="K19" s="105">
        <v>0</v>
      </c>
      <c r="L19" s="105">
        <v>5</v>
      </c>
      <c r="M19" s="265">
        <v>8</v>
      </c>
      <c r="N19" s="100" t="str">
        <f>M19 &amp; "DM"</f>
        <v>8DM</v>
      </c>
    </row>
    <row r="20" spans="1:14" ht="15.75" x14ac:dyDescent="0.25">
      <c r="A20" s="251"/>
      <c r="B20" s="105">
        <v>6</v>
      </c>
      <c r="C20" s="105" t="s">
        <v>153</v>
      </c>
      <c r="D20" s="105" t="str">
        <f>INSCRITS!C16</f>
        <v>6B</v>
      </c>
      <c r="E20" s="111">
        <f ca="1">SUM(IF(INDIRECT(ADDRESS(8,5,,,"MATCHS"))&gt;INDIRECT(ADDRESS(8,3,,,"MATCHS")),1,0),,IF(INDIRECT(ADDRESS(27,3,,,"MATCHS"))&gt;INDIRECT(ADDRESS(27,5,,,"MATCHS")),1,0),,IF(INDIRECT(ADDRESS(45,3,,,"MATCHS"))&gt;INDIRECT(ADDRESS(45,5,,,"MATCHS")),1,0),,IF(INDIRECT(ADDRESS(61,5,,,"MATCHS"))&gt;INDIRECT(ADDRESS(61,3,,,"MATCHS")),1,0),,IF(INDIRECT(ADDRESS(78,5,,,"MATCHS"))&gt;INDIRECT(ADDRESS(78,3,,,"MATCHS")),1,0),,IF(INDIRECT(ADDRESS(99,5,,,"MATCHS"))&gt;INDIRECT(ADDRESS(99,3,,,"MATCHS")),1,0),,IF(INDIRECT(ADDRESS(116,5,,,"MATCHS"))&gt;INDIRECT(ADDRESS(116,3,,,"MATCHS")),1,0),) + 0.01 * K20</f>
        <v>0</v>
      </c>
      <c r="F20" s="105">
        <f ca="1">SUM(IF(INDIRECT(ADDRESS(8,5,,,"MATCHS"))&lt;INDIRECT(ADDRESS(8,3,,,"MATCHS")),1,0),,IF(INDIRECT(ADDRESS(27,3,,,"MATCHS"))&lt;INDIRECT(ADDRESS(27,5,,,"MATCHS")),1,0),,IF(INDIRECT(ADDRESS(45,3,,,"MATCHS"))&lt;INDIRECT(ADDRESS(45,5,,,"MATCHS")),1,0),,IF(INDIRECT(ADDRESS(61,5,,,"MATCHS"))&lt;INDIRECT(ADDRESS(61,3,,,"MATCHS")),1,0),,IF(INDIRECT(ADDRESS(78,5,,,"MATCHS"))&lt;INDIRECT(ADDRESS(78,3,,,"MATCHS")),1,0),,IF(INDIRECT(ADDRESS(99,5,,,"MATCHS"))&lt;INDIRECT(ADDRESS(99,3,,,"MATCHS")),1,0),,IF(INDIRECT(ADDRESS(116,5,,,"MATCHS"))&lt;INDIRECT(ADDRESS(116,3,,,"MATCHS")),1,0),)</f>
        <v>0</v>
      </c>
      <c r="G20" s="105">
        <f ca="1">SUM(IF(IFERROR(FIND("--",INDIRECT(ADDRESS(8,5,,,"MATCHS"))),FALSE),LEFT(INDIRECT(ADDRESS(8,5,,,"MATCHS")), FIND("--",INDIRECT(ADDRESS(8,5,,,"MATCHS")),1)-1),INDIRECT(ADDRESS(8,5,,,"MATCHS"))),,IF(IFERROR(FIND("--",INDIRECT(ADDRESS(27,3,,,"MATCHS"))),FALSE),LEFT(INDIRECT(ADDRESS(27,3,,,"MATCHS")), FIND("--",INDIRECT(ADDRESS(27,3,,,"MATCHS")),1)-1),INDIRECT(ADDRESS(27,3,,,"MATCHS"))),,IF(IFERROR(FIND("--",INDIRECT(ADDRESS(45,3,,,"MATCHS"))),FALSE),LEFT(INDIRECT(ADDRESS(45,3,,,"MATCHS")), FIND("--",INDIRECT(ADDRESS(45,3,,,"MATCHS")),1)-1),INDIRECT(ADDRESS(45,3,,,"MATCHS"))),,IF(IFERROR(FIND("--",INDIRECT(ADDRESS(61,5,,,"MATCHS"))),FALSE),LEFT(INDIRECT(ADDRESS(61,5,,,"MATCHS")), FIND("--",INDIRECT(ADDRESS(61,5,,,"MATCHS")),1)-1),INDIRECT(ADDRESS(61,5,,,"MATCHS"))),,IF(IFERROR(FIND("--",INDIRECT(ADDRESS(78,5,,,"MATCHS"))),FALSE),LEFT(INDIRECT(ADDRESS(78,5,,,"MATCHS")), FIND("--",INDIRECT(ADDRESS(78,5,,,"MATCHS")),1)-1),INDIRECT(ADDRESS(78,5,,,"MATCHS"))),,IF(IFERROR(FIND("--",INDIRECT(ADDRESS(99,5,,,"MATCHS"))),FALSE),LEFT(INDIRECT(ADDRESS(99,5,,,"MATCHS")), FIND("--",INDIRECT(ADDRESS(99,5,,,"MATCHS")),1)-1),INDIRECT(ADDRESS(99,5,,,"MATCHS"))),,IF(IFERROR(FIND("--",INDIRECT(ADDRESS(116,5,,,"MATCHS"))),FALSE),LEFT(INDIRECT(ADDRESS(116,5,,,"MATCHS")), FIND("--",INDIRECT(ADDRESS(116,5,,,"MATCHS")),1)-1),INDIRECT(ADDRESS(116,5,,,"MATCHS"))),)</f>
        <v>0</v>
      </c>
      <c r="H20" s="105">
        <f ca="1">SUM(IF(IFERROR(FIND("--",INDIRECT(ADDRESS(8,5,,,"MATCHS"))),FALSE),RIGHT(INDIRECT(ADDRESS(8,5,,,"MATCHS")), FIND("--",INDIRECT(ADDRESS(8,5,,,"MATCHS")),1)),INDIRECT(ADDRESS(8,5,,,"MATCHS"))),,IF(IFERROR(FIND("--",INDIRECT(ADDRESS(27,3,,,"MATCHS"))),FALSE),RIGHT(INDIRECT(ADDRESS(27,3,,,"MATCHS")), FIND("--",INDIRECT(ADDRESS(27,3,,,"MATCHS")),1)),INDIRECT(ADDRESS(27,3,,,"MATCHS"))),,IF(IFERROR(FIND("--",INDIRECT(ADDRESS(45,3,,,"MATCHS"))),FALSE),RIGHT(INDIRECT(ADDRESS(45,3,,,"MATCHS")), FIND("--",INDIRECT(ADDRESS(45,3,,,"MATCHS")),1)),INDIRECT(ADDRESS(45,3,,,"MATCHS"))),,IF(IFERROR(FIND("--",INDIRECT(ADDRESS(61,5,,,"MATCHS"))),FALSE),RIGHT(INDIRECT(ADDRESS(61,5,,,"MATCHS")), FIND("--",INDIRECT(ADDRESS(61,5,,,"MATCHS")),1)),INDIRECT(ADDRESS(61,5,,,"MATCHS"))),,IF(IFERROR(FIND("--",INDIRECT(ADDRESS(78,5,,,"MATCHS"))),FALSE),RIGHT(INDIRECT(ADDRESS(78,5,,,"MATCHS")), FIND("--",INDIRECT(ADDRESS(78,5,,,"MATCHS")),1)),INDIRECT(ADDRESS(78,5,,,"MATCHS"))),,IF(IFERROR(FIND("--",INDIRECT(ADDRESS(99,5,,,"MATCHS"))),FALSE),RIGHT(INDIRECT(ADDRESS(99,5,,,"MATCHS")), FIND("--",INDIRECT(ADDRESS(99,5,,,"MATCHS")),1)),INDIRECT(ADDRESS(99,5,,,"MATCHS"))),,IF(IFERROR(FIND("--",INDIRECT(ADDRESS(116,5,,,"MATCHS"))),FALSE),RIGHT(INDIRECT(ADDRESS(116,5,,,"MATCHS")), FIND("--",INDIRECT(ADDRESS(116,5,,,"MATCHS")),1)),INDIRECT(ADDRESS(116,5,,,"MATCHS"))),)</f>
        <v>0</v>
      </c>
      <c r="I20" s="105">
        <f ca="1">SUM(IF(IFERROR(FIND("--",INDIRECT(ADDRESS(8,3,,,"MATCHS"))),FALSE),RIGHT(INDIRECT(ADDRESS(8,3,,,"MATCHS")), FIND("--",INDIRECT(ADDRESS(8,3,,,"MATCHS")),1)),INDIRECT(ADDRESS(8,3,,,"MATCHS"))),,IF(IFERROR(FIND("--",INDIRECT(ADDRESS(27,5,,,"MATCHS"))),FALSE),RIGHT(INDIRECT(ADDRESS(27,5,,,"MATCHS")), FIND("--",INDIRECT(ADDRESS(27,5,,,"MATCHS")),1)),INDIRECT(ADDRESS(27,5,,,"MATCHS"))),,IF(IFERROR(FIND("--",INDIRECT(ADDRESS(45,5,,,"MATCHS"))),FALSE),RIGHT(INDIRECT(ADDRESS(45,5,,,"MATCHS")), FIND("--",INDIRECT(ADDRESS(45,5,,,"MATCHS")),1)),INDIRECT(ADDRESS(45,5,,,"MATCHS"))),,IF(IFERROR(FIND("--",INDIRECT(ADDRESS(61,3,,,"MATCHS"))),FALSE),RIGHT(INDIRECT(ADDRESS(61,3,,,"MATCHS")), FIND("--",INDIRECT(ADDRESS(61,3,,,"MATCHS")),1)),INDIRECT(ADDRESS(61,3,,,"MATCHS"))),,IF(IFERROR(FIND("--",INDIRECT(ADDRESS(78,3,,,"MATCHS"))),FALSE),RIGHT(INDIRECT(ADDRESS(78,3,,,"MATCHS")), FIND("--",INDIRECT(ADDRESS(78,3,,,"MATCHS")),1)),INDIRECT(ADDRESS(78,3,,,"MATCHS"))),,IF(IFERROR(FIND("--",INDIRECT(ADDRESS(99,3,,,"MATCHS"))),FALSE),RIGHT(INDIRECT(ADDRESS(99,3,,,"MATCHS")), FIND("--",INDIRECT(ADDRESS(99,3,,,"MATCHS")),1)),INDIRECT(ADDRESS(99,3,,,"MATCHS"))),,IF(IFERROR(FIND("--",INDIRECT(ADDRESS(116,3,,,"MATCHS"))),FALSE),RIGHT(INDIRECT(ADDRESS(116,3,,,"MATCHS")), FIND("--",INDIRECT(ADDRESS(116,3,,,"MATCHS")),1)),INDIRECT(ADDRESS(116,3,,,"MATCHS"))),)</f>
        <v>0</v>
      </c>
      <c r="J20" s="105">
        <f ca="1">H20 - I20</f>
        <v>0</v>
      </c>
      <c r="K20" s="105">
        <v>0</v>
      </c>
      <c r="L20" s="105">
        <v>6</v>
      </c>
      <c r="M20" s="265">
        <v>6</v>
      </c>
      <c r="N20" s="100" t="str">
        <f>M20 &amp; "DM"</f>
        <v>6DM</v>
      </c>
    </row>
    <row r="21" spans="1:14" ht="15.75" x14ac:dyDescent="0.25">
      <c r="A21" s="251"/>
      <c r="B21" s="105">
        <v>7</v>
      </c>
      <c r="C21" s="105" t="s">
        <v>154</v>
      </c>
      <c r="D21" s="105" t="str">
        <f>INSCRITS!C17</f>
        <v>7B</v>
      </c>
      <c r="E21" s="111">
        <f ca="1">SUM(IF(INDIRECT(ADDRESS(9,3,,,"MATCHS"))&gt;INDIRECT(ADDRESS(9,5,,,"MATCHS")),1,0),,IF(INDIRECT(ADDRESS(26,5,,,"MATCHS"))&gt;INDIRECT(ADDRESS(26,3,,,"MATCHS")),1,0),,IF(INDIRECT(ADDRESS(45,5,,,"MATCHS"))&gt;INDIRECT(ADDRESS(45,3,,,"MATCHS")),1,0),,IF(INDIRECT(ADDRESS(62,5,,,"MATCHS"))&gt;INDIRECT(ADDRESS(62,3,,,"MATCHS")),1,0),,IF(INDIRECT(ADDRESS(81,5,,,"MATCHS"))&gt;INDIRECT(ADDRESS(81,3,,,"MATCHS")),1,0),,IF(INDIRECT(ADDRESS(96,5,,,"MATCHS"))&gt;INDIRECT(ADDRESS(96,3,,,"MATCHS")),1,0),,IF(INDIRECT(ADDRESS(115,5,,,"MATCHS"))&gt;INDIRECT(ADDRESS(115,3,,,"MATCHS")),1,0),) + 0.01 * K21</f>
        <v>0</v>
      </c>
      <c r="F21" s="105">
        <f ca="1">SUM(IF(INDIRECT(ADDRESS(9,3,,,"MATCHS"))&lt;INDIRECT(ADDRESS(9,5,,,"MATCHS")),1,0),,IF(INDIRECT(ADDRESS(26,5,,,"MATCHS"))&lt;INDIRECT(ADDRESS(26,3,,,"MATCHS")),1,0),,IF(INDIRECT(ADDRESS(45,5,,,"MATCHS"))&lt;INDIRECT(ADDRESS(45,3,,,"MATCHS")),1,0),,IF(INDIRECT(ADDRESS(62,5,,,"MATCHS"))&lt;INDIRECT(ADDRESS(62,3,,,"MATCHS")),1,0),,IF(INDIRECT(ADDRESS(81,5,,,"MATCHS"))&lt;INDIRECT(ADDRESS(81,3,,,"MATCHS")),1,0),,IF(INDIRECT(ADDRESS(96,5,,,"MATCHS"))&lt;INDIRECT(ADDRESS(96,3,,,"MATCHS")),1,0),,IF(INDIRECT(ADDRESS(115,5,,,"MATCHS"))&lt;INDIRECT(ADDRESS(115,3,,,"MATCHS")),1,0),)</f>
        <v>0</v>
      </c>
      <c r="G21" s="105">
        <f ca="1">SUM(IF(IFERROR(FIND("--",INDIRECT(ADDRESS(9,3,,,"MATCHS"))),FALSE),LEFT(INDIRECT(ADDRESS(9,3,,,"MATCHS")), FIND("--",INDIRECT(ADDRESS(9,3,,,"MATCHS")),1)-1),INDIRECT(ADDRESS(9,3,,,"MATCHS"))),,IF(IFERROR(FIND("--",INDIRECT(ADDRESS(26,5,,,"MATCHS"))),FALSE),LEFT(INDIRECT(ADDRESS(26,5,,,"MATCHS")), FIND("--",INDIRECT(ADDRESS(26,5,,,"MATCHS")),1)-1),INDIRECT(ADDRESS(26,5,,,"MATCHS"))),,IF(IFERROR(FIND("--",INDIRECT(ADDRESS(45,5,,,"MATCHS"))),FALSE),LEFT(INDIRECT(ADDRESS(45,5,,,"MATCHS")), FIND("--",INDIRECT(ADDRESS(45,5,,,"MATCHS")),1)-1),INDIRECT(ADDRESS(45,5,,,"MATCHS"))),,IF(IFERROR(FIND("--",INDIRECT(ADDRESS(62,5,,,"MATCHS"))),FALSE),LEFT(INDIRECT(ADDRESS(62,5,,,"MATCHS")), FIND("--",INDIRECT(ADDRESS(62,5,,,"MATCHS")),1)-1),INDIRECT(ADDRESS(62,5,,,"MATCHS"))),,IF(IFERROR(FIND("--",INDIRECT(ADDRESS(81,5,,,"MATCHS"))),FALSE),LEFT(INDIRECT(ADDRESS(81,5,,,"MATCHS")), FIND("--",INDIRECT(ADDRESS(81,5,,,"MATCHS")),1)-1),INDIRECT(ADDRESS(81,5,,,"MATCHS"))),,IF(IFERROR(FIND("--",INDIRECT(ADDRESS(96,5,,,"MATCHS"))),FALSE),LEFT(INDIRECT(ADDRESS(96,5,,,"MATCHS")), FIND("--",INDIRECT(ADDRESS(96,5,,,"MATCHS")),1)-1),INDIRECT(ADDRESS(96,5,,,"MATCHS"))),,IF(IFERROR(FIND("--",INDIRECT(ADDRESS(115,5,,,"MATCHS"))),FALSE),LEFT(INDIRECT(ADDRESS(115,5,,,"MATCHS")), FIND("--",INDIRECT(ADDRESS(115,5,,,"MATCHS")),1)-1),INDIRECT(ADDRESS(115,5,,,"MATCHS"))),)</f>
        <v>0</v>
      </c>
      <c r="H21" s="105">
        <f ca="1">SUM(IF(IFERROR(FIND("--",INDIRECT(ADDRESS(9,3,,,"MATCHS"))),FALSE),RIGHT(INDIRECT(ADDRESS(9,3,,,"MATCHS")), FIND("--",INDIRECT(ADDRESS(9,3,,,"MATCHS")),1)),INDIRECT(ADDRESS(9,3,,,"MATCHS"))),,IF(IFERROR(FIND("--",INDIRECT(ADDRESS(26,5,,,"MATCHS"))),FALSE),RIGHT(INDIRECT(ADDRESS(26,5,,,"MATCHS")), FIND("--",INDIRECT(ADDRESS(26,5,,,"MATCHS")),1)),INDIRECT(ADDRESS(26,5,,,"MATCHS"))),,IF(IFERROR(FIND("--",INDIRECT(ADDRESS(45,5,,,"MATCHS"))),FALSE),RIGHT(INDIRECT(ADDRESS(45,5,,,"MATCHS")), FIND("--",INDIRECT(ADDRESS(45,5,,,"MATCHS")),1)),INDIRECT(ADDRESS(45,5,,,"MATCHS"))),,IF(IFERROR(FIND("--",INDIRECT(ADDRESS(62,5,,,"MATCHS"))),FALSE),RIGHT(INDIRECT(ADDRESS(62,5,,,"MATCHS")), FIND("--",INDIRECT(ADDRESS(62,5,,,"MATCHS")),1)),INDIRECT(ADDRESS(62,5,,,"MATCHS"))),,IF(IFERROR(FIND("--",INDIRECT(ADDRESS(81,5,,,"MATCHS"))),FALSE),RIGHT(INDIRECT(ADDRESS(81,5,,,"MATCHS")), FIND("--",INDIRECT(ADDRESS(81,5,,,"MATCHS")),1)),INDIRECT(ADDRESS(81,5,,,"MATCHS"))),,IF(IFERROR(FIND("--",INDIRECT(ADDRESS(96,5,,,"MATCHS"))),FALSE),RIGHT(INDIRECT(ADDRESS(96,5,,,"MATCHS")), FIND("--",INDIRECT(ADDRESS(96,5,,,"MATCHS")),1)),INDIRECT(ADDRESS(96,5,,,"MATCHS"))),,IF(IFERROR(FIND("--",INDIRECT(ADDRESS(115,5,,,"MATCHS"))),FALSE),RIGHT(INDIRECT(ADDRESS(115,5,,,"MATCHS")), FIND("--",INDIRECT(ADDRESS(115,5,,,"MATCHS")),1)),INDIRECT(ADDRESS(115,5,,,"MATCHS"))),)</f>
        <v>0</v>
      </c>
      <c r="I21" s="105">
        <f ca="1">SUM(IF(IFERROR(FIND("--",INDIRECT(ADDRESS(9,5,,,"MATCHS"))),FALSE),RIGHT(INDIRECT(ADDRESS(9,5,,,"MATCHS")), FIND("--",INDIRECT(ADDRESS(9,5,,,"MATCHS")),1)),INDIRECT(ADDRESS(9,5,,,"MATCHS"))),,IF(IFERROR(FIND("--",INDIRECT(ADDRESS(26,3,,,"MATCHS"))),FALSE),RIGHT(INDIRECT(ADDRESS(26,3,,,"MATCHS")), FIND("--",INDIRECT(ADDRESS(26,3,,,"MATCHS")),1)),INDIRECT(ADDRESS(26,3,,,"MATCHS"))),,IF(IFERROR(FIND("--",INDIRECT(ADDRESS(45,3,,,"MATCHS"))),FALSE),RIGHT(INDIRECT(ADDRESS(45,3,,,"MATCHS")), FIND("--",INDIRECT(ADDRESS(45,3,,,"MATCHS")),1)),INDIRECT(ADDRESS(45,3,,,"MATCHS"))),,IF(IFERROR(FIND("--",INDIRECT(ADDRESS(62,3,,,"MATCHS"))),FALSE),RIGHT(INDIRECT(ADDRESS(62,3,,,"MATCHS")), FIND("--",INDIRECT(ADDRESS(62,3,,,"MATCHS")),1)),INDIRECT(ADDRESS(62,3,,,"MATCHS"))),,IF(IFERROR(FIND("--",INDIRECT(ADDRESS(81,3,,,"MATCHS"))),FALSE),RIGHT(INDIRECT(ADDRESS(81,3,,,"MATCHS")), FIND("--",INDIRECT(ADDRESS(81,3,,,"MATCHS")),1)),INDIRECT(ADDRESS(81,3,,,"MATCHS"))),,IF(IFERROR(FIND("--",INDIRECT(ADDRESS(96,3,,,"MATCHS"))),FALSE),RIGHT(INDIRECT(ADDRESS(96,3,,,"MATCHS")), FIND("--",INDIRECT(ADDRESS(96,3,,,"MATCHS")),1)),INDIRECT(ADDRESS(96,3,,,"MATCHS"))),,IF(IFERROR(FIND("--",INDIRECT(ADDRESS(115,3,,,"MATCHS"))),FALSE),RIGHT(INDIRECT(ADDRESS(115,3,,,"MATCHS")), FIND("--",INDIRECT(ADDRESS(115,3,,,"MATCHS")),1)),INDIRECT(ADDRESS(115,3,,,"MATCHS"))),)</f>
        <v>0</v>
      </c>
      <c r="J21" s="105">
        <f ca="1">H21 - I21</f>
        <v>0</v>
      </c>
      <c r="K21" s="105">
        <v>0</v>
      </c>
      <c r="L21" s="105">
        <v>7</v>
      </c>
      <c r="M21" s="265">
        <v>7</v>
      </c>
      <c r="N21" s="100" t="str">
        <f>M21 &amp; "DM"</f>
        <v>7DM</v>
      </c>
    </row>
    <row r="22" spans="1:14" ht="15.75" x14ac:dyDescent="0.25">
      <c r="A22" s="251"/>
      <c r="B22" s="105">
        <v>8</v>
      </c>
      <c r="C22" s="105" t="s">
        <v>155</v>
      </c>
      <c r="D22" s="105" t="str">
        <f>INSCRITS!C18</f>
        <v>8B</v>
      </c>
      <c r="E22" s="111">
        <f ca="1">SUM(IF(INDIRECT(ADDRESS(9,5,,,"MATCHS"))&gt;INDIRECT(ADDRESS(9,3,,,"MATCHS")),1,0),,IF(INDIRECT(ADDRESS(27,5,,,"MATCHS"))&gt;INDIRECT(ADDRESS(27,3,,,"MATCHS")),1,0),,IF(INDIRECT(ADDRESS(44,5,,,"MATCHS"))&gt;INDIRECT(ADDRESS(44,3,,,"MATCHS")),1,0),,IF(INDIRECT(ADDRESS(63,5,,,"MATCHS"))&gt;INDIRECT(ADDRESS(63,3,,,"MATCHS")),1,0),,IF(INDIRECT(ADDRESS(80,5,,,"MATCHS"))&gt;INDIRECT(ADDRESS(80,3,,,"MATCHS")),1,0),,IF(INDIRECT(ADDRESS(97,5,,,"MATCHS"))&gt;INDIRECT(ADDRESS(97,3,,,"MATCHS")),1,0),,IF(INDIRECT(ADDRESS(114,5,,,"MATCHS"))&gt;INDIRECT(ADDRESS(114,3,,,"MATCHS")),1,0),) + 0.01 * K22</f>
        <v>0</v>
      </c>
      <c r="F22" s="105">
        <f ca="1">SUM(IF(INDIRECT(ADDRESS(9,5,,,"MATCHS"))&lt;INDIRECT(ADDRESS(9,3,,,"MATCHS")),1,0),,IF(INDIRECT(ADDRESS(27,5,,,"MATCHS"))&lt;INDIRECT(ADDRESS(27,3,,,"MATCHS")),1,0),,IF(INDIRECT(ADDRESS(44,5,,,"MATCHS"))&lt;INDIRECT(ADDRESS(44,3,,,"MATCHS")),1,0),,IF(INDIRECT(ADDRESS(63,5,,,"MATCHS"))&lt;INDIRECT(ADDRESS(63,3,,,"MATCHS")),1,0),,IF(INDIRECT(ADDRESS(80,5,,,"MATCHS"))&lt;INDIRECT(ADDRESS(80,3,,,"MATCHS")),1,0),,IF(INDIRECT(ADDRESS(97,5,,,"MATCHS"))&lt;INDIRECT(ADDRESS(97,3,,,"MATCHS")),1,0),,IF(INDIRECT(ADDRESS(114,5,,,"MATCHS"))&lt;INDIRECT(ADDRESS(114,3,,,"MATCHS")),1,0),)</f>
        <v>0</v>
      </c>
      <c r="G22" s="105">
        <f ca="1">SUM(IF(IFERROR(FIND("--",INDIRECT(ADDRESS(9,5,,,"MATCHS"))),FALSE),LEFT(INDIRECT(ADDRESS(9,5,,,"MATCHS")), FIND("--",INDIRECT(ADDRESS(9,5,,,"MATCHS")),1)-1),INDIRECT(ADDRESS(9,5,,,"MATCHS"))),,IF(IFERROR(FIND("--",INDIRECT(ADDRESS(27,5,,,"MATCHS"))),FALSE),LEFT(INDIRECT(ADDRESS(27,5,,,"MATCHS")), FIND("--",INDIRECT(ADDRESS(27,5,,,"MATCHS")),1)-1),INDIRECT(ADDRESS(27,5,,,"MATCHS"))),,IF(IFERROR(FIND("--",INDIRECT(ADDRESS(44,5,,,"MATCHS"))),FALSE),LEFT(INDIRECT(ADDRESS(44,5,,,"MATCHS")), FIND("--",INDIRECT(ADDRESS(44,5,,,"MATCHS")),1)-1),INDIRECT(ADDRESS(44,5,,,"MATCHS"))),,IF(IFERROR(FIND("--",INDIRECT(ADDRESS(63,5,,,"MATCHS"))),FALSE),LEFT(INDIRECT(ADDRESS(63,5,,,"MATCHS")), FIND("--",INDIRECT(ADDRESS(63,5,,,"MATCHS")),1)-1),INDIRECT(ADDRESS(63,5,,,"MATCHS"))),,IF(IFERROR(FIND("--",INDIRECT(ADDRESS(80,5,,,"MATCHS"))),FALSE),LEFT(INDIRECT(ADDRESS(80,5,,,"MATCHS")), FIND("--",INDIRECT(ADDRESS(80,5,,,"MATCHS")),1)-1),INDIRECT(ADDRESS(80,5,,,"MATCHS"))),,IF(IFERROR(FIND("--",INDIRECT(ADDRESS(97,5,,,"MATCHS"))),FALSE),LEFT(INDIRECT(ADDRESS(97,5,,,"MATCHS")), FIND("--",INDIRECT(ADDRESS(97,5,,,"MATCHS")),1)-1),INDIRECT(ADDRESS(97,5,,,"MATCHS"))),,IF(IFERROR(FIND("--",INDIRECT(ADDRESS(114,5,,,"MATCHS"))),FALSE),LEFT(INDIRECT(ADDRESS(114,5,,,"MATCHS")), FIND("--",INDIRECT(ADDRESS(114,5,,,"MATCHS")),1)-1),INDIRECT(ADDRESS(114,5,,,"MATCHS"))),)</f>
        <v>0</v>
      </c>
      <c r="H22" s="105">
        <f ca="1">SUM(IF(IFERROR(FIND("--",INDIRECT(ADDRESS(9,5,,,"MATCHS"))),FALSE),RIGHT(INDIRECT(ADDRESS(9,5,,,"MATCHS")), FIND("--",INDIRECT(ADDRESS(9,5,,,"MATCHS")),1)),INDIRECT(ADDRESS(9,5,,,"MATCHS"))),,IF(IFERROR(FIND("--",INDIRECT(ADDRESS(27,5,,,"MATCHS"))),FALSE),RIGHT(INDIRECT(ADDRESS(27,5,,,"MATCHS")), FIND("--",INDIRECT(ADDRESS(27,5,,,"MATCHS")),1)),INDIRECT(ADDRESS(27,5,,,"MATCHS"))),,IF(IFERROR(FIND("--",INDIRECT(ADDRESS(44,5,,,"MATCHS"))),FALSE),RIGHT(INDIRECT(ADDRESS(44,5,,,"MATCHS")), FIND("--",INDIRECT(ADDRESS(44,5,,,"MATCHS")),1)),INDIRECT(ADDRESS(44,5,,,"MATCHS"))),,IF(IFERROR(FIND("--",INDIRECT(ADDRESS(63,5,,,"MATCHS"))),FALSE),RIGHT(INDIRECT(ADDRESS(63,5,,,"MATCHS")), FIND("--",INDIRECT(ADDRESS(63,5,,,"MATCHS")),1)),INDIRECT(ADDRESS(63,5,,,"MATCHS"))),,IF(IFERROR(FIND("--",INDIRECT(ADDRESS(80,5,,,"MATCHS"))),FALSE),RIGHT(INDIRECT(ADDRESS(80,5,,,"MATCHS")), FIND("--",INDIRECT(ADDRESS(80,5,,,"MATCHS")),1)),INDIRECT(ADDRESS(80,5,,,"MATCHS"))),,IF(IFERROR(FIND("--",INDIRECT(ADDRESS(97,5,,,"MATCHS"))),FALSE),RIGHT(INDIRECT(ADDRESS(97,5,,,"MATCHS")), FIND("--",INDIRECT(ADDRESS(97,5,,,"MATCHS")),1)),INDIRECT(ADDRESS(97,5,,,"MATCHS"))),,IF(IFERROR(FIND("--",INDIRECT(ADDRESS(114,5,,,"MATCHS"))),FALSE),RIGHT(INDIRECT(ADDRESS(114,5,,,"MATCHS")), FIND("--",INDIRECT(ADDRESS(114,5,,,"MATCHS")),1)),INDIRECT(ADDRESS(114,5,,,"MATCHS"))),)</f>
        <v>0</v>
      </c>
      <c r="I22" s="105">
        <f ca="1">SUM(IF(IFERROR(FIND("--",INDIRECT(ADDRESS(9,3,,,"MATCHS"))),FALSE),RIGHT(INDIRECT(ADDRESS(9,3,,,"MATCHS")), FIND("--",INDIRECT(ADDRESS(9,3,,,"MATCHS")),1)),INDIRECT(ADDRESS(9,3,,,"MATCHS"))),,IF(IFERROR(FIND("--",INDIRECT(ADDRESS(27,3,,,"MATCHS"))),FALSE),RIGHT(INDIRECT(ADDRESS(27,3,,,"MATCHS")), FIND("--",INDIRECT(ADDRESS(27,3,,,"MATCHS")),1)),INDIRECT(ADDRESS(27,3,,,"MATCHS"))),,IF(IFERROR(FIND("--",INDIRECT(ADDRESS(44,3,,,"MATCHS"))),FALSE),RIGHT(INDIRECT(ADDRESS(44,3,,,"MATCHS")), FIND("--",INDIRECT(ADDRESS(44,3,,,"MATCHS")),1)),INDIRECT(ADDRESS(44,3,,,"MATCHS"))),,IF(IFERROR(FIND("--",INDIRECT(ADDRESS(63,3,,,"MATCHS"))),FALSE),RIGHT(INDIRECT(ADDRESS(63,3,,,"MATCHS")), FIND("--",INDIRECT(ADDRESS(63,3,,,"MATCHS")),1)),INDIRECT(ADDRESS(63,3,,,"MATCHS"))),,IF(IFERROR(FIND("--",INDIRECT(ADDRESS(80,3,,,"MATCHS"))),FALSE),RIGHT(INDIRECT(ADDRESS(80,3,,,"MATCHS")), FIND("--",INDIRECT(ADDRESS(80,3,,,"MATCHS")),1)),INDIRECT(ADDRESS(80,3,,,"MATCHS"))),,IF(IFERROR(FIND("--",INDIRECT(ADDRESS(97,3,,,"MATCHS"))),FALSE),RIGHT(INDIRECT(ADDRESS(97,3,,,"MATCHS")), FIND("--",INDIRECT(ADDRESS(97,3,,,"MATCHS")),1)),INDIRECT(ADDRESS(97,3,,,"MATCHS"))),,IF(IFERROR(FIND("--",INDIRECT(ADDRESS(114,3,,,"MATCHS"))),FALSE),RIGHT(INDIRECT(ADDRESS(114,3,,,"MATCHS")), FIND("--",INDIRECT(ADDRESS(114,3,,,"MATCHS")),1)),INDIRECT(ADDRESS(114,3,,,"MATCHS"))),)</f>
        <v>0</v>
      </c>
      <c r="J22" s="105">
        <f ca="1">H22 - I22</f>
        <v>0</v>
      </c>
      <c r="K22" s="105">
        <v>0</v>
      </c>
      <c r="L22" s="105">
        <v>8</v>
      </c>
      <c r="M22" s="265">
        <v>5</v>
      </c>
      <c r="N22" s="100" t="str">
        <f>M22 &amp; "DM"</f>
        <v>5DM</v>
      </c>
    </row>
    <row r="23" spans="1:14" ht="15.75" thickBot="1" x14ac:dyDescent="0.3"/>
    <row r="24" spans="1:14" ht="30.95" customHeight="1" thickBot="1" x14ac:dyDescent="0.3">
      <c r="C24" s="102" t="s">
        <v>196</v>
      </c>
      <c r="D24" s="102" t="s">
        <v>173</v>
      </c>
      <c r="E24" s="109" t="s">
        <v>197</v>
      </c>
      <c r="F24" s="102" t="s">
        <v>198</v>
      </c>
      <c r="G24" s="102" t="s">
        <v>199</v>
      </c>
      <c r="H24" s="102" t="s">
        <v>200</v>
      </c>
      <c r="I24" s="102" t="s">
        <v>201</v>
      </c>
      <c r="J24" s="102" t="s">
        <v>202</v>
      </c>
      <c r="K24" s="103" t="s">
        <v>203</v>
      </c>
      <c r="L24" s="102" t="s">
        <v>204</v>
      </c>
      <c r="M24" s="103" t="s">
        <v>205</v>
      </c>
    </row>
    <row r="26" spans="1:14" ht="15.75" x14ac:dyDescent="0.25">
      <c r="A26" s="252" t="s">
        <v>176</v>
      </c>
      <c r="B26" s="106">
        <v>1</v>
      </c>
      <c r="C26" s="106" t="s">
        <v>156</v>
      </c>
      <c r="D26" s="106" t="str">
        <f>INSCRITS!C20</f>
        <v>1C</v>
      </c>
      <c r="E26" s="112">
        <f ca="1">SUM(,IF(INDIRECT(ADDRESS(11,3,,,"MATCHS"))&gt;INDIRECT(ADDRESS(11,5,,,"MATCHS")),1,0),,IF(INDIRECT(ADDRESS(29,3,,,"MATCHS"))&gt;INDIRECT(ADDRESS(29,5,,,"MATCHS")),1,0),,IF(INDIRECT(ADDRESS(47,3,,,"MATCHS"))&gt;INDIRECT(ADDRESS(47,5,,,"MATCHS")),1,0),,IF(INDIRECT(ADDRESS(65,3,,,"MATCHS"))&gt;INDIRECT(ADDRESS(65,5,,,"MATCHS")),1,0),,IF(INDIRECT(ADDRESS(83,3,,,"MATCHS"))&gt;INDIRECT(ADDRESS(83,5,,,"MATCHS")),1,0),,IF(INDIRECT(ADDRESS(101,3,,,"MATCHS"))&gt;INDIRECT(ADDRESS(101,5,,,"MATCHS")),1,0),,IF(INDIRECT(ADDRESS(119,3,,,"MATCHS"))&gt;INDIRECT(ADDRESS(119,5,,,"MATCHS")),1,0)) + 0.01 * K26</f>
        <v>0</v>
      </c>
      <c r="F26" s="106">
        <f ca="1">SUM(,IF(INDIRECT(ADDRESS(11,3,,,"MATCHS"))&lt;INDIRECT(ADDRESS(11,5,,,"MATCHS")),1,0),,IF(INDIRECT(ADDRESS(29,3,,,"MATCHS"))&lt;INDIRECT(ADDRESS(29,5,,,"MATCHS")),1,0),,IF(INDIRECT(ADDRESS(47,3,,,"MATCHS"))&lt;INDIRECT(ADDRESS(47,5,,,"MATCHS")),1,0),,IF(INDIRECT(ADDRESS(65,3,,,"MATCHS"))&lt;INDIRECT(ADDRESS(65,5,,,"MATCHS")),1,0),,IF(INDIRECT(ADDRESS(83,3,,,"MATCHS"))&lt;INDIRECT(ADDRESS(83,5,,,"MATCHS")),1,0),,IF(INDIRECT(ADDRESS(101,3,,,"MATCHS"))&lt;INDIRECT(ADDRESS(101,5,,,"MATCHS")),1,0),,IF(INDIRECT(ADDRESS(119,3,,,"MATCHS"))&lt;INDIRECT(ADDRESS(119,5,,,"MATCHS")),1,0))</f>
        <v>0</v>
      </c>
      <c r="G26" s="106">
        <f ca="1">SUM(,IF(IFERROR(FIND("--",INDIRECT(ADDRESS(11,3,,,"MATCHS"))),FALSE),LEFT(INDIRECT(ADDRESS(11,3,,,"MATCHS")), FIND("--",INDIRECT(ADDRESS(11,3,,,"MATCHS")),1)-1),INDIRECT(ADDRESS(11,3,,,"MATCHS"))),,IF(IFERROR(FIND("--",INDIRECT(ADDRESS(29,3,,,"MATCHS"))),FALSE),LEFT(INDIRECT(ADDRESS(29,3,,,"MATCHS")), FIND("--",INDIRECT(ADDRESS(29,3,,,"MATCHS")),1)-1),INDIRECT(ADDRESS(29,3,,,"MATCHS"))),,IF(IFERROR(FIND("--",INDIRECT(ADDRESS(47,3,,,"MATCHS"))),FALSE),LEFT(INDIRECT(ADDRESS(47,3,,,"MATCHS")), FIND("--",INDIRECT(ADDRESS(47,3,,,"MATCHS")),1)-1),INDIRECT(ADDRESS(47,3,,,"MATCHS"))),,IF(IFERROR(FIND("--",INDIRECT(ADDRESS(65,3,,,"MATCHS"))),FALSE),LEFT(INDIRECT(ADDRESS(65,3,,,"MATCHS")), FIND("--",INDIRECT(ADDRESS(65,3,,,"MATCHS")),1)-1),INDIRECT(ADDRESS(65,3,,,"MATCHS"))),,IF(IFERROR(FIND("--",INDIRECT(ADDRESS(83,3,,,"MATCHS"))),FALSE),LEFT(INDIRECT(ADDRESS(83,3,,,"MATCHS")), FIND("--",INDIRECT(ADDRESS(83,3,,,"MATCHS")),1)-1),INDIRECT(ADDRESS(83,3,,,"MATCHS"))),,IF(IFERROR(FIND("--",INDIRECT(ADDRESS(101,3,,,"MATCHS"))),FALSE),LEFT(INDIRECT(ADDRESS(101,3,,,"MATCHS")), FIND("--",INDIRECT(ADDRESS(101,3,,,"MATCHS")),1)-1),INDIRECT(ADDRESS(101,3,,,"MATCHS"))),,IF(IFERROR(FIND("--",INDIRECT(ADDRESS(119,3,,,"MATCHS"))),FALSE),LEFT(INDIRECT(ADDRESS(119,3,,,"MATCHS")), FIND("--",INDIRECT(ADDRESS(119,3,,,"MATCHS")),1)-1),INDIRECT(ADDRESS(119,3,,,"MATCHS"))))</f>
        <v>0</v>
      </c>
      <c r="H26" s="106">
        <f ca="1">SUM(,IF(IFERROR(FIND("--",INDIRECT(ADDRESS(11,3,,,"MATCHS"))),FALSE),RIGHT(INDIRECT(ADDRESS(11,3,,,"MATCHS")), FIND("--",INDIRECT(ADDRESS(11,3,,,"MATCHS")),1)),INDIRECT(ADDRESS(11,3,,,"MATCHS"))),,IF(IFERROR(FIND("--",INDIRECT(ADDRESS(29,3,,,"MATCHS"))),FALSE),RIGHT(INDIRECT(ADDRESS(29,3,,,"MATCHS")), FIND("--",INDIRECT(ADDRESS(29,3,,,"MATCHS")),1)),INDIRECT(ADDRESS(29,3,,,"MATCHS"))),,IF(IFERROR(FIND("--",INDIRECT(ADDRESS(47,3,,,"MATCHS"))),FALSE),RIGHT(INDIRECT(ADDRESS(47,3,,,"MATCHS")), FIND("--",INDIRECT(ADDRESS(47,3,,,"MATCHS")),1)),INDIRECT(ADDRESS(47,3,,,"MATCHS"))),,IF(IFERROR(FIND("--",INDIRECT(ADDRESS(65,3,,,"MATCHS"))),FALSE),RIGHT(INDIRECT(ADDRESS(65,3,,,"MATCHS")), FIND("--",INDIRECT(ADDRESS(65,3,,,"MATCHS")),1)),INDIRECT(ADDRESS(65,3,,,"MATCHS"))),,IF(IFERROR(FIND("--",INDIRECT(ADDRESS(83,3,,,"MATCHS"))),FALSE),RIGHT(INDIRECT(ADDRESS(83,3,,,"MATCHS")), FIND("--",INDIRECT(ADDRESS(83,3,,,"MATCHS")),1)),INDIRECT(ADDRESS(83,3,,,"MATCHS"))),,IF(IFERROR(FIND("--",INDIRECT(ADDRESS(101,3,,,"MATCHS"))),FALSE),RIGHT(INDIRECT(ADDRESS(101,3,,,"MATCHS")), FIND("--",INDIRECT(ADDRESS(101,3,,,"MATCHS")),1)),INDIRECT(ADDRESS(101,3,,,"MATCHS"))),,IF(IFERROR(FIND("--",INDIRECT(ADDRESS(119,3,,,"MATCHS"))),FALSE),RIGHT(INDIRECT(ADDRESS(119,3,,,"MATCHS")), FIND("--",INDIRECT(ADDRESS(119,3,,,"MATCHS")),1)),INDIRECT(ADDRESS(119,3,,,"MATCHS"))))</f>
        <v>0</v>
      </c>
      <c r="I26" s="106">
        <f ca="1">SUM(,IF(IFERROR(FIND("--",INDIRECT(ADDRESS(11,5,,,"MATCHS"))),FALSE),RIGHT(INDIRECT(ADDRESS(11,5,,,"MATCHS")), FIND("--",INDIRECT(ADDRESS(11,5,,,"MATCHS")),1)),INDIRECT(ADDRESS(11,5,,,"MATCHS"))),,IF(IFERROR(FIND("--",INDIRECT(ADDRESS(29,5,,,"MATCHS"))),FALSE),RIGHT(INDIRECT(ADDRESS(29,5,,,"MATCHS")), FIND("--",INDIRECT(ADDRESS(29,5,,,"MATCHS")),1)),INDIRECT(ADDRESS(29,5,,,"MATCHS"))),,IF(IFERROR(FIND("--",INDIRECT(ADDRESS(47,5,,,"MATCHS"))),FALSE),RIGHT(INDIRECT(ADDRESS(47,5,,,"MATCHS")), FIND("--",INDIRECT(ADDRESS(47,5,,,"MATCHS")),1)),INDIRECT(ADDRESS(47,5,,,"MATCHS"))),,IF(IFERROR(FIND("--",INDIRECT(ADDRESS(65,5,,,"MATCHS"))),FALSE),RIGHT(INDIRECT(ADDRESS(65,5,,,"MATCHS")), FIND("--",INDIRECT(ADDRESS(65,5,,,"MATCHS")),1)),INDIRECT(ADDRESS(65,5,,,"MATCHS"))),,IF(IFERROR(FIND("--",INDIRECT(ADDRESS(83,5,,,"MATCHS"))),FALSE),RIGHT(INDIRECT(ADDRESS(83,5,,,"MATCHS")), FIND("--",INDIRECT(ADDRESS(83,5,,,"MATCHS")),1)),INDIRECT(ADDRESS(83,5,,,"MATCHS"))),,IF(IFERROR(FIND("--",INDIRECT(ADDRESS(101,5,,,"MATCHS"))),FALSE),RIGHT(INDIRECT(ADDRESS(101,5,,,"MATCHS")), FIND("--",INDIRECT(ADDRESS(101,5,,,"MATCHS")),1)),INDIRECT(ADDRESS(101,5,,,"MATCHS"))),,IF(IFERROR(FIND("--",INDIRECT(ADDRESS(119,5,,,"MATCHS"))),FALSE),RIGHT(INDIRECT(ADDRESS(119,5,,,"MATCHS")), FIND("--",INDIRECT(ADDRESS(119,5,,,"MATCHS")),1)),INDIRECT(ADDRESS(119,5,,,"MATCHS"))))</f>
        <v>0</v>
      </c>
      <c r="J26" s="106">
        <f ca="1">H26 - I26</f>
        <v>0</v>
      </c>
      <c r="K26" s="106">
        <v>0</v>
      </c>
      <c r="L26" s="106">
        <v>1</v>
      </c>
      <c r="M26" s="264">
        <v>1</v>
      </c>
      <c r="N26" s="100" t="str">
        <f>M26 &amp; "DH"</f>
        <v>1DH</v>
      </c>
    </row>
    <row r="27" spans="1:14" ht="15.75" x14ac:dyDescent="0.25">
      <c r="A27" s="252"/>
      <c r="B27" s="106">
        <v>2</v>
      </c>
      <c r="C27" s="106" t="s">
        <v>157</v>
      </c>
      <c r="D27" s="106" t="str">
        <f>INSCRITS!C21</f>
        <v>2C</v>
      </c>
      <c r="E27" s="112">
        <f ca="1">SUM(,IF(INDIRECT(ADDRESS(11,5,,,"MATCHS"))&gt;INDIRECT(ADDRESS(11,3,,,"MATCHS")),1,0),,IF(INDIRECT(ADDRESS(30,3,,,"MATCHS"))&gt;INDIRECT(ADDRESS(30,5,,,"MATCHS")),1,0),,IF(INDIRECT(ADDRESS(48,3,,,"MATCHS"))&gt;INDIRECT(ADDRESS(48,5,,,"MATCHS")),1,0),,IF(INDIRECT(ADDRESS(66,3,,,"MATCHS"))&gt;INDIRECT(ADDRESS(66,5,,,"MATCHS")),1,0),,IF(INDIRECT(ADDRESS(84,3,,,"MATCHS"))&gt;INDIRECT(ADDRESS(84,5,,,"MATCHS")),1,0),,IF(INDIRECT(ADDRESS(102,3,,,"MATCHS"))&gt;INDIRECT(ADDRESS(102,5,,,"MATCHS")),1,0),,IF(INDIRECT(ADDRESS(120,3,,,"MATCHS"))&gt;INDIRECT(ADDRESS(120,5,,,"MATCHS")),1,0)) + 0.01 * K27</f>
        <v>0</v>
      </c>
      <c r="F27" s="106">
        <f ca="1">SUM(,IF(INDIRECT(ADDRESS(11,5,,,"MATCHS"))&lt;INDIRECT(ADDRESS(11,3,,,"MATCHS")),1,0),,IF(INDIRECT(ADDRESS(30,3,,,"MATCHS"))&lt;INDIRECT(ADDRESS(30,5,,,"MATCHS")),1,0),,IF(INDIRECT(ADDRESS(48,3,,,"MATCHS"))&lt;INDIRECT(ADDRESS(48,5,,,"MATCHS")),1,0),,IF(INDIRECT(ADDRESS(66,3,,,"MATCHS"))&lt;INDIRECT(ADDRESS(66,5,,,"MATCHS")),1,0),,IF(INDIRECT(ADDRESS(84,3,,,"MATCHS"))&lt;INDIRECT(ADDRESS(84,5,,,"MATCHS")),1,0),,IF(INDIRECT(ADDRESS(102,3,,,"MATCHS"))&lt;INDIRECT(ADDRESS(102,5,,,"MATCHS")),1,0),,IF(INDIRECT(ADDRESS(120,3,,,"MATCHS"))&lt;INDIRECT(ADDRESS(120,5,,,"MATCHS")),1,0))</f>
        <v>0</v>
      </c>
      <c r="G27" s="106">
        <f ca="1">SUM(,IF(IFERROR(FIND("--",INDIRECT(ADDRESS(11,5,,,"MATCHS"))),FALSE),LEFT(INDIRECT(ADDRESS(11,5,,,"MATCHS")), FIND("--",INDIRECT(ADDRESS(11,5,,,"MATCHS")),1)-1),INDIRECT(ADDRESS(11,5,,,"MATCHS"))),,IF(IFERROR(FIND("--",INDIRECT(ADDRESS(30,3,,,"MATCHS"))),FALSE),LEFT(INDIRECT(ADDRESS(30,3,,,"MATCHS")), FIND("--",INDIRECT(ADDRESS(30,3,,,"MATCHS")),1)-1),INDIRECT(ADDRESS(30,3,,,"MATCHS"))),,IF(IFERROR(FIND("--",INDIRECT(ADDRESS(48,3,,,"MATCHS"))),FALSE),LEFT(INDIRECT(ADDRESS(48,3,,,"MATCHS")), FIND("--",INDIRECT(ADDRESS(48,3,,,"MATCHS")),1)-1),INDIRECT(ADDRESS(48,3,,,"MATCHS"))),,IF(IFERROR(FIND("--",INDIRECT(ADDRESS(66,3,,,"MATCHS"))),FALSE),LEFT(INDIRECT(ADDRESS(66,3,,,"MATCHS")), FIND("--",INDIRECT(ADDRESS(66,3,,,"MATCHS")),1)-1),INDIRECT(ADDRESS(66,3,,,"MATCHS"))),,IF(IFERROR(FIND("--",INDIRECT(ADDRESS(84,3,,,"MATCHS"))),FALSE),LEFT(INDIRECT(ADDRESS(84,3,,,"MATCHS")), FIND("--",INDIRECT(ADDRESS(84,3,,,"MATCHS")),1)-1),INDIRECT(ADDRESS(84,3,,,"MATCHS"))),,IF(IFERROR(FIND("--",INDIRECT(ADDRESS(102,3,,,"MATCHS"))),FALSE),LEFT(INDIRECT(ADDRESS(102,3,,,"MATCHS")), FIND("--",INDIRECT(ADDRESS(102,3,,,"MATCHS")),1)-1),INDIRECT(ADDRESS(102,3,,,"MATCHS"))),,IF(IFERROR(FIND("--",INDIRECT(ADDRESS(120,3,,,"MATCHS"))),FALSE),LEFT(INDIRECT(ADDRESS(120,3,,,"MATCHS")), FIND("--",INDIRECT(ADDRESS(120,3,,,"MATCHS")),1)-1),INDIRECT(ADDRESS(120,3,,,"MATCHS"))))</f>
        <v>0</v>
      </c>
      <c r="H27" s="106">
        <f ca="1">SUM(,IF(IFERROR(FIND("--",INDIRECT(ADDRESS(11,5,,,"MATCHS"))),FALSE),RIGHT(INDIRECT(ADDRESS(11,5,,,"MATCHS")), FIND("--",INDIRECT(ADDRESS(11,5,,,"MATCHS")),1)),INDIRECT(ADDRESS(11,5,,,"MATCHS"))),,IF(IFERROR(FIND("--",INDIRECT(ADDRESS(30,3,,,"MATCHS"))),FALSE),RIGHT(INDIRECT(ADDRESS(30,3,,,"MATCHS")), FIND("--",INDIRECT(ADDRESS(30,3,,,"MATCHS")),1)),INDIRECT(ADDRESS(30,3,,,"MATCHS"))),,IF(IFERROR(FIND("--",INDIRECT(ADDRESS(48,3,,,"MATCHS"))),FALSE),RIGHT(INDIRECT(ADDRESS(48,3,,,"MATCHS")), FIND("--",INDIRECT(ADDRESS(48,3,,,"MATCHS")),1)),INDIRECT(ADDRESS(48,3,,,"MATCHS"))),,IF(IFERROR(FIND("--",INDIRECT(ADDRESS(66,3,,,"MATCHS"))),FALSE),RIGHT(INDIRECT(ADDRESS(66,3,,,"MATCHS")), FIND("--",INDIRECT(ADDRESS(66,3,,,"MATCHS")),1)),INDIRECT(ADDRESS(66,3,,,"MATCHS"))),,IF(IFERROR(FIND("--",INDIRECT(ADDRESS(84,3,,,"MATCHS"))),FALSE),RIGHT(INDIRECT(ADDRESS(84,3,,,"MATCHS")), FIND("--",INDIRECT(ADDRESS(84,3,,,"MATCHS")),1)),INDIRECT(ADDRESS(84,3,,,"MATCHS"))),,IF(IFERROR(FIND("--",INDIRECT(ADDRESS(102,3,,,"MATCHS"))),FALSE),RIGHT(INDIRECT(ADDRESS(102,3,,,"MATCHS")), FIND("--",INDIRECT(ADDRESS(102,3,,,"MATCHS")),1)),INDIRECT(ADDRESS(102,3,,,"MATCHS"))),,IF(IFERROR(FIND("--",INDIRECT(ADDRESS(120,3,,,"MATCHS"))),FALSE),RIGHT(INDIRECT(ADDRESS(120,3,,,"MATCHS")), FIND("--",INDIRECT(ADDRESS(120,3,,,"MATCHS")),1)),INDIRECT(ADDRESS(120,3,,,"MATCHS"))))</f>
        <v>0</v>
      </c>
      <c r="I27" s="106">
        <f ca="1">SUM(,IF(IFERROR(FIND("--",INDIRECT(ADDRESS(11,3,,,"MATCHS"))),FALSE),RIGHT(INDIRECT(ADDRESS(11,3,,,"MATCHS")), FIND("--",INDIRECT(ADDRESS(11,3,,,"MATCHS")),1)),INDIRECT(ADDRESS(11,3,,,"MATCHS"))),,IF(IFERROR(FIND("--",INDIRECT(ADDRESS(30,5,,,"MATCHS"))),FALSE),RIGHT(INDIRECT(ADDRESS(30,5,,,"MATCHS")), FIND("--",INDIRECT(ADDRESS(30,5,,,"MATCHS")),1)),INDIRECT(ADDRESS(30,5,,,"MATCHS"))),,IF(IFERROR(FIND("--",INDIRECT(ADDRESS(48,5,,,"MATCHS"))),FALSE),RIGHT(INDIRECT(ADDRESS(48,5,,,"MATCHS")), FIND("--",INDIRECT(ADDRESS(48,5,,,"MATCHS")),1)),INDIRECT(ADDRESS(48,5,,,"MATCHS"))),,IF(IFERROR(FIND("--",INDIRECT(ADDRESS(66,5,,,"MATCHS"))),FALSE),RIGHT(INDIRECT(ADDRESS(66,5,,,"MATCHS")), FIND("--",INDIRECT(ADDRESS(66,5,,,"MATCHS")),1)),INDIRECT(ADDRESS(66,5,,,"MATCHS"))),,IF(IFERROR(FIND("--",INDIRECT(ADDRESS(84,5,,,"MATCHS"))),FALSE),RIGHT(INDIRECT(ADDRESS(84,5,,,"MATCHS")), FIND("--",INDIRECT(ADDRESS(84,5,,,"MATCHS")),1)),INDIRECT(ADDRESS(84,5,,,"MATCHS"))),,IF(IFERROR(FIND("--",INDIRECT(ADDRESS(102,5,,,"MATCHS"))),FALSE),RIGHT(INDIRECT(ADDRESS(102,5,,,"MATCHS")), FIND("--",INDIRECT(ADDRESS(102,5,,,"MATCHS")),1)),INDIRECT(ADDRESS(102,5,,,"MATCHS"))),,IF(IFERROR(FIND("--",INDIRECT(ADDRESS(120,5,,,"MATCHS"))),FALSE),RIGHT(INDIRECT(ADDRESS(120,5,,,"MATCHS")), FIND("--",INDIRECT(ADDRESS(120,5,,,"MATCHS")),1)),INDIRECT(ADDRESS(120,5,,,"MATCHS"))))</f>
        <v>0</v>
      </c>
      <c r="J27" s="106">
        <f ca="1">H27 - I27</f>
        <v>0</v>
      </c>
      <c r="K27" s="106">
        <v>0</v>
      </c>
      <c r="L27" s="106">
        <v>2</v>
      </c>
      <c r="M27" s="265">
        <v>3</v>
      </c>
      <c r="N27" s="100" t="str">
        <f>M27 &amp; "DH"</f>
        <v>3DH</v>
      </c>
    </row>
    <row r="28" spans="1:14" ht="15.75" x14ac:dyDescent="0.25">
      <c r="A28" s="252"/>
      <c r="B28" s="106">
        <v>3</v>
      </c>
      <c r="C28" s="106" t="s">
        <v>158</v>
      </c>
      <c r="D28" s="106" t="str">
        <f>INSCRITS!C22</f>
        <v>3C</v>
      </c>
      <c r="E28" s="112">
        <f ca="1">SUM(,IF(INDIRECT(ADDRESS(12,3,,,"MATCHS"))&gt;INDIRECT(ADDRESS(12,5,,,"MATCHS")),1,0),,IF(INDIRECT(ADDRESS(29,5,,,"MATCHS"))&gt;INDIRECT(ADDRESS(29,3,,,"MATCHS")),1,0),,IF(INDIRECT(ADDRESS(48,5,,,"MATCHS"))&gt;INDIRECT(ADDRESS(48,3,,,"MATCHS")),1,0),,IF(INDIRECT(ADDRESS(67,3,,,"MATCHS"))&gt;INDIRECT(ADDRESS(67,5,,,"MATCHS")),1,0),,IF(INDIRECT(ADDRESS(85,3,,,"MATCHS"))&gt;INDIRECT(ADDRESS(85,5,,,"MATCHS")),1,0),,IF(INDIRECT(ADDRESS(103,3,,,"MATCHS"))&gt;INDIRECT(ADDRESS(103,5,,,"MATCHS")),1,0),,IF(INDIRECT(ADDRESS(121,3,,,"MATCHS"))&gt;INDIRECT(ADDRESS(121,5,,,"MATCHS")),1,0)) + 0.01 * K28</f>
        <v>0</v>
      </c>
      <c r="F28" s="106">
        <f ca="1">SUM(,IF(INDIRECT(ADDRESS(12,3,,,"MATCHS"))&lt;INDIRECT(ADDRESS(12,5,,,"MATCHS")),1,0),,IF(INDIRECT(ADDRESS(29,5,,,"MATCHS"))&lt;INDIRECT(ADDRESS(29,3,,,"MATCHS")),1,0),,IF(INDIRECT(ADDRESS(48,5,,,"MATCHS"))&lt;INDIRECT(ADDRESS(48,3,,,"MATCHS")),1,0),,IF(INDIRECT(ADDRESS(67,3,,,"MATCHS"))&lt;INDIRECT(ADDRESS(67,5,,,"MATCHS")),1,0),,IF(INDIRECT(ADDRESS(85,3,,,"MATCHS"))&lt;INDIRECT(ADDRESS(85,5,,,"MATCHS")),1,0),,IF(INDIRECT(ADDRESS(103,3,,,"MATCHS"))&lt;INDIRECT(ADDRESS(103,5,,,"MATCHS")),1,0),,IF(INDIRECT(ADDRESS(121,3,,,"MATCHS"))&lt;INDIRECT(ADDRESS(121,5,,,"MATCHS")),1,0))</f>
        <v>0</v>
      </c>
      <c r="G28" s="106">
        <f ca="1">SUM(,IF(IFERROR(FIND("--",INDIRECT(ADDRESS(12,3,,,"MATCHS"))),FALSE),LEFT(INDIRECT(ADDRESS(12,3,,,"MATCHS")), FIND("--",INDIRECT(ADDRESS(12,3,,,"MATCHS")),1)-1),INDIRECT(ADDRESS(12,3,,,"MATCHS"))),,IF(IFERROR(FIND("--",INDIRECT(ADDRESS(29,5,,,"MATCHS"))),FALSE),LEFT(INDIRECT(ADDRESS(29,5,,,"MATCHS")), FIND("--",INDIRECT(ADDRESS(29,5,,,"MATCHS")),1)-1),INDIRECT(ADDRESS(29,5,,,"MATCHS"))),,IF(IFERROR(FIND("--",INDIRECT(ADDRESS(48,5,,,"MATCHS"))),FALSE),LEFT(INDIRECT(ADDRESS(48,5,,,"MATCHS")), FIND("--",INDIRECT(ADDRESS(48,5,,,"MATCHS")),1)-1),INDIRECT(ADDRESS(48,5,,,"MATCHS"))),,IF(IFERROR(FIND("--",INDIRECT(ADDRESS(67,3,,,"MATCHS"))),FALSE),LEFT(INDIRECT(ADDRESS(67,3,,,"MATCHS")), FIND("--",INDIRECT(ADDRESS(67,3,,,"MATCHS")),1)-1),INDIRECT(ADDRESS(67,3,,,"MATCHS"))),,IF(IFERROR(FIND("--",INDIRECT(ADDRESS(85,3,,,"MATCHS"))),FALSE),LEFT(INDIRECT(ADDRESS(85,3,,,"MATCHS")), FIND("--",INDIRECT(ADDRESS(85,3,,,"MATCHS")),1)-1),INDIRECT(ADDRESS(85,3,,,"MATCHS"))),,IF(IFERROR(FIND("--",INDIRECT(ADDRESS(103,3,,,"MATCHS"))),FALSE),LEFT(INDIRECT(ADDRESS(103,3,,,"MATCHS")), FIND("--",INDIRECT(ADDRESS(103,3,,,"MATCHS")),1)-1),INDIRECT(ADDRESS(103,3,,,"MATCHS"))),,IF(IFERROR(FIND("--",INDIRECT(ADDRESS(121,3,,,"MATCHS"))),FALSE),LEFT(INDIRECT(ADDRESS(121,3,,,"MATCHS")), FIND("--",INDIRECT(ADDRESS(121,3,,,"MATCHS")),1)-1),INDIRECT(ADDRESS(121,3,,,"MATCHS"))))</f>
        <v>0</v>
      </c>
      <c r="H28" s="106">
        <f ca="1">SUM(,IF(IFERROR(FIND("--",INDIRECT(ADDRESS(12,3,,,"MATCHS"))),FALSE),RIGHT(INDIRECT(ADDRESS(12,3,,,"MATCHS")), FIND("--",INDIRECT(ADDRESS(12,3,,,"MATCHS")),1)),INDIRECT(ADDRESS(12,3,,,"MATCHS"))),,IF(IFERROR(FIND("--",INDIRECT(ADDRESS(29,5,,,"MATCHS"))),FALSE),RIGHT(INDIRECT(ADDRESS(29,5,,,"MATCHS")), FIND("--",INDIRECT(ADDRESS(29,5,,,"MATCHS")),1)),INDIRECT(ADDRESS(29,5,,,"MATCHS"))),,IF(IFERROR(FIND("--",INDIRECT(ADDRESS(48,5,,,"MATCHS"))),FALSE),RIGHT(INDIRECT(ADDRESS(48,5,,,"MATCHS")), FIND("--",INDIRECT(ADDRESS(48,5,,,"MATCHS")),1)),INDIRECT(ADDRESS(48,5,,,"MATCHS"))),,IF(IFERROR(FIND("--",INDIRECT(ADDRESS(67,3,,,"MATCHS"))),FALSE),RIGHT(INDIRECT(ADDRESS(67,3,,,"MATCHS")), FIND("--",INDIRECT(ADDRESS(67,3,,,"MATCHS")),1)),INDIRECT(ADDRESS(67,3,,,"MATCHS"))),,IF(IFERROR(FIND("--",INDIRECT(ADDRESS(85,3,,,"MATCHS"))),FALSE),RIGHT(INDIRECT(ADDRESS(85,3,,,"MATCHS")), FIND("--",INDIRECT(ADDRESS(85,3,,,"MATCHS")),1)),INDIRECT(ADDRESS(85,3,,,"MATCHS"))),,IF(IFERROR(FIND("--",INDIRECT(ADDRESS(103,3,,,"MATCHS"))),FALSE),RIGHT(INDIRECT(ADDRESS(103,3,,,"MATCHS")), FIND("--",INDIRECT(ADDRESS(103,3,,,"MATCHS")),1)),INDIRECT(ADDRESS(103,3,,,"MATCHS"))),,IF(IFERROR(FIND("--",INDIRECT(ADDRESS(121,3,,,"MATCHS"))),FALSE),RIGHT(INDIRECT(ADDRESS(121,3,,,"MATCHS")), FIND("--",INDIRECT(ADDRESS(121,3,,,"MATCHS")),1)),INDIRECT(ADDRESS(121,3,,,"MATCHS"))))</f>
        <v>0</v>
      </c>
      <c r="I28" s="106">
        <f ca="1">SUM(,IF(IFERROR(FIND("--",INDIRECT(ADDRESS(12,5,,,"MATCHS"))),FALSE),RIGHT(INDIRECT(ADDRESS(12,5,,,"MATCHS")), FIND("--",INDIRECT(ADDRESS(12,5,,,"MATCHS")),1)),INDIRECT(ADDRESS(12,5,,,"MATCHS"))),,IF(IFERROR(FIND("--",INDIRECT(ADDRESS(29,3,,,"MATCHS"))),FALSE),RIGHT(INDIRECT(ADDRESS(29,3,,,"MATCHS")), FIND("--",INDIRECT(ADDRESS(29,3,,,"MATCHS")),1)),INDIRECT(ADDRESS(29,3,,,"MATCHS"))),,IF(IFERROR(FIND("--",INDIRECT(ADDRESS(48,3,,,"MATCHS"))),FALSE),RIGHT(INDIRECT(ADDRESS(48,3,,,"MATCHS")), FIND("--",INDIRECT(ADDRESS(48,3,,,"MATCHS")),1)),INDIRECT(ADDRESS(48,3,,,"MATCHS"))),,IF(IFERROR(FIND("--",INDIRECT(ADDRESS(67,5,,,"MATCHS"))),FALSE),RIGHT(INDIRECT(ADDRESS(67,5,,,"MATCHS")), FIND("--",INDIRECT(ADDRESS(67,5,,,"MATCHS")),1)),INDIRECT(ADDRESS(67,5,,,"MATCHS"))),,IF(IFERROR(FIND("--",INDIRECT(ADDRESS(85,5,,,"MATCHS"))),FALSE),RIGHT(INDIRECT(ADDRESS(85,5,,,"MATCHS")), FIND("--",INDIRECT(ADDRESS(85,5,,,"MATCHS")),1)),INDIRECT(ADDRESS(85,5,,,"MATCHS"))),,IF(IFERROR(FIND("--",INDIRECT(ADDRESS(103,5,,,"MATCHS"))),FALSE),RIGHT(INDIRECT(ADDRESS(103,5,,,"MATCHS")), FIND("--",INDIRECT(ADDRESS(103,5,,,"MATCHS")),1)),INDIRECT(ADDRESS(103,5,,,"MATCHS"))),,IF(IFERROR(FIND("--",INDIRECT(ADDRESS(121,5,,,"MATCHS"))),FALSE),RIGHT(INDIRECT(ADDRESS(121,5,,,"MATCHS")), FIND("--",INDIRECT(ADDRESS(121,5,,,"MATCHS")),1)),INDIRECT(ADDRESS(121,5,,,"MATCHS"))))</f>
        <v>0</v>
      </c>
      <c r="J28" s="106">
        <f ca="1">H28 - I28</f>
        <v>0</v>
      </c>
      <c r="K28" s="106">
        <v>0</v>
      </c>
      <c r="L28" s="106">
        <v>3</v>
      </c>
      <c r="M28" s="265">
        <v>2</v>
      </c>
      <c r="N28" s="100" t="str">
        <f>M28 &amp; "DH"</f>
        <v>2DH</v>
      </c>
    </row>
    <row r="29" spans="1:14" ht="15.75" x14ac:dyDescent="0.25">
      <c r="A29" s="252"/>
      <c r="B29" s="106">
        <v>4</v>
      </c>
      <c r="C29" s="106" t="s">
        <v>159</v>
      </c>
      <c r="D29" s="106" t="str">
        <f>INSCRITS!C23</f>
        <v>4C</v>
      </c>
      <c r="E29" s="112">
        <f ca="1">SUM(,IF(INDIRECT(ADDRESS(12,5,,,"MATCHS"))&gt;INDIRECT(ADDRESS(12,3,,,"MATCHS")),1,0),,IF(INDIRECT(ADDRESS(30,5,,,"MATCHS"))&gt;INDIRECT(ADDRESS(30,3,,,"MATCHS")),1,0),,IF(INDIRECT(ADDRESS(47,5,,,"MATCHS"))&gt;INDIRECT(ADDRESS(47,3,,,"MATCHS")),1,0),,IF(INDIRECT(ADDRESS(68,3,,,"MATCHS"))&gt;INDIRECT(ADDRESS(68,5,,,"MATCHS")),1,0),,IF(INDIRECT(ADDRESS(86,3,,,"MATCHS"))&gt;INDIRECT(ADDRESS(86,5,,,"MATCHS")),1,0),,IF(INDIRECT(ADDRESS(104,3,,,"MATCHS"))&gt;INDIRECT(ADDRESS(104,5,,,"MATCHS")),1,0),,IF(INDIRECT(ADDRESS(122,3,,,"MATCHS"))&gt;INDIRECT(ADDRESS(122,5,,,"MATCHS")),1,0)) + 0.01 * K29</f>
        <v>0</v>
      </c>
      <c r="F29" s="106">
        <f ca="1">SUM(,IF(INDIRECT(ADDRESS(12,5,,,"MATCHS"))&lt;INDIRECT(ADDRESS(12,3,,,"MATCHS")),1,0),,IF(INDIRECT(ADDRESS(30,5,,,"MATCHS"))&lt;INDIRECT(ADDRESS(30,3,,,"MATCHS")),1,0),,IF(INDIRECT(ADDRESS(47,5,,,"MATCHS"))&lt;INDIRECT(ADDRESS(47,3,,,"MATCHS")),1,0),,IF(INDIRECT(ADDRESS(68,3,,,"MATCHS"))&lt;INDIRECT(ADDRESS(68,5,,,"MATCHS")),1,0),,IF(INDIRECT(ADDRESS(86,3,,,"MATCHS"))&lt;INDIRECT(ADDRESS(86,5,,,"MATCHS")),1,0),,IF(INDIRECT(ADDRESS(104,3,,,"MATCHS"))&lt;INDIRECT(ADDRESS(104,5,,,"MATCHS")),1,0),,IF(INDIRECT(ADDRESS(122,3,,,"MATCHS"))&lt;INDIRECT(ADDRESS(122,5,,,"MATCHS")),1,0))</f>
        <v>0</v>
      </c>
      <c r="G29" s="106">
        <f ca="1">SUM(,IF(IFERROR(FIND("--",INDIRECT(ADDRESS(12,5,,,"MATCHS"))),FALSE),LEFT(INDIRECT(ADDRESS(12,5,,,"MATCHS")), FIND("--",INDIRECT(ADDRESS(12,5,,,"MATCHS")),1)-1),INDIRECT(ADDRESS(12,5,,,"MATCHS"))),,IF(IFERROR(FIND("--",INDIRECT(ADDRESS(30,5,,,"MATCHS"))),FALSE),LEFT(INDIRECT(ADDRESS(30,5,,,"MATCHS")), FIND("--",INDIRECT(ADDRESS(30,5,,,"MATCHS")),1)-1),INDIRECT(ADDRESS(30,5,,,"MATCHS"))),,IF(IFERROR(FIND("--",INDIRECT(ADDRESS(47,5,,,"MATCHS"))),FALSE),LEFT(INDIRECT(ADDRESS(47,5,,,"MATCHS")), FIND("--",INDIRECT(ADDRESS(47,5,,,"MATCHS")),1)-1),INDIRECT(ADDRESS(47,5,,,"MATCHS"))),,IF(IFERROR(FIND("--",INDIRECT(ADDRESS(68,3,,,"MATCHS"))),FALSE),LEFT(INDIRECT(ADDRESS(68,3,,,"MATCHS")), FIND("--",INDIRECT(ADDRESS(68,3,,,"MATCHS")),1)-1),INDIRECT(ADDRESS(68,3,,,"MATCHS"))),,IF(IFERROR(FIND("--",INDIRECT(ADDRESS(86,3,,,"MATCHS"))),FALSE),LEFT(INDIRECT(ADDRESS(86,3,,,"MATCHS")), FIND("--",INDIRECT(ADDRESS(86,3,,,"MATCHS")),1)-1),INDIRECT(ADDRESS(86,3,,,"MATCHS"))),,IF(IFERROR(FIND("--",INDIRECT(ADDRESS(104,3,,,"MATCHS"))),FALSE),LEFT(INDIRECT(ADDRESS(104,3,,,"MATCHS")), FIND("--",INDIRECT(ADDRESS(104,3,,,"MATCHS")),1)-1),INDIRECT(ADDRESS(104,3,,,"MATCHS"))),,IF(IFERROR(FIND("--",INDIRECT(ADDRESS(122,3,,,"MATCHS"))),FALSE),LEFT(INDIRECT(ADDRESS(122,3,,,"MATCHS")), FIND("--",INDIRECT(ADDRESS(122,3,,,"MATCHS")),1)-1),INDIRECT(ADDRESS(122,3,,,"MATCHS"))))</f>
        <v>0</v>
      </c>
      <c r="H29" s="106">
        <f ca="1">SUM(,IF(IFERROR(FIND("--",INDIRECT(ADDRESS(12,5,,,"MATCHS"))),FALSE),RIGHT(INDIRECT(ADDRESS(12,5,,,"MATCHS")), FIND("--",INDIRECT(ADDRESS(12,5,,,"MATCHS")),1)),INDIRECT(ADDRESS(12,5,,,"MATCHS"))),,IF(IFERROR(FIND("--",INDIRECT(ADDRESS(30,5,,,"MATCHS"))),FALSE),RIGHT(INDIRECT(ADDRESS(30,5,,,"MATCHS")), FIND("--",INDIRECT(ADDRESS(30,5,,,"MATCHS")),1)),INDIRECT(ADDRESS(30,5,,,"MATCHS"))),,IF(IFERROR(FIND("--",INDIRECT(ADDRESS(47,5,,,"MATCHS"))),FALSE),RIGHT(INDIRECT(ADDRESS(47,5,,,"MATCHS")), FIND("--",INDIRECT(ADDRESS(47,5,,,"MATCHS")),1)),INDIRECT(ADDRESS(47,5,,,"MATCHS"))),,IF(IFERROR(FIND("--",INDIRECT(ADDRESS(68,3,,,"MATCHS"))),FALSE),RIGHT(INDIRECT(ADDRESS(68,3,,,"MATCHS")), FIND("--",INDIRECT(ADDRESS(68,3,,,"MATCHS")),1)),INDIRECT(ADDRESS(68,3,,,"MATCHS"))),,IF(IFERROR(FIND("--",INDIRECT(ADDRESS(86,3,,,"MATCHS"))),FALSE),RIGHT(INDIRECT(ADDRESS(86,3,,,"MATCHS")), FIND("--",INDIRECT(ADDRESS(86,3,,,"MATCHS")),1)),INDIRECT(ADDRESS(86,3,,,"MATCHS"))),,IF(IFERROR(FIND("--",INDIRECT(ADDRESS(104,3,,,"MATCHS"))),FALSE),RIGHT(INDIRECT(ADDRESS(104,3,,,"MATCHS")), FIND("--",INDIRECT(ADDRESS(104,3,,,"MATCHS")),1)),INDIRECT(ADDRESS(104,3,,,"MATCHS"))),,IF(IFERROR(FIND("--",INDIRECT(ADDRESS(122,3,,,"MATCHS"))),FALSE),RIGHT(INDIRECT(ADDRESS(122,3,,,"MATCHS")), FIND("--",INDIRECT(ADDRESS(122,3,,,"MATCHS")),1)),INDIRECT(ADDRESS(122,3,,,"MATCHS"))))</f>
        <v>0</v>
      </c>
      <c r="I29" s="106">
        <f ca="1">SUM(,IF(IFERROR(FIND("--",INDIRECT(ADDRESS(12,3,,,"MATCHS"))),FALSE),RIGHT(INDIRECT(ADDRESS(12,3,,,"MATCHS")), FIND("--",INDIRECT(ADDRESS(12,3,,,"MATCHS")),1)),INDIRECT(ADDRESS(12,3,,,"MATCHS"))),,IF(IFERROR(FIND("--",INDIRECT(ADDRESS(30,3,,,"MATCHS"))),FALSE),RIGHT(INDIRECT(ADDRESS(30,3,,,"MATCHS")), FIND("--",INDIRECT(ADDRESS(30,3,,,"MATCHS")),1)),INDIRECT(ADDRESS(30,3,,,"MATCHS"))),,IF(IFERROR(FIND("--",INDIRECT(ADDRESS(47,3,,,"MATCHS"))),FALSE),RIGHT(INDIRECT(ADDRESS(47,3,,,"MATCHS")), FIND("--",INDIRECT(ADDRESS(47,3,,,"MATCHS")),1)),INDIRECT(ADDRESS(47,3,,,"MATCHS"))),,IF(IFERROR(FIND("--",INDIRECT(ADDRESS(68,5,,,"MATCHS"))),FALSE),RIGHT(INDIRECT(ADDRESS(68,5,,,"MATCHS")), FIND("--",INDIRECT(ADDRESS(68,5,,,"MATCHS")),1)),INDIRECT(ADDRESS(68,5,,,"MATCHS"))),,IF(IFERROR(FIND("--",INDIRECT(ADDRESS(86,5,,,"MATCHS"))),FALSE),RIGHT(INDIRECT(ADDRESS(86,5,,,"MATCHS")), FIND("--",INDIRECT(ADDRESS(86,5,,,"MATCHS")),1)),INDIRECT(ADDRESS(86,5,,,"MATCHS"))),,IF(IFERROR(FIND("--",INDIRECT(ADDRESS(104,5,,,"MATCHS"))),FALSE),RIGHT(INDIRECT(ADDRESS(104,5,,,"MATCHS")), FIND("--",INDIRECT(ADDRESS(104,5,,,"MATCHS")),1)),INDIRECT(ADDRESS(104,5,,,"MATCHS"))),,IF(IFERROR(FIND("--",INDIRECT(ADDRESS(122,5,,,"MATCHS"))),FALSE),RIGHT(INDIRECT(ADDRESS(122,5,,,"MATCHS")), FIND("--",INDIRECT(ADDRESS(122,5,,,"MATCHS")),1)),INDIRECT(ADDRESS(122,5,,,"MATCHS"))))</f>
        <v>0</v>
      </c>
      <c r="J29" s="106">
        <f ca="1">H29 - I29</f>
        <v>0</v>
      </c>
      <c r="K29" s="106">
        <v>0</v>
      </c>
      <c r="L29" s="106">
        <v>4</v>
      </c>
      <c r="M29" s="265">
        <v>4</v>
      </c>
      <c r="N29" s="100" t="str">
        <f>M29 &amp; "DH"</f>
        <v>4DH</v>
      </c>
    </row>
    <row r="30" spans="1:14" ht="15.75" x14ac:dyDescent="0.25">
      <c r="A30" s="252"/>
      <c r="B30" s="106">
        <v>5</v>
      </c>
      <c r="C30" s="106" t="s">
        <v>160</v>
      </c>
      <c r="D30" s="106" t="str">
        <f>INSCRITS!C24</f>
        <v>5C</v>
      </c>
      <c r="E30" s="112">
        <f ca="1">SUM(,IF(INDIRECT(ADDRESS(13,3,,,"MATCHS"))&gt;INDIRECT(ADDRESS(13,5,,,"MATCHS")),1,0),,IF(INDIRECT(ADDRESS(31,3,,,"MATCHS"))&gt;INDIRECT(ADDRESS(31,5,,,"MATCHS")),1,0),,IF(INDIRECT(ADDRESS(49,3,,,"MATCHS"))&gt;INDIRECT(ADDRESS(49,5,,,"MATCHS")),1,0),,IF(INDIRECT(ADDRESS(65,5,,,"MATCHS"))&gt;INDIRECT(ADDRESS(65,3,,,"MATCHS")),1,0),,IF(INDIRECT(ADDRESS(84,5,,,"MATCHS"))&gt;INDIRECT(ADDRESS(84,3,,,"MATCHS")),1,0),,IF(INDIRECT(ADDRESS(103,5,,,"MATCHS"))&gt;INDIRECT(ADDRESS(103,3,,,"MATCHS")),1,0),,IF(INDIRECT(ADDRESS(122,5,,,"MATCHS"))&gt;INDIRECT(ADDRESS(122,3,,,"MATCHS")),1,0)) + 0.01 * K30</f>
        <v>0</v>
      </c>
      <c r="F30" s="106">
        <f ca="1">SUM(,IF(INDIRECT(ADDRESS(13,3,,,"MATCHS"))&lt;INDIRECT(ADDRESS(13,5,,,"MATCHS")),1,0),,IF(INDIRECT(ADDRESS(31,3,,,"MATCHS"))&lt;INDIRECT(ADDRESS(31,5,,,"MATCHS")),1,0),,IF(INDIRECT(ADDRESS(49,3,,,"MATCHS"))&lt;INDIRECT(ADDRESS(49,5,,,"MATCHS")),1,0),,IF(INDIRECT(ADDRESS(65,5,,,"MATCHS"))&lt;INDIRECT(ADDRESS(65,3,,,"MATCHS")),1,0),,IF(INDIRECT(ADDRESS(84,5,,,"MATCHS"))&lt;INDIRECT(ADDRESS(84,3,,,"MATCHS")),1,0),,IF(INDIRECT(ADDRESS(103,5,,,"MATCHS"))&lt;INDIRECT(ADDRESS(103,3,,,"MATCHS")),1,0),,IF(INDIRECT(ADDRESS(122,5,,,"MATCHS"))&lt;INDIRECT(ADDRESS(122,3,,,"MATCHS")),1,0))</f>
        <v>0</v>
      </c>
      <c r="G30" s="106">
        <f ca="1">SUM(,IF(IFERROR(FIND("--",INDIRECT(ADDRESS(13,3,,,"MATCHS"))),FALSE),LEFT(INDIRECT(ADDRESS(13,3,,,"MATCHS")), FIND("--",INDIRECT(ADDRESS(13,3,,,"MATCHS")),1)-1),INDIRECT(ADDRESS(13,3,,,"MATCHS"))),,IF(IFERROR(FIND("--",INDIRECT(ADDRESS(31,3,,,"MATCHS"))),FALSE),LEFT(INDIRECT(ADDRESS(31,3,,,"MATCHS")), FIND("--",INDIRECT(ADDRESS(31,3,,,"MATCHS")),1)-1),INDIRECT(ADDRESS(31,3,,,"MATCHS"))),,IF(IFERROR(FIND("--",INDIRECT(ADDRESS(49,3,,,"MATCHS"))),FALSE),LEFT(INDIRECT(ADDRESS(49,3,,,"MATCHS")), FIND("--",INDIRECT(ADDRESS(49,3,,,"MATCHS")),1)-1),INDIRECT(ADDRESS(49,3,,,"MATCHS"))),,IF(IFERROR(FIND("--",INDIRECT(ADDRESS(65,5,,,"MATCHS"))),FALSE),LEFT(INDIRECT(ADDRESS(65,5,,,"MATCHS")), FIND("--",INDIRECT(ADDRESS(65,5,,,"MATCHS")),1)-1),INDIRECT(ADDRESS(65,5,,,"MATCHS"))),,IF(IFERROR(FIND("--",INDIRECT(ADDRESS(84,5,,,"MATCHS"))),FALSE),LEFT(INDIRECT(ADDRESS(84,5,,,"MATCHS")), FIND("--",INDIRECT(ADDRESS(84,5,,,"MATCHS")),1)-1),INDIRECT(ADDRESS(84,5,,,"MATCHS"))),,IF(IFERROR(FIND("--",INDIRECT(ADDRESS(103,5,,,"MATCHS"))),FALSE),LEFT(INDIRECT(ADDRESS(103,5,,,"MATCHS")), FIND("--",INDIRECT(ADDRESS(103,5,,,"MATCHS")),1)-1),INDIRECT(ADDRESS(103,5,,,"MATCHS"))),,IF(IFERROR(FIND("--",INDIRECT(ADDRESS(122,5,,,"MATCHS"))),FALSE),LEFT(INDIRECT(ADDRESS(122,5,,,"MATCHS")), FIND("--",INDIRECT(ADDRESS(122,5,,,"MATCHS")),1)-1),INDIRECT(ADDRESS(122,5,,,"MATCHS"))))</f>
        <v>0</v>
      </c>
      <c r="H30" s="106">
        <f ca="1">SUM(,IF(IFERROR(FIND("--",INDIRECT(ADDRESS(13,3,,,"MATCHS"))),FALSE),RIGHT(INDIRECT(ADDRESS(13,3,,,"MATCHS")), FIND("--",INDIRECT(ADDRESS(13,3,,,"MATCHS")),1)),INDIRECT(ADDRESS(13,3,,,"MATCHS"))),,IF(IFERROR(FIND("--",INDIRECT(ADDRESS(31,3,,,"MATCHS"))),FALSE),RIGHT(INDIRECT(ADDRESS(31,3,,,"MATCHS")), FIND("--",INDIRECT(ADDRESS(31,3,,,"MATCHS")),1)),INDIRECT(ADDRESS(31,3,,,"MATCHS"))),,IF(IFERROR(FIND("--",INDIRECT(ADDRESS(49,3,,,"MATCHS"))),FALSE),RIGHT(INDIRECT(ADDRESS(49,3,,,"MATCHS")), FIND("--",INDIRECT(ADDRESS(49,3,,,"MATCHS")),1)),INDIRECT(ADDRESS(49,3,,,"MATCHS"))),,IF(IFERROR(FIND("--",INDIRECT(ADDRESS(65,5,,,"MATCHS"))),FALSE),RIGHT(INDIRECT(ADDRESS(65,5,,,"MATCHS")), FIND("--",INDIRECT(ADDRESS(65,5,,,"MATCHS")),1)),INDIRECT(ADDRESS(65,5,,,"MATCHS"))),,IF(IFERROR(FIND("--",INDIRECT(ADDRESS(84,5,,,"MATCHS"))),FALSE),RIGHT(INDIRECT(ADDRESS(84,5,,,"MATCHS")), FIND("--",INDIRECT(ADDRESS(84,5,,,"MATCHS")),1)),INDIRECT(ADDRESS(84,5,,,"MATCHS"))),,IF(IFERROR(FIND("--",INDIRECT(ADDRESS(103,5,,,"MATCHS"))),FALSE),RIGHT(INDIRECT(ADDRESS(103,5,,,"MATCHS")), FIND("--",INDIRECT(ADDRESS(103,5,,,"MATCHS")),1)),INDIRECT(ADDRESS(103,5,,,"MATCHS"))),,IF(IFERROR(FIND("--",INDIRECT(ADDRESS(122,5,,,"MATCHS"))),FALSE),RIGHT(INDIRECT(ADDRESS(122,5,,,"MATCHS")), FIND("--",INDIRECT(ADDRESS(122,5,,,"MATCHS")),1)),INDIRECT(ADDRESS(122,5,,,"MATCHS"))))</f>
        <v>0</v>
      </c>
      <c r="I30" s="106">
        <f ca="1">SUM(,IF(IFERROR(FIND("--",INDIRECT(ADDRESS(13,5,,,"MATCHS"))),FALSE),RIGHT(INDIRECT(ADDRESS(13,5,,,"MATCHS")), FIND("--",INDIRECT(ADDRESS(13,5,,,"MATCHS")),1)),INDIRECT(ADDRESS(13,5,,,"MATCHS"))),,IF(IFERROR(FIND("--",INDIRECT(ADDRESS(31,5,,,"MATCHS"))),FALSE),RIGHT(INDIRECT(ADDRESS(31,5,,,"MATCHS")), FIND("--",INDIRECT(ADDRESS(31,5,,,"MATCHS")),1)),INDIRECT(ADDRESS(31,5,,,"MATCHS"))),,IF(IFERROR(FIND("--",INDIRECT(ADDRESS(49,5,,,"MATCHS"))),FALSE),RIGHT(INDIRECT(ADDRESS(49,5,,,"MATCHS")), FIND("--",INDIRECT(ADDRESS(49,5,,,"MATCHS")),1)),INDIRECT(ADDRESS(49,5,,,"MATCHS"))),,IF(IFERROR(FIND("--",INDIRECT(ADDRESS(65,3,,,"MATCHS"))),FALSE),RIGHT(INDIRECT(ADDRESS(65,3,,,"MATCHS")), FIND("--",INDIRECT(ADDRESS(65,3,,,"MATCHS")),1)),INDIRECT(ADDRESS(65,3,,,"MATCHS"))),,IF(IFERROR(FIND("--",INDIRECT(ADDRESS(84,3,,,"MATCHS"))),FALSE),RIGHT(INDIRECT(ADDRESS(84,3,,,"MATCHS")), FIND("--",INDIRECT(ADDRESS(84,3,,,"MATCHS")),1)),INDIRECT(ADDRESS(84,3,,,"MATCHS"))),,IF(IFERROR(FIND("--",INDIRECT(ADDRESS(103,3,,,"MATCHS"))),FALSE),RIGHT(INDIRECT(ADDRESS(103,3,,,"MATCHS")), FIND("--",INDIRECT(ADDRESS(103,3,,,"MATCHS")),1)),INDIRECT(ADDRESS(103,3,,,"MATCHS"))),,IF(IFERROR(FIND("--",INDIRECT(ADDRESS(122,3,,,"MATCHS"))),FALSE),RIGHT(INDIRECT(ADDRESS(122,3,,,"MATCHS")), FIND("--",INDIRECT(ADDRESS(122,3,,,"MATCHS")),1)),INDIRECT(ADDRESS(122,3,,,"MATCHS"))))</f>
        <v>0</v>
      </c>
      <c r="J30" s="106">
        <f ca="1">H30 - I30</f>
        <v>0</v>
      </c>
      <c r="K30" s="106">
        <v>0</v>
      </c>
      <c r="L30" s="106">
        <v>5</v>
      </c>
      <c r="M30" s="265">
        <v>5</v>
      </c>
      <c r="N30" s="100" t="str">
        <f>M30 &amp; "DH"</f>
        <v>5DH</v>
      </c>
    </row>
    <row r="31" spans="1:14" ht="15.75" x14ac:dyDescent="0.25">
      <c r="A31" s="252"/>
      <c r="B31" s="106">
        <v>6</v>
      </c>
      <c r="C31" s="106" t="s">
        <v>161</v>
      </c>
      <c r="D31" s="106" t="str">
        <f>INSCRITS!C25</f>
        <v>6C</v>
      </c>
      <c r="E31" s="112">
        <f ca="1">SUM(,IF(INDIRECT(ADDRESS(13,5,,,"MATCHS"))&gt;INDIRECT(ADDRESS(13,3,,,"MATCHS")),1,0),,IF(INDIRECT(ADDRESS(32,3,,,"MATCHS"))&gt;INDIRECT(ADDRESS(32,5,,,"MATCHS")),1,0),,IF(INDIRECT(ADDRESS(50,3,,,"MATCHS"))&gt;INDIRECT(ADDRESS(50,5,,,"MATCHS")),1,0),,IF(INDIRECT(ADDRESS(66,5,,,"MATCHS"))&gt;INDIRECT(ADDRESS(66,3,,,"MATCHS")),1,0),,IF(INDIRECT(ADDRESS(83,5,,,"MATCHS"))&gt;INDIRECT(ADDRESS(83,3,,,"MATCHS")),1,0),,IF(INDIRECT(ADDRESS(104,5,,,"MATCHS"))&gt;INDIRECT(ADDRESS(104,3,,,"MATCHS")),1,0),,IF(INDIRECT(ADDRESS(121,5,,,"MATCHS"))&gt;INDIRECT(ADDRESS(121,3,,,"MATCHS")),1,0)) + 0.01 * K31</f>
        <v>0</v>
      </c>
      <c r="F31" s="106">
        <f ca="1">SUM(,IF(INDIRECT(ADDRESS(13,5,,,"MATCHS"))&lt;INDIRECT(ADDRESS(13,3,,,"MATCHS")),1,0),,IF(INDIRECT(ADDRESS(32,3,,,"MATCHS"))&lt;INDIRECT(ADDRESS(32,5,,,"MATCHS")),1,0),,IF(INDIRECT(ADDRESS(50,3,,,"MATCHS"))&lt;INDIRECT(ADDRESS(50,5,,,"MATCHS")),1,0),,IF(INDIRECT(ADDRESS(66,5,,,"MATCHS"))&lt;INDIRECT(ADDRESS(66,3,,,"MATCHS")),1,0),,IF(INDIRECT(ADDRESS(83,5,,,"MATCHS"))&lt;INDIRECT(ADDRESS(83,3,,,"MATCHS")),1,0),,IF(INDIRECT(ADDRESS(104,5,,,"MATCHS"))&lt;INDIRECT(ADDRESS(104,3,,,"MATCHS")),1,0),,IF(INDIRECT(ADDRESS(121,5,,,"MATCHS"))&lt;INDIRECT(ADDRESS(121,3,,,"MATCHS")),1,0))</f>
        <v>0</v>
      </c>
      <c r="G31" s="106">
        <f ca="1">SUM(,IF(IFERROR(FIND("--",INDIRECT(ADDRESS(13,5,,,"MATCHS"))),FALSE),LEFT(INDIRECT(ADDRESS(13,5,,,"MATCHS")), FIND("--",INDIRECT(ADDRESS(13,5,,,"MATCHS")),1)-1),INDIRECT(ADDRESS(13,5,,,"MATCHS"))),,IF(IFERROR(FIND("--",INDIRECT(ADDRESS(32,3,,,"MATCHS"))),FALSE),LEFT(INDIRECT(ADDRESS(32,3,,,"MATCHS")), FIND("--",INDIRECT(ADDRESS(32,3,,,"MATCHS")),1)-1),INDIRECT(ADDRESS(32,3,,,"MATCHS"))),,IF(IFERROR(FIND("--",INDIRECT(ADDRESS(50,3,,,"MATCHS"))),FALSE),LEFT(INDIRECT(ADDRESS(50,3,,,"MATCHS")), FIND("--",INDIRECT(ADDRESS(50,3,,,"MATCHS")),1)-1),INDIRECT(ADDRESS(50,3,,,"MATCHS"))),,IF(IFERROR(FIND("--",INDIRECT(ADDRESS(66,5,,,"MATCHS"))),FALSE),LEFT(INDIRECT(ADDRESS(66,5,,,"MATCHS")), FIND("--",INDIRECT(ADDRESS(66,5,,,"MATCHS")),1)-1),INDIRECT(ADDRESS(66,5,,,"MATCHS"))),,IF(IFERROR(FIND("--",INDIRECT(ADDRESS(83,5,,,"MATCHS"))),FALSE),LEFT(INDIRECT(ADDRESS(83,5,,,"MATCHS")), FIND("--",INDIRECT(ADDRESS(83,5,,,"MATCHS")),1)-1),INDIRECT(ADDRESS(83,5,,,"MATCHS"))),,IF(IFERROR(FIND("--",INDIRECT(ADDRESS(104,5,,,"MATCHS"))),FALSE),LEFT(INDIRECT(ADDRESS(104,5,,,"MATCHS")), FIND("--",INDIRECT(ADDRESS(104,5,,,"MATCHS")),1)-1),INDIRECT(ADDRESS(104,5,,,"MATCHS"))),,IF(IFERROR(FIND("--",INDIRECT(ADDRESS(121,5,,,"MATCHS"))),FALSE),LEFT(INDIRECT(ADDRESS(121,5,,,"MATCHS")), FIND("--",INDIRECT(ADDRESS(121,5,,,"MATCHS")),1)-1),INDIRECT(ADDRESS(121,5,,,"MATCHS"))))</f>
        <v>0</v>
      </c>
      <c r="H31" s="106">
        <f ca="1">SUM(,IF(IFERROR(FIND("--",INDIRECT(ADDRESS(13,5,,,"MATCHS"))),FALSE),RIGHT(INDIRECT(ADDRESS(13,5,,,"MATCHS")), FIND("--",INDIRECT(ADDRESS(13,5,,,"MATCHS")),1)),INDIRECT(ADDRESS(13,5,,,"MATCHS"))),,IF(IFERROR(FIND("--",INDIRECT(ADDRESS(32,3,,,"MATCHS"))),FALSE),RIGHT(INDIRECT(ADDRESS(32,3,,,"MATCHS")), FIND("--",INDIRECT(ADDRESS(32,3,,,"MATCHS")),1)),INDIRECT(ADDRESS(32,3,,,"MATCHS"))),,IF(IFERROR(FIND("--",INDIRECT(ADDRESS(50,3,,,"MATCHS"))),FALSE),RIGHT(INDIRECT(ADDRESS(50,3,,,"MATCHS")), FIND("--",INDIRECT(ADDRESS(50,3,,,"MATCHS")),1)),INDIRECT(ADDRESS(50,3,,,"MATCHS"))),,IF(IFERROR(FIND("--",INDIRECT(ADDRESS(66,5,,,"MATCHS"))),FALSE),RIGHT(INDIRECT(ADDRESS(66,5,,,"MATCHS")), FIND("--",INDIRECT(ADDRESS(66,5,,,"MATCHS")),1)),INDIRECT(ADDRESS(66,5,,,"MATCHS"))),,IF(IFERROR(FIND("--",INDIRECT(ADDRESS(83,5,,,"MATCHS"))),FALSE),RIGHT(INDIRECT(ADDRESS(83,5,,,"MATCHS")), FIND("--",INDIRECT(ADDRESS(83,5,,,"MATCHS")),1)),INDIRECT(ADDRESS(83,5,,,"MATCHS"))),,IF(IFERROR(FIND("--",INDIRECT(ADDRESS(104,5,,,"MATCHS"))),FALSE),RIGHT(INDIRECT(ADDRESS(104,5,,,"MATCHS")), FIND("--",INDIRECT(ADDRESS(104,5,,,"MATCHS")),1)),INDIRECT(ADDRESS(104,5,,,"MATCHS"))),,IF(IFERROR(FIND("--",INDIRECT(ADDRESS(121,5,,,"MATCHS"))),FALSE),RIGHT(INDIRECT(ADDRESS(121,5,,,"MATCHS")), FIND("--",INDIRECT(ADDRESS(121,5,,,"MATCHS")),1)),INDIRECT(ADDRESS(121,5,,,"MATCHS"))))</f>
        <v>0</v>
      </c>
      <c r="I31" s="106">
        <f ca="1">SUM(,IF(IFERROR(FIND("--",INDIRECT(ADDRESS(13,3,,,"MATCHS"))),FALSE),RIGHT(INDIRECT(ADDRESS(13,3,,,"MATCHS")), FIND("--",INDIRECT(ADDRESS(13,3,,,"MATCHS")),1)),INDIRECT(ADDRESS(13,3,,,"MATCHS"))),,IF(IFERROR(FIND("--",INDIRECT(ADDRESS(32,5,,,"MATCHS"))),FALSE),RIGHT(INDIRECT(ADDRESS(32,5,,,"MATCHS")), FIND("--",INDIRECT(ADDRESS(32,5,,,"MATCHS")),1)),INDIRECT(ADDRESS(32,5,,,"MATCHS"))),,IF(IFERROR(FIND("--",INDIRECT(ADDRESS(50,5,,,"MATCHS"))),FALSE),RIGHT(INDIRECT(ADDRESS(50,5,,,"MATCHS")), FIND("--",INDIRECT(ADDRESS(50,5,,,"MATCHS")),1)),INDIRECT(ADDRESS(50,5,,,"MATCHS"))),,IF(IFERROR(FIND("--",INDIRECT(ADDRESS(66,3,,,"MATCHS"))),FALSE),RIGHT(INDIRECT(ADDRESS(66,3,,,"MATCHS")), FIND("--",INDIRECT(ADDRESS(66,3,,,"MATCHS")),1)),INDIRECT(ADDRESS(66,3,,,"MATCHS"))),,IF(IFERROR(FIND("--",INDIRECT(ADDRESS(83,3,,,"MATCHS"))),FALSE),RIGHT(INDIRECT(ADDRESS(83,3,,,"MATCHS")), FIND("--",INDIRECT(ADDRESS(83,3,,,"MATCHS")),1)),INDIRECT(ADDRESS(83,3,,,"MATCHS"))),,IF(IFERROR(FIND("--",INDIRECT(ADDRESS(104,3,,,"MATCHS"))),FALSE),RIGHT(INDIRECT(ADDRESS(104,3,,,"MATCHS")), FIND("--",INDIRECT(ADDRESS(104,3,,,"MATCHS")),1)),INDIRECT(ADDRESS(104,3,,,"MATCHS"))),,IF(IFERROR(FIND("--",INDIRECT(ADDRESS(121,3,,,"MATCHS"))),FALSE),RIGHT(INDIRECT(ADDRESS(121,3,,,"MATCHS")), FIND("--",INDIRECT(ADDRESS(121,3,,,"MATCHS")),1)),INDIRECT(ADDRESS(121,3,,,"MATCHS"))))</f>
        <v>0</v>
      </c>
      <c r="J31" s="106">
        <f ca="1">H31 - I31</f>
        <v>0</v>
      </c>
      <c r="K31" s="106">
        <v>0</v>
      </c>
      <c r="L31" s="106">
        <v>6</v>
      </c>
      <c r="M31" s="265">
        <v>7</v>
      </c>
      <c r="N31" s="100" t="str">
        <f>M31 &amp; "DH"</f>
        <v>7DH</v>
      </c>
    </row>
    <row r="32" spans="1:14" ht="15.75" x14ac:dyDescent="0.25">
      <c r="A32" s="252"/>
      <c r="B32" s="106">
        <v>7</v>
      </c>
      <c r="C32" s="106" t="s">
        <v>162</v>
      </c>
      <c r="D32" s="106" t="str">
        <f>INSCRITS!C26</f>
        <v>7C</v>
      </c>
      <c r="E32" s="112">
        <f ca="1">SUM(,IF(INDIRECT(ADDRESS(14,3,,,"MATCHS"))&gt;INDIRECT(ADDRESS(14,5,,,"MATCHS")),1,0),,IF(INDIRECT(ADDRESS(31,5,,,"MATCHS"))&gt;INDIRECT(ADDRESS(31,3,,,"MATCHS")),1,0),,IF(INDIRECT(ADDRESS(50,5,,,"MATCHS"))&gt;INDIRECT(ADDRESS(50,3,,,"MATCHS")),1,0),,IF(INDIRECT(ADDRESS(67,5,,,"MATCHS"))&gt;INDIRECT(ADDRESS(67,3,,,"MATCHS")),1,0),,IF(INDIRECT(ADDRESS(86,5,,,"MATCHS"))&gt;INDIRECT(ADDRESS(86,3,,,"MATCHS")),1,0),,IF(INDIRECT(ADDRESS(101,5,,,"MATCHS"))&gt;INDIRECT(ADDRESS(101,3,,,"MATCHS")),1,0),,IF(INDIRECT(ADDRESS(120,5,,,"MATCHS"))&gt;INDIRECT(ADDRESS(120,3,,,"MATCHS")),1,0)) + 0.01 * K32</f>
        <v>0</v>
      </c>
      <c r="F32" s="106">
        <f ca="1">SUM(,IF(INDIRECT(ADDRESS(14,3,,,"MATCHS"))&lt;INDIRECT(ADDRESS(14,5,,,"MATCHS")),1,0),,IF(INDIRECT(ADDRESS(31,5,,,"MATCHS"))&lt;INDIRECT(ADDRESS(31,3,,,"MATCHS")),1,0),,IF(INDIRECT(ADDRESS(50,5,,,"MATCHS"))&lt;INDIRECT(ADDRESS(50,3,,,"MATCHS")),1,0),,IF(INDIRECT(ADDRESS(67,5,,,"MATCHS"))&lt;INDIRECT(ADDRESS(67,3,,,"MATCHS")),1,0),,IF(INDIRECT(ADDRESS(86,5,,,"MATCHS"))&lt;INDIRECT(ADDRESS(86,3,,,"MATCHS")),1,0),,IF(INDIRECT(ADDRESS(101,5,,,"MATCHS"))&lt;INDIRECT(ADDRESS(101,3,,,"MATCHS")),1,0),,IF(INDIRECT(ADDRESS(120,5,,,"MATCHS"))&lt;INDIRECT(ADDRESS(120,3,,,"MATCHS")),1,0))</f>
        <v>0</v>
      </c>
      <c r="G32" s="106">
        <f ca="1">SUM(,IF(IFERROR(FIND("--",INDIRECT(ADDRESS(14,3,,,"MATCHS"))),FALSE),LEFT(INDIRECT(ADDRESS(14,3,,,"MATCHS")), FIND("--",INDIRECT(ADDRESS(14,3,,,"MATCHS")),1)-1),INDIRECT(ADDRESS(14,3,,,"MATCHS"))),,IF(IFERROR(FIND("--",INDIRECT(ADDRESS(31,5,,,"MATCHS"))),FALSE),LEFT(INDIRECT(ADDRESS(31,5,,,"MATCHS")), FIND("--",INDIRECT(ADDRESS(31,5,,,"MATCHS")),1)-1),INDIRECT(ADDRESS(31,5,,,"MATCHS"))),,IF(IFERROR(FIND("--",INDIRECT(ADDRESS(50,5,,,"MATCHS"))),FALSE),LEFT(INDIRECT(ADDRESS(50,5,,,"MATCHS")), FIND("--",INDIRECT(ADDRESS(50,5,,,"MATCHS")),1)-1),INDIRECT(ADDRESS(50,5,,,"MATCHS"))),,IF(IFERROR(FIND("--",INDIRECT(ADDRESS(67,5,,,"MATCHS"))),FALSE),LEFT(INDIRECT(ADDRESS(67,5,,,"MATCHS")), FIND("--",INDIRECT(ADDRESS(67,5,,,"MATCHS")),1)-1),INDIRECT(ADDRESS(67,5,,,"MATCHS"))),,IF(IFERROR(FIND("--",INDIRECT(ADDRESS(86,5,,,"MATCHS"))),FALSE),LEFT(INDIRECT(ADDRESS(86,5,,,"MATCHS")), FIND("--",INDIRECT(ADDRESS(86,5,,,"MATCHS")),1)-1),INDIRECT(ADDRESS(86,5,,,"MATCHS"))),,IF(IFERROR(FIND("--",INDIRECT(ADDRESS(101,5,,,"MATCHS"))),FALSE),LEFT(INDIRECT(ADDRESS(101,5,,,"MATCHS")), FIND("--",INDIRECT(ADDRESS(101,5,,,"MATCHS")),1)-1),INDIRECT(ADDRESS(101,5,,,"MATCHS"))),,IF(IFERROR(FIND("--",INDIRECT(ADDRESS(120,5,,,"MATCHS"))),FALSE),LEFT(INDIRECT(ADDRESS(120,5,,,"MATCHS")), FIND("--",INDIRECT(ADDRESS(120,5,,,"MATCHS")),1)-1),INDIRECT(ADDRESS(120,5,,,"MATCHS"))))</f>
        <v>0</v>
      </c>
      <c r="H32" s="106">
        <f ca="1">SUM(,IF(IFERROR(FIND("--",INDIRECT(ADDRESS(14,3,,,"MATCHS"))),FALSE),RIGHT(INDIRECT(ADDRESS(14,3,,,"MATCHS")), FIND("--",INDIRECT(ADDRESS(14,3,,,"MATCHS")),1)),INDIRECT(ADDRESS(14,3,,,"MATCHS"))),,IF(IFERROR(FIND("--",INDIRECT(ADDRESS(31,5,,,"MATCHS"))),FALSE),RIGHT(INDIRECT(ADDRESS(31,5,,,"MATCHS")), FIND("--",INDIRECT(ADDRESS(31,5,,,"MATCHS")),1)),INDIRECT(ADDRESS(31,5,,,"MATCHS"))),,IF(IFERROR(FIND("--",INDIRECT(ADDRESS(50,5,,,"MATCHS"))),FALSE),RIGHT(INDIRECT(ADDRESS(50,5,,,"MATCHS")), FIND("--",INDIRECT(ADDRESS(50,5,,,"MATCHS")),1)),INDIRECT(ADDRESS(50,5,,,"MATCHS"))),,IF(IFERROR(FIND("--",INDIRECT(ADDRESS(67,5,,,"MATCHS"))),FALSE),RIGHT(INDIRECT(ADDRESS(67,5,,,"MATCHS")), FIND("--",INDIRECT(ADDRESS(67,5,,,"MATCHS")),1)),INDIRECT(ADDRESS(67,5,,,"MATCHS"))),,IF(IFERROR(FIND("--",INDIRECT(ADDRESS(86,5,,,"MATCHS"))),FALSE),RIGHT(INDIRECT(ADDRESS(86,5,,,"MATCHS")), FIND("--",INDIRECT(ADDRESS(86,5,,,"MATCHS")),1)),INDIRECT(ADDRESS(86,5,,,"MATCHS"))),,IF(IFERROR(FIND("--",INDIRECT(ADDRESS(101,5,,,"MATCHS"))),FALSE),RIGHT(INDIRECT(ADDRESS(101,5,,,"MATCHS")), FIND("--",INDIRECT(ADDRESS(101,5,,,"MATCHS")),1)),INDIRECT(ADDRESS(101,5,,,"MATCHS"))),,IF(IFERROR(FIND("--",INDIRECT(ADDRESS(120,5,,,"MATCHS"))),FALSE),RIGHT(INDIRECT(ADDRESS(120,5,,,"MATCHS")), FIND("--",INDIRECT(ADDRESS(120,5,,,"MATCHS")),1)),INDIRECT(ADDRESS(120,5,,,"MATCHS"))))</f>
        <v>0</v>
      </c>
      <c r="I32" s="106">
        <f ca="1">SUM(,IF(IFERROR(FIND("--",INDIRECT(ADDRESS(14,5,,,"MATCHS"))),FALSE),RIGHT(INDIRECT(ADDRESS(14,5,,,"MATCHS")), FIND("--",INDIRECT(ADDRESS(14,5,,,"MATCHS")),1)),INDIRECT(ADDRESS(14,5,,,"MATCHS"))),,IF(IFERROR(FIND("--",INDIRECT(ADDRESS(31,3,,,"MATCHS"))),FALSE),RIGHT(INDIRECT(ADDRESS(31,3,,,"MATCHS")), FIND("--",INDIRECT(ADDRESS(31,3,,,"MATCHS")),1)),INDIRECT(ADDRESS(31,3,,,"MATCHS"))),,IF(IFERROR(FIND("--",INDIRECT(ADDRESS(50,3,,,"MATCHS"))),FALSE),RIGHT(INDIRECT(ADDRESS(50,3,,,"MATCHS")), FIND("--",INDIRECT(ADDRESS(50,3,,,"MATCHS")),1)),INDIRECT(ADDRESS(50,3,,,"MATCHS"))),,IF(IFERROR(FIND("--",INDIRECT(ADDRESS(67,3,,,"MATCHS"))),FALSE),RIGHT(INDIRECT(ADDRESS(67,3,,,"MATCHS")), FIND("--",INDIRECT(ADDRESS(67,3,,,"MATCHS")),1)),INDIRECT(ADDRESS(67,3,,,"MATCHS"))),,IF(IFERROR(FIND("--",INDIRECT(ADDRESS(86,3,,,"MATCHS"))),FALSE),RIGHT(INDIRECT(ADDRESS(86,3,,,"MATCHS")), FIND("--",INDIRECT(ADDRESS(86,3,,,"MATCHS")),1)),INDIRECT(ADDRESS(86,3,,,"MATCHS"))),,IF(IFERROR(FIND("--",INDIRECT(ADDRESS(101,3,,,"MATCHS"))),FALSE),RIGHT(INDIRECT(ADDRESS(101,3,,,"MATCHS")), FIND("--",INDIRECT(ADDRESS(101,3,,,"MATCHS")),1)),INDIRECT(ADDRESS(101,3,,,"MATCHS"))),,IF(IFERROR(FIND("--",INDIRECT(ADDRESS(120,3,,,"MATCHS"))),FALSE),RIGHT(INDIRECT(ADDRESS(120,3,,,"MATCHS")), FIND("--",INDIRECT(ADDRESS(120,3,,,"MATCHS")),1)),INDIRECT(ADDRESS(120,3,,,"MATCHS"))))</f>
        <v>0</v>
      </c>
      <c r="J32" s="106">
        <f ca="1">H32 - I32</f>
        <v>0</v>
      </c>
      <c r="K32" s="106">
        <v>0</v>
      </c>
      <c r="L32" s="106">
        <v>7</v>
      </c>
      <c r="M32" s="265">
        <v>6</v>
      </c>
      <c r="N32" s="100" t="str">
        <f>M32 &amp; "DH"</f>
        <v>6DH</v>
      </c>
    </row>
    <row r="33" spans="1:14" ht="15.75" x14ac:dyDescent="0.25">
      <c r="A33" s="252"/>
      <c r="B33" s="106">
        <v>8</v>
      </c>
      <c r="C33" s="106" t="s">
        <v>163</v>
      </c>
      <c r="D33" s="106" t="str">
        <f>INSCRITS!C27</f>
        <v>8C</v>
      </c>
      <c r="E33" s="112">
        <f ca="1">SUM(,IF(INDIRECT(ADDRESS(14,5,,,"MATCHS"))&gt;INDIRECT(ADDRESS(14,3,,,"MATCHS")),1,0),,IF(INDIRECT(ADDRESS(32,5,,,"MATCHS"))&gt;INDIRECT(ADDRESS(32,3,,,"MATCHS")),1,0),,IF(INDIRECT(ADDRESS(49,5,,,"MATCHS"))&gt;INDIRECT(ADDRESS(49,3,,,"MATCHS")),1,0),,IF(INDIRECT(ADDRESS(68,5,,,"MATCHS"))&gt;INDIRECT(ADDRESS(68,3,,,"MATCHS")),1,0),,IF(INDIRECT(ADDRESS(85,5,,,"MATCHS"))&gt;INDIRECT(ADDRESS(85,3,,,"MATCHS")),1,0),,IF(INDIRECT(ADDRESS(102,5,,,"MATCHS"))&gt;INDIRECT(ADDRESS(102,3,,,"MATCHS")),1,0),,IF(INDIRECT(ADDRESS(119,5,,,"MATCHS"))&gt;INDIRECT(ADDRESS(119,3,,,"MATCHS")),1,0)) + 0.01 * K33</f>
        <v>0</v>
      </c>
      <c r="F33" s="106">
        <f ca="1">SUM(,IF(INDIRECT(ADDRESS(14,5,,,"MATCHS"))&lt;INDIRECT(ADDRESS(14,3,,,"MATCHS")),1,0),,IF(INDIRECT(ADDRESS(32,5,,,"MATCHS"))&lt;INDIRECT(ADDRESS(32,3,,,"MATCHS")),1,0),,IF(INDIRECT(ADDRESS(49,5,,,"MATCHS"))&lt;INDIRECT(ADDRESS(49,3,,,"MATCHS")),1,0),,IF(INDIRECT(ADDRESS(68,5,,,"MATCHS"))&lt;INDIRECT(ADDRESS(68,3,,,"MATCHS")),1,0),,IF(INDIRECT(ADDRESS(85,5,,,"MATCHS"))&lt;INDIRECT(ADDRESS(85,3,,,"MATCHS")),1,0),,IF(INDIRECT(ADDRESS(102,5,,,"MATCHS"))&lt;INDIRECT(ADDRESS(102,3,,,"MATCHS")),1,0),,IF(INDIRECT(ADDRESS(119,5,,,"MATCHS"))&lt;INDIRECT(ADDRESS(119,3,,,"MATCHS")),1,0))</f>
        <v>0</v>
      </c>
      <c r="G33" s="106">
        <f ca="1">SUM(,IF(IFERROR(FIND("--",INDIRECT(ADDRESS(14,5,,,"MATCHS"))),FALSE),LEFT(INDIRECT(ADDRESS(14,5,,,"MATCHS")), FIND("--",INDIRECT(ADDRESS(14,5,,,"MATCHS")),1)-1),INDIRECT(ADDRESS(14,5,,,"MATCHS"))),,IF(IFERROR(FIND("--",INDIRECT(ADDRESS(32,5,,,"MATCHS"))),FALSE),LEFT(INDIRECT(ADDRESS(32,5,,,"MATCHS")), FIND("--",INDIRECT(ADDRESS(32,5,,,"MATCHS")),1)-1),INDIRECT(ADDRESS(32,5,,,"MATCHS"))),,IF(IFERROR(FIND("--",INDIRECT(ADDRESS(49,5,,,"MATCHS"))),FALSE),LEFT(INDIRECT(ADDRESS(49,5,,,"MATCHS")), FIND("--",INDIRECT(ADDRESS(49,5,,,"MATCHS")),1)-1),INDIRECT(ADDRESS(49,5,,,"MATCHS"))),,IF(IFERROR(FIND("--",INDIRECT(ADDRESS(68,5,,,"MATCHS"))),FALSE),LEFT(INDIRECT(ADDRESS(68,5,,,"MATCHS")), FIND("--",INDIRECT(ADDRESS(68,5,,,"MATCHS")),1)-1),INDIRECT(ADDRESS(68,5,,,"MATCHS"))),,IF(IFERROR(FIND("--",INDIRECT(ADDRESS(85,5,,,"MATCHS"))),FALSE),LEFT(INDIRECT(ADDRESS(85,5,,,"MATCHS")), FIND("--",INDIRECT(ADDRESS(85,5,,,"MATCHS")),1)-1),INDIRECT(ADDRESS(85,5,,,"MATCHS"))),,IF(IFERROR(FIND("--",INDIRECT(ADDRESS(102,5,,,"MATCHS"))),FALSE),LEFT(INDIRECT(ADDRESS(102,5,,,"MATCHS")), FIND("--",INDIRECT(ADDRESS(102,5,,,"MATCHS")),1)-1),INDIRECT(ADDRESS(102,5,,,"MATCHS"))),,IF(IFERROR(FIND("--",INDIRECT(ADDRESS(119,5,,,"MATCHS"))),FALSE),LEFT(INDIRECT(ADDRESS(119,5,,,"MATCHS")), FIND("--",INDIRECT(ADDRESS(119,5,,,"MATCHS")),1)-1),INDIRECT(ADDRESS(119,5,,,"MATCHS"))))</f>
        <v>0</v>
      </c>
      <c r="H33" s="106">
        <f ca="1">SUM(,IF(IFERROR(FIND("--",INDIRECT(ADDRESS(14,5,,,"MATCHS"))),FALSE),RIGHT(INDIRECT(ADDRESS(14,5,,,"MATCHS")), FIND("--",INDIRECT(ADDRESS(14,5,,,"MATCHS")),1)),INDIRECT(ADDRESS(14,5,,,"MATCHS"))),,IF(IFERROR(FIND("--",INDIRECT(ADDRESS(32,5,,,"MATCHS"))),FALSE),RIGHT(INDIRECT(ADDRESS(32,5,,,"MATCHS")), FIND("--",INDIRECT(ADDRESS(32,5,,,"MATCHS")),1)),INDIRECT(ADDRESS(32,5,,,"MATCHS"))),,IF(IFERROR(FIND("--",INDIRECT(ADDRESS(49,5,,,"MATCHS"))),FALSE),RIGHT(INDIRECT(ADDRESS(49,5,,,"MATCHS")), FIND("--",INDIRECT(ADDRESS(49,5,,,"MATCHS")),1)),INDIRECT(ADDRESS(49,5,,,"MATCHS"))),,IF(IFERROR(FIND("--",INDIRECT(ADDRESS(68,5,,,"MATCHS"))),FALSE),RIGHT(INDIRECT(ADDRESS(68,5,,,"MATCHS")), FIND("--",INDIRECT(ADDRESS(68,5,,,"MATCHS")),1)),INDIRECT(ADDRESS(68,5,,,"MATCHS"))),,IF(IFERROR(FIND("--",INDIRECT(ADDRESS(85,5,,,"MATCHS"))),FALSE),RIGHT(INDIRECT(ADDRESS(85,5,,,"MATCHS")), FIND("--",INDIRECT(ADDRESS(85,5,,,"MATCHS")),1)),INDIRECT(ADDRESS(85,5,,,"MATCHS"))),,IF(IFERROR(FIND("--",INDIRECT(ADDRESS(102,5,,,"MATCHS"))),FALSE),RIGHT(INDIRECT(ADDRESS(102,5,,,"MATCHS")), FIND("--",INDIRECT(ADDRESS(102,5,,,"MATCHS")),1)),INDIRECT(ADDRESS(102,5,,,"MATCHS"))),,IF(IFERROR(FIND("--",INDIRECT(ADDRESS(119,5,,,"MATCHS"))),FALSE),RIGHT(INDIRECT(ADDRESS(119,5,,,"MATCHS")), FIND("--",INDIRECT(ADDRESS(119,5,,,"MATCHS")),1)),INDIRECT(ADDRESS(119,5,,,"MATCHS"))))</f>
        <v>0</v>
      </c>
      <c r="I33" s="106">
        <f ca="1">SUM(,IF(IFERROR(FIND("--",INDIRECT(ADDRESS(14,3,,,"MATCHS"))),FALSE),RIGHT(INDIRECT(ADDRESS(14,3,,,"MATCHS")), FIND("--",INDIRECT(ADDRESS(14,3,,,"MATCHS")),1)),INDIRECT(ADDRESS(14,3,,,"MATCHS"))),,IF(IFERROR(FIND("--",INDIRECT(ADDRESS(32,3,,,"MATCHS"))),FALSE),RIGHT(INDIRECT(ADDRESS(32,3,,,"MATCHS")), FIND("--",INDIRECT(ADDRESS(32,3,,,"MATCHS")),1)),INDIRECT(ADDRESS(32,3,,,"MATCHS"))),,IF(IFERROR(FIND("--",INDIRECT(ADDRESS(49,3,,,"MATCHS"))),FALSE),RIGHT(INDIRECT(ADDRESS(49,3,,,"MATCHS")), FIND("--",INDIRECT(ADDRESS(49,3,,,"MATCHS")),1)),INDIRECT(ADDRESS(49,3,,,"MATCHS"))),,IF(IFERROR(FIND("--",INDIRECT(ADDRESS(68,3,,,"MATCHS"))),FALSE),RIGHT(INDIRECT(ADDRESS(68,3,,,"MATCHS")), FIND("--",INDIRECT(ADDRESS(68,3,,,"MATCHS")),1)),INDIRECT(ADDRESS(68,3,,,"MATCHS"))),,IF(IFERROR(FIND("--",INDIRECT(ADDRESS(85,3,,,"MATCHS"))),FALSE),RIGHT(INDIRECT(ADDRESS(85,3,,,"MATCHS")), FIND("--",INDIRECT(ADDRESS(85,3,,,"MATCHS")),1)),INDIRECT(ADDRESS(85,3,,,"MATCHS"))),,IF(IFERROR(FIND("--",INDIRECT(ADDRESS(102,3,,,"MATCHS"))),FALSE),RIGHT(INDIRECT(ADDRESS(102,3,,,"MATCHS")), FIND("--",INDIRECT(ADDRESS(102,3,,,"MATCHS")),1)),INDIRECT(ADDRESS(102,3,,,"MATCHS"))),,IF(IFERROR(FIND("--",INDIRECT(ADDRESS(119,3,,,"MATCHS"))),FALSE),RIGHT(INDIRECT(ADDRESS(119,3,,,"MATCHS")), FIND("--",INDIRECT(ADDRESS(119,3,,,"MATCHS")),1)),INDIRECT(ADDRESS(119,3,,,"MATCHS"))))</f>
        <v>0</v>
      </c>
      <c r="J33" s="106">
        <f ca="1">H33 - I33</f>
        <v>0</v>
      </c>
      <c r="K33" s="106">
        <v>0</v>
      </c>
      <c r="L33" s="106">
        <v>8</v>
      </c>
      <c r="M33" s="265">
        <v>8</v>
      </c>
      <c r="N33" s="100" t="str">
        <f>M33 &amp; "DH"</f>
        <v>8DH</v>
      </c>
    </row>
    <row r="34" spans="1:14" ht="15.75" thickBot="1" x14ac:dyDescent="0.3">
      <c r="M34" s="266"/>
    </row>
    <row r="35" spans="1:14" ht="30.95" customHeight="1" thickBot="1" x14ac:dyDescent="0.3">
      <c r="C35" s="102" t="s">
        <v>196</v>
      </c>
      <c r="D35" s="102" t="s">
        <v>173</v>
      </c>
      <c r="E35" s="109" t="s">
        <v>197</v>
      </c>
      <c r="F35" s="102" t="s">
        <v>198</v>
      </c>
      <c r="G35" s="102" t="s">
        <v>199</v>
      </c>
      <c r="H35" s="102" t="s">
        <v>200</v>
      </c>
      <c r="I35" s="102" t="s">
        <v>201</v>
      </c>
      <c r="J35" s="102" t="s">
        <v>202</v>
      </c>
      <c r="K35" s="103" t="s">
        <v>203</v>
      </c>
      <c r="L35" s="102" t="s">
        <v>204</v>
      </c>
      <c r="M35" s="267" t="s">
        <v>205</v>
      </c>
    </row>
    <row r="36" spans="1:14" x14ac:dyDescent="0.25">
      <c r="M36" s="266"/>
    </row>
    <row r="37" spans="1:14" ht="15.75" x14ac:dyDescent="0.25">
      <c r="A37" s="253" t="s">
        <v>177</v>
      </c>
      <c r="B37" s="107">
        <v>1</v>
      </c>
      <c r="C37" s="107" t="s">
        <v>164</v>
      </c>
      <c r="D37" s="107" t="str">
        <f>INSCRITS!C29</f>
        <v>1D</v>
      </c>
      <c r="E37" s="113">
        <f ca="1">SUM(,IF(INDIRECT(ADDRESS(15,3,,,"MATCHS"))&gt;INDIRECT(ADDRESS(15,5,,,"MATCHS")),1,0),,IF(INDIRECT(ADDRESS(33,3,,,"MATCHS"))&gt;INDIRECT(ADDRESS(33,5,,,"MATCHS")),1,0),,IF(INDIRECT(ADDRESS(51,3,,,"MATCHS"))&gt;INDIRECT(ADDRESS(51,5,,,"MATCHS")),1,0),,IF(INDIRECT(ADDRESS(69,3,,,"MATCHS"))&gt;INDIRECT(ADDRESS(69,5,,,"MATCHS")),1,0),,IF(INDIRECT(ADDRESS(87,3,,,"MATCHS"))&gt;INDIRECT(ADDRESS(87,5,,,"MATCHS")),1,0),,IF(INDIRECT(ADDRESS(105,3,,,"MATCHS"))&gt;INDIRECT(ADDRESS(105,5,,,"MATCHS")),1,0),,IF(INDIRECT(ADDRESS(123,3,,,"MATCHS"))&gt;INDIRECT(ADDRESS(123,5,,,"MATCHS")),1,0)) + 0.01 * K37</f>
        <v>0</v>
      </c>
      <c r="F37" s="107">
        <f ca="1">SUM(,IF(INDIRECT(ADDRESS(15,3,,,"MATCHS"))&lt;INDIRECT(ADDRESS(15,5,,,"MATCHS")),1,0),,IF(INDIRECT(ADDRESS(33,3,,,"MATCHS"))&lt;INDIRECT(ADDRESS(33,5,,,"MATCHS")),1,0),,IF(INDIRECT(ADDRESS(51,3,,,"MATCHS"))&lt;INDIRECT(ADDRESS(51,5,,,"MATCHS")),1,0),,IF(INDIRECT(ADDRESS(69,3,,,"MATCHS"))&lt;INDIRECT(ADDRESS(69,5,,,"MATCHS")),1,0),,IF(INDIRECT(ADDRESS(87,3,,,"MATCHS"))&lt;INDIRECT(ADDRESS(87,5,,,"MATCHS")),1,0),,IF(INDIRECT(ADDRESS(105,3,,,"MATCHS"))&lt;INDIRECT(ADDRESS(105,5,,,"MATCHS")),1,0),,IF(INDIRECT(ADDRESS(123,3,,,"MATCHS"))&lt;INDIRECT(ADDRESS(123,5,,,"MATCHS")),1,0))</f>
        <v>0</v>
      </c>
      <c r="G37" s="107">
        <f ca="1">SUM(,IF(IFERROR(FIND("--",INDIRECT(ADDRESS(15,3,,,"MATCHS"))),FALSE),LEFT(INDIRECT(ADDRESS(15,3,,,"MATCHS")), FIND("--",INDIRECT(ADDRESS(15,3,,,"MATCHS")),1)-1),INDIRECT(ADDRESS(15,3,,,"MATCHS"))),,IF(IFERROR(FIND("--",INDIRECT(ADDRESS(33,3,,,"MATCHS"))),FALSE),LEFT(INDIRECT(ADDRESS(33,3,,,"MATCHS")), FIND("--",INDIRECT(ADDRESS(33,3,,,"MATCHS")),1)-1),INDIRECT(ADDRESS(33,3,,,"MATCHS"))),,IF(IFERROR(FIND("--",INDIRECT(ADDRESS(51,3,,,"MATCHS"))),FALSE),LEFT(INDIRECT(ADDRESS(51,3,,,"MATCHS")), FIND("--",INDIRECT(ADDRESS(51,3,,,"MATCHS")),1)-1),INDIRECT(ADDRESS(51,3,,,"MATCHS"))),,IF(IFERROR(FIND("--",INDIRECT(ADDRESS(69,3,,,"MATCHS"))),FALSE),LEFT(INDIRECT(ADDRESS(69,3,,,"MATCHS")), FIND("--",INDIRECT(ADDRESS(69,3,,,"MATCHS")),1)-1),INDIRECT(ADDRESS(69,3,,,"MATCHS"))),,IF(IFERROR(FIND("--",INDIRECT(ADDRESS(87,3,,,"MATCHS"))),FALSE),LEFT(INDIRECT(ADDRESS(87,3,,,"MATCHS")), FIND("--",INDIRECT(ADDRESS(87,3,,,"MATCHS")),1)-1),INDIRECT(ADDRESS(87,3,,,"MATCHS"))),,IF(IFERROR(FIND("--",INDIRECT(ADDRESS(105,3,,,"MATCHS"))),FALSE),LEFT(INDIRECT(ADDRESS(105,3,,,"MATCHS")), FIND("--",INDIRECT(ADDRESS(105,3,,,"MATCHS")),1)-1),INDIRECT(ADDRESS(105,3,,,"MATCHS"))),,IF(IFERROR(FIND("--",INDIRECT(ADDRESS(123,3,,,"MATCHS"))),FALSE),LEFT(INDIRECT(ADDRESS(123,3,,,"MATCHS")), FIND("--",INDIRECT(ADDRESS(123,3,,,"MATCHS")),1)-1),INDIRECT(ADDRESS(123,3,,,"MATCHS"))))</f>
        <v>0</v>
      </c>
      <c r="H37" s="107">
        <f ca="1">SUM(,IF(IFERROR(FIND("--",INDIRECT(ADDRESS(15,3,,,"MATCHS"))),FALSE),RIGHT(INDIRECT(ADDRESS(15,3,,,"MATCHS")), FIND("--",INDIRECT(ADDRESS(15,3,,,"MATCHS")),1)),INDIRECT(ADDRESS(15,3,,,"MATCHS"))),,IF(IFERROR(FIND("--",INDIRECT(ADDRESS(33,3,,,"MATCHS"))),FALSE),RIGHT(INDIRECT(ADDRESS(33,3,,,"MATCHS")), FIND("--",INDIRECT(ADDRESS(33,3,,,"MATCHS")),1)),INDIRECT(ADDRESS(33,3,,,"MATCHS"))),,IF(IFERROR(FIND("--",INDIRECT(ADDRESS(51,3,,,"MATCHS"))),FALSE),RIGHT(INDIRECT(ADDRESS(51,3,,,"MATCHS")), FIND("--",INDIRECT(ADDRESS(51,3,,,"MATCHS")),1)),INDIRECT(ADDRESS(51,3,,,"MATCHS"))),,IF(IFERROR(FIND("--",INDIRECT(ADDRESS(69,3,,,"MATCHS"))),FALSE),RIGHT(INDIRECT(ADDRESS(69,3,,,"MATCHS")), FIND("--",INDIRECT(ADDRESS(69,3,,,"MATCHS")),1)),INDIRECT(ADDRESS(69,3,,,"MATCHS"))),,IF(IFERROR(FIND("--",INDIRECT(ADDRESS(87,3,,,"MATCHS"))),FALSE),RIGHT(INDIRECT(ADDRESS(87,3,,,"MATCHS")), FIND("--",INDIRECT(ADDRESS(87,3,,,"MATCHS")),1)),INDIRECT(ADDRESS(87,3,,,"MATCHS"))),,IF(IFERROR(FIND("--",INDIRECT(ADDRESS(105,3,,,"MATCHS"))),FALSE),RIGHT(INDIRECT(ADDRESS(105,3,,,"MATCHS")), FIND("--",INDIRECT(ADDRESS(105,3,,,"MATCHS")),1)),INDIRECT(ADDRESS(105,3,,,"MATCHS"))),,IF(IFERROR(FIND("--",INDIRECT(ADDRESS(123,3,,,"MATCHS"))),FALSE),RIGHT(INDIRECT(ADDRESS(123,3,,,"MATCHS")), FIND("--",INDIRECT(ADDRESS(123,3,,,"MATCHS")),1)),INDIRECT(ADDRESS(123,3,,,"MATCHS"))))</f>
        <v>0</v>
      </c>
      <c r="I37" s="107">
        <f ca="1">SUM(,IF(IFERROR(FIND("--",INDIRECT(ADDRESS(15,5,,,"MATCHS"))),FALSE),RIGHT(INDIRECT(ADDRESS(15,5,,,"MATCHS")), FIND("--",INDIRECT(ADDRESS(15,5,,,"MATCHS")),1)),INDIRECT(ADDRESS(15,5,,,"MATCHS"))),,IF(IFERROR(FIND("--",INDIRECT(ADDRESS(33,5,,,"MATCHS"))),FALSE),RIGHT(INDIRECT(ADDRESS(33,5,,,"MATCHS")), FIND("--",INDIRECT(ADDRESS(33,5,,,"MATCHS")),1)),INDIRECT(ADDRESS(33,5,,,"MATCHS"))),,IF(IFERROR(FIND("--",INDIRECT(ADDRESS(51,5,,,"MATCHS"))),FALSE),RIGHT(INDIRECT(ADDRESS(51,5,,,"MATCHS")), FIND("--",INDIRECT(ADDRESS(51,5,,,"MATCHS")),1)),INDIRECT(ADDRESS(51,5,,,"MATCHS"))),,IF(IFERROR(FIND("--",INDIRECT(ADDRESS(69,5,,,"MATCHS"))),FALSE),RIGHT(INDIRECT(ADDRESS(69,5,,,"MATCHS")), FIND("--",INDIRECT(ADDRESS(69,5,,,"MATCHS")),1)),INDIRECT(ADDRESS(69,5,,,"MATCHS"))),,IF(IFERROR(FIND("--",INDIRECT(ADDRESS(87,5,,,"MATCHS"))),FALSE),RIGHT(INDIRECT(ADDRESS(87,5,,,"MATCHS")), FIND("--",INDIRECT(ADDRESS(87,5,,,"MATCHS")),1)),INDIRECT(ADDRESS(87,5,,,"MATCHS"))),,IF(IFERROR(FIND("--",INDIRECT(ADDRESS(105,5,,,"MATCHS"))),FALSE),RIGHT(INDIRECT(ADDRESS(105,5,,,"MATCHS")), FIND("--",INDIRECT(ADDRESS(105,5,,,"MATCHS")),1)),INDIRECT(ADDRESS(105,5,,,"MATCHS"))),,IF(IFERROR(FIND("--",INDIRECT(ADDRESS(123,5,,,"MATCHS"))),FALSE),RIGHT(INDIRECT(ADDRESS(123,5,,,"MATCHS")), FIND("--",INDIRECT(ADDRESS(123,5,,,"MATCHS")),1)),INDIRECT(ADDRESS(123,5,,,"MATCHS"))))</f>
        <v>0</v>
      </c>
      <c r="J37" s="107">
        <f ca="1">H37 - I37</f>
        <v>0</v>
      </c>
      <c r="K37" s="107">
        <v>0</v>
      </c>
      <c r="L37" s="107">
        <v>1</v>
      </c>
      <c r="M37" s="264">
        <v>4</v>
      </c>
      <c r="N37" s="100" t="str">
        <f>M37 &amp; "DH"</f>
        <v>4DH</v>
      </c>
    </row>
    <row r="38" spans="1:14" ht="15.75" x14ac:dyDescent="0.25">
      <c r="A38" s="253"/>
      <c r="B38" s="107">
        <v>2</v>
      </c>
      <c r="C38" s="107" t="s">
        <v>165</v>
      </c>
      <c r="D38" s="107" t="str">
        <f>INSCRITS!C30</f>
        <v>2D</v>
      </c>
      <c r="E38" s="113">
        <f ca="1">SUM(,IF(INDIRECT(ADDRESS(15,5,,,"MATCHS"))&gt;INDIRECT(ADDRESS(15,3,,,"MATCHS")),1,0),,IF(INDIRECT(ADDRESS(34,3,,,"MATCHS"))&gt;INDIRECT(ADDRESS(34,5,,,"MATCHS")),1,0),,IF(INDIRECT(ADDRESS(52,3,,,"MATCHS"))&gt;INDIRECT(ADDRESS(52,5,,,"MATCHS")),1,0),,IF(INDIRECT(ADDRESS(70,3,,,"MATCHS"))&gt;INDIRECT(ADDRESS(70,5,,,"MATCHS")),1,0),,IF(INDIRECT(ADDRESS(88,3,,,"MATCHS"))&gt;INDIRECT(ADDRESS(88,5,,,"MATCHS")),1,0),,IF(INDIRECT(ADDRESS(106,3,,,"MATCHS"))&gt;INDIRECT(ADDRESS(106,5,,,"MATCHS")),1,0),,IF(INDIRECT(ADDRESS(124,3,,,"MATCHS"))&gt;INDIRECT(ADDRESS(124,5,,,"MATCHS")),1,0)) + 0.01 * K38</f>
        <v>0</v>
      </c>
      <c r="F38" s="107">
        <f ca="1">SUM(,IF(INDIRECT(ADDRESS(15,5,,,"MATCHS"))&lt;INDIRECT(ADDRESS(15,3,,,"MATCHS")),1,0),,IF(INDIRECT(ADDRESS(34,3,,,"MATCHS"))&lt;INDIRECT(ADDRESS(34,5,,,"MATCHS")),1,0),,IF(INDIRECT(ADDRESS(52,3,,,"MATCHS"))&lt;INDIRECT(ADDRESS(52,5,,,"MATCHS")),1,0),,IF(INDIRECT(ADDRESS(70,3,,,"MATCHS"))&lt;INDIRECT(ADDRESS(70,5,,,"MATCHS")),1,0),,IF(INDIRECT(ADDRESS(88,3,,,"MATCHS"))&lt;INDIRECT(ADDRESS(88,5,,,"MATCHS")),1,0),,IF(INDIRECT(ADDRESS(106,3,,,"MATCHS"))&lt;INDIRECT(ADDRESS(106,5,,,"MATCHS")),1,0),,IF(INDIRECT(ADDRESS(124,3,,,"MATCHS"))&lt;INDIRECT(ADDRESS(124,5,,,"MATCHS")),1,0))</f>
        <v>0</v>
      </c>
      <c r="G38" s="107">
        <f ca="1">SUM(,IF(IFERROR(FIND("--",INDIRECT(ADDRESS(15,5,,,"MATCHS"))),FALSE),LEFT(INDIRECT(ADDRESS(15,5,,,"MATCHS")), FIND("--",INDIRECT(ADDRESS(15,5,,,"MATCHS")),1)-1),INDIRECT(ADDRESS(15,5,,,"MATCHS"))),,IF(IFERROR(FIND("--",INDIRECT(ADDRESS(34,3,,,"MATCHS"))),FALSE),LEFT(INDIRECT(ADDRESS(34,3,,,"MATCHS")), FIND("--",INDIRECT(ADDRESS(34,3,,,"MATCHS")),1)-1),INDIRECT(ADDRESS(34,3,,,"MATCHS"))),,IF(IFERROR(FIND("--",INDIRECT(ADDRESS(52,3,,,"MATCHS"))),FALSE),LEFT(INDIRECT(ADDRESS(52,3,,,"MATCHS")), FIND("--",INDIRECT(ADDRESS(52,3,,,"MATCHS")),1)-1),INDIRECT(ADDRESS(52,3,,,"MATCHS"))),,IF(IFERROR(FIND("--",INDIRECT(ADDRESS(70,3,,,"MATCHS"))),FALSE),LEFT(INDIRECT(ADDRESS(70,3,,,"MATCHS")), FIND("--",INDIRECT(ADDRESS(70,3,,,"MATCHS")),1)-1),INDIRECT(ADDRESS(70,3,,,"MATCHS"))),,IF(IFERROR(FIND("--",INDIRECT(ADDRESS(88,3,,,"MATCHS"))),FALSE),LEFT(INDIRECT(ADDRESS(88,3,,,"MATCHS")), FIND("--",INDIRECT(ADDRESS(88,3,,,"MATCHS")),1)-1),INDIRECT(ADDRESS(88,3,,,"MATCHS"))),,IF(IFERROR(FIND("--",INDIRECT(ADDRESS(106,3,,,"MATCHS"))),FALSE),LEFT(INDIRECT(ADDRESS(106,3,,,"MATCHS")), FIND("--",INDIRECT(ADDRESS(106,3,,,"MATCHS")),1)-1),INDIRECT(ADDRESS(106,3,,,"MATCHS"))),,IF(IFERROR(FIND("--",INDIRECT(ADDRESS(124,3,,,"MATCHS"))),FALSE),LEFT(INDIRECT(ADDRESS(124,3,,,"MATCHS")), FIND("--",INDIRECT(ADDRESS(124,3,,,"MATCHS")),1)-1),INDIRECT(ADDRESS(124,3,,,"MATCHS"))))</f>
        <v>0</v>
      </c>
      <c r="H38" s="107">
        <f ca="1">SUM(,IF(IFERROR(FIND("--",INDIRECT(ADDRESS(15,5,,,"MATCHS"))),FALSE),RIGHT(INDIRECT(ADDRESS(15,5,,,"MATCHS")), FIND("--",INDIRECT(ADDRESS(15,5,,,"MATCHS")),1)),INDIRECT(ADDRESS(15,5,,,"MATCHS"))),,IF(IFERROR(FIND("--",INDIRECT(ADDRESS(34,3,,,"MATCHS"))),FALSE),RIGHT(INDIRECT(ADDRESS(34,3,,,"MATCHS")), FIND("--",INDIRECT(ADDRESS(34,3,,,"MATCHS")),1)),INDIRECT(ADDRESS(34,3,,,"MATCHS"))),,IF(IFERROR(FIND("--",INDIRECT(ADDRESS(52,3,,,"MATCHS"))),FALSE),RIGHT(INDIRECT(ADDRESS(52,3,,,"MATCHS")), FIND("--",INDIRECT(ADDRESS(52,3,,,"MATCHS")),1)),INDIRECT(ADDRESS(52,3,,,"MATCHS"))),,IF(IFERROR(FIND("--",INDIRECT(ADDRESS(70,3,,,"MATCHS"))),FALSE),RIGHT(INDIRECT(ADDRESS(70,3,,,"MATCHS")), FIND("--",INDIRECT(ADDRESS(70,3,,,"MATCHS")),1)),INDIRECT(ADDRESS(70,3,,,"MATCHS"))),,IF(IFERROR(FIND("--",INDIRECT(ADDRESS(88,3,,,"MATCHS"))),FALSE),RIGHT(INDIRECT(ADDRESS(88,3,,,"MATCHS")), FIND("--",INDIRECT(ADDRESS(88,3,,,"MATCHS")),1)),INDIRECT(ADDRESS(88,3,,,"MATCHS"))),,IF(IFERROR(FIND("--",INDIRECT(ADDRESS(106,3,,,"MATCHS"))),FALSE),RIGHT(INDIRECT(ADDRESS(106,3,,,"MATCHS")), FIND("--",INDIRECT(ADDRESS(106,3,,,"MATCHS")),1)),INDIRECT(ADDRESS(106,3,,,"MATCHS"))),,IF(IFERROR(FIND("--",INDIRECT(ADDRESS(124,3,,,"MATCHS"))),FALSE),RIGHT(INDIRECT(ADDRESS(124,3,,,"MATCHS")), FIND("--",INDIRECT(ADDRESS(124,3,,,"MATCHS")),1)),INDIRECT(ADDRESS(124,3,,,"MATCHS"))))</f>
        <v>0</v>
      </c>
      <c r="I38" s="107">
        <f ca="1">SUM(,IF(IFERROR(FIND("--",INDIRECT(ADDRESS(15,3,,,"MATCHS"))),FALSE),RIGHT(INDIRECT(ADDRESS(15,3,,,"MATCHS")), FIND("--",INDIRECT(ADDRESS(15,3,,,"MATCHS")),1)),INDIRECT(ADDRESS(15,3,,,"MATCHS"))),,IF(IFERROR(FIND("--",INDIRECT(ADDRESS(34,5,,,"MATCHS"))),FALSE),RIGHT(INDIRECT(ADDRESS(34,5,,,"MATCHS")), FIND("--",INDIRECT(ADDRESS(34,5,,,"MATCHS")),1)),INDIRECT(ADDRESS(34,5,,,"MATCHS"))),,IF(IFERROR(FIND("--",INDIRECT(ADDRESS(52,5,,,"MATCHS"))),FALSE),RIGHT(INDIRECT(ADDRESS(52,5,,,"MATCHS")), FIND("--",INDIRECT(ADDRESS(52,5,,,"MATCHS")),1)),INDIRECT(ADDRESS(52,5,,,"MATCHS"))),,IF(IFERROR(FIND("--",INDIRECT(ADDRESS(70,5,,,"MATCHS"))),FALSE),RIGHT(INDIRECT(ADDRESS(70,5,,,"MATCHS")), FIND("--",INDIRECT(ADDRESS(70,5,,,"MATCHS")),1)),INDIRECT(ADDRESS(70,5,,,"MATCHS"))),,IF(IFERROR(FIND("--",INDIRECT(ADDRESS(88,5,,,"MATCHS"))),FALSE),RIGHT(INDIRECT(ADDRESS(88,5,,,"MATCHS")), FIND("--",INDIRECT(ADDRESS(88,5,,,"MATCHS")),1)),INDIRECT(ADDRESS(88,5,,,"MATCHS"))),,IF(IFERROR(FIND("--",INDIRECT(ADDRESS(106,5,,,"MATCHS"))),FALSE),RIGHT(INDIRECT(ADDRESS(106,5,,,"MATCHS")), FIND("--",INDIRECT(ADDRESS(106,5,,,"MATCHS")),1)),INDIRECT(ADDRESS(106,5,,,"MATCHS"))),,IF(IFERROR(FIND("--",INDIRECT(ADDRESS(124,5,,,"MATCHS"))),FALSE),RIGHT(INDIRECT(ADDRESS(124,5,,,"MATCHS")), FIND("--",INDIRECT(ADDRESS(124,5,,,"MATCHS")),1)),INDIRECT(ADDRESS(124,5,,,"MATCHS"))))</f>
        <v>0</v>
      </c>
      <c r="J38" s="107">
        <f ca="1">H38 - I38</f>
        <v>0</v>
      </c>
      <c r="K38" s="107">
        <v>0</v>
      </c>
      <c r="L38" s="107">
        <v>2</v>
      </c>
      <c r="M38" s="265">
        <v>2</v>
      </c>
      <c r="N38" s="100" t="str">
        <f>M38 &amp; "DH"</f>
        <v>2DH</v>
      </c>
    </row>
    <row r="39" spans="1:14" ht="15.75" x14ac:dyDescent="0.25">
      <c r="A39" s="253"/>
      <c r="B39" s="107">
        <v>3</v>
      </c>
      <c r="C39" s="107" t="s">
        <v>166</v>
      </c>
      <c r="D39" s="107" t="str">
        <f>INSCRITS!C31</f>
        <v>3D</v>
      </c>
      <c r="E39" s="113">
        <f ca="1">SUM(,IF(INDIRECT(ADDRESS(16,3,,,"MATCHS"))&gt;INDIRECT(ADDRESS(16,5,,,"MATCHS")),1,0),,IF(INDIRECT(ADDRESS(33,5,,,"MATCHS"))&gt;INDIRECT(ADDRESS(33,3,,,"MATCHS")),1,0),,IF(INDIRECT(ADDRESS(52,5,,,"MATCHS"))&gt;INDIRECT(ADDRESS(52,3,,,"MATCHS")),1,0),,IF(INDIRECT(ADDRESS(71,3,,,"MATCHS"))&gt;INDIRECT(ADDRESS(71,5,,,"MATCHS")),1,0),,IF(INDIRECT(ADDRESS(89,3,,,"MATCHS"))&gt;INDIRECT(ADDRESS(89,5,,,"MATCHS")),1,0),,IF(INDIRECT(ADDRESS(107,3,,,"MATCHS"))&gt;INDIRECT(ADDRESS(107,5,,,"MATCHS")),1,0),,IF(INDIRECT(ADDRESS(125,3,,,"MATCHS"))&gt;INDIRECT(ADDRESS(125,5,,,"MATCHS")),1,0)) + 0.01 * K39</f>
        <v>0</v>
      </c>
      <c r="F39" s="107">
        <f ca="1">SUM(,IF(INDIRECT(ADDRESS(16,3,,,"MATCHS"))&lt;INDIRECT(ADDRESS(16,5,,,"MATCHS")),1,0),,IF(INDIRECT(ADDRESS(33,5,,,"MATCHS"))&lt;INDIRECT(ADDRESS(33,3,,,"MATCHS")),1,0),,IF(INDIRECT(ADDRESS(52,5,,,"MATCHS"))&lt;INDIRECT(ADDRESS(52,3,,,"MATCHS")),1,0),,IF(INDIRECT(ADDRESS(71,3,,,"MATCHS"))&lt;INDIRECT(ADDRESS(71,5,,,"MATCHS")),1,0),,IF(INDIRECT(ADDRESS(89,3,,,"MATCHS"))&lt;INDIRECT(ADDRESS(89,5,,,"MATCHS")),1,0),,IF(INDIRECT(ADDRESS(107,3,,,"MATCHS"))&lt;INDIRECT(ADDRESS(107,5,,,"MATCHS")),1,0),,IF(INDIRECT(ADDRESS(125,3,,,"MATCHS"))&lt;INDIRECT(ADDRESS(125,5,,,"MATCHS")),1,0))</f>
        <v>0</v>
      </c>
      <c r="G39" s="107">
        <f ca="1">SUM(,IF(IFERROR(FIND("--",INDIRECT(ADDRESS(16,3,,,"MATCHS"))),FALSE),LEFT(INDIRECT(ADDRESS(16,3,,,"MATCHS")), FIND("--",INDIRECT(ADDRESS(16,3,,,"MATCHS")),1)-1),INDIRECT(ADDRESS(16,3,,,"MATCHS"))),,IF(IFERROR(FIND("--",INDIRECT(ADDRESS(33,5,,,"MATCHS"))),FALSE),LEFT(INDIRECT(ADDRESS(33,5,,,"MATCHS")), FIND("--",INDIRECT(ADDRESS(33,5,,,"MATCHS")),1)-1),INDIRECT(ADDRESS(33,5,,,"MATCHS"))),,IF(IFERROR(FIND("--",INDIRECT(ADDRESS(52,5,,,"MATCHS"))),FALSE),LEFT(INDIRECT(ADDRESS(52,5,,,"MATCHS")), FIND("--",INDIRECT(ADDRESS(52,5,,,"MATCHS")),1)-1),INDIRECT(ADDRESS(52,5,,,"MATCHS"))),,IF(IFERROR(FIND("--",INDIRECT(ADDRESS(71,3,,,"MATCHS"))),FALSE),LEFT(INDIRECT(ADDRESS(71,3,,,"MATCHS")), FIND("--",INDIRECT(ADDRESS(71,3,,,"MATCHS")),1)-1),INDIRECT(ADDRESS(71,3,,,"MATCHS"))),,IF(IFERROR(FIND("--",INDIRECT(ADDRESS(89,3,,,"MATCHS"))),FALSE),LEFT(INDIRECT(ADDRESS(89,3,,,"MATCHS")), FIND("--",INDIRECT(ADDRESS(89,3,,,"MATCHS")),1)-1),INDIRECT(ADDRESS(89,3,,,"MATCHS"))),,IF(IFERROR(FIND("--",INDIRECT(ADDRESS(107,3,,,"MATCHS"))),FALSE),LEFT(INDIRECT(ADDRESS(107,3,,,"MATCHS")), FIND("--",INDIRECT(ADDRESS(107,3,,,"MATCHS")),1)-1),INDIRECT(ADDRESS(107,3,,,"MATCHS"))),,IF(IFERROR(FIND("--",INDIRECT(ADDRESS(125,3,,,"MATCHS"))),FALSE),LEFT(INDIRECT(ADDRESS(125,3,,,"MATCHS")), FIND("--",INDIRECT(ADDRESS(125,3,,,"MATCHS")),1)-1),INDIRECT(ADDRESS(125,3,,,"MATCHS"))))</f>
        <v>0</v>
      </c>
      <c r="H39" s="107">
        <f ca="1">SUM(,IF(IFERROR(FIND("--",INDIRECT(ADDRESS(16,3,,,"MATCHS"))),FALSE),RIGHT(INDIRECT(ADDRESS(16,3,,,"MATCHS")), FIND("--",INDIRECT(ADDRESS(16,3,,,"MATCHS")),1)),INDIRECT(ADDRESS(16,3,,,"MATCHS"))),,IF(IFERROR(FIND("--",INDIRECT(ADDRESS(33,5,,,"MATCHS"))),FALSE),RIGHT(INDIRECT(ADDRESS(33,5,,,"MATCHS")), FIND("--",INDIRECT(ADDRESS(33,5,,,"MATCHS")),1)),INDIRECT(ADDRESS(33,5,,,"MATCHS"))),,IF(IFERROR(FIND("--",INDIRECT(ADDRESS(52,5,,,"MATCHS"))),FALSE),RIGHT(INDIRECT(ADDRESS(52,5,,,"MATCHS")), FIND("--",INDIRECT(ADDRESS(52,5,,,"MATCHS")),1)),INDIRECT(ADDRESS(52,5,,,"MATCHS"))),,IF(IFERROR(FIND("--",INDIRECT(ADDRESS(71,3,,,"MATCHS"))),FALSE),RIGHT(INDIRECT(ADDRESS(71,3,,,"MATCHS")), FIND("--",INDIRECT(ADDRESS(71,3,,,"MATCHS")),1)),INDIRECT(ADDRESS(71,3,,,"MATCHS"))),,IF(IFERROR(FIND("--",INDIRECT(ADDRESS(89,3,,,"MATCHS"))),FALSE),RIGHT(INDIRECT(ADDRESS(89,3,,,"MATCHS")), FIND("--",INDIRECT(ADDRESS(89,3,,,"MATCHS")),1)),INDIRECT(ADDRESS(89,3,,,"MATCHS"))),,IF(IFERROR(FIND("--",INDIRECT(ADDRESS(107,3,,,"MATCHS"))),FALSE),RIGHT(INDIRECT(ADDRESS(107,3,,,"MATCHS")), FIND("--",INDIRECT(ADDRESS(107,3,,,"MATCHS")),1)),INDIRECT(ADDRESS(107,3,,,"MATCHS"))),,IF(IFERROR(FIND("--",INDIRECT(ADDRESS(125,3,,,"MATCHS"))),FALSE),RIGHT(INDIRECT(ADDRESS(125,3,,,"MATCHS")), FIND("--",INDIRECT(ADDRESS(125,3,,,"MATCHS")),1)),INDIRECT(ADDRESS(125,3,,,"MATCHS"))))</f>
        <v>0</v>
      </c>
      <c r="I39" s="107">
        <f ca="1">SUM(,IF(IFERROR(FIND("--",INDIRECT(ADDRESS(16,5,,,"MATCHS"))),FALSE),RIGHT(INDIRECT(ADDRESS(16,5,,,"MATCHS")), FIND("--",INDIRECT(ADDRESS(16,5,,,"MATCHS")),1)),INDIRECT(ADDRESS(16,5,,,"MATCHS"))),,IF(IFERROR(FIND("--",INDIRECT(ADDRESS(33,3,,,"MATCHS"))),FALSE),RIGHT(INDIRECT(ADDRESS(33,3,,,"MATCHS")), FIND("--",INDIRECT(ADDRESS(33,3,,,"MATCHS")),1)),INDIRECT(ADDRESS(33,3,,,"MATCHS"))),,IF(IFERROR(FIND("--",INDIRECT(ADDRESS(52,3,,,"MATCHS"))),FALSE),RIGHT(INDIRECT(ADDRESS(52,3,,,"MATCHS")), FIND("--",INDIRECT(ADDRESS(52,3,,,"MATCHS")),1)),INDIRECT(ADDRESS(52,3,,,"MATCHS"))),,IF(IFERROR(FIND("--",INDIRECT(ADDRESS(71,5,,,"MATCHS"))),FALSE),RIGHT(INDIRECT(ADDRESS(71,5,,,"MATCHS")), FIND("--",INDIRECT(ADDRESS(71,5,,,"MATCHS")),1)),INDIRECT(ADDRESS(71,5,,,"MATCHS"))),,IF(IFERROR(FIND("--",INDIRECT(ADDRESS(89,5,,,"MATCHS"))),FALSE),RIGHT(INDIRECT(ADDRESS(89,5,,,"MATCHS")), FIND("--",INDIRECT(ADDRESS(89,5,,,"MATCHS")),1)),INDIRECT(ADDRESS(89,5,,,"MATCHS"))),,IF(IFERROR(FIND("--",INDIRECT(ADDRESS(107,5,,,"MATCHS"))),FALSE),RIGHT(INDIRECT(ADDRESS(107,5,,,"MATCHS")), FIND("--",INDIRECT(ADDRESS(107,5,,,"MATCHS")),1)),INDIRECT(ADDRESS(107,5,,,"MATCHS"))),,IF(IFERROR(FIND("--",INDIRECT(ADDRESS(125,5,,,"MATCHS"))),FALSE),RIGHT(INDIRECT(ADDRESS(125,5,,,"MATCHS")), FIND("--",INDIRECT(ADDRESS(125,5,,,"MATCHS")),1)),INDIRECT(ADDRESS(125,5,,,"MATCHS"))))</f>
        <v>0</v>
      </c>
      <c r="J39" s="107">
        <f ca="1">H39 - I39</f>
        <v>0</v>
      </c>
      <c r="K39" s="107">
        <v>0</v>
      </c>
      <c r="L39" s="107">
        <v>3</v>
      </c>
      <c r="M39" s="265">
        <v>3</v>
      </c>
      <c r="N39" s="100" t="str">
        <f>M39 &amp; "DH"</f>
        <v>3DH</v>
      </c>
    </row>
    <row r="40" spans="1:14" ht="15.75" x14ac:dyDescent="0.25">
      <c r="A40" s="253"/>
      <c r="B40" s="107">
        <v>4</v>
      </c>
      <c r="C40" s="107" t="s">
        <v>167</v>
      </c>
      <c r="D40" s="107" t="str">
        <f>INSCRITS!C32</f>
        <v>4D</v>
      </c>
      <c r="E40" s="113">
        <f ca="1">SUM(,IF(INDIRECT(ADDRESS(16,5,,,"MATCHS"))&gt;INDIRECT(ADDRESS(16,3,,,"MATCHS")),1,0),,IF(INDIRECT(ADDRESS(34,5,,,"MATCHS"))&gt;INDIRECT(ADDRESS(34,3,,,"MATCHS")),1,0),,IF(INDIRECT(ADDRESS(51,5,,,"MATCHS"))&gt;INDIRECT(ADDRESS(51,3,,,"MATCHS")),1,0),,IF(INDIRECT(ADDRESS(72,3,,,"MATCHS"))&gt;INDIRECT(ADDRESS(72,5,,,"MATCHS")),1,0),,IF(INDIRECT(ADDRESS(90,3,,,"MATCHS"))&gt;INDIRECT(ADDRESS(90,5,,,"MATCHS")),1,0),,IF(INDIRECT(ADDRESS(108,3,,,"MATCHS"))&gt;INDIRECT(ADDRESS(108,5,,,"MATCHS")),1,0),,IF(INDIRECT(ADDRESS(126,3,,,"MATCHS"))&gt;INDIRECT(ADDRESS(126,5,,,"MATCHS")),1,0)) + 0.01 * K40</f>
        <v>0</v>
      </c>
      <c r="F40" s="107">
        <f ca="1">SUM(,IF(INDIRECT(ADDRESS(16,5,,,"MATCHS"))&lt;INDIRECT(ADDRESS(16,3,,,"MATCHS")),1,0),,IF(INDIRECT(ADDRESS(34,5,,,"MATCHS"))&lt;INDIRECT(ADDRESS(34,3,,,"MATCHS")),1,0),,IF(INDIRECT(ADDRESS(51,5,,,"MATCHS"))&lt;INDIRECT(ADDRESS(51,3,,,"MATCHS")),1,0),,IF(INDIRECT(ADDRESS(72,3,,,"MATCHS"))&lt;INDIRECT(ADDRESS(72,5,,,"MATCHS")),1,0),,IF(INDIRECT(ADDRESS(90,3,,,"MATCHS"))&lt;INDIRECT(ADDRESS(90,5,,,"MATCHS")),1,0),,IF(INDIRECT(ADDRESS(108,3,,,"MATCHS"))&lt;INDIRECT(ADDRESS(108,5,,,"MATCHS")),1,0),,IF(INDIRECT(ADDRESS(126,3,,,"MATCHS"))&lt;INDIRECT(ADDRESS(126,5,,,"MATCHS")),1,0))</f>
        <v>0</v>
      </c>
      <c r="G40" s="107">
        <f ca="1">SUM(,IF(IFERROR(FIND("--",INDIRECT(ADDRESS(16,5,,,"MATCHS"))),FALSE),LEFT(INDIRECT(ADDRESS(16,5,,,"MATCHS")), FIND("--",INDIRECT(ADDRESS(16,5,,,"MATCHS")),1)-1),INDIRECT(ADDRESS(16,5,,,"MATCHS"))),,IF(IFERROR(FIND("--",INDIRECT(ADDRESS(34,5,,,"MATCHS"))),FALSE),LEFT(INDIRECT(ADDRESS(34,5,,,"MATCHS")), FIND("--",INDIRECT(ADDRESS(34,5,,,"MATCHS")),1)-1),INDIRECT(ADDRESS(34,5,,,"MATCHS"))),,IF(IFERROR(FIND("--",INDIRECT(ADDRESS(51,5,,,"MATCHS"))),FALSE),LEFT(INDIRECT(ADDRESS(51,5,,,"MATCHS")), FIND("--",INDIRECT(ADDRESS(51,5,,,"MATCHS")),1)-1),INDIRECT(ADDRESS(51,5,,,"MATCHS"))),,IF(IFERROR(FIND("--",INDIRECT(ADDRESS(72,3,,,"MATCHS"))),FALSE),LEFT(INDIRECT(ADDRESS(72,3,,,"MATCHS")), FIND("--",INDIRECT(ADDRESS(72,3,,,"MATCHS")),1)-1),INDIRECT(ADDRESS(72,3,,,"MATCHS"))),,IF(IFERROR(FIND("--",INDIRECT(ADDRESS(90,3,,,"MATCHS"))),FALSE),LEFT(INDIRECT(ADDRESS(90,3,,,"MATCHS")), FIND("--",INDIRECT(ADDRESS(90,3,,,"MATCHS")),1)-1),INDIRECT(ADDRESS(90,3,,,"MATCHS"))),,IF(IFERROR(FIND("--",INDIRECT(ADDRESS(108,3,,,"MATCHS"))),FALSE),LEFT(INDIRECT(ADDRESS(108,3,,,"MATCHS")), FIND("--",INDIRECT(ADDRESS(108,3,,,"MATCHS")),1)-1),INDIRECT(ADDRESS(108,3,,,"MATCHS"))),,IF(IFERROR(FIND("--",INDIRECT(ADDRESS(126,3,,,"MATCHS"))),FALSE),LEFT(INDIRECT(ADDRESS(126,3,,,"MATCHS")), FIND("--",INDIRECT(ADDRESS(126,3,,,"MATCHS")),1)-1),INDIRECT(ADDRESS(126,3,,,"MATCHS"))))</f>
        <v>0</v>
      </c>
      <c r="H40" s="107">
        <f ca="1">SUM(,IF(IFERROR(FIND("--",INDIRECT(ADDRESS(16,5,,,"MATCHS"))),FALSE),RIGHT(INDIRECT(ADDRESS(16,5,,,"MATCHS")), FIND("--",INDIRECT(ADDRESS(16,5,,,"MATCHS")),1)),INDIRECT(ADDRESS(16,5,,,"MATCHS"))),,IF(IFERROR(FIND("--",INDIRECT(ADDRESS(34,5,,,"MATCHS"))),FALSE),RIGHT(INDIRECT(ADDRESS(34,5,,,"MATCHS")), FIND("--",INDIRECT(ADDRESS(34,5,,,"MATCHS")),1)),INDIRECT(ADDRESS(34,5,,,"MATCHS"))),,IF(IFERROR(FIND("--",INDIRECT(ADDRESS(51,5,,,"MATCHS"))),FALSE),RIGHT(INDIRECT(ADDRESS(51,5,,,"MATCHS")), FIND("--",INDIRECT(ADDRESS(51,5,,,"MATCHS")),1)),INDIRECT(ADDRESS(51,5,,,"MATCHS"))),,IF(IFERROR(FIND("--",INDIRECT(ADDRESS(72,3,,,"MATCHS"))),FALSE),RIGHT(INDIRECT(ADDRESS(72,3,,,"MATCHS")), FIND("--",INDIRECT(ADDRESS(72,3,,,"MATCHS")),1)),INDIRECT(ADDRESS(72,3,,,"MATCHS"))),,IF(IFERROR(FIND("--",INDIRECT(ADDRESS(90,3,,,"MATCHS"))),FALSE),RIGHT(INDIRECT(ADDRESS(90,3,,,"MATCHS")), FIND("--",INDIRECT(ADDRESS(90,3,,,"MATCHS")),1)),INDIRECT(ADDRESS(90,3,,,"MATCHS"))),,IF(IFERROR(FIND("--",INDIRECT(ADDRESS(108,3,,,"MATCHS"))),FALSE),RIGHT(INDIRECT(ADDRESS(108,3,,,"MATCHS")), FIND("--",INDIRECT(ADDRESS(108,3,,,"MATCHS")),1)),INDIRECT(ADDRESS(108,3,,,"MATCHS"))),,IF(IFERROR(FIND("--",INDIRECT(ADDRESS(126,3,,,"MATCHS"))),FALSE),RIGHT(INDIRECT(ADDRESS(126,3,,,"MATCHS")), FIND("--",INDIRECT(ADDRESS(126,3,,,"MATCHS")),1)),INDIRECT(ADDRESS(126,3,,,"MATCHS"))))</f>
        <v>0</v>
      </c>
      <c r="I40" s="107">
        <f ca="1">SUM(,IF(IFERROR(FIND("--",INDIRECT(ADDRESS(16,3,,,"MATCHS"))),FALSE),RIGHT(INDIRECT(ADDRESS(16,3,,,"MATCHS")), FIND("--",INDIRECT(ADDRESS(16,3,,,"MATCHS")),1)),INDIRECT(ADDRESS(16,3,,,"MATCHS"))),,IF(IFERROR(FIND("--",INDIRECT(ADDRESS(34,3,,,"MATCHS"))),FALSE),RIGHT(INDIRECT(ADDRESS(34,3,,,"MATCHS")), FIND("--",INDIRECT(ADDRESS(34,3,,,"MATCHS")),1)),INDIRECT(ADDRESS(34,3,,,"MATCHS"))),,IF(IFERROR(FIND("--",INDIRECT(ADDRESS(51,3,,,"MATCHS"))),FALSE),RIGHT(INDIRECT(ADDRESS(51,3,,,"MATCHS")), FIND("--",INDIRECT(ADDRESS(51,3,,,"MATCHS")),1)),INDIRECT(ADDRESS(51,3,,,"MATCHS"))),,IF(IFERROR(FIND("--",INDIRECT(ADDRESS(72,5,,,"MATCHS"))),FALSE),RIGHT(INDIRECT(ADDRESS(72,5,,,"MATCHS")), FIND("--",INDIRECT(ADDRESS(72,5,,,"MATCHS")),1)),INDIRECT(ADDRESS(72,5,,,"MATCHS"))),,IF(IFERROR(FIND("--",INDIRECT(ADDRESS(90,5,,,"MATCHS"))),FALSE),RIGHT(INDIRECT(ADDRESS(90,5,,,"MATCHS")), FIND("--",INDIRECT(ADDRESS(90,5,,,"MATCHS")),1)),INDIRECT(ADDRESS(90,5,,,"MATCHS"))),,IF(IFERROR(FIND("--",INDIRECT(ADDRESS(108,5,,,"MATCHS"))),FALSE),RIGHT(INDIRECT(ADDRESS(108,5,,,"MATCHS")), FIND("--",INDIRECT(ADDRESS(108,5,,,"MATCHS")),1)),INDIRECT(ADDRESS(108,5,,,"MATCHS"))),,IF(IFERROR(FIND("--",INDIRECT(ADDRESS(126,5,,,"MATCHS"))),FALSE),RIGHT(INDIRECT(ADDRESS(126,5,,,"MATCHS")), FIND("--",INDIRECT(ADDRESS(126,5,,,"MATCHS")),1)),INDIRECT(ADDRESS(126,5,,,"MATCHS"))))</f>
        <v>0</v>
      </c>
      <c r="J40" s="107">
        <f ca="1">H40 - I40</f>
        <v>0</v>
      </c>
      <c r="K40" s="107">
        <v>0</v>
      </c>
      <c r="L40" s="107">
        <v>4</v>
      </c>
      <c r="M40" s="265">
        <v>1</v>
      </c>
      <c r="N40" s="100" t="str">
        <f>M40 &amp; "DH"</f>
        <v>1DH</v>
      </c>
    </row>
    <row r="41" spans="1:14" ht="15.75" x14ac:dyDescent="0.25">
      <c r="A41" s="253"/>
      <c r="B41" s="107">
        <v>5</v>
      </c>
      <c r="C41" s="107" t="s">
        <v>168</v>
      </c>
      <c r="D41" s="107" t="str">
        <f>INSCRITS!C33</f>
        <v>5D</v>
      </c>
      <c r="E41" s="113">
        <f ca="1">SUM(,IF(INDIRECT(ADDRESS(17,3,,,"MATCHS"))&gt;INDIRECT(ADDRESS(17,5,,,"MATCHS")),1,0),,IF(INDIRECT(ADDRESS(35,3,,,"MATCHS"))&gt;INDIRECT(ADDRESS(35,5,,,"MATCHS")),1,0),,IF(INDIRECT(ADDRESS(53,3,,,"MATCHS"))&gt;INDIRECT(ADDRESS(53,5,,,"MATCHS")),1,0),,IF(INDIRECT(ADDRESS(69,5,,,"MATCHS"))&gt;INDIRECT(ADDRESS(69,3,,,"MATCHS")),1,0),,IF(INDIRECT(ADDRESS(88,5,,,"MATCHS"))&gt;INDIRECT(ADDRESS(88,3,,,"MATCHS")),1,0),,IF(INDIRECT(ADDRESS(107,5,,,"MATCHS"))&gt;INDIRECT(ADDRESS(107,3,,,"MATCHS")),1,0),,IF(INDIRECT(ADDRESS(126,5,,,"MATCHS"))&gt;INDIRECT(ADDRESS(126,3,,,"MATCHS")),1,0)) + 0.01 * K41</f>
        <v>0</v>
      </c>
      <c r="F41" s="107">
        <f ca="1">SUM(,IF(INDIRECT(ADDRESS(17,3,,,"MATCHS"))&lt;INDIRECT(ADDRESS(17,5,,,"MATCHS")),1,0),,IF(INDIRECT(ADDRESS(35,3,,,"MATCHS"))&lt;INDIRECT(ADDRESS(35,5,,,"MATCHS")),1,0),,IF(INDIRECT(ADDRESS(53,3,,,"MATCHS"))&lt;INDIRECT(ADDRESS(53,5,,,"MATCHS")),1,0),,IF(INDIRECT(ADDRESS(69,5,,,"MATCHS"))&lt;INDIRECT(ADDRESS(69,3,,,"MATCHS")),1,0),,IF(INDIRECT(ADDRESS(88,5,,,"MATCHS"))&lt;INDIRECT(ADDRESS(88,3,,,"MATCHS")),1,0),,IF(INDIRECT(ADDRESS(107,5,,,"MATCHS"))&lt;INDIRECT(ADDRESS(107,3,,,"MATCHS")),1,0),,IF(INDIRECT(ADDRESS(126,5,,,"MATCHS"))&lt;INDIRECT(ADDRESS(126,3,,,"MATCHS")),1,0))</f>
        <v>0</v>
      </c>
      <c r="G41" s="107">
        <f ca="1">SUM(,IF(IFERROR(FIND("--",INDIRECT(ADDRESS(17,3,,,"MATCHS"))),FALSE),LEFT(INDIRECT(ADDRESS(17,3,,,"MATCHS")), FIND("--",INDIRECT(ADDRESS(17,3,,,"MATCHS")),1)-1),INDIRECT(ADDRESS(17,3,,,"MATCHS"))),,IF(IFERROR(FIND("--",INDIRECT(ADDRESS(35,3,,,"MATCHS"))),FALSE),LEFT(INDIRECT(ADDRESS(35,3,,,"MATCHS")), FIND("--",INDIRECT(ADDRESS(35,3,,,"MATCHS")),1)-1),INDIRECT(ADDRESS(35,3,,,"MATCHS"))),,IF(IFERROR(FIND("--",INDIRECT(ADDRESS(53,3,,,"MATCHS"))),FALSE),LEFT(INDIRECT(ADDRESS(53,3,,,"MATCHS")), FIND("--",INDIRECT(ADDRESS(53,3,,,"MATCHS")),1)-1),INDIRECT(ADDRESS(53,3,,,"MATCHS"))),,IF(IFERROR(FIND("--",INDIRECT(ADDRESS(69,5,,,"MATCHS"))),FALSE),LEFT(INDIRECT(ADDRESS(69,5,,,"MATCHS")), FIND("--",INDIRECT(ADDRESS(69,5,,,"MATCHS")),1)-1),INDIRECT(ADDRESS(69,5,,,"MATCHS"))),,IF(IFERROR(FIND("--",INDIRECT(ADDRESS(88,5,,,"MATCHS"))),FALSE),LEFT(INDIRECT(ADDRESS(88,5,,,"MATCHS")), FIND("--",INDIRECT(ADDRESS(88,5,,,"MATCHS")),1)-1),INDIRECT(ADDRESS(88,5,,,"MATCHS"))),,IF(IFERROR(FIND("--",INDIRECT(ADDRESS(107,5,,,"MATCHS"))),FALSE),LEFT(INDIRECT(ADDRESS(107,5,,,"MATCHS")), FIND("--",INDIRECT(ADDRESS(107,5,,,"MATCHS")),1)-1),INDIRECT(ADDRESS(107,5,,,"MATCHS"))),,IF(IFERROR(FIND("--",INDIRECT(ADDRESS(126,5,,,"MATCHS"))),FALSE),LEFT(INDIRECT(ADDRESS(126,5,,,"MATCHS")), FIND("--",INDIRECT(ADDRESS(126,5,,,"MATCHS")),1)-1),INDIRECT(ADDRESS(126,5,,,"MATCHS"))))</f>
        <v>0</v>
      </c>
      <c r="H41" s="107">
        <f ca="1">SUM(,IF(IFERROR(FIND("--",INDIRECT(ADDRESS(17,3,,,"MATCHS"))),FALSE),RIGHT(INDIRECT(ADDRESS(17,3,,,"MATCHS")), FIND("--",INDIRECT(ADDRESS(17,3,,,"MATCHS")),1)),INDIRECT(ADDRESS(17,3,,,"MATCHS"))),,IF(IFERROR(FIND("--",INDIRECT(ADDRESS(35,3,,,"MATCHS"))),FALSE),RIGHT(INDIRECT(ADDRESS(35,3,,,"MATCHS")), FIND("--",INDIRECT(ADDRESS(35,3,,,"MATCHS")),1)),INDIRECT(ADDRESS(35,3,,,"MATCHS"))),,IF(IFERROR(FIND("--",INDIRECT(ADDRESS(53,3,,,"MATCHS"))),FALSE),RIGHT(INDIRECT(ADDRESS(53,3,,,"MATCHS")), FIND("--",INDIRECT(ADDRESS(53,3,,,"MATCHS")),1)),INDIRECT(ADDRESS(53,3,,,"MATCHS"))),,IF(IFERROR(FIND("--",INDIRECT(ADDRESS(69,5,,,"MATCHS"))),FALSE),RIGHT(INDIRECT(ADDRESS(69,5,,,"MATCHS")), FIND("--",INDIRECT(ADDRESS(69,5,,,"MATCHS")),1)),INDIRECT(ADDRESS(69,5,,,"MATCHS"))),,IF(IFERROR(FIND("--",INDIRECT(ADDRESS(88,5,,,"MATCHS"))),FALSE),RIGHT(INDIRECT(ADDRESS(88,5,,,"MATCHS")), FIND("--",INDIRECT(ADDRESS(88,5,,,"MATCHS")),1)),INDIRECT(ADDRESS(88,5,,,"MATCHS"))),,IF(IFERROR(FIND("--",INDIRECT(ADDRESS(107,5,,,"MATCHS"))),FALSE),RIGHT(INDIRECT(ADDRESS(107,5,,,"MATCHS")), FIND("--",INDIRECT(ADDRESS(107,5,,,"MATCHS")),1)),INDIRECT(ADDRESS(107,5,,,"MATCHS"))),,IF(IFERROR(FIND("--",INDIRECT(ADDRESS(126,5,,,"MATCHS"))),FALSE),RIGHT(INDIRECT(ADDRESS(126,5,,,"MATCHS")), FIND("--",INDIRECT(ADDRESS(126,5,,,"MATCHS")),1)),INDIRECT(ADDRESS(126,5,,,"MATCHS"))))</f>
        <v>0</v>
      </c>
      <c r="I41" s="107">
        <f ca="1">SUM(,IF(IFERROR(FIND("--",INDIRECT(ADDRESS(17,5,,,"MATCHS"))),FALSE),RIGHT(INDIRECT(ADDRESS(17,5,,,"MATCHS")), FIND("--",INDIRECT(ADDRESS(17,5,,,"MATCHS")),1)),INDIRECT(ADDRESS(17,5,,,"MATCHS"))),,IF(IFERROR(FIND("--",INDIRECT(ADDRESS(35,5,,,"MATCHS"))),FALSE),RIGHT(INDIRECT(ADDRESS(35,5,,,"MATCHS")), FIND("--",INDIRECT(ADDRESS(35,5,,,"MATCHS")),1)),INDIRECT(ADDRESS(35,5,,,"MATCHS"))),,IF(IFERROR(FIND("--",INDIRECT(ADDRESS(53,5,,,"MATCHS"))),FALSE),RIGHT(INDIRECT(ADDRESS(53,5,,,"MATCHS")), FIND("--",INDIRECT(ADDRESS(53,5,,,"MATCHS")),1)),INDIRECT(ADDRESS(53,5,,,"MATCHS"))),,IF(IFERROR(FIND("--",INDIRECT(ADDRESS(69,3,,,"MATCHS"))),FALSE),RIGHT(INDIRECT(ADDRESS(69,3,,,"MATCHS")), FIND("--",INDIRECT(ADDRESS(69,3,,,"MATCHS")),1)),INDIRECT(ADDRESS(69,3,,,"MATCHS"))),,IF(IFERROR(FIND("--",INDIRECT(ADDRESS(88,3,,,"MATCHS"))),FALSE),RIGHT(INDIRECT(ADDRESS(88,3,,,"MATCHS")), FIND("--",INDIRECT(ADDRESS(88,3,,,"MATCHS")),1)),INDIRECT(ADDRESS(88,3,,,"MATCHS"))),,IF(IFERROR(FIND("--",INDIRECT(ADDRESS(107,3,,,"MATCHS"))),FALSE),RIGHT(INDIRECT(ADDRESS(107,3,,,"MATCHS")), FIND("--",INDIRECT(ADDRESS(107,3,,,"MATCHS")),1)),INDIRECT(ADDRESS(107,3,,,"MATCHS"))),,IF(IFERROR(FIND("--",INDIRECT(ADDRESS(126,3,,,"MATCHS"))),FALSE),RIGHT(INDIRECT(ADDRESS(126,3,,,"MATCHS")), FIND("--",INDIRECT(ADDRESS(126,3,,,"MATCHS")),1)),INDIRECT(ADDRESS(126,3,,,"MATCHS"))))</f>
        <v>0</v>
      </c>
      <c r="J41" s="107">
        <f ca="1">H41 - I41</f>
        <v>0</v>
      </c>
      <c r="K41" s="107">
        <v>0</v>
      </c>
      <c r="L41" s="107">
        <v>5</v>
      </c>
      <c r="M41" s="265">
        <v>8</v>
      </c>
      <c r="N41" s="100" t="str">
        <f>M41 &amp; "DH"</f>
        <v>8DH</v>
      </c>
    </row>
    <row r="42" spans="1:14" ht="15.75" x14ac:dyDescent="0.25">
      <c r="A42" s="253"/>
      <c r="B42" s="107">
        <v>6</v>
      </c>
      <c r="C42" s="107" t="s">
        <v>169</v>
      </c>
      <c r="D42" s="107" t="str">
        <f>INSCRITS!C34</f>
        <v>6D</v>
      </c>
      <c r="E42" s="113">
        <f ca="1">SUM(,IF(INDIRECT(ADDRESS(17,5,,,"MATCHS"))&gt;INDIRECT(ADDRESS(17,3,,,"MATCHS")),1,0),,IF(INDIRECT(ADDRESS(36,3,,,"MATCHS"))&gt;INDIRECT(ADDRESS(36,5,,,"MATCHS")),1,0),,IF(INDIRECT(ADDRESS(54,3,,,"MATCHS"))&gt;INDIRECT(ADDRESS(54,5,,,"MATCHS")),1,0),,IF(INDIRECT(ADDRESS(70,5,,,"MATCHS"))&gt;INDIRECT(ADDRESS(70,3,,,"MATCHS")),1,0),,IF(INDIRECT(ADDRESS(87,5,,,"MATCHS"))&gt;INDIRECT(ADDRESS(87,3,,,"MATCHS")),1,0),,IF(INDIRECT(ADDRESS(108,5,,,"MATCHS"))&gt;INDIRECT(ADDRESS(108,3,,,"MATCHS")),1,0),,IF(INDIRECT(ADDRESS(125,5,,,"MATCHS"))&gt;INDIRECT(ADDRESS(125,3,,,"MATCHS")),1,0)) + 0.01 * K42</f>
        <v>0</v>
      </c>
      <c r="F42" s="107">
        <f ca="1">SUM(,IF(INDIRECT(ADDRESS(17,5,,,"MATCHS"))&lt;INDIRECT(ADDRESS(17,3,,,"MATCHS")),1,0),,IF(INDIRECT(ADDRESS(36,3,,,"MATCHS"))&lt;INDIRECT(ADDRESS(36,5,,,"MATCHS")),1,0),,IF(INDIRECT(ADDRESS(54,3,,,"MATCHS"))&lt;INDIRECT(ADDRESS(54,5,,,"MATCHS")),1,0),,IF(INDIRECT(ADDRESS(70,5,,,"MATCHS"))&lt;INDIRECT(ADDRESS(70,3,,,"MATCHS")),1,0),,IF(INDIRECT(ADDRESS(87,5,,,"MATCHS"))&lt;INDIRECT(ADDRESS(87,3,,,"MATCHS")),1,0),,IF(INDIRECT(ADDRESS(108,5,,,"MATCHS"))&lt;INDIRECT(ADDRESS(108,3,,,"MATCHS")),1,0),,IF(INDIRECT(ADDRESS(125,5,,,"MATCHS"))&lt;INDIRECT(ADDRESS(125,3,,,"MATCHS")),1,0))</f>
        <v>0</v>
      </c>
      <c r="G42" s="107">
        <f ca="1">SUM(,IF(IFERROR(FIND("--",INDIRECT(ADDRESS(17,5,,,"MATCHS"))),FALSE),LEFT(INDIRECT(ADDRESS(17,5,,,"MATCHS")), FIND("--",INDIRECT(ADDRESS(17,5,,,"MATCHS")),1)-1),INDIRECT(ADDRESS(17,5,,,"MATCHS"))),,IF(IFERROR(FIND("--",INDIRECT(ADDRESS(36,3,,,"MATCHS"))),FALSE),LEFT(INDIRECT(ADDRESS(36,3,,,"MATCHS")), FIND("--",INDIRECT(ADDRESS(36,3,,,"MATCHS")),1)-1),INDIRECT(ADDRESS(36,3,,,"MATCHS"))),,IF(IFERROR(FIND("--",INDIRECT(ADDRESS(54,3,,,"MATCHS"))),FALSE),LEFT(INDIRECT(ADDRESS(54,3,,,"MATCHS")), FIND("--",INDIRECT(ADDRESS(54,3,,,"MATCHS")),1)-1),INDIRECT(ADDRESS(54,3,,,"MATCHS"))),,IF(IFERROR(FIND("--",INDIRECT(ADDRESS(70,5,,,"MATCHS"))),FALSE),LEFT(INDIRECT(ADDRESS(70,5,,,"MATCHS")), FIND("--",INDIRECT(ADDRESS(70,5,,,"MATCHS")),1)-1),INDIRECT(ADDRESS(70,5,,,"MATCHS"))),,IF(IFERROR(FIND("--",INDIRECT(ADDRESS(87,5,,,"MATCHS"))),FALSE),LEFT(INDIRECT(ADDRESS(87,5,,,"MATCHS")), FIND("--",INDIRECT(ADDRESS(87,5,,,"MATCHS")),1)-1),INDIRECT(ADDRESS(87,5,,,"MATCHS"))),,IF(IFERROR(FIND("--",INDIRECT(ADDRESS(108,5,,,"MATCHS"))),FALSE),LEFT(INDIRECT(ADDRESS(108,5,,,"MATCHS")), FIND("--",INDIRECT(ADDRESS(108,5,,,"MATCHS")),1)-1),INDIRECT(ADDRESS(108,5,,,"MATCHS"))),,IF(IFERROR(FIND("--",INDIRECT(ADDRESS(125,5,,,"MATCHS"))),FALSE),LEFT(INDIRECT(ADDRESS(125,5,,,"MATCHS")), FIND("--",INDIRECT(ADDRESS(125,5,,,"MATCHS")),1)-1),INDIRECT(ADDRESS(125,5,,,"MATCHS"))))</f>
        <v>0</v>
      </c>
      <c r="H42" s="107">
        <f ca="1">SUM(,IF(IFERROR(FIND("--",INDIRECT(ADDRESS(17,5,,,"MATCHS"))),FALSE),RIGHT(INDIRECT(ADDRESS(17,5,,,"MATCHS")), FIND("--",INDIRECT(ADDRESS(17,5,,,"MATCHS")),1)),INDIRECT(ADDRESS(17,5,,,"MATCHS"))),,IF(IFERROR(FIND("--",INDIRECT(ADDRESS(36,3,,,"MATCHS"))),FALSE),RIGHT(INDIRECT(ADDRESS(36,3,,,"MATCHS")), FIND("--",INDIRECT(ADDRESS(36,3,,,"MATCHS")),1)),INDIRECT(ADDRESS(36,3,,,"MATCHS"))),,IF(IFERROR(FIND("--",INDIRECT(ADDRESS(54,3,,,"MATCHS"))),FALSE),RIGHT(INDIRECT(ADDRESS(54,3,,,"MATCHS")), FIND("--",INDIRECT(ADDRESS(54,3,,,"MATCHS")),1)),INDIRECT(ADDRESS(54,3,,,"MATCHS"))),,IF(IFERROR(FIND("--",INDIRECT(ADDRESS(70,5,,,"MATCHS"))),FALSE),RIGHT(INDIRECT(ADDRESS(70,5,,,"MATCHS")), FIND("--",INDIRECT(ADDRESS(70,5,,,"MATCHS")),1)),INDIRECT(ADDRESS(70,5,,,"MATCHS"))),,IF(IFERROR(FIND("--",INDIRECT(ADDRESS(87,5,,,"MATCHS"))),FALSE),RIGHT(INDIRECT(ADDRESS(87,5,,,"MATCHS")), FIND("--",INDIRECT(ADDRESS(87,5,,,"MATCHS")),1)),INDIRECT(ADDRESS(87,5,,,"MATCHS"))),,IF(IFERROR(FIND("--",INDIRECT(ADDRESS(108,5,,,"MATCHS"))),FALSE),RIGHT(INDIRECT(ADDRESS(108,5,,,"MATCHS")), FIND("--",INDIRECT(ADDRESS(108,5,,,"MATCHS")),1)),INDIRECT(ADDRESS(108,5,,,"MATCHS"))),,IF(IFERROR(FIND("--",INDIRECT(ADDRESS(125,5,,,"MATCHS"))),FALSE),RIGHT(INDIRECT(ADDRESS(125,5,,,"MATCHS")), FIND("--",INDIRECT(ADDRESS(125,5,,,"MATCHS")),1)),INDIRECT(ADDRESS(125,5,,,"MATCHS"))))</f>
        <v>0</v>
      </c>
      <c r="I42" s="107">
        <f ca="1">SUM(,IF(IFERROR(FIND("--",INDIRECT(ADDRESS(17,3,,,"MATCHS"))),FALSE),RIGHT(INDIRECT(ADDRESS(17,3,,,"MATCHS")), FIND("--",INDIRECT(ADDRESS(17,3,,,"MATCHS")),1)),INDIRECT(ADDRESS(17,3,,,"MATCHS"))),,IF(IFERROR(FIND("--",INDIRECT(ADDRESS(36,5,,,"MATCHS"))),FALSE),RIGHT(INDIRECT(ADDRESS(36,5,,,"MATCHS")), FIND("--",INDIRECT(ADDRESS(36,5,,,"MATCHS")),1)),INDIRECT(ADDRESS(36,5,,,"MATCHS"))),,IF(IFERROR(FIND("--",INDIRECT(ADDRESS(54,5,,,"MATCHS"))),FALSE),RIGHT(INDIRECT(ADDRESS(54,5,,,"MATCHS")), FIND("--",INDIRECT(ADDRESS(54,5,,,"MATCHS")),1)),INDIRECT(ADDRESS(54,5,,,"MATCHS"))),,IF(IFERROR(FIND("--",INDIRECT(ADDRESS(70,3,,,"MATCHS"))),FALSE),RIGHT(INDIRECT(ADDRESS(70,3,,,"MATCHS")), FIND("--",INDIRECT(ADDRESS(70,3,,,"MATCHS")),1)),INDIRECT(ADDRESS(70,3,,,"MATCHS"))),,IF(IFERROR(FIND("--",INDIRECT(ADDRESS(87,3,,,"MATCHS"))),FALSE),RIGHT(INDIRECT(ADDRESS(87,3,,,"MATCHS")), FIND("--",INDIRECT(ADDRESS(87,3,,,"MATCHS")),1)),INDIRECT(ADDRESS(87,3,,,"MATCHS"))),,IF(IFERROR(FIND("--",INDIRECT(ADDRESS(108,3,,,"MATCHS"))),FALSE),RIGHT(INDIRECT(ADDRESS(108,3,,,"MATCHS")), FIND("--",INDIRECT(ADDRESS(108,3,,,"MATCHS")),1)),INDIRECT(ADDRESS(108,3,,,"MATCHS"))),,IF(IFERROR(FIND("--",INDIRECT(ADDRESS(125,3,,,"MATCHS"))),FALSE),RIGHT(INDIRECT(ADDRESS(125,3,,,"MATCHS")), FIND("--",INDIRECT(ADDRESS(125,3,,,"MATCHS")),1)),INDIRECT(ADDRESS(125,3,,,"MATCHS"))))</f>
        <v>0</v>
      </c>
      <c r="J42" s="107">
        <f ca="1">H42 - I42</f>
        <v>0</v>
      </c>
      <c r="K42" s="107">
        <v>0</v>
      </c>
      <c r="L42" s="107">
        <v>6</v>
      </c>
      <c r="M42" s="265">
        <v>6</v>
      </c>
      <c r="N42" s="100" t="str">
        <f>M42 &amp; "DH"</f>
        <v>6DH</v>
      </c>
    </row>
    <row r="43" spans="1:14" ht="15.75" x14ac:dyDescent="0.25">
      <c r="A43" s="253"/>
      <c r="B43" s="107">
        <v>7</v>
      </c>
      <c r="C43" s="107" t="s">
        <v>170</v>
      </c>
      <c r="D43" s="107" t="str">
        <f>INSCRITS!C35</f>
        <v>7D</v>
      </c>
      <c r="E43" s="113">
        <f ca="1">SUM(,IF(INDIRECT(ADDRESS(18,3,,,"MATCHS"))&gt;INDIRECT(ADDRESS(18,5,,,"MATCHS")),1,0),,IF(INDIRECT(ADDRESS(35,5,,,"MATCHS"))&gt;INDIRECT(ADDRESS(35,3,,,"MATCHS")),1,0),,IF(INDIRECT(ADDRESS(54,5,,,"MATCHS"))&gt;INDIRECT(ADDRESS(54,3,,,"MATCHS")),1,0),,IF(INDIRECT(ADDRESS(71,5,,,"MATCHS"))&gt;INDIRECT(ADDRESS(71,3,,,"MATCHS")),1,0),,IF(INDIRECT(ADDRESS(90,5,,,"MATCHS"))&gt;INDIRECT(ADDRESS(90,3,,,"MATCHS")),1,0),,IF(INDIRECT(ADDRESS(105,5,,,"MATCHS"))&gt;INDIRECT(ADDRESS(105,3,,,"MATCHS")),1,0),,IF(INDIRECT(ADDRESS(124,5,,,"MATCHS"))&gt;INDIRECT(ADDRESS(124,3,,,"MATCHS")),1,0)) + 0.01 * K43</f>
        <v>0</v>
      </c>
      <c r="F43" s="107">
        <f ca="1">SUM(,IF(INDIRECT(ADDRESS(18,3,,,"MATCHS"))&lt;INDIRECT(ADDRESS(18,5,,,"MATCHS")),1,0),,IF(INDIRECT(ADDRESS(35,5,,,"MATCHS"))&lt;INDIRECT(ADDRESS(35,3,,,"MATCHS")),1,0),,IF(INDIRECT(ADDRESS(54,5,,,"MATCHS"))&lt;INDIRECT(ADDRESS(54,3,,,"MATCHS")),1,0),,IF(INDIRECT(ADDRESS(71,5,,,"MATCHS"))&lt;INDIRECT(ADDRESS(71,3,,,"MATCHS")),1,0),,IF(INDIRECT(ADDRESS(90,5,,,"MATCHS"))&lt;INDIRECT(ADDRESS(90,3,,,"MATCHS")),1,0),,IF(INDIRECT(ADDRESS(105,5,,,"MATCHS"))&lt;INDIRECT(ADDRESS(105,3,,,"MATCHS")),1,0),,IF(INDIRECT(ADDRESS(124,5,,,"MATCHS"))&lt;INDIRECT(ADDRESS(124,3,,,"MATCHS")),1,0))</f>
        <v>0</v>
      </c>
      <c r="G43" s="107">
        <f ca="1">SUM(,IF(IFERROR(FIND("--",INDIRECT(ADDRESS(18,3,,,"MATCHS"))),FALSE),LEFT(INDIRECT(ADDRESS(18,3,,,"MATCHS")), FIND("--",INDIRECT(ADDRESS(18,3,,,"MATCHS")),1)-1),INDIRECT(ADDRESS(18,3,,,"MATCHS"))),,IF(IFERROR(FIND("--",INDIRECT(ADDRESS(35,5,,,"MATCHS"))),FALSE),LEFT(INDIRECT(ADDRESS(35,5,,,"MATCHS")), FIND("--",INDIRECT(ADDRESS(35,5,,,"MATCHS")),1)-1),INDIRECT(ADDRESS(35,5,,,"MATCHS"))),,IF(IFERROR(FIND("--",INDIRECT(ADDRESS(54,5,,,"MATCHS"))),FALSE),LEFT(INDIRECT(ADDRESS(54,5,,,"MATCHS")), FIND("--",INDIRECT(ADDRESS(54,5,,,"MATCHS")),1)-1),INDIRECT(ADDRESS(54,5,,,"MATCHS"))),,IF(IFERROR(FIND("--",INDIRECT(ADDRESS(71,5,,,"MATCHS"))),FALSE),LEFT(INDIRECT(ADDRESS(71,5,,,"MATCHS")), FIND("--",INDIRECT(ADDRESS(71,5,,,"MATCHS")),1)-1),INDIRECT(ADDRESS(71,5,,,"MATCHS"))),,IF(IFERROR(FIND("--",INDIRECT(ADDRESS(90,5,,,"MATCHS"))),FALSE),LEFT(INDIRECT(ADDRESS(90,5,,,"MATCHS")), FIND("--",INDIRECT(ADDRESS(90,5,,,"MATCHS")),1)-1),INDIRECT(ADDRESS(90,5,,,"MATCHS"))),,IF(IFERROR(FIND("--",INDIRECT(ADDRESS(105,5,,,"MATCHS"))),FALSE),LEFT(INDIRECT(ADDRESS(105,5,,,"MATCHS")), FIND("--",INDIRECT(ADDRESS(105,5,,,"MATCHS")),1)-1),INDIRECT(ADDRESS(105,5,,,"MATCHS"))),,IF(IFERROR(FIND("--",INDIRECT(ADDRESS(124,5,,,"MATCHS"))),FALSE),LEFT(INDIRECT(ADDRESS(124,5,,,"MATCHS")), FIND("--",INDIRECT(ADDRESS(124,5,,,"MATCHS")),1)-1),INDIRECT(ADDRESS(124,5,,,"MATCHS"))))</f>
        <v>0</v>
      </c>
      <c r="H43" s="107">
        <f ca="1">SUM(,IF(IFERROR(FIND("--",INDIRECT(ADDRESS(18,3,,,"MATCHS"))),FALSE),RIGHT(INDIRECT(ADDRESS(18,3,,,"MATCHS")), FIND("--",INDIRECT(ADDRESS(18,3,,,"MATCHS")),1)),INDIRECT(ADDRESS(18,3,,,"MATCHS"))),,IF(IFERROR(FIND("--",INDIRECT(ADDRESS(35,5,,,"MATCHS"))),FALSE),RIGHT(INDIRECT(ADDRESS(35,5,,,"MATCHS")), FIND("--",INDIRECT(ADDRESS(35,5,,,"MATCHS")),1)),INDIRECT(ADDRESS(35,5,,,"MATCHS"))),,IF(IFERROR(FIND("--",INDIRECT(ADDRESS(54,5,,,"MATCHS"))),FALSE),RIGHT(INDIRECT(ADDRESS(54,5,,,"MATCHS")), FIND("--",INDIRECT(ADDRESS(54,5,,,"MATCHS")),1)),INDIRECT(ADDRESS(54,5,,,"MATCHS"))),,IF(IFERROR(FIND("--",INDIRECT(ADDRESS(71,5,,,"MATCHS"))),FALSE),RIGHT(INDIRECT(ADDRESS(71,5,,,"MATCHS")), FIND("--",INDIRECT(ADDRESS(71,5,,,"MATCHS")),1)),INDIRECT(ADDRESS(71,5,,,"MATCHS"))),,IF(IFERROR(FIND("--",INDIRECT(ADDRESS(90,5,,,"MATCHS"))),FALSE),RIGHT(INDIRECT(ADDRESS(90,5,,,"MATCHS")), FIND("--",INDIRECT(ADDRESS(90,5,,,"MATCHS")),1)),INDIRECT(ADDRESS(90,5,,,"MATCHS"))),,IF(IFERROR(FIND("--",INDIRECT(ADDRESS(105,5,,,"MATCHS"))),FALSE),RIGHT(INDIRECT(ADDRESS(105,5,,,"MATCHS")), FIND("--",INDIRECT(ADDRESS(105,5,,,"MATCHS")),1)),INDIRECT(ADDRESS(105,5,,,"MATCHS"))),,IF(IFERROR(FIND("--",INDIRECT(ADDRESS(124,5,,,"MATCHS"))),FALSE),RIGHT(INDIRECT(ADDRESS(124,5,,,"MATCHS")), FIND("--",INDIRECT(ADDRESS(124,5,,,"MATCHS")),1)),INDIRECT(ADDRESS(124,5,,,"MATCHS"))))</f>
        <v>0</v>
      </c>
      <c r="I43" s="107">
        <f ca="1">SUM(,IF(IFERROR(FIND("--",INDIRECT(ADDRESS(18,5,,,"MATCHS"))),FALSE),RIGHT(INDIRECT(ADDRESS(18,5,,,"MATCHS")), FIND("--",INDIRECT(ADDRESS(18,5,,,"MATCHS")),1)),INDIRECT(ADDRESS(18,5,,,"MATCHS"))),,IF(IFERROR(FIND("--",INDIRECT(ADDRESS(35,3,,,"MATCHS"))),FALSE),RIGHT(INDIRECT(ADDRESS(35,3,,,"MATCHS")), FIND("--",INDIRECT(ADDRESS(35,3,,,"MATCHS")),1)),INDIRECT(ADDRESS(35,3,,,"MATCHS"))),,IF(IFERROR(FIND("--",INDIRECT(ADDRESS(54,3,,,"MATCHS"))),FALSE),RIGHT(INDIRECT(ADDRESS(54,3,,,"MATCHS")), FIND("--",INDIRECT(ADDRESS(54,3,,,"MATCHS")),1)),INDIRECT(ADDRESS(54,3,,,"MATCHS"))),,IF(IFERROR(FIND("--",INDIRECT(ADDRESS(71,3,,,"MATCHS"))),FALSE),RIGHT(INDIRECT(ADDRESS(71,3,,,"MATCHS")), FIND("--",INDIRECT(ADDRESS(71,3,,,"MATCHS")),1)),INDIRECT(ADDRESS(71,3,,,"MATCHS"))),,IF(IFERROR(FIND("--",INDIRECT(ADDRESS(90,3,,,"MATCHS"))),FALSE),RIGHT(INDIRECT(ADDRESS(90,3,,,"MATCHS")), FIND("--",INDIRECT(ADDRESS(90,3,,,"MATCHS")),1)),INDIRECT(ADDRESS(90,3,,,"MATCHS"))),,IF(IFERROR(FIND("--",INDIRECT(ADDRESS(105,3,,,"MATCHS"))),FALSE),RIGHT(INDIRECT(ADDRESS(105,3,,,"MATCHS")), FIND("--",INDIRECT(ADDRESS(105,3,,,"MATCHS")),1)),INDIRECT(ADDRESS(105,3,,,"MATCHS"))),,IF(IFERROR(FIND("--",INDIRECT(ADDRESS(124,3,,,"MATCHS"))),FALSE),RIGHT(INDIRECT(ADDRESS(124,3,,,"MATCHS")), FIND("--",INDIRECT(ADDRESS(124,3,,,"MATCHS")),1)),INDIRECT(ADDRESS(124,3,,,"MATCHS"))))</f>
        <v>0</v>
      </c>
      <c r="J43" s="107">
        <f ca="1">H43 - I43</f>
        <v>0</v>
      </c>
      <c r="K43" s="107">
        <v>0</v>
      </c>
      <c r="L43" s="107">
        <v>7</v>
      </c>
      <c r="M43" s="265">
        <v>7</v>
      </c>
      <c r="N43" s="100" t="str">
        <f>M43 &amp; "DH"</f>
        <v>7DH</v>
      </c>
    </row>
    <row r="44" spans="1:14" ht="15.75" x14ac:dyDescent="0.25">
      <c r="A44" s="253"/>
      <c r="B44" s="107">
        <v>8</v>
      </c>
      <c r="C44" s="107" t="s">
        <v>171</v>
      </c>
      <c r="D44" s="107" t="str">
        <f>INSCRITS!C36</f>
        <v>8D</v>
      </c>
      <c r="E44" s="113">
        <f ca="1">SUM(,IF(INDIRECT(ADDRESS(18,5,,,"MATCHS"))&gt;INDIRECT(ADDRESS(18,3,,,"MATCHS")),1,0),,IF(INDIRECT(ADDRESS(36,5,,,"MATCHS"))&gt;INDIRECT(ADDRESS(36,3,,,"MATCHS")),1,0),,IF(INDIRECT(ADDRESS(53,5,,,"MATCHS"))&gt;INDIRECT(ADDRESS(53,3,,,"MATCHS")),1,0),,IF(INDIRECT(ADDRESS(72,5,,,"MATCHS"))&gt;INDIRECT(ADDRESS(72,3,,,"MATCHS")),1,0),,IF(INDIRECT(ADDRESS(89,5,,,"MATCHS"))&gt;INDIRECT(ADDRESS(89,3,,,"MATCHS")),1,0),,IF(INDIRECT(ADDRESS(106,5,,,"MATCHS"))&gt;INDIRECT(ADDRESS(106,3,,,"MATCHS")),1,0),,IF(INDIRECT(ADDRESS(123,5,,,"MATCHS"))&gt;INDIRECT(ADDRESS(123,3,,,"MATCHS")),1,0)) + 0.01 * K44</f>
        <v>0</v>
      </c>
      <c r="F44" s="107">
        <f ca="1">SUM(,IF(INDIRECT(ADDRESS(18,5,,,"MATCHS"))&lt;INDIRECT(ADDRESS(18,3,,,"MATCHS")),1,0),,IF(INDIRECT(ADDRESS(36,5,,,"MATCHS"))&lt;INDIRECT(ADDRESS(36,3,,,"MATCHS")),1,0),,IF(INDIRECT(ADDRESS(53,5,,,"MATCHS"))&lt;INDIRECT(ADDRESS(53,3,,,"MATCHS")),1,0),,IF(INDIRECT(ADDRESS(72,5,,,"MATCHS"))&lt;INDIRECT(ADDRESS(72,3,,,"MATCHS")),1,0),,IF(INDIRECT(ADDRESS(89,5,,,"MATCHS"))&lt;INDIRECT(ADDRESS(89,3,,,"MATCHS")),1,0),,IF(INDIRECT(ADDRESS(106,5,,,"MATCHS"))&lt;INDIRECT(ADDRESS(106,3,,,"MATCHS")),1,0),,IF(INDIRECT(ADDRESS(123,5,,,"MATCHS"))&lt;INDIRECT(ADDRESS(123,3,,,"MATCHS")),1,0))</f>
        <v>0</v>
      </c>
      <c r="G44" s="107">
        <f ca="1">SUM(,IF(IFERROR(FIND("--",INDIRECT(ADDRESS(18,5,,,"MATCHS"))),FALSE),LEFT(INDIRECT(ADDRESS(18,5,,,"MATCHS")), FIND("--",INDIRECT(ADDRESS(18,5,,,"MATCHS")),1)-1),INDIRECT(ADDRESS(18,5,,,"MATCHS"))),,IF(IFERROR(FIND("--",INDIRECT(ADDRESS(36,5,,,"MATCHS"))),FALSE),LEFT(INDIRECT(ADDRESS(36,5,,,"MATCHS")), FIND("--",INDIRECT(ADDRESS(36,5,,,"MATCHS")),1)-1),INDIRECT(ADDRESS(36,5,,,"MATCHS"))),,IF(IFERROR(FIND("--",INDIRECT(ADDRESS(53,5,,,"MATCHS"))),FALSE),LEFT(INDIRECT(ADDRESS(53,5,,,"MATCHS")), FIND("--",INDIRECT(ADDRESS(53,5,,,"MATCHS")),1)-1),INDIRECT(ADDRESS(53,5,,,"MATCHS"))),,IF(IFERROR(FIND("--",INDIRECT(ADDRESS(72,5,,,"MATCHS"))),FALSE),LEFT(INDIRECT(ADDRESS(72,5,,,"MATCHS")), FIND("--",INDIRECT(ADDRESS(72,5,,,"MATCHS")),1)-1),INDIRECT(ADDRESS(72,5,,,"MATCHS"))),,IF(IFERROR(FIND("--",INDIRECT(ADDRESS(89,5,,,"MATCHS"))),FALSE),LEFT(INDIRECT(ADDRESS(89,5,,,"MATCHS")), FIND("--",INDIRECT(ADDRESS(89,5,,,"MATCHS")),1)-1),INDIRECT(ADDRESS(89,5,,,"MATCHS"))),,IF(IFERROR(FIND("--",INDIRECT(ADDRESS(106,5,,,"MATCHS"))),FALSE),LEFT(INDIRECT(ADDRESS(106,5,,,"MATCHS")), FIND("--",INDIRECT(ADDRESS(106,5,,,"MATCHS")),1)-1),INDIRECT(ADDRESS(106,5,,,"MATCHS"))),,IF(IFERROR(FIND("--",INDIRECT(ADDRESS(123,5,,,"MATCHS"))),FALSE),LEFT(INDIRECT(ADDRESS(123,5,,,"MATCHS")), FIND("--",INDIRECT(ADDRESS(123,5,,,"MATCHS")),1)-1),INDIRECT(ADDRESS(123,5,,,"MATCHS"))))</f>
        <v>0</v>
      </c>
      <c r="H44" s="107">
        <f ca="1">SUM(,IF(IFERROR(FIND("--",INDIRECT(ADDRESS(18,5,,,"MATCHS"))),FALSE),RIGHT(INDIRECT(ADDRESS(18,5,,,"MATCHS")), FIND("--",INDIRECT(ADDRESS(18,5,,,"MATCHS")),1)),INDIRECT(ADDRESS(18,5,,,"MATCHS"))),,IF(IFERROR(FIND("--",INDIRECT(ADDRESS(36,5,,,"MATCHS"))),FALSE),RIGHT(INDIRECT(ADDRESS(36,5,,,"MATCHS")), FIND("--",INDIRECT(ADDRESS(36,5,,,"MATCHS")),1)),INDIRECT(ADDRESS(36,5,,,"MATCHS"))),,IF(IFERROR(FIND("--",INDIRECT(ADDRESS(53,5,,,"MATCHS"))),FALSE),RIGHT(INDIRECT(ADDRESS(53,5,,,"MATCHS")), FIND("--",INDIRECT(ADDRESS(53,5,,,"MATCHS")),1)),INDIRECT(ADDRESS(53,5,,,"MATCHS"))),,IF(IFERROR(FIND("--",INDIRECT(ADDRESS(72,5,,,"MATCHS"))),FALSE),RIGHT(INDIRECT(ADDRESS(72,5,,,"MATCHS")), FIND("--",INDIRECT(ADDRESS(72,5,,,"MATCHS")),1)),INDIRECT(ADDRESS(72,5,,,"MATCHS"))),,IF(IFERROR(FIND("--",INDIRECT(ADDRESS(89,5,,,"MATCHS"))),FALSE),RIGHT(INDIRECT(ADDRESS(89,5,,,"MATCHS")), FIND("--",INDIRECT(ADDRESS(89,5,,,"MATCHS")),1)),INDIRECT(ADDRESS(89,5,,,"MATCHS"))),,IF(IFERROR(FIND("--",INDIRECT(ADDRESS(106,5,,,"MATCHS"))),FALSE),RIGHT(INDIRECT(ADDRESS(106,5,,,"MATCHS")), FIND("--",INDIRECT(ADDRESS(106,5,,,"MATCHS")),1)),INDIRECT(ADDRESS(106,5,,,"MATCHS"))),,IF(IFERROR(FIND("--",INDIRECT(ADDRESS(123,5,,,"MATCHS"))),FALSE),RIGHT(INDIRECT(ADDRESS(123,5,,,"MATCHS")), FIND("--",INDIRECT(ADDRESS(123,5,,,"MATCHS")),1)),INDIRECT(ADDRESS(123,5,,,"MATCHS"))))</f>
        <v>0</v>
      </c>
      <c r="I44" s="107">
        <f ca="1">SUM(,IF(IFERROR(FIND("--",INDIRECT(ADDRESS(18,3,,,"MATCHS"))),FALSE),RIGHT(INDIRECT(ADDRESS(18,3,,,"MATCHS")), FIND("--",INDIRECT(ADDRESS(18,3,,,"MATCHS")),1)),INDIRECT(ADDRESS(18,3,,,"MATCHS"))),,IF(IFERROR(FIND("--",INDIRECT(ADDRESS(36,3,,,"MATCHS"))),FALSE),RIGHT(INDIRECT(ADDRESS(36,3,,,"MATCHS")), FIND("--",INDIRECT(ADDRESS(36,3,,,"MATCHS")),1)),INDIRECT(ADDRESS(36,3,,,"MATCHS"))),,IF(IFERROR(FIND("--",INDIRECT(ADDRESS(53,3,,,"MATCHS"))),FALSE),RIGHT(INDIRECT(ADDRESS(53,3,,,"MATCHS")), FIND("--",INDIRECT(ADDRESS(53,3,,,"MATCHS")),1)),INDIRECT(ADDRESS(53,3,,,"MATCHS"))),,IF(IFERROR(FIND("--",INDIRECT(ADDRESS(72,3,,,"MATCHS"))),FALSE),RIGHT(INDIRECT(ADDRESS(72,3,,,"MATCHS")), FIND("--",INDIRECT(ADDRESS(72,3,,,"MATCHS")),1)),INDIRECT(ADDRESS(72,3,,,"MATCHS"))),,IF(IFERROR(FIND("--",INDIRECT(ADDRESS(89,3,,,"MATCHS"))),FALSE),RIGHT(INDIRECT(ADDRESS(89,3,,,"MATCHS")), FIND("--",INDIRECT(ADDRESS(89,3,,,"MATCHS")),1)),INDIRECT(ADDRESS(89,3,,,"MATCHS"))),,IF(IFERROR(FIND("--",INDIRECT(ADDRESS(106,3,,,"MATCHS"))),FALSE),RIGHT(INDIRECT(ADDRESS(106,3,,,"MATCHS")), FIND("--",INDIRECT(ADDRESS(106,3,,,"MATCHS")),1)),INDIRECT(ADDRESS(106,3,,,"MATCHS"))),,IF(IFERROR(FIND("--",INDIRECT(ADDRESS(123,3,,,"MATCHS"))),FALSE),RIGHT(INDIRECT(ADDRESS(123,3,,,"MATCHS")), FIND("--",INDIRECT(ADDRESS(123,3,,,"MATCHS")),1)),INDIRECT(ADDRESS(123,3,,,"MATCHS"))))</f>
        <v>0</v>
      </c>
      <c r="J44" s="107">
        <f ca="1">H44 - I44</f>
        <v>0</v>
      </c>
      <c r="K44" s="107">
        <v>0</v>
      </c>
      <c r="L44" s="107">
        <v>8</v>
      </c>
      <c r="M44" s="265">
        <v>5</v>
      </c>
      <c r="N44" s="100" t="str">
        <f>M44 &amp; "DH"</f>
        <v>5DH</v>
      </c>
    </row>
  </sheetData>
  <mergeCells count="4">
    <mergeCell ref="A4:A11"/>
    <mergeCell ref="A15:A22"/>
    <mergeCell ref="A26:A33"/>
    <mergeCell ref="A37:A44"/>
  </mergeCells>
  <dataValidations count="2">
    <dataValidation type="whole" allowBlank="1" showErrorMessage="1" errorTitle="ATTENTION" error="NOMBRE ENTIER UNIQUEMENT_x000a_COMPRIS ENTRE --&gt; 1 ET 16" sqref="M1:M3 M23:M25 M45:M1048576" xr:uid="{E85B7142-89F3-4285-B2F8-1F61C242702C}">
      <formula1>1</formula1>
      <formula2>16</formula2>
    </dataValidation>
    <dataValidation type="whole" operator="greaterThanOrEqual" allowBlank="1" showErrorMessage="1" errorTitle="ATTENTION" error="NOMBRE ENTIER UNIQUEMENT_x000a_MINIMUM --&gt; 0" sqref="J1:J1048576" xr:uid="{8FC33C87-5307-44D8-8169-C78104436FA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4" name="ValiderOrdrePhaseFinale">
              <controlPr defaultSize="0" print="0" autoFill="0" autoPict="0" macro="[0]!listmatchph14ind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5" r:id="rId5" name="C4PPClassement">
              <controlPr defaultSize="0" print="0" autoFill="0" autoPict="0" macro="[0]!'copyimage &quot;A2:J44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EE47B-B3DA-4ED2-979C-C33174C5539D}">
  <sheetPr codeName="Feuil65"/>
  <dimension ref="B1:O66"/>
  <sheetViews>
    <sheetView workbookViewId="0">
      <selection activeCell="I35" sqref="I35"/>
    </sheetView>
  </sheetViews>
  <sheetFormatPr baseColWidth="10" defaultRowHeight="15" x14ac:dyDescent="0.25"/>
  <cols>
    <col min="1" max="1" width="11.42578125" style="114"/>
    <col min="2" max="2" width="4.28515625" style="119" customWidth="1"/>
    <col min="3" max="3" width="22.85546875" style="114" customWidth="1"/>
    <col min="4" max="4" width="2.85546875" style="114" customWidth="1"/>
    <col min="5" max="5" width="4.28515625" style="119" customWidth="1"/>
    <col min="6" max="6" width="22.85546875" style="114" customWidth="1"/>
    <col min="7" max="7" width="2.85546875" style="114" customWidth="1"/>
    <col min="8" max="8" width="22.85546875" style="114" customWidth="1"/>
    <col min="9" max="9" width="4.28515625" style="119" customWidth="1"/>
    <col min="10" max="10" width="2.85546875" style="114" customWidth="1"/>
    <col min="11" max="11" width="22.85546875" style="114" customWidth="1"/>
    <col min="12" max="12" width="4.28515625" style="119" customWidth="1"/>
    <col min="13" max="13" width="2.85546875" style="114" customWidth="1"/>
    <col min="14" max="14" width="22.85546875" style="114" customWidth="1"/>
    <col min="15" max="15" width="4.28515625" style="119" customWidth="1"/>
    <col min="16" max="16384" width="11.42578125" style="114"/>
  </cols>
  <sheetData>
    <row r="1" spans="2:15" x14ac:dyDescent="0.25">
      <c r="H1" s="114" t="s">
        <v>206</v>
      </c>
    </row>
    <row r="2" spans="2:15" x14ac:dyDescent="0.25">
      <c r="H2" s="114" t="s">
        <v>208</v>
      </c>
    </row>
    <row r="3" spans="2:15" ht="15.75" thickBot="1" x14ac:dyDescent="0.3">
      <c r="H3" s="114" t="s">
        <v>209</v>
      </c>
    </row>
    <row r="4" spans="2:15" x14ac:dyDescent="0.25">
      <c r="H4" s="115" t="str">
        <f ca="1">INDIRECT(ADDRESS(4,4,,,"CLASSEMENTS"))</f>
        <v>1A</v>
      </c>
      <c r="I4" s="122">
        <v>1</v>
      </c>
    </row>
    <row r="5" spans="2:15" ht="15.75" thickBot="1" x14ac:dyDescent="0.3">
      <c r="F5" s="114" t="s">
        <v>211</v>
      </c>
      <c r="H5" s="117" t="str">
        <f ca="1">INDIRECT(ADDRESS(18,4,,,"CLASSEMENTS"))</f>
        <v>4B</v>
      </c>
      <c r="I5" s="123">
        <v>0</v>
      </c>
      <c r="K5" s="114" t="s">
        <v>209</v>
      </c>
    </row>
    <row r="6" spans="2:15" x14ac:dyDescent="0.25">
      <c r="C6" s="114" t="s">
        <v>211</v>
      </c>
      <c r="E6" s="120"/>
      <c r="F6" s="116" t="str">
        <f ca="1">IF(OR(I4="",I5=""),"",IF(I4&lt;I5,H4,H5))</f>
        <v>4B</v>
      </c>
      <c r="K6" s="115" t="str">
        <f ca="1">IF(OR(I4="",I5=""),"",IF(I4&gt;I5,H4,H5))</f>
        <v>1A</v>
      </c>
      <c r="L6" s="122"/>
      <c r="N6" s="114" t="s">
        <v>209</v>
      </c>
    </row>
    <row r="7" spans="2:15" ht="15.75" thickBot="1" x14ac:dyDescent="0.3">
      <c r="C7" s="114" t="s">
        <v>220</v>
      </c>
      <c r="E7" s="121"/>
      <c r="F7" s="118" t="str">
        <f ca="1">IF(OR(I8="",I9=""),"",IF(I8&lt;I9,H8,H9))</f>
        <v>2B</v>
      </c>
      <c r="H7" s="114" t="s">
        <v>210</v>
      </c>
      <c r="K7" s="117" t="str">
        <f ca="1">IF(OR(I8="",I9=""),"",IF(I8&gt;I9,H8,H9))</f>
        <v>3A</v>
      </c>
      <c r="L7" s="123"/>
      <c r="N7" s="114" t="s">
        <v>218</v>
      </c>
    </row>
    <row r="8" spans="2:15" x14ac:dyDescent="0.25">
      <c r="B8" s="120"/>
      <c r="C8" s="116" t="str">
        <f>IF(OR(E6="",E7=""),"",IF(E6&gt;E7,F6,F7))</f>
        <v/>
      </c>
      <c r="H8" s="115" t="str">
        <f ca="1">INDIRECT(ADDRESS(6,4,,,"CLASSEMENTS"))</f>
        <v>3A</v>
      </c>
      <c r="I8" s="122">
        <v>1</v>
      </c>
      <c r="N8" s="115" t="str">
        <f>IF(OR(L6="",L7=""),"",IF(L6&gt;L7,K6,K7))</f>
        <v/>
      </c>
      <c r="O8" s="122"/>
    </row>
    <row r="9" spans="2:15" ht="15.75" thickBot="1" x14ac:dyDescent="0.3">
      <c r="B9" s="121"/>
      <c r="C9" s="118" t="str">
        <f>IF(OR(E14="",E15=""),"",IF(E14&gt;E15,F14,F15))</f>
        <v/>
      </c>
      <c r="H9" s="117" t="str">
        <f ca="1">INDIRECT(ADDRESS(16,4,,,"CLASSEMENTS"))</f>
        <v>2B</v>
      </c>
      <c r="I9" s="123">
        <v>0</v>
      </c>
      <c r="N9" s="117" t="str">
        <f>IF(OR(L14="",L15=""),"",IF(L14&gt;L15,K14,K15))</f>
        <v/>
      </c>
      <c r="O9" s="123"/>
    </row>
    <row r="10" spans="2:15" x14ac:dyDescent="0.25">
      <c r="C10" s="114" t="s">
        <v>212</v>
      </c>
      <c r="N10" s="114" t="s">
        <v>210</v>
      </c>
    </row>
    <row r="11" spans="2:15" ht="15.75" thickBot="1" x14ac:dyDescent="0.3">
      <c r="C11" s="114" t="s">
        <v>221</v>
      </c>
      <c r="H11" s="114" t="s">
        <v>211</v>
      </c>
      <c r="N11" s="114" t="s">
        <v>219</v>
      </c>
    </row>
    <row r="12" spans="2:15" x14ac:dyDescent="0.25">
      <c r="B12" s="120"/>
      <c r="C12" s="116" t="str">
        <f>IF(OR(E6="",E7=""),"",IF(E6&lt;E7,F6,F7))</f>
        <v/>
      </c>
      <c r="H12" s="115" t="str">
        <f ca="1">INDIRECT(ADDRESS(5,4,,,"CLASSEMENTS"))</f>
        <v>2A</v>
      </c>
      <c r="I12" s="122">
        <v>1</v>
      </c>
      <c r="N12" s="115" t="str">
        <f>IF(OR(L6="",L7=""),"",IF(L6&lt;L7,K6,K7))</f>
        <v/>
      </c>
      <c r="O12" s="122"/>
    </row>
    <row r="13" spans="2:15" ht="15.75" thickBot="1" x14ac:dyDescent="0.3">
      <c r="B13" s="121"/>
      <c r="C13" s="118" t="str">
        <f>IF(OR(E14="",E15=""),"",IF(E14&lt;E15,F14,F15))</f>
        <v/>
      </c>
      <c r="F13" s="114" t="s">
        <v>212</v>
      </c>
      <c r="H13" s="117" t="str">
        <f ca="1">INDIRECT(ADDRESS(17,4,,,"CLASSEMENTS"))</f>
        <v>3B</v>
      </c>
      <c r="I13" s="123">
        <v>0</v>
      </c>
      <c r="K13" s="114" t="s">
        <v>210</v>
      </c>
      <c r="N13" s="117" t="str">
        <f>IF(OR(L14="",L15=""),"",IF(L14&lt;L15,K14,K15))</f>
        <v/>
      </c>
      <c r="O13" s="123"/>
    </row>
    <row r="14" spans="2:15" x14ac:dyDescent="0.25">
      <c r="E14" s="120"/>
      <c r="F14" s="116" t="str">
        <f ca="1">IF(OR(I12="",I13=""),"",IF(I12&lt;I13,H12,H13))</f>
        <v>3B</v>
      </c>
      <c r="K14" s="115" t="str">
        <f ca="1">IF(OR(I12="",I13=""),"",IF(I12&gt;I13,H12,H13))</f>
        <v>2A</v>
      </c>
      <c r="L14" s="122"/>
    </row>
    <row r="15" spans="2:15" ht="15.75" thickBot="1" x14ac:dyDescent="0.3">
      <c r="E15" s="121"/>
      <c r="F15" s="118" t="str">
        <f ca="1">IF(OR(I16="",I17=""),"",IF(I16&lt;I17,H16,H17))</f>
        <v>1B</v>
      </c>
      <c r="H15" s="114" t="s">
        <v>212</v>
      </c>
      <c r="K15" s="117" t="str">
        <f ca="1">IF(OR(I16="",I17=""),"",IF(I16&gt;I17,H16,H17))</f>
        <v>4A</v>
      </c>
      <c r="L15" s="123"/>
    </row>
    <row r="16" spans="2:15" x14ac:dyDescent="0.25">
      <c r="H16" s="115" t="str">
        <f ca="1">INDIRECT(ADDRESS(7,4,,,"CLASSEMENTS"))</f>
        <v>4A</v>
      </c>
      <c r="I16" s="122">
        <v>1</v>
      </c>
    </row>
    <row r="17" spans="2:15" ht="15.75" thickBot="1" x14ac:dyDescent="0.3">
      <c r="H17" s="117" t="str">
        <f ca="1">INDIRECT(ADDRESS(15,4,,,"CLASSEMENTS"))</f>
        <v>1B</v>
      </c>
      <c r="I17" s="123">
        <v>0</v>
      </c>
    </row>
    <row r="19" spans="2:15" x14ac:dyDescent="0.25">
      <c r="H19" s="114" t="s">
        <v>213</v>
      </c>
    </row>
    <row r="20" spans="2:15" ht="15.75" thickBot="1" x14ac:dyDescent="0.3">
      <c r="H20" s="114" t="s">
        <v>214</v>
      </c>
    </row>
    <row r="21" spans="2:15" x14ac:dyDescent="0.25">
      <c r="H21" s="115" t="str">
        <f ca="1">INDIRECT(ADDRESS(8,4,,,"CLASSEMENTS"))</f>
        <v>5A</v>
      </c>
      <c r="I21" s="122">
        <v>1</v>
      </c>
    </row>
    <row r="22" spans="2:15" ht="15.75" thickBot="1" x14ac:dyDescent="0.3">
      <c r="F22" s="114" t="s">
        <v>216</v>
      </c>
      <c r="H22" s="117" t="str">
        <f ca="1">INDIRECT(ADDRESS(22,4,,,"CLASSEMENTS"))</f>
        <v>8B</v>
      </c>
      <c r="I22" s="123">
        <v>0</v>
      </c>
      <c r="K22" s="114" t="s">
        <v>214</v>
      </c>
    </row>
    <row r="23" spans="2:15" x14ac:dyDescent="0.25">
      <c r="C23" s="114" t="s">
        <v>216</v>
      </c>
      <c r="E23" s="120"/>
      <c r="F23" s="116" t="str">
        <f ca="1">IF(OR(I21="",I22=""),"",IF(I21&lt;I22,H21,H22))</f>
        <v>8B</v>
      </c>
      <c r="K23" s="115" t="str">
        <f ca="1">IF(OR(I21="",I22=""),"",IF(I21&gt;I22,H21,H22))</f>
        <v>5A</v>
      </c>
      <c r="L23" s="122"/>
      <c r="N23" s="114" t="s">
        <v>214</v>
      </c>
    </row>
    <row r="24" spans="2:15" ht="15.75" thickBot="1" x14ac:dyDescent="0.3">
      <c r="C24" s="114" t="s">
        <v>224</v>
      </c>
      <c r="E24" s="121"/>
      <c r="F24" s="118" t="str">
        <f ca="1">IF(OR(I25="",I26=""),"",IF(I25&lt;I26,H25,H26))</f>
        <v>6B</v>
      </c>
      <c r="H24" s="114" t="s">
        <v>215</v>
      </c>
      <c r="K24" s="117" t="str">
        <f ca="1">IF(OR(I25="",I26=""),"",IF(I25&gt;I26,H25,H26))</f>
        <v>7A</v>
      </c>
      <c r="L24" s="123"/>
      <c r="N24" s="114" t="s">
        <v>222</v>
      </c>
    </row>
    <row r="25" spans="2:15" x14ac:dyDescent="0.25">
      <c r="B25" s="120"/>
      <c r="C25" s="116" t="str">
        <f>IF(OR(E23="",E24=""),"",IF(E23&gt;E24,F23,F24))</f>
        <v/>
      </c>
      <c r="H25" s="115" t="str">
        <f ca="1">INDIRECT(ADDRESS(10,4,,,"CLASSEMENTS"))</f>
        <v>7A</v>
      </c>
      <c r="I25" s="122">
        <v>1</v>
      </c>
      <c r="N25" s="115" t="str">
        <f>IF(OR(L23="",L24=""),"",IF(L23&gt;L24,K23,K24))</f>
        <v/>
      </c>
      <c r="O25" s="122"/>
    </row>
    <row r="26" spans="2:15" ht="15.75" thickBot="1" x14ac:dyDescent="0.3">
      <c r="B26" s="121"/>
      <c r="C26" s="118" t="str">
        <f>IF(OR(E31="",E32=""),"",IF(E31&gt;E32,F31,F32))</f>
        <v/>
      </c>
      <c r="H26" s="117" t="str">
        <f ca="1">INDIRECT(ADDRESS(20,4,,,"CLASSEMENTS"))</f>
        <v>6B</v>
      </c>
      <c r="I26" s="123">
        <v>0</v>
      </c>
      <c r="N26" s="117" t="str">
        <f>IF(OR(L31="",L32=""),"",IF(L31&gt;L32,K31,K32))</f>
        <v/>
      </c>
      <c r="O26" s="123"/>
    </row>
    <row r="27" spans="2:15" x14ac:dyDescent="0.25">
      <c r="C27" s="114" t="s">
        <v>217</v>
      </c>
      <c r="N27" s="114" t="s">
        <v>215</v>
      </c>
    </row>
    <row r="28" spans="2:15" ht="15.75" thickBot="1" x14ac:dyDescent="0.3">
      <c r="C28" s="114" t="s">
        <v>225</v>
      </c>
      <c r="H28" s="114" t="s">
        <v>216</v>
      </c>
      <c r="N28" s="114" t="s">
        <v>223</v>
      </c>
    </row>
    <row r="29" spans="2:15" x14ac:dyDescent="0.25">
      <c r="B29" s="120"/>
      <c r="C29" s="116" t="str">
        <f>IF(OR(E23="",E24=""),"",IF(E23&lt;E24,F23,F24))</f>
        <v/>
      </c>
      <c r="H29" s="115" t="str">
        <f ca="1">INDIRECT(ADDRESS(9,4,,,"CLASSEMENTS"))</f>
        <v>6A</v>
      </c>
      <c r="I29" s="122">
        <v>1</v>
      </c>
      <c r="N29" s="115" t="str">
        <f>IF(OR(L23="",L24=""),"",IF(L23&lt;L24,K23,K24))</f>
        <v/>
      </c>
      <c r="O29" s="122"/>
    </row>
    <row r="30" spans="2:15" ht="15.75" thickBot="1" x14ac:dyDescent="0.3">
      <c r="B30" s="121"/>
      <c r="C30" s="118" t="str">
        <f>IF(OR(E31="",E32=""),"",IF(E31&lt;E32,F31,F32))</f>
        <v/>
      </c>
      <c r="F30" s="114" t="s">
        <v>217</v>
      </c>
      <c r="H30" s="117" t="str">
        <f ca="1">INDIRECT(ADDRESS(21,4,,,"CLASSEMENTS"))</f>
        <v>7B</v>
      </c>
      <c r="I30" s="123">
        <v>0</v>
      </c>
      <c r="K30" s="114" t="s">
        <v>215</v>
      </c>
      <c r="N30" s="117" t="str">
        <f>IF(OR(L31="",L32=""),"",IF(L31&lt;L32,K31,K32))</f>
        <v/>
      </c>
      <c r="O30" s="123"/>
    </row>
    <row r="31" spans="2:15" x14ac:dyDescent="0.25">
      <c r="E31" s="120"/>
      <c r="F31" s="116" t="str">
        <f ca="1">IF(OR(I29="",I30=""),"",IF(I29&lt;I30,H29,H30))</f>
        <v>7B</v>
      </c>
      <c r="K31" s="115" t="str">
        <f ca="1">IF(OR(I29="",I30=""),"",IF(I29&gt;I30,H29,H30))</f>
        <v>6A</v>
      </c>
      <c r="L31" s="122"/>
    </row>
    <row r="32" spans="2:15" ht="15.75" thickBot="1" x14ac:dyDescent="0.3">
      <c r="E32" s="121"/>
      <c r="F32" s="118" t="str">
        <f ca="1">IF(OR(I33="",I34=""),"",IF(I33&lt;I34,H33,H34))</f>
        <v>5B</v>
      </c>
      <c r="H32" s="114" t="s">
        <v>217</v>
      </c>
      <c r="K32" s="117" t="str">
        <f ca="1">IF(OR(I33="",I34=""),"",IF(I33&gt;I34,H33,H34))</f>
        <v>8A</v>
      </c>
      <c r="L32" s="123"/>
    </row>
    <row r="33" spans="3:14" x14ac:dyDescent="0.25">
      <c r="H33" s="115" t="str">
        <f ca="1">INDIRECT(ADDRESS(11,4,,,"CLASSEMENTS"))</f>
        <v>8A</v>
      </c>
      <c r="I33" s="122">
        <v>1</v>
      </c>
    </row>
    <row r="34" spans="3:14" ht="15.75" thickBot="1" x14ac:dyDescent="0.3">
      <c r="H34" s="117" t="str">
        <f ca="1">INDIRECT(ADDRESS(19,4,,,"CLASSEMENTS"))</f>
        <v>5B</v>
      </c>
      <c r="I34" s="123">
        <v>0</v>
      </c>
    </row>
    <row r="40" spans="3:14" x14ac:dyDescent="0.25">
      <c r="F40" s="114" t="str">
        <f>IF(OR(I38="",I39=""),"",IF(I38&lt;I39,H38,H39))</f>
        <v/>
      </c>
      <c r="K40" s="114" t="str">
        <f>IF(OR(I38="",I39=""),"",IF(I38&gt;I39,H38,H39))</f>
        <v/>
      </c>
    </row>
    <row r="41" spans="3:14" x14ac:dyDescent="0.25">
      <c r="F41" s="114" t="str">
        <f>IF(OR(I42="",I43=""),"",IF(I42&lt;I43,H42,H43))</f>
        <v/>
      </c>
      <c r="K41" s="114" t="str">
        <f>IF(OR(I42="",I43=""),"",IF(I42&gt;I43,H42,H43))</f>
        <v/>
      </c>
    </row>
    <row r="42" spans="3:14" x14ac:dyDescent="0.25">
      <c r="C42" s="114" t="str">
        <f>IF(OR(E40="",E41=""),"",IF(E40&gt;E41,F40,F41))</f>
        <v/>
      </c>
      <c r="N42" s="114" t="str">
        <f>IF(OR(L40="",L41=""),"",IF(L40&gt;L41,K40,K41))</f>
        <v/>
      </c>
    </row>
    <row r="43" spans="3:14" x14ac:dyDescent="0.25">
      <c r="C43" s="114" t="str">
        <f>IF(OR(E48="",E49=""),"",IF(E48&gt;E49,F48,F49))</f>
        <v/>
      </c>
      <c r="N43" s="114" t="str">
        <f>IF(OR(L48="",L49=""),"",IF(L48&gt;L49,K48,K49))</f>
        <v/>
      </c>
    </row>
    <row r="46" spans="3:14" x14ac:dyDescent="0.25">
      <c r="C46" s="114" t="str">
        <f>IF(OR(E40="",E41=""),"",IF(E40&lt;E41,F40,F41))</f>
        <v/>
      </c>
      <c r="N46" s="114" t="str">
        <f>IF(OR(L40="",L41=""),"",IF(L40&lt;L41,K40,K41))</f>
        <v/>
      </c>
    </row>
    <row r="47" spans="3:14" x14ac:dyDescent="0.25">
      <c r="C47" s="114" t="str">
        <f>IF(OR(E48="",E49=""),"",IF(E48&lt;E49,F48,F49))</f>
        <v/>
      </c>
      <c r="N47" s="114" t="str">
        <f>IF(OR(L48="",L49=""),"",IF(L48&lt;L49,K48,K49))</f>
        <v/>
      </c>
    </row>
    <row r="48" spans="3:14" x14ac:dyDescent="0.25">
      <c r="F48" s="114" t="str">
        <f>IF(OR(I46="",I47=""),"",IF(I46&lt;I47,H46,H47))</f>
        <v/>
      </c>
      <c r="K48" s="114" t="str">
        <f>IF(OR(I46="",I47=""),"",IF(I46&gt;I47,H46,H47))</f>
        <v/>
      </c>
    </row>
    <row r="49" spans="3:14" x14ac:dyDescent="0.25">
      <c r="F49" s="114" t="str">
        <f>IF(OR(I50="",I51=""),"",IF(I50&lt;I51,H50,H51))</f>
        <v/>
      </c>
      <c r="K49" s="114" t="str">
        <f>IF(OR(I50="",I51=""),"",IF(I50&gt;I51,H50,H51))</f>
        <v/>
      </c>
    </row>
    <row r="57" spans="3:14" x14ac:dyDescent="0.25">
      <c r="F57" s="114" t="str">
        <f>IF(OR(I55="",I56=""),"",IF(I55&lt;I56,H55,H56))</f>
        <v/>
      </c>
      <c r="K57" s="114" t="str">
        <f>IF(OR(I55="",I56=""),"",IF(I55&gt;I56,H55,H56))</f>
        <v/>
      </c>
    </row>
    <row r="58" spans="3:14" x14ac:dyDescent="0.25">
      <c r="F58" s="114" t="str">
        <f>IF(OR(I59="",I60=""),"",IF(I59&lt;I60,H59,H60))</f>
        <v/>
      </c>
      <c r="K58" s="114" t="str">
        <f>IF(OR(I59="",I60=""),"",IF(I59&gt;I60,H59,H60))</f>
        <v/>
      </c>
    </row>
    <row r="59" spans="3:14" x14ac:dyDescent="0.25">
      <c r="C59" s="114" t="str">
        <f>IF(OR(E57="",E58=""),"",IF(E57&gt;E58,F57,F58))</f>
        <v/>
      </c>
      <c r="N59" s="114" t="str">
        <f>IF(OR(L57="",L58=""),"",IF(L57&gt;L58,K57,K58))</f>
        <v/>
      </c>
    </row>
    <row r="60" spans="3:14" x14ac:dyDescent="0.25">
      <c r="C60" s="114" t="str">
        <f>IF(OR(E65="",E66=""),"",IF(E65&gt;E66,F65,F66))</f>
        <v/>
      </c>
      <c r="N60" s="114" t="str">
        <f>IF(OR(L65="",L66=""),"",IF(L65&gt;L66,K65,K66))</f>
        <v/>
      </c>
    </row>
    <row r="63" spans="3:14" x14ac:dyDescent="0.25">
      <c r="C63" s="114" t="str">
        <f>IF(OR(E57="",E58=""),"",IF(E57&lt;E58,F57,F58))</f>
        <v/>
      </c>
      <c r="N63" s="114" t="str">
        <f>IF(OR(L57="",L58=""),"",IF(L57&lt;L58,K57,K58))</f>
        <v/>
      </c>
    </row>
    <row r="64" spans="3:14" x14ac:dyDescent="0.25">
      <c r="C64" s="114" t="str">
        <f>IF(OR(E65="",E66=""),"",IF(E65&lt;E66,F65,F66))</f>
        <v/>
      </c>
      <c r="N64" s="114" t="str">
        <f>IF(OR(L65="",L66=""),"",IF(L65&lt;L66,K65,K66))</f>
        <v/>
      </c>
    </row>
    <row r="65" spans="6:11" x14ac:dyDescent="0.25">
      <c r="F65" s="114" t="str">
        <f>IF(OR(I63="",I64=""),"",IF(I63&lt;I64,H63,H64))</f>
        <v/>
      </c>
      <c r="K65" s="114" t="str">
        <f>IF(OR(I63="",I64=""),"",IF(I63&gt;I64,H63,H64))</f>
        <v/>
      </c>
    </row>
    <row r="66" spans="6:11" x14ac:dyDescent="0.25">
      <c r="F66" s="114" t="str">
        <f>IF(OR(I67="",I68=""),"",IF(I67&lt;I68,H67,H68))</f>
        <v/>
      </c>
      <c r="K66" s="114" t="str">
        <f>IF(OR(I67="",I68=""),"",IF(I67&gt;I68,H67,H68))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4AAD7E37-ED31-47CB-8B33-53299563040D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257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9BE27-7FF6-4D18-8881-282CC46A9BE7}">
  <sheetPr codeName="Feuil66"/>
  <dimension ref="B1:O66"/>
  <sheetViews>
    <sheetView workbookViewId="0">
      <selection activeCell="I27" sqref="I27"/>
    </sheetView>
  </sheetViews>
  <sheetFormatPr baseColWidth="10" defaultRowHeight="15" x14ac:dyDescent="0.25"/>
  <cols>
    <col min="1" max="1" width="11.42578125" style="114"/>
    <col min="2" max="2" width="4.28515625" style="119" customWidth="1"/>
    <col min="3" max="3" width="22.85546875" style="114" customWidth="1"/>
    <col min="4" max="4" width="2.85546875" style="114" customWidth="1"/>
    <col min="5" max="5" width="4.28515625" style="119" customWidth="1"/>
    <col min="6" max="6" width="22.85546875" style="114" customWidth="1"/>
    <col min="7" max="7" width="2.85546875" style="114" customWidth="1"/>
    <col min="8" max="8" width="22.85546875" style="114" customWidth="1"/>
    <col min="9" max="9" width="4.28515625" style="119" customWidth="1"/>
    <col min="10" max="10" width="2.85546875" style="114" customWidth="1"/>
    <col min="11" max="11" width="22.85546875" style="114" customWidth="1"/>
    <col min="12" max="12" width="4.28515625" style="119" customWidth="1"/>
    <col min="13" max="13" width="2.85546875" style="114" customWidth="1"/>
    <col min="14" max="14" width="22.85546875" style="114" customWidth="1"/>
    <col min="15" max="15" width="4.28515625" style="119" customWidth="1"/>
    <col min="16" max="16384" width="11.42578125" style="114"/>
  </cols>
  <sheetData>
    <row r="1" spans="2:15" x14ac:dyDescent="0.25">
      <c r="H1" s="114" t="s">
        <v>207</v>
      </c>
    </row>
    <row r="2" spans="2:15" x14ac:dyDescent="0.25">
      <c r="H2" s="114" t="s">
        <v>208</v>
      </c>
    </row>
    <row r="3" spans="2:15" ht="15.75" thickBot="1" x14ac:dyDescent="0.3">
      <c r="H3" s="114" t="s">
        <v>209</v>
      </c>
    </row>
    <row r="4" spans="2:15" x14ac:dyDescent="0.25">
      <c r="H4" s="115" t="str">
        <f ca="1">INDIRECT(ADDRESS(26,4,,,"CLASSEMENTS"))</f>
        <v>1C</v>
      </c>
      <c r="I4" s="122">
        <v>1</v>
      </c>
    </row>
    <row r="5" spans="2:15" ht="15.75" thickBot="1" x14ac:dyDescent="0.3">
      <c r="F5" s="114" t="s">
        <v>211</v>
      </c>
      <c r="H5" s="117" t="str">
        <f ca="1">INDIRECT(ADDRESS(40,4,,,"CLASSEMENTS"))</f>
        <v>4D</v>
      </c>
      <c r="I5" s="123">
        <v>0</v>
      </c>
      <c r="K5" s="114" t="s">
        <v>209</v>
      </c>
    </row>
    <row r="6" spans="2:15" x14ac:dyDescent="0.25">
      <c r="C6" s="114" t="s">
        <v>211</v>
      </c>
      <c r="E6" s="120"/>
      <c r="F6" s="116" t="str">
        <f ca="1">IF(OR(I4="",I5=""),"",IF(I4&lt;I5,H4,H5))</f>
        <v>4D</v>
      </c>
      <c r="K6" s="115" t="str">
        <f ca="1">IF(OR(I4="",I5=""),"",IF(I4&gt;I5,H4,H5))</f>
        <v>1C</v>
      </c>
      <c r="L6" s="122"/>
      <c r="N6" s="114" t="s">
        <v>209</v>
      </c>
    </row>
    <row r="7" spans="2:15" ht="15.75" thickBot="1" x14ac:dyDescent="0.3">
      <c r="C7" s="114" t="s">
        <v>220</v>
      </c>
      <c r="E7" s="121"/>
      <c r="F7" s="118" t="str">
        <f ca="1">IF(OR(I8="",I9=""),"",IF(I8&lt;I9,H8,H9))</f>
        <v>2D</v>
      </c>
      <c r="H7" s="114" t="s">
        <v>210</v>
      </c>
      <c r="K7" s="117" t="str">
        <f ca="1">IF(OR(I8="",I9=""),"",IF(I8&gt;I9,H8,H9))</f>
        <v>3C</v>
      </c>
      <c r="L7" s="123"/>
      <c r="N7" s="114" t="s">
        <v>218</v>
      </c>
    </row>
    <row r="8" spans="2:15" x14ac:dyDescent="0.25">
      <c r="B8" s="120"/>
      <c r="C8" s="116" t="str">
        <f>IF(OR(E6="",E7=""),"",IF(E6&gt;E7,F6,F7))</f>
        <v/>
      </c>
      <c r="H8" s="115" t="str">
        <f ca="1">INDIRECT(ADDRESS(28,4,,,"CLASSEMENTS"))</f>
        <v>3C</v>
      </c>
      <c r="I8" s="122">
        <v>1</v>
      </c>
      <c r="N8" s="115" t="str">
        <f>IF(OR(L6="",L7=""),"",IF(L6&gt;L7,K6,K7))</f>
        <v/>
      </c>
      <c r="O8" s="122"/>
    </row>
    <row r="9" spans="2:15" ht="15.75" thickBot="1" x14ac:dyDescent="0.3">
      <c r="B9" s="121"/>
      <c r="C9" s="118" t="str">
        <f>IF(OR(E14="",E15=""),"",IF(E14&gt;E15,F14,F15))</f>
        <v/>
      </c>
      <c r="H9" s="117" t="str">
        <f ca="1">INDIRECT(ADDRESS(38,4,,,"CLASSEMENTS"))</f>
        <v>2D</v>
      </c>
      <c r="I9" s="123">
        <v>0</v>
      </c>
      <c r="N9" s="117" t="str">
        <f>IF(OR(L14="",L15=""),"",IF(L14&gt;L15,K14,K15))</f>
        <v/>
      </c>
      <c r="O9" s="123"/>
    </row>
    <row r="10" spans="2:15" x14ac:dyDescent="0.25">
      <c r="C10" s="114" t="s">
        <v>212</v>
      </c>
      <c r="N10" s="114" t="s">
        <v>210</v>
      </c>
    </row>
    <row r="11" spans="2:15" ht="15.75" thickBot="1" x14ac:dyDescent="0.3">
      <c r="C11" s="114" t="s">
        <v>221</v>
      </c>
      <c r="H11" s="114" t="s">
        <v>211</v>
      </c>
      <c r="N11" s="114" t="s">
        <v>219</v>
      </c>
    </row>
    <row r="12" spans="2:15" x14ac:dyDescent="0.25">
      <c r="B12" s="120"/>
      <c r="C12" s="116" t="str">
        <f>IF(OR(E6="",E7=""),"",IF(E6&lt;E7,F6,F7))</f>
        <v/>
      </c>
      <c r="H12" s="115" t="str">
        <f ca="1">INDIRECT(ADDRESS(27,4,,,"CLASSEMENTS"))</f>
        <v>2C</v>
      </c>
      <c r="I12" s="122">
        <v>1</v>
      </c>
      <c r="N12" s="115" t="str">
        <f>IF(OR(L6="",L7=""),"",IF(L6&lt;L7,K6,K7))</f>
        <v/>
      </c>
      <c r="O12" s="122"/>
    </row>
    <row r="13" spans="2:15" ht="15.75" thickBot="1" x14ac:dyDescent="0.3">
      <c r="B13" s="121"/>
      <c r="C13" s="118" t="str">
        <f>IF(OR(E14="",E15=""),"",IF(E14&lt;E15,F14,F15))</f>
        <v/>
      </c>
      <c r="F13" s="114" t="s">
        <v>212</v>
      </c>
      <c r="H13" s="117" t="str">
        <f ca="1">INDIRECT(ADDRESS(39,4,,,"CLASSEMENTS"))</f>
        <v>3D</v>
      </c>
      <c r="I13" s="123">
        <v>0</v>
      </c>
      <c r="K13" s="114" t="s">
        <v>210</v>
      </c>
      <c r="N13" s="117" t="str">
        <f>IF(OR(L14="",L15=""),"",IF(L14&lt;L15,K14,K15))</f>
        <v/>
      </c>
      <c r="O13" s="123"/>
    </row>
    <row r="14" spans="2:15" x14ac:dyDescent="0.25">
      <c r="E14" s="120"/>
      <c r="F14" s="116" t="str">
        <f ca="1">IF(OR(I12="",I13=""),"",IF(I12&lt;I13,H12,H13))</f>
        <v>3D</v>
      </c>
      <c r="K14" s="115" t="str">
        <f ca="1">IF(OR(I12="",I13=""),"",IF(I12&gt;I13,H12,H13))</f>
        <v>2C</v>
      </c>
      <c r="L14" s="122"/>
    </row>
    <row r="15" spans="2:15" ht="15.75" thickBot="1" x14ac:dyDescent="0.3">
      <c r="E15" s="121"/>
      <c r="F15" s="118" t="str">
        <f ca="1">IF(OR(I16="",I17=""),"",IF(I16&lt;I17,H16,H17))</f>
        <v>1D</v>
      </c>
      <c r="H15" s="114" t="s">
        <v>212</v>
      </c>
      <c r="K15" s="117" t="str">
        <f ca="1">IF(OR(I16="",I17=""),"",IF(I16&gt;I17,H16,H17))</f>
        <v>4C</v>
      </c>
      <c r="L15" s="123"/>
    </row>
    <row r="16" spans="2:15" x14ac:dyDescent="0.25">
      <c r="H16" s="115" t="str">
        <f ca="1">INDIRECT(ADDRESS(29,4,,,"CLASSEMENTS"))</f>
        <v>4C</v>
      </c>
      <c r="I16" s="122">
        <v>1</v>
      </c>
    </row>
    <row r="17" spans="2:15" ht="15.75" thickBot="1" x14ac:dyDescent="0.3">
      <c r="H17" s="117" t="str">
        <f ca="1">INDIRECT(ADDRESS(37,4,,,"CLASSEMENTS"))</f>
        <v>1D</v>
      </c>
      <c r="I17" s="123">
        <v>0</v>
      </c>
    </row>
    <row r="19" spans="2:15" x14ac:dyDescent="0.25">
      <c r="H19" s="114" t="s">
        <v>213</v>
      </c>
    </row>
    <row r="20" spans="2:15" ht="15.75" thickBot="1" x14ac:dyDescent="0.3">
      <c r="H20" s="114" t="s">
        <v>214</v>
      </c>
    </row>
    <row r="21" spans="2:15" x14ac:dyDescent="0.25">
      <c r="H21" s="115" t="str">
        <f ca="1">INDIRECT(ADDRESS(30,4,,,"CLASSEMENTS"))</f>
        <v>5C</v>
      </c>
      <c r="I21" s="122">
        <v>1</v>
      </c>
    </row>
    <row r="22" spans="2:15" ht="15.75" thickBot="1" x14ac:dyDescent="0.3">
      <c r="F22" s="114" t="s">
        <v>216</v>
      </c>
      <c r="H22" s="117" t="str">
        <f ca="1">INDIRECT(ADDRESS(44,4,,,"CLASSEMENTS"))</f>
        <v>8D</v>
      </c>
      <c r="I22" s="123">
        <v>0</v>
      </c>
      <c r="K22" s="114" t="s">
        <v>214</v>
      </c>
    </row>
    <row r="23" spans="2:15" x14ac:dyDescent="0.25">
      <c r="C23" s="114" t="s">
        <v>216</v>
      </c>
      <c r="E23" s="120"/>
      <c r="F23" s="116" t="str">
        <f ca="1">IF(OR(I21="",I22=""),"",IF(I21&lt;I22,H21,H22))</f>
        <v>8D</v>
      </c>
      <c r="K23" s="115" t="str">
        <f ca="1">IF(OR(I21="",I22=""),"",IF(I21&gt;I22,H21,H22))</f>
        <v>5C</v>
      </c>
      <c r="L23" s="122"/>
      <c r="N23" s="114" t="s">
        <v>214</v>
      </c>
    </row>
    <row r="24" spans="2:15" ht="15.75" thickBot="1" x14ac:dyDescent="0.3">
      <c r="C24" s="114" t="s">
        <v>224</v>
      </c>
      <c r="E24" s="121"/>
      <c r="F24" s="118" t="str">
        <f ca="1">IF(OR(I25="",I26=""),"",IF(I25&lt;I26,H25,H26))</f>
        <v>6D</v>
      </c>
      <c r="H24" s="114" t="s">
        <v>215</v>
      </c>
      <c r="K24" s="117" t="str">
        <f ca="1">IF(OR(I25="",I26=""),"",IF(I25&gt;I26,H25,H26))</f>
        <v>7C</v>
      </c>
      <c r="L24" s="123"/>
      <c r="N24" s="114" t="s">
        <v>222</v>
      </c>
    </row>
    <row r="25" spans="2:15" x14ac:dyDescent="0.25">
      <c r="B25" s="120"/>
      <c r="C25" s="116" t="str">
        <f>IF(OR(E23="",E24=""),"",IF(E23&gt;E24,F23,F24))</f>
        <v/>
      </c>
      <c r="H25" s="115" t="str">
        <f ca="1">INDIRECT(ADDRESS(32,4,,,"CLASSEMENTS"))</f>
        <v>7C</v>
      </c>
      <c r="I25" s="122">
        <v>1</v>
      </c>
      <c r="N25" s="115" t="str">
        <f>IF(OR(L23="",L24=""),"",IF(L23&gt;L24,K23,K24))</f>
        <v/>
      </c>
      <c r="O25" s="122"/>
    </row>
    <row r="26" spans="2:15" ht="15.75" thickBot="1" x14ac:dyDescent="0.3">
      <c r="B26" s="121"/>
      <c r="C26" s="118" t="str">
        <f>IF(OR(E31="",E32=""),"",IF(E31&gt;E32,F31,F32))</f>
        <v/>
      </c>
      <c r="H26" s="117" t="str">
        <f ca="1">INDIRECT(ADDRESS(42,4,,,"CLASSEMENTS"))</f>
        <v>6D</v>
      </c>
      <c r="I26" s="123">
        <v>0</v>
      </c>
      <c r="N26" s="117" t="str">
        <f>IF(OR(L31="",L32=""),"",IF(L31&gt;L32,K31,K32))</f>
        <v/>
      </c>
      <c r="O26" s="123"/>
    </row>
    <row r="27" spans="2:15" x14ac:dyDescent="0.25">
      <c r="C27" s="114" t="s">
        <v>217</v>
      </c>
      <c r="N27" s="114" t="s">
        <v>215</v>
      </c>
    </row>
    <row r="28" spans="2:15" ht="15.75" thickBot="1" x14ac:dyDescent="0.3">
      <c r="C28" s="114" t="s">
        <v>225</v>
      </c>
      <c r="H28" s="114" t="s">
        <v>216</v>
      </c>
      <c r="N28" s="114" t="s">
        <v>223</v>
      </c>
    </row>
    <row r="29" spans="2:15" x14ac:dyDescent="0.25">
      <c r="B29" s="120"/>
      <c r="C29" s="116" t="str">
        <f>IF(OR(E23="",E24=""),"",IF(E23&lt;E24,F23,F24))</f>
        <v/>
      </c>
      <c r="H29" s="115" t="str">
        <f ca="1">INDIRECT(ADDRESS(31,4,,,"CLASSEMENTS"))</f>
        <v>6C</v>
      </c>
      <c r="I29" s="122"/>
      <c r="N29" s="115" t="str">
        <f>IF(OR(L23="",L24=""),"",IF(L23&lt;L24,K23,K24))</f>
        <v/>
      </c>
      <c r="O29" s="122"/>
    </row>
    <row r="30" spans="2:15" ht="15.75" thickBot="1" x14ac:dyDescent="0.3">
      <c r="B30" s="121"/>
      <c r="C30" s="118" t="str">
        <f>IF(OR(E31="",E32=""),"",IF(E31&lt;E32,F31,F32))</f>
        <v/>
      </c>
      <c r="F30" s="114" t="s">
        <v>217</v>
      </c>
      <c r="H30" s="117" t="str">
        <f ca="1">INDIRECT(ADDRESS(43,4,,,"CLASSEMENTS"))</f>
        <v>7D</v>
      </c>
      <c r="I30" s="123"/>
      <c r="K30" s="114" t="s">
        <v>215</v>
      </c>
      <c r="N30" s="117" t="str">
        <f>IF(OR(L31="",L32=""),"",IF(L31&lt;L32,K31,K32))</f>
        <v/>
      </c>
      <c r="O30" s="123"/>
    </row>
    <row r="31" spans="2:15" x14ac:dyDescent="0.25">
      <c r="E31" s="120"/>
      <c r="F31" s="116" t="str">
        <f>IF(OR(I29="",I30=""),"",IF(I29&lt;I30,H29,H30))</f>
        <v/>
      </c>
      <c r="K31" s="115" t="str">
        <f>IF(OR(I29="",I30=""),"",IF(I29&gt;I30,H29,H30))</f>
        <v/>
      </c>
      <c r="L31" s="122"/>
    </row>
    <row r="32" spans="2:15" ht="15.75" thickBot="1" x14ac:dyDescent="0.3">
      <c r="E32" s="121"/>
      <c r="F32" s="118" t="str">
        <f>IF(OR(I33="",I34=""),"",IF(I33&lt;I34,H33,H34))</f>
        <v/>
      </c>
      <c r="H32" s="114" t="s">
        <v>217</v>
      </c>
      <c r="K32" s="117" t="str">
        <f>IF(OR(I33="",I34=""),"",IF(I33&gt;I34,H33,H34))</f>
        <v/>
      </c>
      <c r="L32" s="123"/>
    </row>
    <row r="33" spans="3:14" x14ac:dyDescent="0.25">
      <c r="H33" s="115" t="str">
        <f ca="1">INDIRECT(ADDRESS(33,4,,,"CLASSEMENTS"))</f>
        <v>8C</v>
      </c>
      <c r="I33" s="122"/>
    </row>
    <row r="34" spans="3:14" ht="15.75" thickBot="1" x14ac:dyDescent="0.3">
      <c r="H34" s="117" t="str">
        <f ca="1">INDIRECT(ADDRESS(41,4,,,"CLASSEMENTS"))</f>
        <v>5D</v>
      </c>
      <c r="I34" s="123"/>
    </row>
    <row r="40" spans="3:14" x14ac:dyDescent="0.25">
      <c r="F40" s="114" t="str">
        <f>IF(OR(I38="",I39=""),"",IF(I38&lt;I39,H38,H39))</f>
        <v/>
      </c>
      <c r="K40" s="114" t="str">
        <f>IF(OR(I38="",I39=""),"",IF(I38&gt;I39,H38,H39))</f>
        <v/>
      </c>
    </row>
    <row r="41" spans="3:14" x14ac:dyDescent="0.25">
      <c r="F41" s="114" t="str">
        <f>IF(OR(I42="",I43=""),"",IF(I42&lt;I43,H42,H43))</f>
        <v/>
      </c>
      <c r="K41" s="114" t="str">
        <f>IF(OR(I42="",I43=""),"",IF(I42&gt;I43,H42,H43))</f>
        <v/>
      </c>
    </row>
    <row r="42" spans="3:14" x14ac:dyDescent="0.25">
      <c r="C42" s="114" t="str">
        <f>IF(OR(E40="",E41=""),"",IF(E40&gt;E41,F40,F41))</f>
        <v/>
      </c>
      <c r="N42" s="114" t="str">
        <f>IF(OR(L40="",L41=""),"",IF(L40&gt;L41,K40,K41))</f>
        <v/>
      </c>
    </row>
    <row r="43" spans="3:14" x14ac:dyDescent="0.25">
      <c r="C43" s="114" t="str">
        <f>IF(OR(E48="",E49=""),"",IF(E48&gt;E49,F48,F49))</f>
        <v/>
      </c>
      <c r="N43" s="114" t="str">
        <f>IF(OR(L48="",L49=""),"",IF(L48&gt;L49,K48,K49))</f>
        <v/>
      </c>
    </row>
    <row r="46" spans="3:14" x14ac:dyDescent="0.25">
      <c r="C46" s="114" t="str">
        <f>IF(OR(E40="",E41=""),"",IF(E40&lt;E41,F40,F41))</f>
        <v/>
      </c>
      <c r="N46" s="114" t="str">
        <f>IF(OR(L40="",L41=""),"",IF(L40&lt;L41,K40,K41))</f>
        <v/>
      </c>
    </row>
    <row r="47" spans="3:14" x14ac:dyDescent="0.25">
      <c r="C47" s="114" t="str">
        <f>IF(OR(E48="",E49=""),"",IF(E48&lt;E49,F48,F49))</f>
        <v/>
      </c>
      <c r="N47" s="114" t="str">
        <f>IF(OR(L48="",L49=""),"",IF(L48&lt;L49,K48,K49))</f>
        <v/>
      </c>
    </row>
    <row r="48" spans="3:14" x14ac:dyDescent="0.25">
      <c r="F48" s="114" t="str">
        <f>IF(OR(I46="",I47=""),"",IF(I46&lt;I47,H46,H47))</f>
        <v/>
      </c>
      <c r="K48" s="114" t="str">
        <f>IF(OR(I46="",I47=""),"",IF(I46&gt;I47,H46,H47))</f>
        <v/>
      </c>
    </row>
    <row r="49" spans="3:14" x14ac:dyDescent="0.25">
      <c r="F49" s="114" t="str">
        <f>IF(OR(I50="",I51=""),"",IF(I50&lt;I51,H50,H51))</f>
        <v/>
      </c>
      <c r="K49" s="114" t="str">
        <f>IF(OR(I50="",I51=""),"",IF(I50&gt;I51,H50,H51))</f>
        <v/>
      </c>
    </row>
    <row r="57" spans="3:14" x14ac:dyDescent="0.25">
      <c r="F57" s="114" t="str">
        <f>IF(OR(I55="",I56=""),"",IF(I55&lt;I56,H55,H56))</f>
        <v/>
      </c>
      <c r="K57" s="114" t="str">
        <f>IF(OR(I55="",I56=""),"",IF(I55&gt;I56,H55,H56))</f>
        <v/>
      </c>
    </row>
    <row r="58" spans="3:14" x14ac:dyDescent="0.25">
      <c r="F58" s="114" t="str">
        <f>IF(OR(I59="",I60=""),"",IF(I59&lt;I60,H59,H60))</f>
        <v/>
      </c>
      <c r="K58" s="114" t="str">
        <f>IF(OR(I59="",I60=""),"",IF(I59&gt;I60,H59,H60))</f>
        <v/>
      </c>
    </row>
    <row r="59" spans="3:14" x14ac:dyDescent="0.25">
      <c r="C59" s="114" t="str">
        <f>IF(OR(E57="",E58=""),"",IF(E57&gt;E58,F57,F58))</f>
        <v/>
      </c>
      <c r="N59" s="114" t="str">
        <f>IF(OR(L57="",L58=""),"",IF(L57&gt;L58,K57,K58))</f>
        <v/>
      </c>
    </row>
    <row r="60" spans="3:14" x14ac:dyDescent="0.25">
      <c r="C60" s="114" t="str">
        <f>IF(OR(E65="",E66=""),"",IF(E65&gt;E66,F65,F66))</f>
        <v/>
      </c>
      <c r="N60" s="114" t="str">
        <f>IF(OR(L65="",L66=""),"",IF(L65&gt;L66,K65,K66))</f>
        <v/>
      </c>
    </row>
    <row r="63" spans="3:14" x14ac:dyDescent="0.25">
      <c r="C63" s="114" t="str">
        <f>IF(OR(E57="",E58=""),"",IF(E57&lt;E58,F57,F58))</f>
        <v/>
      </c>
      <c r="N63" s="114" t="str">
        <f>IF(OR(L57="",L58=""),"",IF(L57&lt;L58,K57,K58))</f>
        <v/>
      </c>
    </row>
    <row r="64" spans="3:14" x14ac:dyDescent="0.25">
      <c r="C64" s="114" t="str">
        <f>IF(OR(E65="",E66=""),"",IF(E65&lt;E66,F65,F66))</f>
        <v/>
      </c>
      <c r="N64" s="114" t="str">
        <f>IF(OR(L65="",L66=""),"",IF(L65&lt;L66,K65,K66))</f>
        <v/>
      </c>
    </row>
    <row r="65" spans="6:11" x14ac:dyDescent="0.25">
      <c r="F65" s="114" t="str">
        <f>IF(OR(I63="",I64=""),"",IF(I63&lt;I64,H63,H64))</f>
        <v/>
      </c>
      <c r="K65" s="114" t="str">
        <f>IF(OR(I63="",I64=""),"",IF(I63&gt;I64,H63,H64))</f>
        <v/>
      </c>
    </row>
    <row r="66" spans="6:11" x14ac:dyDescent="0.25">
      <c r="F66" s="114" t="str">
        <f>IF(OR(I67="",I68=""),"",IF(I67&lt;I68,H67,H68))</f>
        <v/>
      </c>
      <c r="K66" s="114" t="str">
        <f>IF(OR(I67="",I68=""),"",IF(I67&gt;I68,H67,H68))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4A198325-1A44-444F-8ADA-16247EF4654F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81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F154D-6065-4C93-9F5F-6AC8524C7BBD}">
  <sheetPr codeName="Feuil42"/>
  <dimension ref="A1:AA300"/>
  <sheetViews>
    <sheetView topLeftCell="B1" workbookViewId="0">
      <selection activeCell="P31" sqref="P31"/>
    </sheetView>
  </sheetViews>
  <sheetFormatPr baseColWidth="10" defaultRowHeight="15" x14ac:dyDescent="0.25"/>
  <cols>
    <col min="1" max="1" width="0" style="78" hidden="1" customWidth="1"/>
    <col min="2" max="2" width="43.5703125" style="78" customWidth="1"/>
    <col min="3" max="3" width="6" style="100" customWidth="1"/>
    <col min="4" max="4" width="16.7109375" style="78" customWidth="1"/>
    <col min="5" max="5" width="6" style="100" customWidth="1"/>
    <col min="6" max="6" width="43.5703125" style="78" customWidth="1"/>
    <col min="7" max="7" width="6" style="78" hidden="1" customWidth="1"/>
    <col min="8" max="16384" width="11.42578125" style="78"/>
  </cols>
  <sheetData>
    <row r="1" spans="1:27" x14ac:dyDescent="0.25">
      <c r="A1" s="254">
        <v>8</v>
      </c>
      <c r="B1" s="93"/>
      <c r="C1" s="99" t="str">
        <f>CHAR(160)</f>
        <v> </v>
      </c>
      <c r="D1" s="248">
        <f>MATCHS!D118 + "00:20:00"</f>
        <v>0.98611111111111271</v>
      </c>
      <c r="E1" s="99" t="str">
        <f>CHAR(160)</f>
        <v> </v>
      </c>
      <c r="F1" s="93"/>
      <c r="G1" s="93"/>
      <c r="X1" s="78" t="str">
        <f ca="1">INDIRECT("B"&amp;1) &amp; CHAR(10) &amp; "vs" &amp; CHAR(10) &amp; INDIRECT("F"&amp;1)</f>
        <v xml:space="preserve">
vs
</v>
      </c>
      <c r="Y1" s="78" t="b">
        <f ca="1">$S$10=X1</f>
        <v>0</v>
      </c>
      <c r="Z1" s="78" t="b">
        <f ca="1">$S$20=X1</f>
        <v>0</v>
      </c>
      <c r="AA1" s="78" t="b">
        <f ca="1">$S$30=X1</f>
        <v>0</v>
      </c>
    </row>
    <row r="2" spans="1:27" x14ac:dyDescent="0.25">
      <c r="A2" s="95"/>
      <c r="B2" s="95" t="str">
        <f ca="1">PHASE_FINALE_DM!H4</f>
        <v>1A</v>
      </c>
      <c r="C2" s="249">
        <f>IF(PHASE_FINALE_DM!I4&lt;&gt;"",PHASE_FINALE_DM!I4,"")</f>
        <v>1</v>
      </c>
      <c r="D2" s="94" t="s">
        <v>180</v>
      </c>
      <c r="E2" s="249">
        <f>IF(PHASE_FINALE_DM!I5&lt;&gt;"",PHASE_FINALE_DM!I5,"")</f>
        <v>0</v>
      </c>
      <c r="F2" s="95" t="str">
        <f ca="1">PHASE_FINALE_DM!H5</f>
        <v>4B</v>
      </c>
      <c r="G2" s="95"/>
      <c r="S2" s="78">
        <f>MATCH(TRUE,INDEX(LEN(C:C)=0, 0,0),0)</f>
        <v>17</v>
      </c>
      <c r="U2" s="78">
        <f>MATCH(TRUE,INDEX(LEN(E:E)=0, 0,0),0)</f>
        <v>17</v>
      </c>
      <c r="X2" s="78" t="str">
        <f ca="1">INDIRECT("B"&amp;2) &amp; CHAR(10) &amp; "vs" &amp; CHAR(10) &amp; INDIRECT("F"&amp;2)</f>
        <v>1A
vs
4B</v>
      </c>
      <c r="Y2" s="78" t="b">
        <f ca="1">$S$10=X2</f>
        <v>0</v>
      </c>
      <c r="Z2" s="78" t="b">
        <f ca="1">$S$20=X2</f>
        <v>0</v>
      </c>
      <c r="AA2" s="78" t="b">
        <f ca="1">$S$30=X2</f>
        <v>0</v>
      </c>
    </row>
    <row r="3" spans="1:27" x14ac:dyDescent="0.25">
      <c r="A3" s="95"/>
      <c r="B3" s="95" t="str">
        <f ca="1">PHASE_FINALE_DM!H8</f>
        <v>3A</v>
      </c>
      <c r="C3" s="249">
        <f>IF(PHASE_FINALE_DM!I8&lt;&gt;"",PHASE_FINALE_DM!I8,"")</f>
        <v>1</v>
      </c>
      <c r="D3" s="94" t="s">
        <v>181</v>
      </c>
      <c r="E3" s="249">
        <f>IF(PHASE_FINALE_DM!I9&lt;&gt;"",PHASE_FINALE_DM!I9,"")</f>
        <v>0</v>
      </c>
      <c r="F3" s="95" t="str">
        <f ca="1">PHASE_FINALE_DM!H9</f>
        <v>2B</v>
      </c>
      <c r="G3" s="95"/>
      <c r="S3" s="78">
        <f>IF(MOD(S$2-(1+ROUNDDOWN(S$2/$A$1,0)),$A$1)=0,S$2+1,S$2)</f>
        <v>17</v>
      </c>
      <c r="U3" s="78">
        <f>IF(MOD(U$2-(1+ROUNDDOWN(U$2/$A$1,0)),$A$1)=0,U$2+1,U$2)</f>
        <v>17</v>
      </c>
      <c r="X3" s="78" t="str">
        <f ca="1">INDIRECT("B"&amp;3) &amp; CHAR(10) &amp; "vs" &amp; CHAR(10) &amp; INDIRECT("F"&amp;3)</f>
        <v>3A
vs
2B</v>
      </c>
      <c r="Y3" s="78" t="b">
        <f ca="1">$S$10=X3</f>
        <v>0</v>
      </c>
      <c r="Z3" s="78" t="b">
        <f ca="1">$S$20=X3</f>
        <v>0</v>
      </c>
      <c r="AA3" s="78" t="b">
        <f ca="1">$S$30=X3</f>
        <v>0</v>
      </c>
    </row>
    <row r="4" spans="1:27" x14ac:dyDescent="0.25">
      <c r="A4" s="95"/>
      <c r="B4" s="95" t="str">
        <f ca="1">PHASE_FINALE_DM!H12</f>
        <v>2A</v>
      </c>
      <c r="C4" s="249">
        <f>IF(PHASE_FINALE_DM!I12&lt;&gt;"",PHASE_FINALE_DM!I12,"")</f>
        <v>1</v>
      </c>
      <c r="D4" s="94" t="s">
        <v>182</v>
      </c>
      <c r="E4" s="249">
        <f>IF(PHASE_FINALE_DM!I13&lt;&gt;"",PHASE_FINALE_DM!I13,"")</f>
        <v>0</v>
      </c>
      <c r="F4" s="95" t="str">
        <f ca="1">PHASE_FINALE_DM!H13</f>
        <v>3B</v>
      </c>
      <c r="G4" s="95"/>
      <c r="S4" s="78">
        <f>IF(MOD(S$3+1-(1+ROUNDDOWN(S$3/$A$1,0)),$A$1)=0,S$3+2,S$3+1)</f>
        <v>18</v>
      </c>
      <c r="U4" s="78">
        <f>IF(MOD(U$3+1-(1+ROUNDDOWN(U$3/$A$1,0)),$A$1)=0,U$3+2,U$3+1)</f>
        <v>18</v>
      </c>
      <c r="X4" s="78" t="str">
        <f ca="1">INDIRECT("B"&amp;4) &amp; CHAR(10) &amp; "vs" &amp; CHAR(10) &amp; INDIRECT("F"&amp;4)</f>
        <v>2A
vs
3B</v>
      </c>
      <c r="Y4" s="78" t="b">
        <f ca="1">$S$10=X4</f>
        <v>0</v>
      </c>
      <c r="Z4" s="78" t="b">
        <f ca="1">$S$20=X4</f>
        <v>0</v>
      </c>
      <c r="AA4" s="78" t="b">
        <f ca="1">$S$30=X4</f>
        <v>0</v>
      </c>
    </row>
    <row r="5" spans="1:27" x14ac:dyDescent="0.25">
      <c r="A5" s="95"/>
      <c r="B5" s="95" t="str">
        <f ca="1">PHASE_FINALE_DM!H16</f>
        <v>4A</v>
      </c>
      <c r="C5" s="249">
        <f>IF(PHASE_FINALE_DM!I16&lt;&gt;"",PHASE_FINALE_DM!I16,"")</f>
        <v>1</v>
      </c>
      <c r="D5" s="94" t="s">
        <v>183</v>
      </c>
      <c r="E5" s="249">
        <f>IF(PHASE_FINALE_DM!I17&lt;&gt;"",PHASE_FINALE_DM!I17,"")</f>
        <v>0</v>
      </c>
      <c r="F5" s="95" t="str">
        <f ca="1">PHASE_FINALE_DM!H17</f>
        <v>1B</v>
      </c>
      <c r="G5" s="95"/>
      <c r="S5" s="78">
        <f>IF(MOD(S$4+1-(1+ROUNDDOWN(S$4/$A$1,0)),$A$1)=0,S$4+2,S$4+1)</f>
        <v>20</v>
      </c>
      <c r="U5" s="78">
        <f>IF(MOD(U$4+1-(1+ROUNDDOWN(U$4/$A$1,0)),$A$1)=0,U$4+2,U$4+1)</f>
        <v>20</v>
      </c>
      <c r="X5" s="78" t="str">
        <f ca="1">INDIRECT("B"&amp;5) &amp; CHAR(10) &amp; "vs" &amp; CHAR(10) &amp; INDIRECT("F"&amp;5)</f>
        <v>4A
vs
1B</v>
      </c>
      <c r="Y5" s="78" t="b">
        <f ca="1">$S$10=X5</f>
        <v>0</v>
      </c>
      <c r="Z5" s="78" t="b">
        <f ca="1">$S$20=X5</f>
        <v>0</v>
      </c>
      <c r="AA5" s="78" t="b">
        <f ca="1">$S$30=X5</f>
        <v>0</v>
      </c>
    </row>
    <row r="6" spans="1:27" x14ac:dyDescent="0.25">
      <c r="A6" s="95"/>
      <c r="B6" s="95" t="str">
        <f ca="1">PHASE_FINALE_DM!H21</f>
        <v>5A</v>
      </c>
      <c r="C6" s="249">
        <f>IF(PHASE_FINALE_DM!I21&lt;&gt;"",PHASE_FINALE_DM!I21,"")</f>
        <v>1</v>
      </c>
      <c r="D6" s="94" t="s">
        <v>184</v>
      </c>
      <c r="E6" s="249">
        <f>IF(PHASE_FINALE_DM!I22&lt;&gt;"",PHASE_FINALE_DM!I22,"")</f>
        <v>0</v>
      </c>
      <c r="F6" s="95" t="str">
        <f ca="1">PHASE_FINALE_DM!H22</f>
        <v>8B</v>
      </c>
      <c r="G6" s="95"/>
      <c r="X6" s="78" t="str">
        <f ca="1">INDIRECT("B"&amp;6) &amp; CHAR(10) &amp; "vs" &amp; CHAR(10) &amp; INDIRECT("F"&amp;6)</f>
        <v>5A
vs
8B</v>
      </c>
      <c r="Y6" s="78" t="b">
        <f ca="1">$S$10=X6</f>
        <v>0</v>
      </c>
      <c r="Z6" s="78" t="b">
        <f ca="1">$S$20=X6</f>
        <v>0</v>
      </c>
      <c r="AA6" s="78" t="b">
        <f ca="1">$S$30=X6</f>
        <v>0</v>
      </c>
    </row>
    <row r="7" spans="1:27" x14ac:dyDescent="0.25">
      <c r="A7" s="95"/>
      <c r="B7" s="95" t="str">
        <f ca="1">PHASE_FINALE_DM!H25</f>
        <v>7A</v>
      </c>
      <c r="C7" s="249">
        <f>IF(PHASE_FINALE_DM!I25&lt;&gt;"",PHASE_FINALE_DM!I25,"")</f>
        <v>1</v>
      </c>
      <c r="D7" s="94" t="s">
        <v>185</v>
      </c>
      <c r="E7" s="249">
        <f>IF(PHASE_FINALE_DM!I26&lt;&gt;"",PHASE_FINALE_DM!I26,"")</f>
        <v>0</v>
      </c>
      <c r="F7" s="95" t="str">
        <f ca="1">PHASE_FINALE_DM!H26</f>
        <v>6B</v>
      </c>
      <c r="G7" s="95"/>
      <c r="S7" s="242" t="s">
        <v>178</v>
      </c>
      <c r="T7" s="242"/>
      <c r="U7" s="242"/>
      <c r="V7" s="242"/>
      <c r="W7" s="242"/>
      <c r="X7" s="78" t="str">
        <f ca="1">INDIRECT("B"&amp;7) &amp; CHAR(10) &amp; "vs" &amp; CHAR(10) &amp; INDIRECT("F"&amp;7)</f>
        <v>7A
vs
6B</v>
      </c>
      <c r="Y7" s="78" t="b">
        <f ca="1">$S$10=X7</f>
        <v>0</v>
      </c>
      <c r="Z7" s="78" t="b">
        <f ca="1">$S$20=X7</f>
        <v>0</v>
      </c>
      <c r="AA7" s="78" t="b">
        <f ca="1">$S$30=X7</f>
        <v>0</v>
      </c>
    </row>
    <row r="8" spans="1:27" x14ac:dyDescent="0.25">
      <c r="A8" s="95"/>
      <c r="B8" s="95" t="str">
        <f ca="1">PHASE_FINALE_DM!H29</f>
        <v>6A</v>
      </c>
      <c r="C8" s="249">
        <f>IF(PHASE_FINALE_DM!I29&lt;&gt;"",PHASE_FINALE_DM!I29,"")</f>
        <v>1</v>
      </c>
      <c r="D8" s="94" t="s">
        <v>186</v>
      </c>
      <c r="E8" s="249">
        <f>IF(PHASE_FINALE_DM!I30&lt;&gt;"",PHASE_FINALE_DM!I30,"")</f>
        <v>0</v>
      </c>
      <c r="F8" s="95" t="str">
        <f ca="1">PHASE_FINALE_DM!H30</f>
        <v>7B</v>
      </c>
      <c r="G8" s="95"/>
      <c r="S8" s="242"/>
      <c r="T8" s="242"/>
      <c r="U8" s="242"/>
      <c r="V8" s="242"/>
      <c r="W8" s="242"/>
      <c r="X8" s="78" t="str">
        <f ca="1">INDIRECT("B"&amp;8) &amp; CHAR(10) &amp; "vs" &amp; CHAR(10) &amp; INDIRECT("F"&amp;8)</f>
        <v>6A
vs
7B</v>
      </c>
      <c r="Y8" s="78" t="b">
        <f ca="1">$S$10=X8</f>
        <v>0</v>
      </c>
      <c r="Z8" s="78" t="b">
        <f ca="1">$S$20=X8</f>
        <v>0</v>
      </c>
      <c r="AA8" s="78" t="b">
        <f ca="1">$S$30=X8</f>
        <v>0</v>
      </c>
    </row>
    <row r="9" spans="1:27" x14ac:dyDescent="0.25">
      <c r="A9" s="95"/>
      <c r="B9" s="95" t="str">
        <f ca="1">PHASE_FINALE_DM!H33</f>
        <v>8A</v>
      </c>
      <c r="C9" s="249">
        <f>IF(PHASE_FINALE_DM!I33&lt;&gt;"",PHASE_FINALE_DM!I33,"")</f>
        <v>1</v>
      </c>
      <c r="D9" s="94" t="s">
        <v>187</v>
      </c>
      <c r="E9" s="249">
        <f>IF(PHASE_FINALE_DM!I34&lt;&gt;"",PHASE_FINALE_DM!I34,"")</f>
        <v>0</v>
      </c>
      <c r="F9" s="95" t="str">
        <f ca="1">PHASE_FINALE_DM!H34</f>
        <v>5B</v>
      </c>
      <c r="G9" s="95"/>
      <c r="S9" s="242"/>
      <c r="T9" s="242"/>
      <c r="U9" s="242"/>
      <c r="V9" s="242"/>
      <c r="W9" s="242"/>
      <c r="X9" s="78" t="str">
        <f ca="1">INDIRECT("B"&amp;9) &amp; CHAR(10) &amp; "vs" &amp; CHAR(10) &amp; INDIRECT("F"&amp;9)</f>
        <v>8A
vs
5B</v>
      </c>
      <c r="Y9" s="78" t="b">
        <f ca="1">$S$10=X9</f>
        <v>0</v>
      </c>
      <c r="Z9" s="78" t="b">
        <f ca="1">$S$20=X9</f>
        <v>0</v>
      </c>
      <c r="AA9" s="78" t="b">
        <f ca="1">$S$30=X9</f>
        <v>0</v>
      </c>
    </row>
    <row r="10" spans="1:27" x14ac:dyDescent="0.25">
      <c r="A10" s="93"/>
      <c r="B10" s="93"/>
      <c r="C10" s="99" t="str">
        <f>CHAR(160)</f>
        <v> </v>
      </c>
      <c r="D10" s="248">
        <f>0.986111111111113 + "00:20:00"</f>
        <v>1.000000000000002</v>
      </c>
      <c r="E10" s="99" t="str">
        <f>CHAR(160)</f>
        <v> </v>
      </c>
      <c r="F10" s="93"/>
      <c r="G10" s="93"/>
      <c r="S10" s="261" t="str">
        <f ca="1">IF(S$3=U$3,INDIRECT("B"&amp;S$3) &amp; CHAR(10) &amp; "vs" &amp; CHAR(10) &amp; INDIRECT("F"&amp;S$3),"ERREUR DE SAISSIE")</f>
        <v>6C
vs
7D</v>
      </c>
      <c r="T10" s="261"/>
      <c r="U10" s="261"/>
      <c r="V10" s="261"/>
      <c r="W10" s="261"/>
      <c r="X10" s="78" t="str">
        <f ca="1">INDIRECT("B"&amp;10) &amp; CHAR(10) &amp; "vs" &amp; CHAR(10) &amp; INDIRECT("F"&amp;10)</f>
        <v xml:space="preserve">
vs
</v>
      </c>
      <c r="Y10" s="78" t="b">
        <f ca="1">$S$10=X10</f>
        <v>0</v>
      </c>
      <c r="Z10" s="78" t="b">
        <f ca="1">$S$20=X10</f>
        <v>0</v>
      </c>
      <c r="AA10" s="78" t="b">
        <f ca="1">$S$30=X10</f>
        <v>0</v>
      </c>
    </row>
    <row r="11" spans="1:27" x14ac:dyDescent="0.25">
      <c r="A11" s="96"/>
      <c r="B11" s="96" t="str">
        <f ca="1">PHASE_FINALE_DH!H4</f>
        <v>1C</v>
      </c>
      <c r="C11" s="249">
        <f>IF(PHASE_FINALE_DH!I4&lt;&gt;"",PHASE_FINALE_DH!I4,"")</f>
        <v>1</v>
      </c>
      <c r="D11" s="94" t="s">
        <v>188</v>
      </c>
      <c r="E11" s="249">
        <f>IF(PHASE_FINALE_DH!I5&lt;&gt;"",PHASE_FINALE_DH!I5,"")</f>
        <v>0</v>
      </c>
      <c r="F11" s="96" t="str">
        <f ca="1">PHASE_FINALE_DH!H5</f>
        <v>4D</v>
      </c>
      <c r="G11" s="96"/>
      <c r="S11" s="261"/>
      <c r="T11" s="261"/>
      <c r="U11" s="261"/>
      <c r="V11" s="261"/>
      <c r="W11" s="261"/>
      <c r="X11" s="78" t="str">
        <f ca="1">INDIRECT("B"&amp;11) &amp; CHAR(10) &amp; "vs" &amp; CHAR(10) &amp; INDIRECT("F"&amp;11)</f>
        <v>1C
vs
4D</v>
      </c>
      <c r="Y11" s="78" t="b">
        <f ca="1">$S$10=X11</f>
        <v>0</v>
      </c>
      <c r="Z11" s="78" t="b">
        <f ca="1">$S$20=X11</f>
        <v>0</v>
      </c>
      <c r="AA11" s="78" t="b">
        <f ca="1">$S$30=X11</f>
        <v>0</v>
      </c>
    </row>
    <row r="12" spans="1:27" x14ac:dyDescent="0.25">
      <c r="A12" s="96"/>
      <c r="B12" s="96" t="str">
        <f ca="1">PHASE_FINALE_DH!H8</f>
        <v>3C</v>
      </c>
      <c r="C12" s="249">
        <f>IF(PHASE_FINALE_DH!I8&lt;&gt;"",PHASE_FINALE_DH!I8,"")</f>
        <v>1</v>
      </c>
      <c r="D12" s="94" t="s">
        <v>189</v>
      </c>
      <c r="E12" s="249">
        <f>IF(PHASE_FINALE_DH!I9&lt;&gt;"",PHASE_FINALE_DH!I9,"")</f>
        <v>0</v>
      </c>
      <c r="F12" s="96" t="str">
        <f ca="1">PHASE_FINALE_DH!H9</f>
        <v>2D</v>
      </c>
      <c r="G12" s="96"/>
      <c r="S12" s="261"/>
      <c r="T12" s="261"/>
      <c r="U12" s="261"/>
      <c r="V12" s="261"/>
      <c r="W12" s="261"/>
      <c r="X12" s="78" t="str">
        <f ca="1">INDIRECT("B"&amp;12) &amp; CHAR(10) &amp; "vs" &amp; CHAR(10) &amp; INDIRECT("F"&amp;12)</f>
        <v>3C
vs
2D</v>
      </c>
      <c r="Y12" s="78" t="b">
        <f ca="1">$S$10=X12</f>
        <v>0</v>
      </c>
      <c r="Z12" s="78" t="b">
        <f ca="1">$S$20=X12</f>
        <v>0</v>
      </c>
      <c r="AA12" s="78" t="b">
        <f ca="1">$S$30=X12</f>
        <v>0</v>
      </c>
    </row>
    <row r="13" spans="1:27" x14ac:dyDescent="0.25">
      <c r="A13" s="96"/>
      <c r="B13" s="96" t="str">
        <f ca="1">PHASE_FINALE_DH!H12</f>
        <v>2C</v>
      </c>
      <c r="C13" s="249">
        <f>IF(PHASE_FINALE_DH!I12&lt;&gt;"",PHASE_FINALE_DH!I12,"")</f>
        <v>1</v>
      </c>
      <c r="D13" s="94" t="s">
        <v>190</v>
      </c>
      <c r="E13" s="249">
        <f>IF(PHASE_FINALE_DH!I13&lt;&gt;"",PHASE_FINALE_DH!I13,"")</f>
        <v>0</v>
      </c>
      <c r="F13" s="96" t="str">
        <f ca="1">PHASE_FINALE_DH!H13</f>
        <v>3D</v>
      </c>
      <c r="G13" s="96"/>
      <c r="S13" s="261"/>
      <c r="T13" s="261"/>
      <c r="U13" s="261"/>
      <c r="V13" s="261"/>
      <c r="W13" s="261"/>
      <c r="X13" s="78" t="str">
        <f ca="1">INDIRECT("B"&amp;13) &amp; CHAR(10) &amp; "vs" &amp; CHAR(10) &amp; INDIRECT("F"&amp;13)</f>
        <v>2C
vs
3D</v>
      </c>
      <c r="Y13" s="78" t="b">
        <f ca="1">$S$10=X13</f>
        <v>0</v>
      </c>
      <c r="Z13" s="78" t="b">
        <f ca="1">$S$20=X13</f>
        <v>0</v>
      </c>
      <c r="AA13" s="78" t="b">
        <f ca="1">$S$30=X13</f>
        <v>0</v>
      </c>
    </row>
    <row r="14" spans="1:27" x14ac:dyDescent="0.25">
      <c r="A14" s="96"/>
      <c r="B14" s="96" t="str">
        <f ca="1">PHASE_FINALE_DH!H16</f>
        <v>4C</v>
      </c>
      <c r="C14" s="249">
        <f>IF(PHASE_FINALE_DH!I16&lt;&gt;"",PHASE_FINALE_DH!I16,"")</f>
        <v>1</v>
      </c>
      <c r="D14" s="94" t="s">
        <v>191</v>
      </c>
      <c r="E14" s="249">
        <f>IF(PHASE_FINALE_DH!I17&lt;&gt;"",PHASE_FINALE_DH!I17,"")</f>
        <v>0</v>
      </c>
      <c r="F14" s="96" t="str">
        <f ca="1">PHASE_FINALE_DH!H17</f>
        <v>1D</v>
      </c>
      <c r="G14" s="96"/>
      <c r="S14" s="261"/>
      <c r="T14" s="261"/>
      <c r="U14" s="261"/>
      <c r="V14" s="261"/>
      <c r="W14" s="261"/>
      <c r="X14" s="78" t="str">
        <f ca="1">INDIRECT("B"&amp;14) &amp; CHAR(10) &amp; "vs" &amp; CHAR(10) &amp; INDIRECT("F"&amp;14)</f>
        <v>4C
vs
1D</v>
      </c>
      <c r="Y14" s="78" t="b">
        <f ca="1">$S$10=X14</f>
        <v>0</v>
      </c>
      <c r="Z14" s="78" t="b">
        <f ca="1">$S$20=X14</f>
        <v>0</v>
      </c>
      <c r="AA14" s="78" t="b">
        <f ca="1">$S$30=X14</f>
        <v>0</v>
      </c>
    </row>
    <row r="15" spans="1:27" x14ac:dyDescent="0.25">
      <c r="A15" s="96"/>
      <c r="B15" s="96" t="str">
        <f ca="1">PHASE_FINALE_DH!H21</f>
        <v>5C</v>
      </c>
      <c r="C15" s="249">
        <f>IF(PHASE_FINALE_DH!I21&lt;&gt;"",PHASE_FINALE_DH!I21,"")</f>
        <v>1</v>
      </c>
      <c r="D15" s="94" t="s">
        <v>192</v>
      </c>
      <c r="E15" s="249">
        <f>IF(PHASE_FINALE_DH!I22&lt;&gt;"",PHASE_FINALE_DH!I22,"")</f>
        <v>0</v>
      </c>
      <c r="F15" s="96" t="str">
        <f ca="1">PHASE_FINALE_DH!H22</f>
        <v>8D</v>
      </c>
      <c r="G15" s="96"/>
      <c r="S15" s="261"/>
      <c r="T15" s="261"/>
      <c r="U15" s="261"/>
      <c r="V15" s="261"/>
      <c r="W15" s="261"/>
      <c r="X15" s="78" t="str">
        <f ca="1">INDIRECT("B"&amp;15) &amp; CHAR(10) &amp; "vs" &amp; CHAR(10) &amp; INDIRECT("F"&amp;15)</f>
        <v>5C
vs
8D</v>
      </c>
      <c r="Y15" s="78" t="b">
        <f ca="1">$S$10=X15</f>
        <v>0</v>
      </c>
      <c r="Z15" s="78" t="b">
        <f ca="1">$S$20=X15</f>
        <v>0</v>
      </c>
      <c r="AA15" s="78" t="b">
        <f ca="1">$S$30=X15</f>
        <v>0</v>
      </c>
    </row>
    <row r="16" spans="1:27" x14ac:dyDescent="0.25">
      <c r="A16" s="96"/>
      <c r="B16" s="96" t="str">
        <f ca="1">PHASE_FINALE_DH!H25</f>
        <v>7C</v>
      </c>
      <c r="C16" s="249">
        <f>IF(PHASE_FINALE_DH!I25&lt;&gt;"",PHASE_FINALE_DH!I25,"")</f>
        <v>1</v>
      </c>
      <c r="D16" s="94" t="s">
        <v>193</v>
      </c>
      <c r="E16" s="249">
        <f>IF(PHASE_FINALE_DH!I26&lt;&gt;"",PHASE_FINALE_DH!I26,"")</f>
        <v>0</v>
      </c>
      <c r="F16" s="96" t="str">
        <f ca="1">PHASE_FINALE_DH!H26</f>
        <v>6D</v>
      </c>
      <c r="G16" s="96"/>
      <c r="X16" s="78" t="str">
        <f ca="1">INDIRECT("B"&amp;16) &amp; CHAR(10) &amp; "vs" &amp; CHAR(10) &amp; INDIRECT("F"&amp;16)</f>
        <v>7C
vs
6D</v>
      </c>
      <c r="Y16" s="78" t="b">
        <f ca="1">$S$10=X16</f>
        <v>0</v>
      </c>
      <c r="Z16" s="78" t="b">
        <f ca="1">$S$20=X16</f>
        <v>0</v>
      </c>
      <c r="AA16" s="78" t="b">
        <f ca="1">$S$30=X16</f>
        <v>0</v>
      </c>
    </row>
    <row r="17" spans="1:27" x14ac:dyDescent="0.25">
      <c r="A17" s="96"/>
      <c r="B17" s="96" t="str">
        <f ca="1">PHASE_FINALE_DH!H29</f>
        <v>6C</v>
      </c>
      <c r="C17" s="249" t="str">
        <f>IF(PHASE_FINALE_DH!I29&lt;&gt;"",PHASE_FINALE_DH!I29,"")</f>
        <v/>
      </c>
      <c r="D17" s="94" t="s">
        <v>194</v>
      </c>
      <c r="E17" s="249" t="str">
        <f>IF(PHASE_FINALE_DH!I30&lt;&gt;"",PHASE_FINALE_DH!I30,"")</f>
        <v/>
      </c>
      <c r="F17" s="96" t="str">
        <f ca="1">PHASE_FINALE_DH!H30</f>
        <v>7D</v>
      </c>
      <c r="G17" s="96"/>
      <c r="S17" s="242" t="s">
        <v>179</v>
      </c>
      <c r="T17" s="242"/>
      <c r="U17" s="242"/>
      <c r="V17" s="242"/>
      <c r="W17" s="242"/>
      <c r="X17" s="78" t="str">
        <f ca="1">INDIRECT("B"&amp;17) &amp; CHAR(10) &amp; "vs" &amp; CHAR(10) &amp; INDIRECT("F"&amp;17)</f>
        <v>6C
vs
7D</v>
      </c>
      <c r="Y17" s="78" t="b">
        <f ca="1">$S$10=X17</f>
        <v>1</v>
      </c>
      <c r="Z17" s="78" t="b">
        <f ca="1">$S$20=X17</f>
        <v>0</v>
      </c>
      <c r="AA17" s="78" t="b">
        <f ca="1">$S$30=X17</f>
        <v>0</v>
      </c>
    </row>
    <row r="18" spans="1:27" x14ac:dyDescent="0.25">
      <c r="A18" s="96"/>
      <c r="B18" s="96" t="str">
        <f ca="1">PHASE_FINALE_DH!H33</f>
        <v>8C</v>
      </c>
      <c r="C18" s="249" t="str">
        <f>IF(PHASE_FINALE_DH!I33&lt;&gt;"",PHASE_FINALE_DH!I33,"")</f>
        <v/>
      </c>
      <c r="D18" s="94" t="s">
        <v>195</v>
      </c>
      <c r="E18" s="249" t="str">
        <f>IF(PHASE_FINALE_DH!I34&lt;&gt;"",PHASE_FINALE_DH!I34,"")</f>
        <v/>
      </c>
      <c r="F18" s="96" t="str">
        <f ca="1">PHASE_FINALE_DH!H34</f>
        <v>5D</v>
      </c>
      <c r="G18" s="96"/>
      <c r="S18" s="242"/>
      <c r="T18" s="242"/>
      <c r="U18" s="242"/>
      <c r="V18" s="242"/>
      <c r="W18" s="242"/>
      <c r="X18" s="78" t="str">
        <f ca="1">INDIRECT("B"&amp;18) &amp; CHAR(10) &amp; "vs" &amp; CHAR(10) &amp; INDIRECT("F"&amp;18)</f>
        <v>8C
vs
5D</v>
      </c>
      <c r="Y18" s="78" t="b">
        <f ca="1">$S$10=X18</f>
        <v>0</v>
      </c>
      <c r="Z18" s="78" t="b">
        <f ca="1">$S$20=X18</f>
        <v>1</v>
      </c>
      <c r="AA18" s="78" t="b">
        <f ca="1">$S$30=X18</f>
        <v>0</v>
      </c>
    </row>
    <row r="19" spans="1:27" x14ac:dyDescent="0.25">
      <c r="A19" s="93"/>
      <c r="B19" s="93"/>
      <c r="C19" s="99" t="str">
        <f>CHAR(160)</f>
        <v> </v>
      </c>
      <c r="D19" s="248">
        <f>1 + "00:20:00"</f>
        <v>1.0138888888888888</v>
      </c>
      <c r="E19" s="99" t="str">
        <f>CHAR(160)</f>
        <v> </v>
      </c>
      <c r="F19" s="93"/>
      <c r="G19" s="93"/>
      <c r="S19" s="242"/>
      <c r="T19" s="242"/>
      <c r="U19" s="242"/>
      <c r="V19" s="242"/>
      <c r="W19" s="242"/>
      <c r="X19" s="78" t="str">
        <f ca="1">INDIRECT("B"&amp;19) &amp; CHAR(10) &amp; "vs" &amp; CHAR(10) &amp; INDIRECT("F"&amp;19)</f>
        <v xml:space="preserve">
vs
</v>
      </c>
      <c r="Y19" s="78" t="b">
        <f ca="1">$S$10=X19</f>
        <v>0</v>
      </c>
      <c r="Z19" s="78" t="b">
        <f ca="1">$S$20=X19</f>
        <v>0</v>
      </c>
      <c r="AA19" s="78" t="b">
        <f ca="1">$S$30=X19</f>
        <v>0</v>
      </c>
    </row>
    <row r="20" spans="1:27" x14ac:dyDescent="0.25">
      <c r="A20" s="98"/>
      <c r="B20" s="98" t="str">
        <f ca="1">PHASE_FINALE_DM!K6</f>
        <v>1A</v>
      </c>
      <c r="C20" s="249" t="str">
        <f>IF(PHASE_FINALE_DM!L6&lt;&gt;"",PHASE_FINALE_DM!L6,"")</f>
        <v/>
      </c>
      <c r="D20" s="94" t="s">
        <v>180</v>
      </c>
      <c r="E20" s="249" t="str">
        <f>IF(PHASE_FINALE_DM!L7&lt;&gt;"",PHASE_FINALE_DM!L7,"")</f>
        <v/>
      </c>
      <c r="F20" s="98" t="str">
        <f ca="1">PHASE_FINALE_DM!K7</f>
        <v>3A</v>
      </c>
      <c r="G20" s="98"/>
      <c r="S20" s="261" t="str">
        <f ca="1">IF(S$4=U$4,INDIRECT("B"&amp;S$4) &amp; CHAR(10) &amp; "vs" &amp; CHAR(10) &amp; INDIRECT("F"&amp;S$4),"ERREUR DE SAISSIE")</f>
        <v>8C
vs
5D</v>
      </c>
      <c r="T20" s="261"/>
      <c r="U20" s="261"/>
      <c r="V20" s="261"/>
      <c r="W20" s="261"/>
      <c r="X20" s="78" t="str">
        <f ca="1">INDIRECT("B"&amp;20) &amp; CHAR(10) &amp; "vs" &amp; CHAR(10) &amp; INDIRECT("F"&amp;20)</f>
        <v>1A
vs
3A</v>
      </c>
      <c r="Y20" s="78" t="b">
        <f ca="1">$S$10=X20</f>
        <v>0</v>
      </c>
      <c r="Z20" s="78" t="b">
        <f ca="1">$S$20=X20</f>
        <v>0</v>
      </c>
      <c r="AA20" s="78" t="b">
        <f ca="1">$S$30=X20</f>
        <v>1</v>
      </c>
    </row>
    <row r="21" spans="1:27" x14ac:dyDescent="0.25">
      <c r="A21" s="98"/>
      <c r="B21" s="98" t="str">
        <f ca="1">PHASE_FINALE_DM!K14</f>
        <v>2A</v>
      </c>
      <c r="C21" s="249" t="str">
        <f>IF(PHASE_FINALE_DM!L14&lt;&gt;"",PHASE_FINALE_DM!L14,"")</f>
        <v/>
      </c>
      <c r="D21" s="94" t="s">
        <v>181</v>
      </c>
      <c r="E21" s="249" t="str">
        <f>IF(PHASE_FINALE_DM!L15&lt;&gt;"",PHASE_FINALE_DM!L15,"")</f>
        <v/>
      </c>
      <c r="F21" s="98" t="str">
        <f ca="1">PHASE_FINALE_DM!K15</f>
        <v>4A</v>
      </c>
      <c r="G21" s="98"/>
      <c r="S21" s="261"/>
      <c r="T21" s="261"/>
      <c r="U21" s="261"/>
      <c r="V21" s="261"/>
      <c r="W21" s="261"/>
      <c r="X21" s="78" t="str">
        <f ca="1">INDIRECT("B"&amp;21) &amp; CHAR(10) &amp; "vs" &amp; CHAR(10) &amp; INDIRECT("F"&amp;21)</f>
        <v>2A
vs
4A</v>
      </c>
      <c r="Y21" s="78" t="b">
        <f ca="1">$S$10=X21</f>
        <v>0</v>
      </c>
      <c r="Z21" s="78" t="b">
        <f ca="1">$S$20=X21</f>
        <v>0</v>
      </c>
      <c r="AA21" s="78" t="b">
        <f ca="1">$S$30=X21</f>
        <v>0</v>
      </c>
    </row>
    <row r="22" spans="1:27" x14ac:dyDescent="0.25">
      <c r="A22" s="98"/>
      <c r="B22" s="98" t="str">
        <f ca="1">PHASE_FINALE_DM!F6</f>
        <v>4B</v>
      </c>
      <c r="C22" s="249" t="str">
        <f>IF(PHASE_FINALE_DM!E6&lt;&gt;"",PHASE_FINALE_DM!E6,"")</f>
        <v/>
      </c>
      <c r="D22" s="94" t="s">
        <v>182</v>
      </c>
      <c r="E22" s="249" t="str">
        <f>IF(PHASE_FINALE_DM!E7&lt;&gt;"",PHASE_FINALE_DM!E7,"")</f>
        <v/>
      </c>
      <c r="F22" s="98" t="str">
        <f ca="1">PHASE_FINALE_DM!F7</f>
        <v>2B</v>
      </c>
      <c r="G22" s="98"/>
      <c r="S22" s="261"/>
      <c r="T22" s="261"/>
      <c r="U22" s="261"/>
      <c r="V22" s="261"/>
      <c r="W22" s="261"/>
      <c r="X22" s="78" t="str">
        <f ca="1">INDIRECT("B"&amp;22) &amp; CHAR(10) &amp; "vs" &amp; CHAR(10) &amp; INDIRECT("F"&amp;22)</f>
        <v>4B
vs
2B</v>
      </c>
      <c r="Y22" s="78" t="b">
        <f ca="1">$S$10=X22</f>
        <v>0</v>
      </c>
      <c r="Z22" s="78" t="b">
        <f ca="1">$S$20=X22</f>
        <v>0</v>
      </c>
      <c r="AA22" s="78" t="b">
        <f ca="1">$S$30=X22</f>
        <v>0</v>
      </c>
    </row>
    <row r="23" spans="1:27" x14ac:dyDescent="0.25">
      <c r="A23" s="98"/>
      <c r="B23" s="98" t="str">
        <f ca="1">PHASE_FINALE_DM!F14</f>
        <v>3B</v>
      </c>
      <c r="C23" s="249" t="str">
        <f>IF(PHASE_FINALE_DM!E14&lt;&gt;"",PHASE_FINALE_DM!E14,"")</f>
        <v/>
      </c>
      <c r="D23" s="94" t="s">
        <v>183</v>
      </c>
      <c r="E23" s="249" t="str">
        <f>IF(PHASE_FINALE_DM!E15&lt;&gt;"",PHASE_FINALE_DM!E15,"")</f>
        <v/>
      </c>
      <c r="F23" s="98" t="str">
        <f ca="1">PHASE_FINALE_DM!F15</f>
        <v>1B</v>
      </c>
      <c r="G23" s="98"/>
      <c r="S23" s="261"/>
      <c r="T23" s="261"/>
      <c r="U23" s="261"/>
      <c r="V23" s="261"/>
      <c r="W23" s="261"/>
      <c r="X23" s="78" t="str">
        <f ca="1">INDIRECT("B"&amp;23) &amp; CHAR(10) &amp; "vs" &amp; CHAR(10) &amp; INDIRECT("F"&amp;23)</f>
        <v>3B
vs
1B</v>
      </c>
      <c r="Y23" s="78" t="b">
        <f ca="1">$S$10=X23</f>
        <v>0</v>
      </c>
      <c r="Z23" s="78" t="b">
        <f ca="1">$S$20=X23</f>
        <v>0</v>
      </c>
      <c r="AA23" s="78" t="b">
        <f ca="1">$S$30=X23</f>
        <v>0</v>
      </c>
    </row>
    <row r="24" spans="1:27" x14ac:dyDescent="0.25">
      <c r="A24" s="98"/>
      <c r="B24" s="98" t="str">
        <f ca="1">PHASE_FINALE_DM!K23</f>
        <v>5A</v>
      </c>
      <c r="C24" s="249" t="str">
        <f>IF(PHASE_FINALE_DM!L23&lt;&gt;"",PHASE_FINALE_DM!L23,"")</f>
        <v/>
      </c>
      <c r="D24" s="94" t="s">
        <v>184</v>
      </c>
      <c r="E24" s="249" t="str">
        <f>IF(PHASE_FINALE_DM!L24&lt;&gt;"",PHASE_FINALE_DM!L24,"")</f>
        <v/>
      </c>
      <c r="F24" s="98" t="str">
        <f ca="1">PHASE_FINALE_DM!K24</f>
        <v>7A</v>
      </c>
      <c r="G24" s="98"/>
      <c r="S24" s="261"/>
      <c r="T24" s="261"/>
      <c r="U24" s="261"/>
      <c r="V24" s="261"/>
      <c r="W24" s="261"/>
      <c r="X24" s="78" t="str">
        <f ca="1">INDIRECT("B"&amp;24) &amp; CHAR(10) &amp; "vs" &amp; CHAR(10) &amp; INDIRECT("F"&amp;24)</f>
        <v>5A
vs
7A</v>
      </c>
      <c r="Y24" s="78" t="b">
        <f ca="1">$S$10=X24</f>
        <v>0</v>
      </c>
      <c r="Z24" s="78" t="b">
        <f ca="1">$S$20=X24</f>
        <v>0</v>
      </c>
      <c r="AA24" s="78" t="b">
        <f ca="1">$S$30=X24</f>
        <v>0</v>
      </c>
    </row>
    <row r="25" spans="1:27" x14ac:dyDescent="0.25">
      <c r="A25" s="98"/>
      <c r="B25" s="98" t="str">
        <f ca="1">PHASE_FINALE_DM!K31</f>
        <v>6A</v>
      </c>
      <c r="C25" s="249" t="str">
        <f>IF(PHASE_FINALE_DM!L31&lt;&gt;"",PHASE_FINALE_DM!L31,"")</f>
        <v/>
      </c>
      <c r="D25" s="94" t="s">
        <v>185</v>
      </c>
      <c r="E25" s="249" t="str">
        <f>IF(PHASE_FINALE_DM!L32&lt;&gt;"",PHASE_FINALE_DM!L32,"")</f>
        <v/>
      </c>
      <c r="F25" s="98" t="str">
        <f ca="1">PHASE_FINALE_DM!K32</f>
        <v>8A</v>
      </c>
      <c r="G25" s="98"/>
      <c r="S25" s="261"/>
      <c r="T25" s="261"/>
      <c r="U25" s="261"/>
      <c r="V25" s="261"/>
      <c r="W25" s="261"/>
      <c r="X25" s="78" t="str">
        <f ca="1">INDIRECT("B"&amp;25) &amp; CHAR(10) &amp; "vs" &amp; CHAR(10) &amp; INDIRECT("F"&amp;25)</f>
        <v>6A
vs
8A</v>
      </c>
      <c r="Y25" s="78" t="b">
        <f ca="1">$S$10=X25</f>
        <v>0</v>
      </c>
      <c r="Z25" s="78" t="b">
        <f ca="1">$S$20=X25</f>
        <v>0</v>
      </c>
      <c r="AA25" s="78" t="b">
        <f ca="1">$S$30=X25</f>
        <v>0</v>
      </c>
    </row>
    <row r="26" spans="1:27" x14ac:dyDescent="0.25">
      <c r="A26" s="98"/>
      <c r="B26" s="98" t="str">
        <f ca="1">PHASE_FINALE_DM!F23</f>
        <v>8B</v>
      </c>
      <c r="C26" s="249" t="str">
        <f>IF(PHASE_FINALE_DM!E23&lt;&gt;"",PHASE_FINALE_DM!E23,"")</f>
        <v/>
      </c>
      <c r="D26" s="94" t="s">
        <v>186</v>
      </c>
      <c r="E26" s="249" t="str">
        <f>IF(PHASE_FINALE_DM!E24&lt;&gt;"",PHASE_FINALE_DM!E24,"")</f>
        <v/>
      </c>
      <c r="F26" s="98" t="str">
        <f ca="1">PHASE_FINALE_DM!F24</f>
        <v>6B</v>
      </c>
      <c r="G26" s="98"/>
      <c r="X26" s="78" t="str">
        <f ca="1">INDIRECT("B"&amp;26) &amp; CHAR(10) &amp; "vs" &amp; CHAR(10) &amp; INDIRECT("F"&amp;26)</f>
        <v>8B
vs
6B</v>
      </c>
      <c r="Y26" s="78" t="b">
        <f ca="1">$S$10=X26</f>
        <v>0</v>
      </c>
      <c r="Z26" s="78" t="b">
        <f ca="1">$S$20=X26</f>
        <v>0</v>
      </c>
      <c r="AA26" s="78" t="b">
        <f ca="1">$S$30=X26</f>
        <v>0</v>
      </c>
    </row>
    <row r="27" spans="1:27" x14ac:dyDescent="0.25">
      <c r="A27" s="98"/>
      <c r="B27" s="98" t="str">
        <f ca="1">PHASE_FINALE_DM!F31</f>
        <v>7B</v>
      </c>
      <c r="C27" s="249" t="str">
        <f>IF(PHASE_FINALE_DM!E31&lt;&gt;"",PHASE_FINALE_DM!E31,"")</f>
        <v/>
      </c>
      <c r="D27" s="94" t="s">
        <v>187</v>
      </c>
      <c r="E27" s="249" t="str">
        <f>IF(PHASE_FINALE_DM!E32&lt;&gt;"",PHASE_FINALE_DM!E32,"")</f>
        <v/>
      </c>
      <c r="F27" s="98" t="str">
        <f ca="1">PHASE_FINALE_DM!F32</f>
        <v>5B</v>
      </c>
      <c r="G27" s="98"/>
      <c r="S27" s="242" t="s">
        <v>179</v>
      </c>
      <c r="T27" s="242"/>
      <c r="U27" s="242"/>
      <c r="V27" s="242"/>
      <c r="W27" s="242"/>
      <c r="X27" s="78" t="str">
        <f ca="1">INDIRECT("B"&amp;27) &amp; CHAR(10) &amp; "vs" &amp; CHAR(10) &amp; INDIRECT("F"&amp;27)</f>
        <v>7B
vs
5B</v>
      </c>
      <c r="Y27" s="78" t="b">
        <f ca="1">$S$10=X27</f>
        <v>0</v>
      </c>
      <c r="Z27" s="78" t="b">
        <f ca="1">$S$20=X27</f>
        <v>0</v>
      </c>
      <c r="AA27" s="78" t="b">
        <f ca="1">$S$30=X27</f>
        <v>0</v>
      </c>
    </row>
    <row r="28" spans="1:27" x14ac:dyDescent="0.25">
      <c r="A28" s="93"/>
      <c r="B28" s="93"/>
      <c r="C28" s="99" t="str">
        <f>CHAR(160)</f>
        <v> </v>
      </c>
      <c r="D28" s="248">
        <f>1.01388888888889 + "00:20:00"</f>
        <v>1.0277777777777788</v>
      </c>
      <c r="E28" s="99" t="str">
        <f>CHAR(160)</f>
        <v> </v>
      </c>
      <c r="F28" s="93"/>
      <c r="G28" s="93"/>
      <c r="S28" s="242"/>
      <c r="T28" s="242"/>
      <c r="U28" s="242"/>
      <c r="V28" s="242"/>
      <c r="W28" s="242"/>
      <c r="X28" s="78" t="str">
        <f ca="1">INDIRECT("B"&amp;28) &amp; CHAR(10) &amp; "vs" &amp; CHAR(10) &amp; INDIRECT("F"&amp;28)</f>
        <v xml:space="preserve">
vs
</v>
      </c>
      <c r="Y28" s="78" t="b">
        <f ca="1">$S$10=X28</f>
        <v>0</v>
      </c>
      <c r="Z28" s="78" t="b">
        <f ca="1">$S$20=X28</f>
        <v>0</v>
      </c>
      <c r="AA28" s="78" t="b">
        <f ca="1">$S$30=X28</f>
        <v>0</v>
      </c>
    </row>
    <row r="29" spans="1:27" x14ac:dyDescent="0.25">
      <c r="A29" s="124"/>
      <c r="B29" s="124" t="str">
        <f ca="1">PHASE_FINALE_DH!K6</f>
        <v>1C</v>
      </c>
      <c r="C29" s="249" t="str">
        <f>IF(PHASE_FINALE_DH!L6&lt;&gt;"",PHASE_FINALE_DH!L6,"")</f>
        <v/>
      </c>
      <c r="D29" s="94" t="s">
        <v>188</v>
      </c>
      <c r="E29" s="249" t="str">
        <f>IF(PHASE_FINALE_DH!L7&lt;&gt;"",PHASE_FINALE_DH!L7,"")</f>
        <v/>
      </c>
      <c r="F29" s="124" t="str">
        <f ca="1">PHASE_FINALE_DH!K7</f>
        <v>3C</v>
      </c>
      <c r="G29" s="124"/>
      <c r="S29" s="242"/>
      <c r="T29" s="242"/>
      <c r="U29" s="242"/>
      <c r="V29" s="242"/>
      <c r="W29" s="242"/>
      <c r="X29" s="78" t="str">
        <f ca="1">INDIRECT("B"&amp;29) &amp; CHAR(10) &amp; "vs" &amp; CHAR(10) &amp; INDIRECT("F"&amp;29)</f>
        <v>1C
vs
3C</v>
      </c>
      <c r="Y29" s="78" t="b">
        <f ca="1">$S$10=X29</f>
        <v>0</v>
      </c>
      <c r="Z29" s="78" t="b">
        <f ca="1">$S$20=X29</f>
        <v>0</v>
      </c>
      <c r="AA29" s="78" t="b">
        <f ca="1">$S$30=X29</f>
        <v>0</v>
      </c>
    </row>
    <row r="30" spans="1:27" x14ac:dyDescent="0.25">
      <c r="A30" s="124"/>
      <c r="B30" s="124" t="str">
        <f ca="1">PHASE_FINALE_DH!K14</f>
        <v>2C</v>
      </c>
      <c r="C30" s="249" t="str">
        <f>IF(PHASE_FINALE_DH!L14&lt;&gt;"",PHASE_FINALE_DH!L14,"")</f>
        <v/>
      </c>
      <c r="D30" s="94" t="s">
        <v>189</v>
      </c>
      <c r="E30" s="249" t="str">
        <f>IF(PHASE_FINALE_DH!L15&lt;&gt;"",PHASE_FINALE_DH!L15,"")</f>
        <v/>
      </c>
      <c r="F30" s="124" t="str">
        <f ca="1">PHASE_FINALE_DH!K15</f>
        <v>4C</v>
      </c>
      <c r="G30" s="124"/>
      <c r="S30" s="263" t="str">
        <f ca="1">IF(S$5=U$5,INDIRECT("B"&amp;S$5) &amp; CHAR(10) &amp; "vs" &amp; CHAR(10) &amp; INDIRECT("F"&amp;S$5),"ERREUR DE SAISSIE")</f>
        <v>1A
vs
3A</v>
      </c>
      <c r="T30" s="263"/>
      <c r="U30" s="263"/>
      <c r="V30" s="263"/>
      <c r="W30" s="263"/>
      <c r="X30" s="78" t="str">
        <f ca="1">INDIRECT("B"&amp;30) &amp; CHAR(10) &amp; "vs" &amp; CHAR(10) &amp; INDIRECT("F"&amp;30)</f>
        <v>2C
vs
4C</v>
      </c>
      <c r="Y30" s="78" t="b">
        <f ca="1">$S$10=X30</f>
        <v>0</v>
      </c>
      <c r="Z30" s="78" t="b">
        <f ca="1">$S$20=X30</f>
        <v>0</v>
      </c>
      <c r="AA30" s="78" t="b">
        <f ca="1">$S$30=X30</f>
        <v>0</v>
      </c>
    </row>
    <row r="31" spans="1:27" x14ac:dyDescent="0.25">
      <c r="A31" s="124"/>
      <c r="B31" s="124" t="str">
        <f ca="1">PHASE_FINALE_DH!F6</f>
        <v>4D</v>
      </c>
      <c r="C31" s="249" t="str">
        <f>IF(PHASE_FINALE_DH!E6&lt;&gt;"",PHASE_FINALE_DH!E6,"")</f>
        <v/>
      </c>
      <c r="D31" s="94" t="s">
        <v>190</v>
      </c>
      <c r="E31" s="249" t="str">
        <f>IF(PHASE_FINALE_DH!E7&lt;&gt;"",PHASE_FINALE_DH!E7,"")</f>
        <v/>
      </c>
      <c r="F31" s="124" t="str">
        <f ca="1">PHASE_FINALE_DH!F7</f>
        <v>2D</v>
      </c>
      <c r="G31" s="124"/>
      <c r="S31" s="263"/>
      <c r="T31" s="263"/>
      <c r="U31" s="263"/>
      <c r="V31" s="263"/>
      <c r="W31" s="263"/>
      <c r="X31" s="78" t="str">
        <f ca="1">INDIRECT("B"&amp;31) &amp; CHAR(10) &amp; "vs" &amp; CHAR(10) &amp; INDIRECT("F"&amp;31)</f>
        <v>4D
vs
2D</v>
      </c>
      <c r="Y31" s="78" t="b">
        <f ca="1">$S$10=X31</f>
        <v>0</v>
      </c>
      <c r="Z31" s="78" t="b">
        <f ca="1">$S$20=X31</f>
        <v>0</v>
      </c>
      <c r="AA31" s="78" t="b">
        <f ca="1">$S$30=X31</f>
        <v>0</v>
      </c>
    </row>
    <row r="32" spans="1:27" x14ac:dyDescent="0.25">
      <c r="A32" s="124"/>
      <c r="B32" s="124" t="str">
        <f ca="1">PHASE_FINALE_DH!F14</f>
        <v>3D</v>
      </c>
      <c r="C32" s="249" t="str">
        <f>IF(PHASE_FINALE_DH!E14&lt;&gt;"",PHASE_FINALE_DH!E14,"")</f>
        <v/>
      </c>
      <c r="D32" s="94" t="s">
        <v>191</v>
      </c>
      <c r="E32" s="249" t="str">
        <f>IF(PHASE_FINALE_DH!E15&lt;&gt;"",PHASE_FINALE_DH!E15,"")</f>
        <v/>
      </c>
      <c r="F32" s="124" t="str">
        <f ca="1">PHASE_FINALE_DH!F15</f>
        <v>1D</v>
      </c>
      <c r="G32" s="124"/>
      <c r="S32" s="263"/>
      <c r="T32" s="263"/>
      <c r="U32" s="263"/>
      <c r="V32" s="263"/>
      <c r="W32" s="263"/>
      <c r="X32" s="78" t="str">
        <f ca="1">INDIRECT("B"&amp;32) &amp; CHAR(10) &amp; "vs" &amp; CHAR(10) &amp; INDIRECT("F"&amp;32)</f>
        <v>3D
vs
1D</v>
      </c>
      <c r="Y32" s="78" t="b">
        <f ca="1">$S$10=X32</f>
        <v>0</v>
      </c>
      <c r="Z32" s="78" t="b">
        <f ca="1">$S$20=X32</f>
        <v>0</v>
      </c>
      <c r="AA32" s="78" t="b">
        <f ca="1">$S$30=X32</f>
        <v>0</v>
      </c>
    </row>
    <row r="33" spans="1:27" x14ac:dyDescent="0.25">
      <c r="A33" s="124"/>
      <c r="B33" s="124" t="str">
        <f ca="1">PHASE_FINALE_DH!K23</f>
        <v>5C</v>
      </c>
      <c r="C33" s="249" t="str">
        <f>IF(PHASE_FINALE_DH!L23&lt;&gt;"",PHASE_FINALE_DH!L23,"")</f>
        <v/>
      </c>
      <c r="D33" s="94" t="s">
        <v>192</v>
      </c>
      <c r="E33" s="249" t="str">
        <f>IF(PHASE_FINALE_DH!L24&lt;&gt;"",PHASE_FINALE_DH!L24,"")</f>
        <v/>
      </c>
      <c r="F33" s="124" t="str">
        <f ca="1">PHASE_FINALE_DH!K24</f>
        <v>7C</v>
      </c>
      <c r="G33" s="124"/>
      <c r="S33" s="263"/>
      <c r="T33" s="263"/>
      <c r="U33" s="263"/>
      <c r="V33" s="263"/>
      <c r="W33" s="263"/>
      <c r="X33" s="78" t="str">
        <f ca="1">INDIRECT("B"&amp;33) &amp; CHAR(10) &amp; "vs" &amp; CHAR(10) &amp; INDIRECT("F"&amp;33)</f>
        <v>5C
vs
7C</v>
      </c>
      <c r="Y33" s="78" t="b">
        <f ca="1">$S$10=X33</f>
        <v>0</v>
      </c>
      <c r="Z33" s="78" t="b">
        <f ca="1">$S$20=X33</f>
        <v>0</v>
      </c>
      <c r="AA33" s="78" t="b">
        <f ca="1">$S$30=X33</f>
        <v>0</v>
      </c>
    </row>
    <row r="34" spans="1:27" x14ac:dyDescent="0.25">
      <c r="A34" s="124"/>
      <c r="B34" s="124" t="str">
        <f>PHASE_FINALE_DH!K31</f>
        <v/>
      </c>
      <c r="C34" s="249" t="str">
        <f>IF(PHASE_FINALE_DH!L31&lt;&gt;"",PHASE_FINALE_DH!L31,"")</f>
        <v/>
      </c>
      <c r="D34" s="94" t="s">
        <v>193</v>
      </c>
      <c r="E34" s="249" t="str">
        <f>IF(PHASE_FINALE_DH!L32&lt;&gt;"",PHASE_FINALE_DH!L32,"")</f>
        <v/>
      </c>
      <c r="F34" s="124" t="str">
        <f>PHASE_FINALE_DH!K32</f>
        <v/>
      </c>
      <c r="G34" s="124"/>
      <c r="S34" s="263"/>
      <c r="T34" s="263"/>
      <c r="U34" s="263"/>
      <c r="V34" s="263"/>
      <c r="W34" s="263"/>
      <c r="X34" s="78" t="str">
        <f ca="1">INDIRECT("B"&amp;34) &amp; CHAR(10) &amp; "vs" &amp; CHAR(10) &amp; INDIRECT("F"&amp;34)</f>
        <v xml:space="preserve">
vs
</v>
      </c>
      <c r="Y34" s="78" t="b">
        <f ca="1">$S$10=X34</f>
        <v>0</v>
      </c>
      <c r="Z34" s="78" t="b">
        <f ca="1">$S$20=X34</f>
        <v>0</v>
      </c>
      <c r="AA34" s="78" t="b">
        <f ca="1">$S$30=X34</f>
        <v>0</v>
      </c>
    </row>
    <row r="35" spans="1:27" x14ac:dyDescent="0.25">
      <c r="A35" s="124"/>
      <c r="B35" s="124" t="str">
        <f ca="1">PHASE_FINALE_DH!F23</f>
        <v>8D</v>
      </c>
      <c r="C35" s="249" t="str">
        <f>IF(PHASE_FINALE_DH!E23&lt;&gt;"",PHASE_FINALE_DH!E23,"")</f>
        <v/>
      </c>
      <c r="D35" s="94" t="s">
        <v>194</v>
      </c>
      <c r="E35" s="249" t="str">
        <f>IF(PHASE_FINALE_DH!E24&lt;&gt;"",PHASE_FINALE_DH!E24,"")</f>
        <v/>
      </c>
      <c r="F35" s="124" t="str">
        <f ca="1">PHASE_FINALE_DH!F24</f>
        <v>6D</v>
      </c>
      <c r="G35" s="124"/>
      <c r="S35" s="263"/>
      <c r="T35" s="263"/>
      <c r="U35" s="263"/>
      <c r="V35" s="263"/>
      <c r="W35" s="263"/>
      <c r="X35" s="78" t="str">
        <f ca="1">INDIRECT("B"&amp;35) &amp; CHAR(10) &amp; "vs" &amp; CHAR(10) &amp; INDIRECT("F"&amp;35)</f>
        <v>8D
vs
6D</v>
      </c>
      <c r="Y35" s="78" t="b">
        <f ca="1">$S$10=X35</f>
        <v>0</v>
      </c>
      <c r="Z35" s="78" t="b">
        <f ca="1">$S$20=X35</f>
        <v>0</v>
      </c>
      <c r="AA35" s="78" t="b">
        <f ca="1">$S$30=X35</f>
        <v>0</v>
      </c>
    </row>
    <row r="36" spans="1:27" x14ac:dyDescent="0.25">
      <c r="A36" s="124"/>
      <c r="B36" s="124" t="str">
        <f>PHASE_FINALE_DH!F31</f>
        <v/>
      </c>
      <c r="C36" s="249" t="str">
        <f>IF(PHASE_FINALE_DH!E31&lt;&gt;"",PHASE_FINALE_DH!E31,"")</f>
        <v/>
      </c>
      <c r="D36" s="94" t="s">
        <v>195</v>
      </c>
      <c r="E36" s="249" t="str">
        <f>IF(PHASE_FINALE_DH!E32&lt;&gt;"",PHASE_FINALE_DH!E32,"")</f>
        <v/>
      </c>
      <c r="F36" s="124" t="str">
        <f>PHASE_FINALE_DH!F32</f>
        <v/>
      </c>
      <c r="G36" s="124"/>
      <c r="X36" s="78" t="str">
        <f ca="1">INDIRECT("B"&amp;36) &amp; CHAR(10) &amp; "vs" &amp; CHAR(10) &amp; INDIRECT("F"&amp;36)</f>
        <v xml:space="preserve">
vs
</v>
      </c>
      <c r="Y36" s="78" t="b">
        <f ca="1">$S$10=X36</f>
        <v>0</v>
      </c>
      <c r="Z36" s="78" t="b">
        <f ca="1">$S$20=X36</f>
        <v>0</v>
      </c>
      <c r="AA36" s="78" t="b">
        <f ca="1">$S$30=X36</f>
        <v>0</v>
      </c>
    </row>
    <row r="37" spans="1:27" x14ac:dyDescent="0.25">
      <c r="A37" s="93"/>
      <c r="B37" s="93"/>
      <c r="C37" s="99" t="str">
        <f>CHAR(160)</f>
        <v> </v>
      </c>
      <c r="D37" s="248">
        <f>1.02777777777778 + "00:20:00"</f>
        <v>1.0416666666666687</v>
      </c>
      <c r="E37" s="99" t="str">
        <f>CHAR(160)</f>
        <v> </v>
      </c>
      <c r="F37" s="93"/>
      <c r="G37" s="93"/>
      <c r="X37" s="78" t="str">
        <f ca="1">INDIRECT("B"&amp;37) &amp; CHAR(10) &amp; "vs" &amp; CHAR(10) &amp; INDIRECT("F"&amp;37)</f>
        <v xml:space="preserve">
vs
</v>
      </c>
      <c r="Y37" s="78" t="b">
        <f ca="1">$S$10=X37</f>
        <v>0</v>
      </c>
      <c r="Z37" s="78" t="b">
        <f ca="1">$S$20=X37</f>
        <v>0</v>
      </c>
      <c r="AA37" s="78" t="b">
        <f ca="1">$S$30=X37</f>
        <v>0</v>
      </c>
    </row>
    <row r="38" spans="1:27" x14ac:dyDescent="0.25">
      <c r="A38" s="125"/>
      <c r="B38" s="125" t="str">
        <f>PHASE_FINALE_DM!N8</f>
        <v/>
      </c>
      <c r="C38" s="249" t="str">
        <f>IF(PHASE_FINALE_DM!O8&lt;&gt;"",PHASE_FINALE_DM!O8,"")</f>
        <v/>
      </c>
      <c r="D38" s="94" t="s">
        <v>180</v>
      </c>
      <c r="E38" s="249" t="str">
        <f>IF(PHASE_FINALE_DM!O9&lt;&gt;"",PHASE_FINALE_DM!O9,"")</f>
        <v/>
      </c>
      <c r="F38" s="125" t="str">
        <f>PHASE_FINALE_DM!N9</f>
        <v/>
      </c>
      <c r="G38" s="125"/>
      <c r="X38" s="78" t="str">
        <f ca="1">INDIRECT("B"&amp;38) &amp; CHAR(10) &amp; "vs" &amp; CHAR(10) &amp; INDIRECT("F"&amp;38)</f>
        <v xml:space="preserve">
vs
</v>
      </c>
      <c r="Y38" s="78" t="b">
        <f ca="1">$S$10=X38</f>
        <v>0</v>
      </c>
      <c r="Z38" s="78" t="b">
        <f ca="1">$S$20=X38</f>
        <v>0</v>
      </c>
      <c r="AA38" s="78" t="b">
        <f ca="1">$S$30=X38</f>
        <v>0</v>
      </c>
    </row>
    <row r="39" spans="1:27" x14ac:dyDescent="0.25">
      <c r="A39" s="125"/>
      <c r="B39" s="125" t="str">
        <f>PHASE_FINALE_DM!N12</f>
        <v/>
      </c>
      <c r="C39" s="249" t="str">
        <f>IF(PHASE_FINALE_DM!O12&lt;&gt;"",PHASE_FINALE_DM!O12,"")</f>
        <v/>
      </c>
      <c r="D39" s="94" t="s">
        <v>181</v>
      </c>
      <c r="E39" s="249" t="str">
        <f>IF(PHASE_FINALE_DM!O13&lt;&gt;"",PHASE_FINALE_DM!O13,"")</f>
        <v/>
      </c>
      <c r="F39" s="125" t="str">
        <f>PHASE_FINALE_DM!N13</f>
        <v/>
      </c>
      <c r="G39" s="125"/>
      <c r="X39" s="78" t="str">
        <f ca="1">INDIRECT("B"&amp;39) &amp; CHAR(10) &amp; "vs" &amp; CHAR(10) &amp; INDIRECT("F"&amp;39)</f>
        <v xml:space="preserve">
vs
</v>
      </c>
      <c r="Y39" s="78" t="b">
        <f ca="1">$S$10=X39</f>
        <v>0</v>
      </c>
      <c r="Z39" s="78" t="b">
        <f ca="1">$S$20=X39</f>
        <v>0</v>
      </c>
      <c r="AA39" s="78" t="b">
        <f ca="1">$S$30=X39</f>
        <v>0</v>
      </c>
    </row>
    <row r="40" spans="1:27" x14ac:dyDescent="0.25">
      <c r="A40" s="125"/>
      <c r="B40" s="125" t="str">
        <f>PHASE_FINALE_DM!C8</f>
        <v/>
      </c>
      <c r="C40" s="249" t="str">
        <f>IF(PHASE_FINALE_DM!B8&lt;&gt;"",PHASE_FINALE_DM!B8,"")</f>
        <v/>
      </c>
      <c r="D40" s="94" t="s">
        <v>182</v>
      </c>
      <c r="E40" s="249" t="str">
        <f>IF(PHASE_FINALE_DM!B9&lt;&gt;"",PHASE_FINALE_DM!B9,"")</f>
        <v/>
      </c>
      <c r="F40" s="125" t="str">
        <f>PHASE_FINALE_DM!C9</f>
        <v/>
      </c>
      <c r="G40" s="125"/>
      <c r="X40" s="78" t="str">
        <f ca="1">INDIRECT("B"&amp;40) &amp; CHAR(10) &amp; "vs" &amp; CHAR(10) &amp; INDIRECT("F"&amp;40)</f>
        <v xml:space="preserve">
vs
</v>
      </c>
      <c r="Y40" s="78" t="b">
        <f ca="1">$S$10=X40</f>
        <v>0</v>
      </c>
      <c r="Z40" s="78" t="b">
        <f ca="1">$S$20=X40</f>
        <v>0</v>
      </c>
      <c r="AA40" s="78" t="b">
        <f ca="1">$S$30=X40</f>
        <v>0</v>
      </c>
    </row>
    <row r="41" spans="1:27" x14ac:dyDescent="0.25">
      <c r="A41" s="125"/>
      <c r="B41" s="125" t="str">
        <f>PHASE_FINALE_DM!C12</f>
        <v/>
      </c>
      <c r="C41" s="249" t="str">
        <f>IF(PHASE_FINALE_DM!B12&lt;&gt;"",PHASE_FINALE_DM!B12,"")</f>
        <v/>
      </c>
      <c r="D41" s="94" t="s">
        <v>183</v>
      </c>
      <c r="E41" s="249" t="str">
        <f>IF(PHASE_FINALE_DM!B13&lt;&gt;"",PHASE_FINALE_DM!B13,"")</f>
        <v/>
      </c>
      <c r="F41" s="125" t="str">
        <f>PHASE_FINALE_DM!C13</f>
        <v/>
      </c>
      <c r="G41" s="125"/>
      <c r="X41" s="78" t="str">
        <f ca="1">INDIRECT("B"&amp;41) &amp; CHAR(10) &amp; "vs" &amp; CHAR(10) &amp; INDIRECT("F"&amp;41)</f>
        <v xml:space="preserve">
vs
</v>
      </c>
      <c r="Y41" s="78" t="b">
        <f ca="1">$S$10=X41</f>
        <v>0</v>
      </c>
      <c r="Z41" s="78" t="b">
        <f ca="1">$S$20=X41</f>
        <v>0</v>
      </c>
      <c r="AA41" s="78" t="b">
        <f ca="1">$S$30=X41</f>
        <v>0</v>
      </c>
    </row>
    <row r="42" spans="1:27" x14ac:dyDescent="0.25">
      <c r="A42" s="125"/>
      <c r="B42" s="125" t="str">
        <f>PHASE_FINALE_DM!N25</f>
        <v/>
      </c>
      <c r="C42" s="249" t="str">
        <f>IF(PHASE_FINALE_DM!O25&lt;&gt;"",PHASE_FINALE_DM!O25,"")</f>
        <v/>
      </c>
      <c r="D42" s="94" t="s">
        <v>184</v>
      </c>
      <c r="E42" s="249" t="str">
        <f>IF(PHASE_FINALE_DM!O26&lt;&gt;"",PHASE_FINALE_DM!O26,"")</f>
        <v/>
      </c>
      <c r="F42" s="125" t="str">
        <f>PHASE_FINALE_DM!N26</f>
        <v/>
      </c>
      <c r="G42" s="125"/>
      <c r="X42" s="78" t="str">
        <f ca="1">INDIRECT("B"&amp;42) &amp; CHAR(10) &amp; "vs" &amp; CHAR(10) &amp; INDIRECT("F"&amp;42)</f>
        <v xml:space="preserve">
vs
</v>
      </c>
      <c r="Y42" s="78" t="b">
        <f ca="1">$S$10=X42</f>
        <v>0</v>
      </c>
      <c r="Z42" s="78" t="b">
        <f ca="1">$S$20=X42</f>
        <v>0</v>
      </c>
      <c r="AA42" s="78" t="b">
        <f ca="1">$S$30=X42</f>
        <v>0</v>
      </c>
    </row>
    <row r="43" spans="1:27" x14ac:dyDescent="0.25">
      <c r="A43" s="125"/>
      <c r="B43" s="125" t="str">
        <f>PHASE_FINALE_DM!N29</f>
        <v/>
      </c>
      <c r="C43" s="249" t="str">
        <f>IF(PHASE_FINALE_DM!O29&lt;&gt;"",PHASE_FINALE_DM!O29,"")</f>
        <v/>
      </c>
      <c r="D43" s="94" t="s">
        <v>185</v>
      </c>
      <c r="E43" s="249" t="str">
        <f>IF(PHASE_FINALE_DM!O30&lt;&gt;"",PHASE_FINALE_DM!O30,"")</f>
        <v/>
      </c>
      <c r="F43" s="125" t="str">
        <f>PHASE_FINALE_DM!N30</f>
        <v/>
      </c>
      <c r="G43" s="125"/>
      <c r="X43" s="78" t="str">
        <f ca="1">INDIRECT("B"&amp;43) &amp; CHAR(10) &amp; "vs" &amp; CHAR(10) &amp; INDIRECT("F"&amp;43)</f>
        <v xml:space="preserve">
vs
</v>
      </c>
      <c r="Y43" s="78" t="b">
        <f ca="1">$S$10=X43</f>
        <v>0</v>
      </c>
      <c r="Z43" s="78" t="b">
        <f ca="1">$S$20=X43</f>
        <v>0</v>
      </c>
      <c r="AA43" s="78" t="b">
        <f ca="1">$S$30=X43</f>
        <v>0</v>
      </c>
    </row>
    <row r="44" spans="1:27" x14ac:dyDescent="0.25">
      <c r="A44" s="125"/>
      <c r="B44" s="125" t="str">
        <f>PHASE_FINALE_DM!C25</f>
        <v/>
      </c>
      <c r="C44" s="249" t="str">
        <f>IF(PHASE_FINALE_DM!B25&lt;&gt;"",PHASE_FINALE_DM!B25,"")</f>
        <v/>
      </c>
      <c r="D44" s="94" t="s">
        <v>186</v>
      </c>
      <c r="E44" s="249" t="str">
        <f>IF(PHASE_FINALE_DM!B26&lt;&gt;"",PHASE_FINALE_DM!B26,"")</f>
        <v/>
      </c>
      <c r="F44" s="125" t="str">
        <f>PHASE_FINALE_DM!C26</f>
        <v/>
      </c>
      <c r="G44" s="125"/>
      <c r="X44" s="78" t="str">
        <f ca="1">INDIRECT("B"&amp;44) &amp; CHAR(10) &amp; "vs" &amp; CHAR(10) &amp; INDIRECT("F"&amp;44)</f>
        <v xml:space="preserve">
vs
</v>
      </c>
      <c r="Y44" s="78" t="b">
        <f ca="1">$S$10=X44</f>
        <v>0</v>
      </c>
      <c r="Z44" s="78" t="b">
        <f ca="1">$S$20=X44</f>
        <v>0</v>
      </c>
      <c r="AA44" s="78" t="b">
        <f ca="1">$S$30=X44</f>
        <v>0</v>
      </c>
    </row>
    <row r="45" spans="1:27" x14ac:dyDescent="0.25">
      <c r="A45" s="125"/>
      <c r="B45" s="125" t="str">
        <f>PHASE_FINALE_DM!C29</f>
        <v/>
      </c>
      <c r="C45" s="249" t="str">
        <f>IF(PHASE_FINALE_DM!B29&lt;&gt;"",PHASE_FINALE_DM!B29,"")</f>
        <v/>
      </c>
      <c r="D45" s="94" t="s">
        <v>187</v>
      </c>
      <c r="E45" s="249" t="str">
        <f>IF(PHASE_FINALE_DM!B30&lt;&gt;"",PHASE_FINALE_DM!B30,"")</f>
        <v/>
      </c>
      <c r="F45" s="125" t="str">
        <f>PHASE_FINALE_DM!C30</f>
        <v/>
      </c>
      <c r="G45" s="125"/>
      <c r="X45" s="78" t="str">
        <f ca="1">INDIRECT("B"&amp;45) &amp; CHAR(10) &amp; "vs" &amp; CHAR(10) &amp; INDIRECT("F"&amp;45)</f>
        <v xml:space="preserve">
vs
</v>
      </c>
      <c r="Y45" s="78" t="b">
        <f ca="1">$S$10=X45</f>
        <v>0</v>
      </c>
      <c r="Z45" s="78" t="b">
        <f ca="1">$S$20=X45</f>
        <v>0</v>
      </c>
      <c r="AA45" s="78" t="b">
        <f ca="1">$S$30=X45</f>
        <v>0</v>
      </c>
    </row>
    <row r="46" spans="1:27" x14ac:dyDescent="0.25">
      <c r="A46" s="93"/>
      <c r="B46" s="93"/>
      <c r="C46" s="99" t="str">
        <f>CHAR(160)</f>
        <v> </v>
      </c>
      <c r="D46" s="248">
        <f>1.04166666666667 + "00:20:00"</f>
        <v>1.0555555555555589</v>
      </c>
      <c r="E46" s="99" t="str">
        <f>CHAR(160)</f>
        <v> </v>
      </c>
      <c r="F46" s="93"/>
      <c r="G46" s="93"/>
      <c r="X46" s="78" t="str">
        <f ca="1">INDIRECT("B"&amp;46) &amp; CHAR(10) &amp; "vs" &amp; CHAR(10) &amp; INDIRECT("F"&amp;46)</f>
        <v xml:space="preserve">
vs
</v>
      </c>
      <c r="Y46" s="78" t="b">
        <f ca="1">$S$10=X46</f>
        <v>0</v>
      </c>
      <c r="Z46" s="78" t="b">
        <f ca="1">$S$20=X46</f>
        <v>0</v>
      </c>
      <c r="AA46" s="78" t="b">
        <f ca="1">$S$30=X46</f>
        <v>0</v>
      </c>
    </row>
    <row r="47" spans="1:27" x14ac:dyDescent="0.25">
      <c r="A47" s="126"/>
      <c r="B47" s="126" t="str">
        <f>PHASE_FINALE_DH!N8</f>
        <v/>
      </c>
      <c r="C47" s="249" t="str">
        <f>IF(PHASE_FINALE_DH!O8&lt;&gt;"",PHASE_FINALE_DH!O8,"")</f>
        <v/>
      </c>
      <c r="D47" s="94" t="s">
        <v>188</v>
      </c>
      <c r="E47" s="249" t="str">
        <f>IF(PHASE_FINALE_DH!O9&lt;&gt;"",PHASE_FINALE_DH!O9,"")</f>
        <v/>
      </c>
      <c r="F47" s="126" t="str">
        <f>PHASE_FINALE_DH!N9</f>
        <v/>
      </c>
      <c r="G47" s="126"/>
      <c r="X47" s="78" t="str">
        <f ca="1">INDIRECT("B"&amp;47) &amp; CHAR(10) &amp; "vs" &amp; CHAR(10) &amp; INDIRECT("F"&amp;47)</f>
        <v xml:space="preserve">
vs
</v>
      </c>
      <c r="Y47" s="78" t="b">
        <f ca="1">$S$10=X47</f>
        <v>0</v>
      </c>
      <c r="Z47" s="78" t="b">
        <f ca="1">$S$20=X47</f>
        <v>0</v>
      </c>
      <c r="AA47" s="78" t="b">
        <f ca="1">$S$30=X47</f>
        <v>0</v>
      </c>
    </row>
    <row r="48" spans="1:27" x14ac:dyDescent="0.25">
      <c r="A48" s="126"/>
      <c r="B48" s="126" t="str">
        <f>PHASE_FINALE_DH!N12</f>
        <v/>
      </c>
      <c r="C48" s="249" t="str">
        <f>IF(PHASE_FINALE_DH!O12&lt;&gt;"",PHASE_FINALE_DH!O12,"")</f>
        <v/>
      </c>
      <c r="D48" s="94" t="s">
        <v>189</v>
      </c>
      <c r="E48" s="249" t="str">
        <f>IF(PHASE_FINALE_DH!O13&lt;&gt;"",PHASE_FINALE_DH!O13,"")</f>
        <v/>
      </c>
      <c r="F48" s="126" t="str">
        <f>PHASE_FINALE_DH!N13</f>
        <v/>
      </c>
      <c r="G48" s="126"/>
      <c r="X48" s="78" t="str">
        <f ca="1">INDIRECT("B"&amp;48) &amp; CHAR(10) &amp; "vs" &amp; CHAR(10) &amp; INDIRECT("F"&amp;48)</f>
        <v xml:space="preserve">
vs
</v>
      </c>
      <c r="Y48" s="78" t="b">
        <f ca="1">$S$10=X48</f>
        <v>0</v>
      </c>
      <c r="Z48" s="78" t="b">
        <f ca="1">$S$20=X48</f>
        <v>0</v>
      </c>
      <c r="AA48" s="78" t="b">
        <f ca="1">$S$30=X48</f>
        <v>0</v>
      </c>
    </row>
    <row r="49" spans="1:27" x14ac:dyDescent="0.25">
      <c r="A49" s="126"/>
      <c r="B49" s="126" t="str">
        <f>PHASE_FINALE_DH!C8</f>
        <v/>
      </c>
      <c r="C49" s="249" t="str">
        <f>IF(PHASE_FINALE_DH!B8&lt;&gt;"",PHASE_FINALE_DH!B8,"")</f>
        <v/>
      </c>
      <c r="D49" s="94" t="s">
        <v>190</v>
      </c>
      <c r="E49" s="249" t="str">
        <f>IF(PHASE_FINALE_DH!B9&lt;&gt;"",PHASE_FINALE_DH!B9,"")</f>
        <v/>
      </c>
      <c r="F49" s="126" t="str">
        <f>PHASE_FINALE_DH!C9</f>
        <v/>
      </c>
      <c r="G49" s="126"/>
      <c r="X49" s="78" t="str">
        <f ca="1">INDIRECT("B"&amp;49) &amp; CHAR(10) &amp; "vs" &amp; CHAR(10) &amp; INDIRECT("F"&amp;49)</f>
        <v xml:space="preserve">
vs
</v>
      </c>
      <c r="Y49" s="78" t="b">
        <f ca="1">$S$10=X49</f>
        <v>0</v>
      </c>
      <c r="Z49" s="78" t="b">
        <f ca="1">$S$20=X49</f>
        <v>0</v>
      </c>
      <c r="AA49" s="78" t="b">
        <f ca="1">$S$30=X49</f>
        <v>0</v>
      </c>
    </row>
    <row r="50" spans="1:27" x14ac:dyDescent="0.25">
      <c r="A50" s="126"/>
      <c r="B50" s="126" t="str">
        <f>PHASE_FINALE_DH!C12</f>
        <v/>
      </c>
      <c r="C50" s="249" t="str">
        <f>IF(PHASE_FINALE_DH!B12&lt;&gt;"",PHASE_FINALE_DH!B12,"")</f>
        <v/>
      </c>
      <c r="D50" s="94" t="s">
        <v>191</v>
      </c>
      <c r="E50" s="249" t="str">
        <f>IF(PHASE_FINALE_DH!B13&lt;&gt;"",PHASE_FINALE_DH!B13,"")</f>
        <v/>
      </c>
      <c r="F50" s="126" t="str">
        <f>PHASE_FINALE_DH!C13</f>
        <v/>
      </c>
      <c r="G50" s="126"/>
      <c r="X50" s="78" t="str">
        <f ca="1">INDIRECT("B"&amp;50) &amp; CHAR(10) &amp; "vs" &amp; CHAR(10) &amp; INDIRECT("F"&amp;50)</f>
        <v xml:space="preserve">
vs
</v>
      </c>
      <c r="Y50" s="78" t="b">
        <f ca="1">$S$10=X50</f>
        <v>0</v>
      </c>
      <c r="Z50" s="78" t="b">
        <f ca="1">$S$20=X50</f>
        <v>0</v>
      </c>
      <c r="AA50" s="78" t="b">
        <f ca="1">$S$30=X50</f>
        <v>0</v>
      </c>
    </row>
    <row r="51" spans="1:27" x14ac:dyDescent="0.25">
      <c r="A51" s="126"/>
      <c r="B51" s="126" t="str">
        <f>PHASE_FINALE_DH!N25</f>
        <v/>
      </c>
      <c r="C51" s="249" t="str">
        <f>IF(PHASE_FINALE_DH!O25&lt;&gt;"",PHASE_FINALE_DH!O25,"")</f>
        <v/>
      </c>
      <c r="D51" s="94" t="s">
        <v>192</v>
      </c>
      <c r="E51" s="249" t="str">
        <f>IF(PHASE_FINALE_DH!O26&lt;&gt;"",PHASE_FINALE_DH!O26,"")</f>
        <v/>
      </c>
      <c r="F51" s="126" t="str">
        <f>PHASE_FINALE_DH!N26</f>
        <v/>
      </c>
      <c r="G51" s="126"/>
      <c r="X51" s="78" t="str">
        <f ca="1">INDIRECT("B"&amp;51) &amp; CHAR(10) &amp; "vs" &amp; CHAR(10) &amp; INDIRECT("F"&amp;51)</f>
        <v xml:space="preserve">
vs
</v>
      </c>
      <c r="Y51" s="78" t="b">
        <f ca="1">$S$10=X51</f>
        <v>0</v>
      </c>
      <c r="Z51" s="78" t="b">
        <f ca="1">$S$20=X51</f>
        <v>0</v>
      </c>
      <c r="AA51" s="78" t="b">
        <f ca="1">$S$30=X51</f>
        <v>0</v>
      </c>
    </row>
    <row r="52" spans="1:27" x14ac:dyDescent="0.25">
      <c r="A52" s="126"/>
      <c r="B52" s="126" t="str">
        <f>PHASE_FINALE_DH!N29</f>
        <v/>
      </c>
      <c r="C52" s="249" t="str">
        <f>IF(PHASE_FINALE_DH!O29&lt;&gt;"",PHASE_FINALE_DH!O29,"")</f>
        <v/>
      </c>
      <c r="D52" s="94" t="s">
        <v>193</v>
      </c>
      <c r="E52" s="249" t="str">
        <f>IF(PHASE_FINALE_DH!O30&lt;&gt;"",PHASE_FINALE_DH!O30,"")</f>
        <v/>
      </c>
      <c r="F52" s="126" t="str">
        <f>PHASE_FINALE_DH!N30</f>
        <v/>
      </c>
      <c r="G52" s="126"/>
      <c r="X52" s="78" t="str">
        <f ca="1">INDIRECT("B"&amp;52) &amp; CHAR(10) &amp; "vs" &amp; CHAR(10) &amp; INDIRECT("F"&amp;52)</f>
        <v xml:space="preserve">
vs
</v>
      </c>
      <c r="Y52" s="78" t="b">
        <f ca="1">$S$10=X52</f>
        <v>0</v>
      </c>
      <c r="Z52" s="78" t="b">
        <f ca="1">$S$20=X52</f>
        <v>0</v>
      </c>
      <c r="AA52" s="78" t="b">
        <f ca="1">$S$30=X52</f>
        <v>0</v>
      </c>
    </row>
    <row r="53" spans="1:27" x14ac:dyDescent="0.25">
      <c r="A53" s="126"/>
      <c r="B53" s="126" t="str">
        <f>PHASE_FINALE_DH!C25</f>
        <v/>
      </c>
      <c r="C53" s="249" t="str">
        <f>IF(PHASE_FINALE_DH!B25&lt;&gt;"",PHASE_FINALE_DH!B25,"")</f>
        <v/>
      </c>
      <c r="D53" s="94" t="s">
        <v>194</v>
      </c>
      <c r="E53" s="249" t="str">
        <f>IF(PHASE_FINALE_DH!B26&lt;&gt;"",PHASE_FINALE_DH!B26,"")</f>
        <v/>
      </c>
      <c r="F53" s="126" t="str">
        <f>PHASE_FINALE_DH!C26</f>
        <v/>
      </c>
      <c r="G53" s="126"/>
      <c r="X53" s="78" t="str">
        <f ca="1">INDIRECT("B"&amp;53) &amp; CHAR(10) &amp; "vs" &amp; CHAR(10) &amp; INDIRECT("F"&amp;53)</f>
        <v xml:space="preserve">
vs
</v>
      </c>
      <c r="Y53" s="78" t="b">
        <f ca="1">$S$10=X53</f>
        <v>0</v>
      </c>
      <c r="Z53" s="78" t="b">
        <f ca="1">$S$20=X53</f>
        <v>0</v>
      </c>
      <c r="AA53" s="78" t="b">
        <f ca="1">$S$30=X53</f>
        <v>0</v>
      </c>
    </row>
    <row r="54" spans="1:27" x14ac:dyDescent="0.25">
      <c r="A54" s="126"/>
      <c r="B54" s="126" t="str">
        <f>PHASE_FINALE_DH!C29</f>
        <v/>
      </c>
      <c r="C54" s="249" t="str">
        <f>IF(PHASE_FINALE_DH!B29&lt;&gt;"",PHASE_FINALE_DH!B29,"")</f>
        <v/>
      </c>
      <c r="D54" s="94" t="s">
        <v>195</v>
      </c>
      <c r="E54" s="249" t="str">
        <f>IF(PHASE_FINALE_DH!B30&lt;&gt;"",PHASE_FINALE_DH!B30,"")</f>
        <v/>
      </c>
      <c r="F54" s="126" t="str">
        <f>PHASE_FINALE_DH!C30</f>
        <v/>
      </c>
      <c r="G54" s="126"/>
      <c r="X54" s="78" t="str">
        <f ca="1">INDIRECT("B"&amp;54) &amp; CHAR(10) &amp; "vs" &amp; CHAR(10) &amp; INDIRECT("F"&amp;54)</f>
        <v xml:space="preserve">
vs
</v>
      </c>
      <c r="Y54" s="78" t="b">
        <f ca="1">$S$10=X54</f>
        <v>0</v>
      </c>
      <c r="Z54" s="78" t="b">
        <f ca="1">$S$20=X54</f>
        <v>0</v>
      </c>
      <c r="AA54" s="78" t="b">
        <f ca="1">$S$30=X54</f>
        <v>0</v>
      </c>
    </row>
    <row r="55" spans="1:27" x14ac:dyDescent="0.25">
      <c r="A55" s="93"/>
      <c r="B55" s="93"/>
      <c r="C55" s="99" t="str">
        <f>CHAR(160)</f>
        <v> </v>
      </c>
      <c r="D55" s="248">
        <f>1.05555555555556 + "00:20:00"</f>
        <v>1.0694444444444489</v>
      </c>
      <c r="E55" s="99" t="str">
        <f>CHAR(160)</f>
        <v> </v>
      </c>
      <c r="F55" s="93"/>
      <c r="G55" s="93"/>
      <c r="X55" s="78" t="str">
        <f ca="1">INDIRECT("B"&amp;55) &amp; CHAR(10) &amp; "vs" &amp; CHAR(10) &amp; INDIRECT("F"&amp;55)</f>
        <v xml:space="preserve">
vs
</v>
      </c>
      <c r="Y55" s="78" t="b">
        <f ca="1">$S$10=X55</f>
        <v>0</v>
      </c>
      <c r="Z55" s="78" t="b">
        <f ca="1">$S$20=X55</f>
        <v>0</v>
      </c>
      <c r="AA55" s="78" t="b">
        <f ca="1">$S$30=X55</f>
        <v>0</v>
      </c>
    </row>
    <row r="56" spans="1:27" x14ac:dyDescent="0.25">
      <c r="X56" s="78" t="str">
        <f ca="1">INDIRECT("B"&amp;56) &amp; CHAR(10) &amp; "vs" &amp; CHAR(10) &amp; INDIRECT("F"&amp;56)</f>
        <v xml:space="preserve">
vs
</v>
      </c>
      <c r="Y56" s="78" t="b">
        <f ca="1">$S$10=X56</f>
        <v>0</v>
      </c>
      <c r="Z56" s="78" t="b">
        <f ca="1">$S$20=X56</f>
        <v>0</v>
      </c>
      <c r="AA56" s="78" t="b">
        <f ca="1">$S$30=X56</f>
        <v>0</v>
      </c>
    </row>
    <row r="57" spans="1:27" x14ac:dyDescent="0.25">
      <c r="X57" s="78" t="str">
        <f ca="1">INDIRECT("B"&amp;57) &amp; CHAR(10) &amp; "vs" &amp; CHAR(10) &amp; INDIRECT("F"&amp;57)</f>
        <v xml:space="preserve">
vs
</v>
      </c>
      <c r="Y57" s="78" t="b">
        <f ca="1">$S$10=X57</f>
        <v>0</v>
      </c>
      <c r="Z57" s="78" t="b">
        <f ca="1">$S$20=X57</f>
        <v>0</v>
      </c>
      <c r="AA57" s="78" t="b">
        <f ca="1">$S$30=X57</f>
        <v>0</v>
      </c>
    </row>
    <row r="58" spans="1:27" x14ac:dyDescent="0.25">
      <c r="X58" s="78" t="str">
        <f ca="1">INDIRECT("B"&amp;58) &amp; CHAR(10) &amp; "vs" &amp; CHAR(10) &amp; INDIRECT("F"&amp;58)</f>
        <v xml:space="preserve">
vs
</v>
      </c>
      <c r="Y58" s="78" t="b">
        <f ca="1">$S$10=X58</f>
        <v>0</v>
      </c>
      <c r="Z58" s="78" t="b">
        <f ca="1">$S$20=X58</f>
        <v>0</v>
      </c>
      <c r="AA58" s="78" t="b">
        <f ca="1">$S$30=X58</f>
        <v>0</v>
      </c>
    </row>
    <row r="59" spans="1:27" x14ac:dyDescent="0.25">
      <c r="X59" s="78" t="str">
        <f ca="1">INDIRECT("B"&amp;59) &amp; CHAR(10) &amp; "vs" &amp; CHAR(10) &amp; INDIRECT("F"&amp;59)</f>
        <v xml:space="preserve">
vs
</v>
      </c>
      <c r="Y59" s="78" t="b">
        <f ca="1">$S$10=X59</f>
        <v>0</v>
      </c>
      <c r="Z59" s="78" t="b">
        <f ca="1">$S$20=X59</f>
        <v>0</v>
      </c>
      <c r="AA59" s="78" t="b">
        <f ca="1">$S$30=X59</f>
        <v>0</v>
      </c>
    </row>
    <row r="60" spans="1:27" x14ac:dyDescent="0.25">
      <c r="X60" s="78" t="str">
        <f ca="1">INDIRECT("B"&amp;60) &amp; CHAR(10) &amp; "vs" &amp; CHAR(10) &amp; INDIRECT("F"&amp;60)</f>
        <v xml:space="preserve">
vs
</v>
      </c>
      <c r="Y60" s="78" t="b">
        <f ca="1">$S$10=X60</f>
        <v>0</v>
      </c>
      <c r="Z60" s="78" t="b">
        <f ca="1">$S$20=X60</f>
        <v>0</v>
      </c>
      <c r="AA60" s="78" t="b">
        <f ca="1">$S$30=X60</f>
        <v>0</v>
      </c>
    </row>
    <row r="61" spans="1:27" x14ac:dyDescent="0.25">
      <c r="X61" s="78" t="str">
        <f ca="1">INDIRECT("B"&amp;61) &amp; CHAR(10) &amp; "vs" &amp; CHAR(10) &amp; INDIRECT("F"&amp;61)</f>
        <v xml:space="preserve">
vs
</v>
      </c>
      <c r="Y61" s="78" t="b">
        <f ca="1">$S$10=X61</f>
        <v>0</v>
      </c>
      <c r="Z61" s="78" t="b">
        <f ca="1">$S$20=X61</f>
        <v>0</v>
      </c>
      <c r="AA61" s="78" t="b">
        <f ca="1">$S$30=X61</f>
        <v>0</v>
      </c>
    </row>
    <row r="62" spans="1:27" x14ac:dyDescent="0.25">
      <c r="X62" s="78" t="str">
        <f ca="1">INDIRECT("B"&amp;62) &amp; CHAR(10) &amp; "vs" &amp; CHAR(10) &amp; INDIRECT("F"&amp;62)</f>
        <v xml:space="preserve">
vs
</v>
      </c>
      <c r="Y62" s="78" t="b">
        <f ca="1">$S$10=X62</f>
        <v>0</v>
      </c>
      <c r="Z62" s="78" t="b">
        <f ca="1">$S$20=X62</f>
        <v>0</v>
      </c>
      <c r="AA62" s="78" t="b">
        <f ca="1">$S$30=X62</f>
        <v>0</v>
      </c>
    </row>
    <row r="63" spans="1:27" x14ac:dyDescent="0.25">
      <c r="X63" s="78" t="str">
        <f ca="1">INDIRECT("B"&amp;63) &amp; CHAR(10) &amp; "vs" &amp; CHAR(10) &amp; INDIRECT("F"&amp;63)</f>
        <v xml:space="preserve">
vs
</v>
      </c>
      <c r="Y63" s="78" t="b">
        <f ca="1">$S$10=X63</f>
        <v>0</v>
      </c>
      <c r="Z63" s="78" t="b">
        <f ca="1">$S$20=X63</f>
        <v>0</v>
      </c>
      <c r="AA63" s="78" t="b">
        <f ca="1">$S$30=X63</f>
        <v>0</v>
      </c>
    </row>
    <row r="64" spans="1:27" x14ac:dyDescent="0.25">
      <c r="D64" s="78">
        <f>1.06944444444445 + "00:20:00"</f>
        <v>1.0833333333333388</v>
      </c>
      <c r="X64" s="78" t="str">
        <f ca="1">INDIRECT("B"&amp;64) &amp; CHAR(10) &amp; "vs" &amp; CHAR(10) &amp; INDIRECT("F"&amp;64)</f>
        <v xml:space="preserve">
vs
</v>
      </c>
      <c r="Y64" s="78" t="b">
        <f ca="1">$S$10=X64</f>
        <v>0</v>
      </c>
      <c r="Z64" s="78" t="b">
        <f ca="1">$S$20=X64</f>
        <v>0</v>
      </c>
      <c r="AA64" s="78" t="b">
        <f ca="1">$S$30=X64</f>
        <v>0</v>
      </c>
    </row>
    <row r="65" spans="4:27" x14ac:dyDescent="0.25">
      <c r="X65" s="78" t="str">
        <f ca="1">INDIRECT("B"&amp;65) &amp; CHAR(10) &amp; "vs" &amp; CHAR(10) &amp; INDIRECT("F"&amp;65)</f>
        <v xml:space="preserve">
vs
</v>
      </c>
      <c r="Y65" s="78" t="b">
        <f ca="1">$S$10=X65</f>
        <v>0</v>
      </c>
      <c r="Z65" s="78" t="b">
        <f ca="1">$S$20=X65</f>
        <v>0</v>
      </c>
      <c r="AA65" s="78" t="b">
        <f ca="1">$S$30=X65</f>
        <v>0</v>
      </c>
    </row>
    <row r="66" spans="4:27" x14ac:dyDescent="0.25">
      <c r="X66" s="78" t="str">
        <f ca="1">INDIRECT("B"&amp;66) &amp; CHAR(10) &amp; "vs" &amp; CHAR(10) &amp; INDIRECT("F"&amp;66)</f>
        <v xml:space="preserve">
vs
</v>
      </c>
      <c r="Y66" s="78" t="b">
        <f ca="1">$S$10=X66</f>
        <v>0</v>
      </c>
      <c r="Z66" s="78" t="b">
        <f ca="1">$S$20=X66</f>
        <v>0</v>
      </c>
      <c r="AA66" s="78" t="b">
        <f ca="1">$S$30=X66</f>
        <v>0</v>
      </c>
    </row>
    <row r="67" spans="4:27" x14ac:dyDescent="0.25">
      <c r="X67" s="78" t="str">
        <f ca="1">INDIRECT("B"&amp;67) &amp; CHAR(10) &amp; "vs" &amp; CHAR(10) &amp; INDIRECT("F"&amp;67)</f>
        <v xml:space="preserve">
vs
</v>
      </c>
      <c r="Y67" s="78" t="b">
        <f ca="1">$S$10=X67</f>
        <v>0</v>
      </c>
      <c r="Z67" s="78" t="b">
        <f ca="1">$S$20=X67</f>
        <v>0</v>
      </c>
      <c r="AA67" s="78" t="b">
        <f ca="1">$S$30=X67</f>
        <v>0</v>
      </c>
    </row>
    <row r="68" spans="4:27" x14ac:dyDescent="0.25">
      <c r="X68" s="78" t="str">
        <f ca="1">INDIRECT("B"&amp;68) &amp; CHAR(10) &amp; "vs" &amp; CHAR(10) &amp; INDIRECT("F"&amp;68)</f>
        <v xml:space="preserve">
vs
</v>
      </c>
      <c r="Y68" s="78" t="b">
        <f ca="1">$S$10=X68</f>
        <v>0</v>
      </c>
      <c r="Z68" s="78" t="b">
        <f ca="1">$S$20=X68</f>
        <v>0</v>
      </c>
      <c r="AA68" s="78" t="b">
        <f ca="1">$S$30=X68</f>
        <v>0</v>
      </c>
    </row>
    <row r="69" spans="4:27" x14ac:dyDescent="0.25">
      <c r="X69" s="78" t="str">
        <f ca="1">INDIRECT("B"&amp;69) &amp; CHAR(10) &amp; "vs" &amp; CHAR(10) &amp; INDIRECT("F"&amp;69)</f>
        <v xml:space="preserve">
vs
</v>
      </c>
      <c r="Y69" s="78" t="b">
        <f ca="1">$S$10=X69</f>
        <v>0</v>
      </c>
      <c r="Z69" s="78" t="b">
        <f ca="1">$S$20=X69</f>
        <v>0</v>
      </c>
      <c r="AA69" s="78" t="b">
        <f ca="1">$S$30=X69</f>
        <v>0</v>
      </c>
    </row>
    <row r="70" spans="4:27" x14ac:dyDescent="0.25">
      <c r="X70" s="78" t="str">
        <f ca="1">INDIRECT("B"&amp;70) &amp; CHAR(10) &amp; "vs" &amp; CHAR(10) &amp; INDIRECT("F"&amp;70)</f>
        <v xml:space="preserve">
vs
</v>
      </c>
      <c r="Y70" s="78" t="b">
        <f ca="1">$S$10=X70</f>
        <v>0</v>
      </c>
      <c r="Z70" s="78" t="b">
        <f ca="1">$S$20=X70</f>
        <v>0</v>
      </c>
      <c r="AA70" s="78" t="b">
        <f ca="1">$S$30=X70</f>
        <v>0</v>
      </c>
    </row>
    <row r="71" spans="4:27" x14ac:dyDescent="0.25">
      <c r="X71" s="78" t="str">
        <f ca="1">INDIRECT("B"&amp;71) &amp; CHAR(10) &amp; "vs" &amp; CHAR(10) &amp; INDIRECT("F"&amp;71)</f>
        <v xml:space="preserve">
vs
</v>
      </c>
      <c r="Y71" s="78" t="b">
        <f ca="1">$S$10=X71</f>
        <v>0</v>
      </c>
      <c r="Z71" s="78" t="b">
        <f ca="1">$S$20=X71</f>
        <v>0</v>
      </c>
      <c r="AA71" s="78" t="b">
        <f ca="1">$S$30=X71</f>
        <v>0</v>
      </c>
    </row>
    <row r="72" spans="4:27" x14ac:dyDescent="0.25">
      <c r="X72" s="78" t="str">
        <f ca="1">INDIRECT("B"&amp;72) &amp; CHAR(10) &amp; "vs" &amp; CHAR(10) &amp; INDIRECT("F"&amp;72)</f>
        <v xml:space="preserve">
vs
</v>
      </c>
      <c r="Y72" s="78" t="b">
        <f ca="1">$S$10=X72</f>
        <v>0</v>
      </c>
      <c r="Z72" s="78" t="b">
        <f ca="1">$S$20=X72</f>
        <v>0</v>
      </c>
      <c r="AA72" s="78" t="b">
        <f ca="1">$S$30=X72</f>
        <v>0</v>
      </c>
    </row>
    <row r="73" spans="4:27" x14ac:dyDescent="0.25">
      <c r="D73" s="78">
        <f>1.08333333333334 + "00:20:00"</f>
        <v>1.0972222222222288</v>
      </c>
      <c r="X73" s="78" t="str">
        <f ca="1">INDIRECT("B"&amp;73) &amp; CHAR(10) &amp; "vs" &amp; CHAR(10) &amp; INDIRECT("F"&amp;73)</f>
        <v xml:space="preserve">
vs
</v>
      </c>
      <c r="Y73" s="78" t="b">
        <f ca="1">$S$10=X73</f>
        <v>0</v>
      </c>
      <c r="Z73" s="78" t="b">
        <f ca="1">$S$20=X73</f>
        <v>0</v>
      </c>
      <c r="AA73" s="78" t="b">
        <f ca="1">$S$30=X73</f>
        <v>0</v>
      </c>
    </row>
    <row r="74" spans="4:27" x14ac:dyDescent="0.25">
      <c r="X74" s="78" t="str">
        <f ca="1">INDIRECT("B"&amp;74) &amp; CHAR(10) &amp; "vs" &amp; CHAR(10) &amp; INDIRECT("F"&amp;74)</f>
        <v xml:space="preserve">
vs
</v>
      </c>
      <c r="Y74" s="78" t="b">
        <f ca="1">$S$10=X74</f>
        <v>0</v>
      </c>
      <c r="Z74" s="78" t="b">
        <f ca="1">$S$20=X74</f>
        <v>0</v>
      </c>
      <c r="AA74" s="78" t="b">
        <f ca="1">$S$30=X74</f>
        <v>0</v>
      </c>
    </row>
    <row r="75" spans="4:27" x14ac:dyDescent="0.25">
      <c r="X75" s="78" t="str">
        <f ca="1">INDIRECT("B"&amp;75) &amp; CHAR(10) &amp; "vs" &amp; CHAR(10) &amp; INDIRECT("F"&amp;75)</f>
        <v xml:space="preserve">
vs
</v>
      </c>
      <c r="Y75" s="78" t="b">
        <f ca="1">$S$10=X75</f>
        <v>0</v>
      </c>
      <c r="Z75" s="78" t="b">
        <f ca="1">$S$20=X75</f>
        <v>0</v>
      </c>
      <c r="AA75" s="78" t="b">
        <f ca="1">$S$30=X75</f>
        <v>0</v>
      </c>
    </row>
    <row r="76" spans="4:27" x14ac:dyDescent="0.25">
      <c r="X76" s="78" t="str">
        <f ca="1">INDIRECT("B"&amp;76) &amp; CHAR(10) &amp; "vs" &amp; CHAR(10) &amp; INDIRECT("F"&amp;76)</f>
        <v xml:space="preserve">
vs
</v>
      </c>
      <c r="Y76" s="78" t="b">
        <f ca="1">$S$10=X76</f>
        <v>0</v>
      </c>
      <c r="Z76" s="78" t="b">
        <f ca="1">$S$20=X76</f>
        <v>0</v>
      </c>
      <c r="AA76" s="78" t="b">
        <f ca="1">$S$30=X76</f>
        <v>0</v>
      </c>
    </row>
    <row r="77" spans="4:27" x14ac:dyDescent="0.25">
      <c r="X77" s="78" t="str">
        <f ca="1">INDIRECT("B"&amp;77) &amp; CHAR(10) &amp; "vs" &amp; CHAR(10) &amp; INDIRECT("F"&amp;77)</f>
        <v xml:space="preserve">
vs
</v>
      </c>
      <c r="Y77" s="78" t="b">
        <f ca="1">$S$10=X77</f>
        <v>0</v>
      </c>
      <c r="Z77" s="78" t="b">
        <f ca="1">$S$20=X77</f>
        <v>0</v>
      </c>
      <c r="AA77" s="78" t="b">
        <f ca="1">$S$30=X77</f>
        <v>0</v>
      </c>
    </row>
    <row r="78" spans="4:27" x14ac:dyDescent="0.25">
      <c r="X78" s="78" t="str">
        <f ca="1">INDIRECT("B"&amp;78) &amp; CHAR(10) &amp; "vs" &amp; CHAR(10) &amp; INDIRECT("F"&amp;78)</f>
        <v xml:space="preserve">
vs
</v>
      </c>
      <c r="Y78" s="78" t="b">
        <f ca="1">$S$10=X78</f>
        <v>0</v>
      </c>
      <c r="Z78" s="78" t="b">
        <f ca="1">$S$20=X78</f>
        <v>0</v>
      </c>
      <c r="AA78" s="78" t="b">
        <f ca="1">$S$30=X78</f>
        <v>0</v>
      </c>
    </row>
    <row r="79" spans="4:27" x14ac:dyDescent="0.25">
      <c r="X79" s="78" t="str">
        <f ca="1">INDIRECT("B"&amp;79) &amp; CHAR(10) &amp; "vs" &amp; CHAR(10) &amp; INDIRECT("F"&amp;79)</f>
        <v xml:space="preserve">
vs
</v>
      </c>
      <c r="Y79" s="78" t="b">
        <f ca="1">$S$10=X79</f>
        <v>0</v>
      </c>
      <c r="Z79" s="78" t="b">
        <f ca="1">$S$20=X79</f>
        <v>0</v>
      </c>
      <c r="AA79" s="78" t="b">
        <f ca="1">$S$30=X79</f>
        <v>0</v>
      </c>
    </row>
    <row r="80" spans="4:27" x14ac:dyDescent="0.25">
      <c r="X80" s="78" t="str">
        <f ca="1">INDIRECT("B"&amp;80) &amp; CHAR(10) &amp; "vs" &amp; CHAR(10) &amp; INDIRECT("F"&amp;80)</f>
        <v xml:space="preserve">
vs
</v>
      </c>
      <c r="Y80" s="78" t="b">
        <f ca="1">$S$10=X80</f>
        <v>0</v>
      </c>
      <c r="Z80" s="78" t="b">
        <f ca="1">$S$20=X80</f>
        <v>0</v>
      </c>
      <c r="AA80" s="78" t="b">
        <f ca="1">$S$30=X80</f>
        <v>0</v>
      </c>
    </row>
    <row r="81" spans="4:27" x14ac:dyDescent="0.25">
      <c r="X81" s="78" t="str">
        <f ca="1">INDIRECT("B"&amp;81) &amp; CHAR(10) &amp; "vs" &amp; CHAR(10) &amp; INDIRECT("F"&amp;81)</f>
        <v xml:space="preserve">
vs
</v>
      </c>
      <c r="Y81" s="78" t="b">
        <f ca="1">$S$10=X81</f>
        <v>0</v>
      </c>
      <c r="Z81" s="78" t="b">
        <f ca="1">$S$20=X81</f>
        <v>0</v>
      </c>
      <c r="AA81" s="78" t="b">
        <f ca="1">$S$30=X81</f>
        <v>0</v>
      </c>
    </row>
    <row r="82" spans="4:27" x14ac:dyDescent="0.25">
      <c r="D82" s="78">
        <f>1.09722222222223 + "00:20:00"</f>
        <v>1.1111111111111189</v>
      </c>
      <c r="X82" s="78" t="str">
        <f ca="1">INDIRECT("B"&amp;82) &amp; CHAR(10) &amp; "vs" &amp; CHAR(10) &amp; INDIRECT("F"&amp;82)</f>
        <v xml:space="preserve">
vs
</v>
      </c>
      <c r="Y82" s="78" t="b">
        <f ca="1">$S$10=X82</f>
        <v>0</v>
      </c>
      <c r="Z82" s="78" t="b">
        <f ca="1">$S$20=X82</f>
        <v>0</v>
      </c>
      <c r="AA82" s="78" t="b">
        <f ca="1">$S$30=X82</f>
        <v>0</v>
      </c>
    </row>
    <row r="83" spans="4:27" x14ac:dyDescent="0.25">
      <c r="X83" s="78" t="str">
        <f ca="1">INDIRECT("B"&amp;83) &amp; CHAR(10) &amp; "vs" &amp; CHAR(10) &amp; INDIRECT("F"&amp;83)</f>
        <v xml:space="preserve">
vs
</v>
      </c>
      <c r="Y83" s="78" t="b">
        <f ca="1">$S$10=X83</f>
        <v>0</v>
      </c>
      <c r="Z83" s="78" t="b">
        <f ca="1">$S$20=X83</f>
        <v>0</v>
      </c>
      <c r="AA83" s="78" t="b">
        <f ca="1">$S$30=X83</f>
        <v>0</v>
      </c>
    </row>
    <row r="84" spans="4:27" x14ac:dyDescent="0.25">
      <c r="X84" s="78" t="str">
        <f ca="1">INDIRECT("B"&amp;84) &amp; CHAR(10) &amp; "vs" &amp; CHAR(10) &amp; INDIRECT("F"&amp;84)</f>
        <v xml:space="preserve">
vs
</v>
      </c>
      <c r="Y84" s="78" t="b">
        <f ca="1">$S$10=X84</f>
        <v>0</v>
      </c>
      <c r="Z84" s="78" t="b">
        <f ca="1">$S$20=X84</f>
        <v>0</v>
      </c>
      <c r="AA84" s="78" t="b">
        <f ca="1">$S$30=X84</f>
        <v>0</v>
      </c>
    </row>
    <row r="85" spans="4:27" x14ac:dyDescent="0.25">
      <c r="X85" s="78" t="str">
        <f ca="1">INDIRECT("B"&amp;85) &amp; CHAR(10) &amp; "vs" &amp; CHAR(10) &amp; INDIRECT("F"&amp;85)</f>
        <v xml:space="preserve">
vs
</v>
      </c>
      <c r="Y85" s="78" t="b">
        <f ca="1">$S$10=X85</f>
        <v>0</v>
      </c>
      <c r="Z85" s="78" t="b">
        <f ca="1">$S$20=X85</f>
        <v>0</v>
      </c>
      <c r="AA85" s="78" t="b">
        <f ca="1">$S$30=X85</f>
        <v>0</v>
      </c>
    </row>
    <row r="86" spans="4:27" x14ac:dyDescent="0.25">
      <c r="X86" s="78" t="str">
        <f ca="1">INDIRECT("B"&amp;86) &amp; CHAR(10) &amp; "vs" &amp; CHAR(10) &amp; INDIRECT("F"&amp;86)</f>
        <v xml:space="preserve">
vs
</v>
      </c>
      <c r="Y86" s="78" t="b">
        <f ca="1">$S$10=X86</f>
        <v>0</v>
      </c>
      <c r="Z86" s="78" t="b">
        <f ca="1">$S$20=X86</f>
        <v>0</v>
      </c>
      <c r="AA86" s="78" t="b">
        <f ca="1">$S$30=X86</f>
        <v>0</v>
      </c>
    </row>
    <row r="87" spans="4:27" x14ac:dyDescent="0.25">
      <c r="X87" s="78" t="str">
        <f ca="1">INDIRECT("B"&amp;87) &amp; CHAR(10) &amp; "vs" &amp; CHAR(10) &amp; INDIRECT("F"&amp;87)</f>
        <v xml:space="preserve">
vs
</v>
      </c>
      <c r="Y87" s="78" t="b">
        <f ca="1">$S$10=X87</f>
        <v>0</v>
      </c>
      <c r="Z87" s="78" t="b">
        <f ca="1">$S$20=X87</f>
        <v>0</v>
      </c>
      <c r="AA87" s="78" t="b">
        <f ca="1">$S$30=X87</f>
        <v>0</v>
      </c>
    </row>
    <row r="88" spans="4:27" x14ac:dyDescent="0.25">
      <c r="X88" s="78" t="str">
        <f ca="1">INDIRECT("B"&amp;88) &amp; CHAR(10) &amp; "vs" &amp; CHAR(10) &amp; INDIRECT("F"&amp;88)</f>
        <v xml:space="preserve">
vs
</v>
      </c>
      <c r="Y88" s="78" t="b">
        <f ca="1">$S$10=X88</f>
        <v>0</v>
      </c>
      <c r="Z88" s="78" t="b">
        <f ca="1">$S$20=X88</f>
        <v>0</v>
      </c>
      <c r="AA88" s="78" t="b">
        <f ca="1">$S$30=X88</f>
        <v>0</v>
      </c>
    </row>
    <row r="89" spans="4:27" x14ac:dyDescent="0.25">
      <c r="X89" s="78" t="str">
        <f ca="1">INDIRECT("B"&amp;89) &amp; CHAR(10) &amp; "vs" &amp; CHAR(10) &amp; INDIRECT("F"&amp;89)</f>
        <v xml:space="preserve">
vs
</v>
      </c>
      <c r="Y89" s="78" t="b">
        <f ca="1">$S$10=X89</f>
        <v>0</v>
      </c>
      <c r="Z89" s="78" t="b">
        <f ca="1">$S$20=X89</f>
        <v>0</v>
      </c>
      <c r="AA89" s="78" t="b">
        <f ca="1">$S$30=X89</f>
        <v>0</v>
      </c>
    </row>
    <row r="90" spans="4:27" x14ac:dyDescent="0.25">
      <c r="X90" s="78" t="str">
        <f ca="1">INDIRECT("B"&amp;90) &amp; CHAR(10) &amp; "vs" &amp; CHAR(10) &amp; INDIRECT("F"&amp;90)</f>
        <v xml:space="preserve">
vs
</v>
      </c>
      <c r="Y90" s="78" t="b">
        <f ca="1">$S$10=X90</f>
        <v>0</v>
      </c>
      <c r="Z90" s="78" t="b">
        <f ca="1">$S$20=X90</f>
        <v>0</v>
      </c>
      <c r="AA90" s="78" t="b">
        <f ca="1">$S$30=X90</f>
        <v>0</v>
      </c>
    </row>
    <row r="91" spans="4:27" x14ac:dyDescent="0.25">
      <c r="D91" s="78">
        <f>1.11111111111112 + "00:20:00"</f>
        <v>1.1250000000000089</v>
      </c>
      <c r="X91" s="78" t="str">
        <f ca="1">INDIRECT("B"&amp;91) &amp; CHAR(10) &amp; "vs" &amp; CHAR(10) &amp; INDIRECT("F"&amp;91)</f>
        <v xml:space="preserve">
vs
</v>
      </c>
      <c r="Y91" s="78" t="b">
        <f ca="1">$S$10=X91</f>
        <v>0</v>
      </c>
      <c r="Z91" s="78" t="b">
        <f ca="1">$S$20=X91</f>
        <v>0</v>
      </c>
      <c r="AA91" s="78" t="b">
        <f ca="1">$S$30=X91</f>
        <v>0</v>
      </c>
    </row>
    <row r="92" spans="4:27" x14ac:dyDescent="0.25">
      <c r="X92" s="78" t="str">
        <f ca="1">INDIRECT("B"&amp;92) &amp; CHAR(10) &amp; "vs" &amp; CHAR(10) &amp; INDIRECT("F"&amp;92)</f>
        <v xml:space="preserve">
vs
</v>
      </c>
      <c r="Y92" s="78" t="b">
        <f ca="1">$S$10=X92</f>
        <v>0</v>
      </c>
      <c r="Z92" s="78" t="b">
        <f ca="1">$S$20=X92</f>
        <v>0</v>
      </c>
      <c r="AA92" s="78" t="b">
        <f ca="1">$S$30=X92</f>
        <v>0</v>
      </c>
    </row>
    <row r="93" spans="4:27" x14ac:dyDescent="0.25">
      <c r="X93" s="78" t="str">
        <f ca="1">INDIRECT("B"&amp;93) &amp; CHAR(10) &amp; "vs" &amp; CHAR(10) &amp; INDIRECT("F"&amp;93)</f>
        <v xml:space="preserve">
vs
</v>
      </c>
      <c r="Y93" s="78" t="b">
        <f ca="1">$S$10=X93</f>
        <v>0</v>
      </c>
      <c r="Z93" s="78" t="b">
        <f ca="1">$S$20=X93</f>
        <v>0</v>
      </c>
      <c r="AA93" s="78" t="b">
        <f ca="1">$S$30=X93</f>
        <v>0</v>
      </c>
    </row>
    <row r="94" spans="4:27" x14ac:dyDescent="0.25">
      <c r="X94" s="78" t="str">
        <f ca="1">INDIRECT("B"&amp;94) &amp; CHAR(10) &amp; "vs" &amp; CHAR(10) &amp; INDIRECT("F"&amp;94)</f>
        <v xml:space="preserve">
vs
</v>
      </c>
      <c r="Y94" s="78" t="b">
        <f ca="1">$S$10=X94</f>
        <v>0</v>
      </c>
      <c r="Z94" s="78" t="b">
        <f ca="1">$S$20=X94</f>
        <v>0</v>
      </c>
      <c r="AA94" s="78" t="b">
        <f ca="1">$S$30=X94</f>
        <v>0</v>
      </c>
    </row>
    <row r="95" spans="4:27" x14ac:dyDescent="0.25">
      <c r="X95" s="78" t="str">
        <f ca="1">INDIRECT("B"&amp;95) &amp; CHAR(10) &amp; "vs" &amp; CHAR(10) &amp; INDIRECT("F"&amp;95)</f>
        <v xml:space="preserve">
vs
</v>
      </c>
      <c r="Y95" s="78" t="b">
        <f ca="1">$S$10=X95</f>
        <v>0</v>
      </c>
      <c r="Z95" s="78" t="b">
        <f ca="1">$S$20=X95</f>
        <v>0</v>
      </c>
      <c r="AA95" s="78" t="b">
        <f ca="1">$S$30=X95</f>
        <v>0</v>
      </c>
    </row>
    <row r="96" spans="4:27" x14ac:dyDescent="0.25">
      <c r="X96" s="78" t="str">
        <f ca="1">INDIRECT("B"&amp;96) &amp; CHAR(10) &amp; "vs" &amp; CHAR(10) &amp; INDIRECT("F"&amp;96)</f>
        <v xml:space="preserve">
vs
</v>
      </c>
      <c r="Y96" s="78" t="b">
        <f ca="1">$S$10=X96</f>
        <v>0</v>
      </c>
      <c r="Z96" s="78" t="b">
        <f ca="1">$S$20=X96</f>
        <v>0</v>
      </c>
      <c r="AA96" s="78" t="b">
        <f ca="1">$S$30=X96</f>
        <v>0</v>
      </c>
    </row>
    <row r="97" spans="4:27" x14ac:dyDescent="0.25">
      <c r="X97" s="78" t="str">
        <f ca="1">INDIRECT("B"&amp;97) &amp; CHAR(10) &amp; "vs" &amp; CHAR(10) &amp; INDIRECT("F"&amp;97)</f>
        <v xml:space="preserve">
vs
</v>
      </c>
      <c r="Y97" s="78" t="b">
        <f ca="1">$S$10=X97</f>
        <v>0</v>
      </c>
      <c r="Z97" s="78" t="b">
        <f ca="1">$S$20=X97</f>
        <v>0</v>
      </c>
      <c r="AA97" s="78" t="b">
        <f ca="1">$S$30=X97</f>
        <v>0</v>
      </c>
    </row>
    <row r="98" spans="4:27" x14ac:dyDescent="0.25">
      <c r="X98" s="78" t="str">
        <f ca="1">INDIRECT("B"&amp;98) &amp; CHAR(10) &amp; "vs" &amp; CHAR(10) &amp; INDIRECT("F"&amp;98)</f>
        <v xml:space="preserve">
vs
</v>
      </c>
      <c r="Y98" s="78" t="b">
        <f ca="1">$S$10=X98</f>
        <v>0</v>
      </c>
      <c r="Z98" s="78" t="b">
        <f ca="1">$S$20=X98</f>
        <v>0</v>
      </c>
      <c r="AA98" s="78" t="b">
        <f ca="1">$S$30=X98</f>
        <v>0</v>
      </c>
    </row>
    <row r="99" spans="4:27" x14ac:dyDescent="0.25">
      <c r="X99" s="78" t="str">
        <f ca="1">INDIRECT("B"&amp;99) &amp; CHAR(10) &amp; "vs" &amp; CHAR(10) &amp; INDIRECT("F"&amp;99)</f>
        <v xml:space="preserve">
vs
</v>
      </c>
      <c r="Y99" s="78" t="b">
        <f ca="1">$S$10=X99</f>
        <v>0</v>
      </c>
      <c r="Z99" s="78" t="b">
        <f ca="1">$S$20=X99</f>
        <v>0</v>
      </c>
      <c r="AA99" s="78" t="b">
        <f ca="1">$S$30=X99</f>
        <v>0</v>
      </c>
    </row>
    <row r="100" spans="4:27" x14ac:dyDescent="0.25">
      <c r="D100" s="78">
        <f>1.12500000000001 + "00:20:00"</f>
        <v>1.1388888888888988</v>
      </c>
      <c r="X100" s="78" t="str">
        <f ca="1">INDIRECT("B"&amp;100) &amp; CHAR(10) &amp; "vs" &amp; CHAR(10) &amp; INDIRECT("F"&amp;100)</f>
        <v xml:space="preserve">
vs
</v>
      </c>
      <c r="Y100" s="78" t="b">
        <f ca="1">$S$10=X100</f>
        <v>0</v>
      </c>
      <c r="Z100" s="78" t="b">
        <f ca="1">$S$20=X100</f>
        <v>0</v>
      </c>
      <c r="AA100" s="78" t="b">
        <f ca="1">$S$30=X100</f>
        <v>0</v>
      </c>
    </row>
    <row r="101" spans="4:27" x14ac:dyDescent="0.25">
      <c r="X101" s="78" t="str">
        <f ca="1">INDIRECT("B"&amp;101) &amp; CHAR(10) &amp; "vs" &amp; CHAR(10) &amp; INDIRECT("F"&amp;101)</f>
        <v xml:space="preserve">
vs
</v>
      </c>
      <c r="Y101" s="78" t="b">
        <f ca="1">$S$10=X101</f>
        <v>0</v>
      </c>
      <c r="Z101" s="78" t="b">
        <f ca="1">$S$20=X101</f>
        <v>0</v>
      </c>
      <c r="AA101" s="78" t="b">
        <f ca="1">$S$30=X101</f>
        <v>0</v>
      </c>
    </row>
    <row r="102" spans="4:27" x14ac:dyDescent="0.25">
      <c r="X102" s="78" t="str">
        <f ca="1">INDIRECT("B"&amp;102) &amp; CHAR(10) &amp; "vs" &amp; CHAR(10) &amp; INDIRECT("F"&amp;102)</f>
        <v xml:space="preserve">
vs
</v>
      </c>
      <c r="Y102" s="78" t="b">
        <f ca="1">$S$10=X102</f>
        <v>0</v>
      </c>
      <c r="Z102" s="78" t="b">
        <f ca="1">$S$20=X102</f>
        <v>0</v>
      </c>
      <c r="AA102" s="78" t="b">
        <f ca="1">$S$30=X102</f>
        <v>0</v>
      </c>
    </row>
    <row r="103" spans="4:27" x14ac:dyDescent="0.25">
      <c r="X103" s="78" t="str">
        <f ca="1">INDIRECT("B"&amp;103) &amp; CHAR(10) &amp; "vs" &amp; CHAR(10) &amp; INDIRECT("F"&amp;103)</f>
        <v xml:space="preserve">
vs
</v>
      </c>
      <c r="Y103" s="78" t="b">
        <f ca="1">$S$10=X103</f>
        <v>0</v>
      </c>
      <c r="Z103" s="78" t="b">
        <f ca="1">$S$20=X103</f>
        <v>0</v>
      </c>
      <c r="AA103" s="78" t="b">
        <f ca="1">$S$30=X103</f>
        <v>0</v>
      </c>
    </row>
    <row r="104" spans="4:27" x14ac:dyDescent="0.25">
      <c r="X104" s="78" t="str">
        <f ca="1">INDIRECT("B"&amp;104) &amp; CHAR(10) &amp; "vs" &amp; CHAR(10) &amp; INDIRECT("F"&amp;104)</f>
        <v xml:space="preserve">
vs
</v>
      </c>
      <c r="Y104" s="78" t="b">
        <f ca="1">$S$10=X104</f>
        <v>0</v>
      </c>
      <c r="Z104" s="78" t="b">
        <f ca="1">$S$20=X104</f>
        <v>0</v>
      </c>
      <c r="AA104" s="78" t="b">
        <f ca="1">$S$30=X104</f>
        <v>0</v>
      </c>
    </row>
    <row r="105" spans="4:27" x14ac:dyDescent="0.25">
      <c r="X105" s="78" t="str">
        <f ca="1">INDIRECT("B"&amp;105) &amp; CHAR(10) &amp; "vs" &amp; CHAR(10) &amp; INDIRECT("F"&amp;105)</f>
        <v xml:space="preserve">
vs
</v>
      </c>
      <c r="Y105" s="78" t="b">
        <f ca="1">$S$10=X105</f>
        <v>0</v>
      </c>
      <c r="Z105" s="78" t="b">
        <f ca="1">$S$20=X105</f>
        <v>0</v>
      </c>
      <c r="AA105" s="78" t="b">
        <f ca="1">$S$30=X105</f>
        <v>0</v>
      </c>
    </row>
    <row r="106" spans="4:27" x14ac:dyDescent="0.25">
      <c r="X106" s="78" t="str">
        <f ca="1">INDIRECT("B"&amp;106) &amp; CHAR(10) &amp; "vs" &amp; CHAR(10) &amp; INDIRECT("F"&amp;106)</f>
        <v xml:space="preserve">
vs
</v>
      </c>
      <c r="Y106" s="78" t="b">
        <f ca="1">$S$10=X106</f>
        <v>0</v>
      </c>
      <c r="Z106" s="78" t="b">
        <f ca="1">$S$20=X106</f>
        <v>0</v>
      </c>
      <c r="AA106" s="78" t="b">
        <f ca="1">$S$30=X106</f>
        <v>0</v>
      </c>
    </row>
    <row r="107" spans="4:27" x14ac:dyDescent="0.25">
      <c r="X107" s="78" t="str">
        <f ca="1">INDIRECT("B"&amp;107) &amp; CHAR(10) &amp; "vs" &amp; CHAR(10) &amp; INDIRECT("F"&amp;107)</f>
        <v xml:space="preserve">
vs
</v>
      </c>
      <c r="Y107" s="78" t="b">
        <f ca="1">$S$10=X107</f>
        <v>0</v>
      </c>
      <c r="Z107" s="78" t="b">
        <f ca="1">$S$20=X107</f>
        <v>0</v>
      </c>
      <c r="AA107" s="78" t="b">
        <f ca="1">$S$30=X107</f>
        <v>0</v>
      </c>
    </row>
    <row r="108" spans="4:27" x14ac:dyDescent="0.25">
      <c r="X108" s="78" t="str">
        <f ca="1">INDIRECT("B"&amp;108) &amp; CHAR(10) &amp; "vs" &amp; CHAR(10) &amp; INDIRECT("F"&amp;108)</f>
        <v xml:space="preserve">
vs
</v>
      </c>
      <c r="Y108" s="78" t="b">
        <f ca="1">$S$10=X108</f>
        <v>0</v>
      </c>
      <c r="Z108" s="78" t="b">
        <f ca="1">$S$20=X108</f>
        <v>0</v>
      </c>
      <c r="AA108" s="78" t="b">
        <f ca="1">$S$30=X108</f>
        <v>0</v>
      </c>
    </row>
    <row r="109" spans="4:27" x14ac:dyDescent="0.25">
      <c r="X109" s="78" t="str">
        <f ca="1">INDIRECT("B"&amp;109) &amp; CHAR(10) &amp; "vs" &amp; CHAR(10) &amp; INDIRECT("F"&amp;109)</f>
        <v xml:space="preserve">
vs
</v>
      </c>
      <c r="Y109" s="78" t="b">
        <f ca="1">$S$10=X109</f>
        <v>0</v>
      </c>
      <c r="Z109" s="78" t="b">
        <f ca="1">$S$20=X109</f>
        <v>0</v>
      </c>
      <c r="AA109" s="78" t="b">
        <f ca="1">$S$30=X109</f>
        <v>0</v>
      </c>
    </row>
    <row r="110" spans="4:27" x14ac:dyDescent="0.25">
      <c r="X110" s="78" t="str">
        <f ca="1">INDIRECT("B"&amp;110) &amp; CHAR(10) &amp; "vs" &amp; CHAR(10) &amp; INDIRECT("F"&amp;110)</f>
        <v xml:space="preserve">
vs
</v>
      </c>
      <c r="Y110" s="78" t="b">
        <f ca="1">$S$10=X110</f>
        <v>0</v>
      </c>
      <c r="Z110" s="78" t="b">
        <f ca="1">$S$20=X110</f>
        <v>0</v>
      </c>
      <c r="AA110" s="78" t="b">
        <f ca="1">$S$30=X110</f>
        <v>0</v>
      </c>
    </row>
    <row r="111" spans="4:27" x14ac:dyDescent="0.25">
      <c r="X111" s="78" t="str">
        <f ca="1">INDIRECT("B"&amp;111) &amp; CHAR(10) &amp; "vs" &amp; CHAR(10) &amp; INDIRECT("F"&amp;111)</f>
        <v xml:space="preserve">
vs
</v>
      </c>
      <c r="Y111" s="78" t="b">
        <f ca="1">$S$10=X111</f>
        <v>0</v>
      </c>
      <c r="Z111" s="78" t="b">
        <f ca="1">$S$20=X111</f>
        <v>0</v>
      </c>
      <c r="AA111" s="78" t="b">
        <f ca="1">$S$30=X111</f>
        <v>0</v>
      </c>
    </row>
    <row r="112" spans="4:27" x14ac:dyDescent="0.25">
      <c r="X112" s="78" t="str">
        <f ca="1">INDIRECT("B"&amp;112) &amp; CHAR(10) &amp; "vs" &amp; CHAR(10) &amp; INDIRECT("F"&amp;112)</f>
        <v xml:space="preserve">
vs
</v>
      </c>
      <c r="Y112" s="78" t="b">
        <f ca="1">$S$10=X112</f>
        <v>0</v>
      </c>
      <c r="Z112" s="78" t="b">
        <f ca="1">$S$20=X112</f>
        <v>0</v>
      </c>
      <c r="AA112" s="78" t="b">
        <f ca="1">$S$30=X112</f>
        <v>0</v>
      </c>
    </row>
    <row r="113" spans="24:27" x14ac:dyDescent="0.25">
      <c r="X113" s="78" t="str">
        <f ca="1">INDIRECT("B"&amp;113) &amp; CHAR(10) &amp; "vs" &amp; CHAR(10) &amp; INDIRECT("F"&amp;113)</f>
        <v xml:space="preserve">
vs
</v>
      </c>
      <c r="Y113" s="78" t="b">
        <f ca="1">$S$10=X113</f>
        <v>0</v>
      </c>
      <c r="Z113" s="78" t="b">
        <f ca="1">$S$20=X113</f>
        <v>0</v>
      </c>
      <c r="AA113" s="78" t="b">
        <f ca="1">$S$30=X113</f>
        <v>0</v>
      </c>
    </row>
    <row r="114" spans="24:27" x14ac:dyDescent="0.25">
      <c r="X114" s="78" t="str">
        <f ca="1">INDIRECT("B"&amp;114) &amp; CHAR(10) &amp; "vs" &amp; CHAR(10) &amp; INDIRECT("F"&amp;114)</f>
        <v xml:space="preserve">
vs
</v>
      </c>
      <c r="Y114" s="78" t="b">
        <f ca="1">$S$10=X114</f>
        <v>0</v>
      </c>
      <c r="Z114" s="78" t="b">
        <f ca="1">$S$20=X114</f>
        <v>0</v>
      </c>
      <c r="AA114" s="78" t="b">
        <f ca="1">$S$30=X114</f>
        <v>0</v>
      </c>
    </row>
    <row r="115" spans="24:27" x14ac:dyDescent="0.25">
      <c r="X115" s="78" t="str">
        <f ca="1">INDIRECT("B"&amp;115) &amp; CHAR(10) &amp; "vs" &amp; CHAR(10) &amp; INDIRECT("F"&amp;115)</f>
        <v xml:space="preserve">
vs
</v>
      </c>
      <c r="Y115" s="78" t="b">
        <f ca="1">$S$10=X115</f>
        <v>0</v>
      </c>
      <c r="Z115" s="78" t="b">
        <f ca="1">$S$20=X115</f>
        <v>0</v>
      </c>
      <c r="AA115" s="78" t="b">
        <f ca="1">$S$30=X115</f>
        <v>0</v>
      </c>
    </row>
    <row r="116" spans="24:27" x14ac:dyDescent="0.25">
      <c r="X116" s="78" t="str">
        <f ca="1">INDIRECT("B"&amp;116) &amp; CHAR(10) &amp; "vs" &amp; CHAR(10) &amp; INDIRECT("F"&amp;116)</f>
        <v xml:space="preserve">
vs
</v>
      </c>
      <c r="Y116" s="78" t="b">
        <f ca="1">$S$10=X116</f>
        <v>0</v>
      </c>
      <c r="Z116" s="78" t="b">
        <f ca="1">$S$20=X116</f>
        <v>0</v>
      </c>
      <c r="AA116" s="78" t="b">
        <f ca="1">$S$30=X116</f>
        <v>0</v>
      </c>
    </row>
    <row r="117" spans="24:27" x14ac:dyDescent="0.25">
      <c r="X117" s="78" t="str">
        <f ca="1">INDIRECT("B"&amp;117) &amp; CHAR(10) &amp; "vs" &amp; CHAR(10) &amp; INDIRECT("F"&amp;117)</f>
        <v xml:space="preserve">
vs
</v>
      </c>
      <c r="Y117" s="78" t="b">
        <f ca="1">$S$10=X117</f>
        <v>0</v>
      </c>
      <c r="Z117" s="78" t="b">
        <f ca="1">$S$20=X117</f>
        <v>0</v>
      </c>
      <c r="AA117" s="78" t="b">
        <f ca="1">$S$30=X117</f>
        <v>0</v>
      </c>
    </row>
    <row r="118" spans="24:27" x14ac:dyDescent="0.25">
      <c r="X118" s="78" t="str">
        <f ca="1">INDIRECT("B"&amp;118) &amp; CHAR(10) &amp; "vs" &amp; CHAR(10) &amp; INDIRECT("F"&amp;118)</f>
        <v xml:space="preserve">
vs
</v>
      </c>
      <c r="Y118" s="78" t="b">
        <f ca="1">$S$10=X118</f>
        <v>0</v>
      </c>
      <c r="Z118" s="78" t="b">
        <f ca="1">$S$20=X118</f>
        <v>0</v>
      </c>
      <c r="AA118" s="78" t="b">
        <f ca="1">$S$30=X118</f>
        <v>0</v>
      </c>
    </row>
    <row r="119" spans="24:27" x14ac:dyDescent="0.25">
      <c r="X119" s="78" t="str">
        <f ca="1">INDIRECT("B"&amp;119) &amp; CHAR(10) &amp; "vs" &amp; CHAR(10) &amp; INDIRECT("F"&amp;119)</f>
        <v xml:space="preserve">
vs
</v>
      </c>
      <c r="Y119" s="78" t="b">
        <f ca="1">$S$10=X119</f>
        <v>0</v>
      </c>
      <c r="Z119" s="78" t="b">
        <f ca="1">$S$20=X119</f>
        <v>0</v>
      </c>
      <c r="AA119" s="78" t="b">
        <f ca="1">$S$30=X119</f>
        <v>0</v>
      </c>
    </row>
    <row r="120" spans="24:27" x14ac:dyDescent="0.25">
      <c r="X120" s="78" t="str">
        <f ca="1">INDIRECT("B"&amp;120) &amp; CHAR(10) &amp; "vs" &amp; CHAR(10) &amp; INDIRECT("F"&amp;120)</f>
        <v xml:space="preserve">
vs
</v>
      </c>
      <c r="Y120" s="78" t="b">
        <f ca="1">$S$10=X120</f>
        <v>0</v>
      </c>
      <c r="Z120" s="78" t="b">
        <f ca="1">$S$20=X120</f>
        <v>0</v>
      </c>
      <c r="AA120" s="78" t="b">
        <f ca="1">$S$30=X120</f>
        <v>0</v>
      </c>
    </row>
    <row r="121" spans="24:27" x14ac:dyDescent="0.25">
      <c r="X121" s="78" t="str">
        <f ca="1">INDIRECT("B"&amp;121) &amp; CHAR(10) &amp; "vs" &amp; CHAR(10) &amp; INDIRECT("F"&amp;121)</f>
        <v xml:space="preserve">
vs
</v>
      </c>
      <c r="Y121" s="78" t="b">
        <f ca="1">$S$10=X121</f>
        <v>0</v>
      </c>
      <c r="Z121" s="78" t="b">
        <f ca="1">$S$20=X121</f>
        <v>0</v>
      </c>
      <c r="AA121" s="78" t="b">
        <f ca="1">$S$30=X121</f>
        <v>0</v>
      </c>
    </row>
    <row r="122" spans="24:27" x14ac:dyDescent="0.25">
      <c r="X122" s="78" t="str">
        <f ca="1">INDIRECT("B"&amp;122) &amp; CHAR(10) &amp; "vs" &amp; CHAR(10) &amp; INDIRECT("F"&amp;122)</f>
        <v xml:space="preserve">
vs
</v>
      </c>
      <c r="Y122" s="78" t="b">
        <f ca="1">$S$10=X122</f>
        <v>0</v>
      </c>
      <c r="Z122" s="78" t="b">
        <f ca="1">$S$20=X122</f>
        <v>0</v>
      </c>
      <c r="AA122" s="78" t="b">
        <f ca="1">$S$30=X122</f>
        <v>0</v>
      </c>
    </row>
    <row r="123" spans="24:27" x14ac:dyDescent="0.25">
      <c r="X123" s="78" t="str">
        <f ca="1">INDIRECT("B"&amp;123) &amp; CHAR(10) &amp; "vs" &amp; CHAR(10) &amp; INDIRECT("F"&amp;123)</f>
        <v xml:space="preserve">
vs
</v>
      </c>
      <c r="Y123" s="78" t="b">
        <f ca="1">$S$10=X123</f>
        <v>0</v>
      </c>
      <c r="Z123" s="78" t="b">
        <f ca="1">$S$20=X123</f>
        <v>0</v>
      </c>
      <c r="AA123" s="78" t="b">
        <f ca="1">$S$30=X123</f>
        <v>0</v>
      </c>
    </row>
    <row r="124" spans="24:27" x14ac:dyDescent="0.25">
      <c r="X124" s="78" t="str">
        <f ca="1">INDIRECT("B"&amp;124) &amp; CHAR(10) &amp; "vs" &amp; CHAR(10) &amp; INDIRECT("F"&amp;124)</f>
        <v xml:space="preserve">
vs
</v>
      </c>
      <c r="Y124" s="78" t="b">
        <f ca="1">$S$10=X124</f>
        <v>0</v>
      </c>
      <c r="Z124" s="78" t="b">
        <f ca="1">$S$20=X124</f>
        <v>0</v>
      </c>
      <c r="AA124" s="78" t="b">
        <f ca="1">$S$30=X124</f>
        <v>0</v>
      </c>
    </row>
    <row r="125" spans="24:27" x14ac:dyDescent="0.25">
      <c r="X125" s="78" t="str">
        <f ca="1">INDIRECT("B"&amp;125) &amp; CHAR(10) &amp; "vs" &amp; CHAR(10) &amp; INDIRECT("F"&amp;125)</f>
        <v xml:space="preserve">
vs
</v>
      </c>
      <c r="Y125" s="78" t="b">
        <f ca="1">$S$10=X125</f>
        <v>0</v>
      </c>
      <c r="Z125" s="78" t="b">
        <f ca="1">$S$20=X125</f>
        <v>0</v>
      </c>
      <c r="AA125" s="78" t="b">
        <f ca="1">$S$30=X125</f>
        <v>0</v>
      </c>
    </row>
    <row r="126" spans="24:27" x14ac:dyDescent="0.25">
      <c r="X126" s="78" t="str">
        <f ca="1">INDIRECT("B"&amp;126) &amp; CHAR(10) &amp; "vs" &amp; CHAR(10) &amp; INDIRECT("F"&amp;126)</f>
        <v xml:space="preserve">
vs
</v>
      </c>
      <c r="Y126" s="78" t="b">
        <f ca="1">$S$10=X126</f>
        <v>0</v>
      </c>
      <c r="Z126" s="78" t="b">
        <f ca="1">$S$20=X126</f>
        <v>0</v>
      </c>
      <c r="AA126" s="78" t="b">
        <f ca="1">$S$30=X126</f>
        <v>0</v>
      </c>
    </row>
    <row r="127" spans="24:27" x14ac:dyDescent="0.25">
      <c r="X127" s="78" t="str">
        <f ca="1">INDIRECT("B"&amp;127) &amp; CHAR(10) &amp; "vs" &amp; CHAR(10) &amp; INDIRECT("F"&amp;127)</f>
        <v xml:space="preserve">
vs
</v>
      </c>
      <c r="Y127" s="78" t="b">
        <f ca="1">$S$10=X127</f>
        <v>0</v>
      </c>
      <c r="Z127" s="78" t="b">
        <f ca="1">$S$20=X127</f>
        <v>0</v>
      </c>
      <c r="AA127" s="78" t="b">
        <f ca="1">$S$30=X127</f>
        <v>0</v>
      </c>
    </row>
    <row r="128" spans="24:27" x14ac:dyDescent="0.25">
      <c r="X128" s="78" t="str">
        <f ca="1">INDIRECT("B"&amp;128) &amp; CHAR(10) &amp; "vs" &amp; CHAR(10) &amp; INDIRECT("F"&amp;128)</f>
        <v xml:space="preserve">
vs
</v>
      </c>
      <c r="Y128" s="78" t="b">
        <f ca="1">$S$10=X128</f>
        <v>0</v>
      </c>
      <c r="Z128" s="78" t="b">
        <f ca="1">$S$20=X128</f>
        <v>0</v>
      </c>
      <c r="AA128" s="78" t="b">
        <f ca="1">$S$30=X128</f>
        <v>0</v>
      </c>
    </row>
    <row r="129" spans="24:27" x14ac:dyDescent="0.25">
      <c r="X129" s="78" t="str">
        <f ca="1">INDIRECT("B"&amp;129) &amp; CHAR(10) &amp; "vs" &amp; CHAR(10) &amp; INDIRECT("F"&amp;129)</f>
        <v xml:space="preserve">
vs
</v>
      </c>
      <c r="Y129" s="78" t="b">
        <f ca="1">$S$10=X129</f>
        <v>0</v>
      </c>
      <c r="Z129" s="78" t="b">
        <f ca="1">$S$20=X129</f>
        <v>0</v>
      </c>
      <c r="AA129" s="78" t="b">
        <f ca="1">$S$30=X129</f>
        <v>0</v>
      </c>
    </row>
    <row r="130" spans="24:27" x14ac:dyDescent="0.25">
      <c r="X130" s="78" t="str">
        <f ca="1">INDIRECT("B"&amp;130) &amp; CHAR(10) &amp; "vs" &amp; CHAR(10) &amp; INDIRECT("F"&amp;130)</f>
        <v xml:space="preserve">
vs
</v>
      </c>
      <c r="Y130" s="78" t="b">
        <f ca="1">$S$10=X130</f>
        <v>0</v>
      </c>
      <c r="Z130" s="78" t="b">
        <f ca="1">$S$20=X130</f>
        <v>0</v>
      </c>
      <c r="AA130" s="78" t="b">
        <f ca="1">$S$30=X130</f>
        <v>0</v>
      </c>
    </row>
    <row r="131" spans="24:27" x14ac:dyDescent="0.25">
      <c r="X131" s="78" t="str">
        <f ca="1">INDIRECT("B"&amp;131) &amp; CHAR(10) &amp; "vs" &amp; CHAR(10) &amp; INDIRECT("F"&amp;131)</f>
        <v xml:space="preserve">
vs
</v>
      </c>
      <c r="Y131" s="78" t="b">
        <f ca="1">$S$10=X131</f>
        <v>0</v>
      </c>
      <c r="Z131" s="78" t="b">
        <f ca="1">$S$20=X131</f>
        <v>0</v>
      </c>
      <c r="AA131" s="78" t="b">
        <f ca="1">$S$30=X131</f>
        <v>0</v>
      </c>
    </row>
    <row r="132" spans="24:27" x14ac:dyDescent="0.25">
      <c r="X132" s="78" t="str">
        <f ca="1">INDIRECT("B"&amp;132) &amp; CHAR(10) &amp; "vs" &amp; CHAR(10) &amp; INDIRECT("F"&amp;132)</f>
        <v xml:space="preserve">
vs
</v>
      </c>
      <c r="Y132" s="78" t="b">
        <f ca="1">$S$10=X132</f>
        <v>0</v>
      </c>
      <c r="Z132" s="78" t="b">
        <f ca="1">$S$20=X132</f>
        <v>0</v>
      </c>
      <c r="AA132" s="78" t="b">
        <f ca="1">$S$30=X132</f>
        <v>0</v>
      </c>
    </row>
    <row r="133" spans="24:27" x14ac:dyDescent="0.25">
      <c r="X133" s="78" t="str">
        <f ca="1">INDIRECT("B"&amp;133) &amp; CHAR(10) &amp; "vs" &amp; CHAR(10) &amp; INDIRECT("F"&amp;133)</f>
        <v xml:space="preserve">
vs
</v>
      </c>
      <c r="Y133" s="78" t="b">
        <f ca="1">$S$10=X133</f>
        <v>0</v>
      </c>
      <c r="Z133" s="78" t="b">
        <f ca="1">$S$20=X133</f>
        <v>0</v>
      </c>
      <c r="AA133" s="78" t="b">
        <f ca="1">$S$30=X133</f>
        <v>0</v>
      </c>
    </row>
    <row r="134" spans="24:27" x14ac:dyDescent="0.25">
      <c r="X134" s="78" t="str">
        <f ca="1">INDIRECT("B"&amp;134) &amp; CHAR(10) &amp; "vs" &amp; CHAR(10) &amp; INDIRECT("F"&amp;134)</f>
        <v xml:space="preserve">
vs
</v>
      </c>
      <c r="Y134" s="78" t="b">
        <f ca="1">$S$10=X134</f>
        <v>0</v>
      </c>
      <c r="Z134" s="78" t="b">
        <f ca="1">$S$20=X134</f>
        <v>0</v>
      </c>
      <c r="AA134" s="78" t="b">
        <f ca="1">$S$30=X134</f>
        <v>0</v>
      </c>
    </row>
    <row r="135" spans="24:27" x14ac:dyDescent="0.25">
      <c r="X135" s="78" t="str">
        <f ca="1">INDIRECT("B"&amp;135) &amp; CHAR(10) &amp; "vs" &amp; CHAR(10) &amp; INDIRECT("F"&amp;135)</f>
        <v xml:space="preserve">
vs
</v>
      </c>
      <c r="Y135" s="78" t="b">
        <f ca="1">$S$10=X135</f>
        <v>0</v>
      </c>
      <c r="Z135" s="78" t="b">
        <f ca="1">$S$20=X135</f>
        <v>0</v>
      </c>
      <c r="AA135" s="78" t="b">
        <f ca="1">$S$30=X135</f>
        <v>0</v>
      </c>
    </row>
    <row r="136" spans="24:27" x14ac:dyDescent="0.25">
      <c r="X136" s="78" t="str">
        <f ca="1">INDIRECT("B"&amp;136) &amp; CHAR(10) &amp; "vs" &amp; CHAR(10) &amp; INDIRECT("F"&amp;136)</f>
        <v xml:space="preserve">
vs
</v>
      </c>
      <c r="Y136" s="78" t="b">
        <f ca="1">$S$10=X136</f>
        <v>0</v>
      </c>
      <c r="Z136" s="78" t="b">
        <f ca="1">$S$20=X136</f>
        <v>0</v>
      </c>
      <c r="AA136" s="78" t="b">
        <f ca="1">$S$30=X136</f>
        <v>0</v>
      </c>
    </row>
    <row r="137" spans="24:27" x14ac:dyDescent="0.25">
      <c r="X137" s="78" t="str">
        <f ca="1">INDIRECT("B"&amp;137) &amp; CHAR(10) &amp; "vs" &amp; CHAR(10) &amp; INDIRECT("F"&amp;137)</f>
        <v xml:space="preserve">
vs
</v>
      </c>
      <c r="Y137" s="78" t="b">
        <f ca="1">$S$10=X137</f>
        <v>0</v>
      </c>
      <c r="Z137" s="78" t="b">
        <f ca="1">$S$20=X137</f>
        <v>0</v>
      </c>
      <c r="AA137" s="78" t="b">
        <f ca="1">$S$30=X137</f>
        <v>0</v>
      </c>
    </row>
    <row r="138" spans="24:27" x14ac:dyDescent="0.25">
      <c r="X138" s="78" t="str">
        <f ca="1">INDIRECT("B"&amp;138) &amp; CHAR(10) &amp; "vs" &amp; CHAR(10) &amp; INDIRECT("F"&amp;138)</f>
        <v xml:space="preserve">
vs
</v>
      </c>
      <c r="Y138" s="78" t="b">
        <f ca="1">$S$10=X138</f>
        <v>0</v>
      </c>
      <c r="Z138" s="78" t="b">
        <f ca="1">$S$20=X138</f>
        <v>0</v>
      </c>
      <c r="AA138" s="78" t="b">
        <f ca="1">$S$30=X138</f>
        <v>0</v>
      </c>
    </row>
    <row r="139" spans="24:27" x14ac:dyDescent="0.25">
      <c r="X139" s="78" t="str">
        <f ca="1">INDIRECT("B"&amp;139) &amp; CHAR(10) &amp; "vs" &amp; CHAR(10) &amp; INDIRECT("F"&amp;139)</f>
        <v xml:space="preserve">
vs
</v>
      </c>
      <c r="Y139" s="78" t="b">
        <f ca="1">$S$10=X139</f>
        <v>0</v>
      </c>
      <c r="Z139" s="78" t="b">
        <f ca="1">$S$20=X139</f>
        <v>0</v>
      </c>
      <c r="AA139" s="78" t="b">
        <f ca="1">$S$30=X139</f>
        <v>0</v>
      </c>
    </row>
    <row r="140" spans="24:27" x14ac:dyDescent="0.25">
      <c r="X140" s="78" t="str">
        <f ca="1">INDIRECT("B"&amp;140) &amp; CHAR(10) &amp; "vs" &amp; CHAR(10) &amp; INDIRECT("F"&amp;140)</f>
        <v xml:space="preserve">
vs
</v>
      </c>
      <c r="Y140" s="78" t="b">
        <f ca="1">$S$10=X140</f>
        <v>0</v>
      </c>
      <c r="Z140" s="78" t="b">
        <f ca="1">$S$20=X140</f>
        <v>0</v>
      </c>
      <c r="AA140" s="78" t="b">
        <f ca="1">$S$30=X140</f>
        <v>0</v>
      </c>
    </row>
    <row r="141" spans="24:27" x14ac:dyDescent="0.25">
      <c r="X141" s="78" t="str">
        <f ca="1">INDIRECT("B"&amp;141) &amp; CHAR(10) &amp; "vs" &amp; CHAR(10) &amp; INDIRECT("F"&amp;141)</f>
        <v xml:space="preserve">
vs
</v>
      </c>
      <c r="Y141" s="78" t="b">
        <f ca="1">$S$10=X141</f>
        <v>0</v>
      </c>
      <c r="Z141" s="78" t="b">
        <f ca="1">$S$20=X141</f>
        <v>0</v>
      </c>
      <c r="AA141" s="78" t="b">
        <f ca="1">$S$30=X141</f>
        <v>0</v>
      </c>
    </row>
    <row r="142" spans="24:27" x14ac:dyDescent="0.25">
      <c r="X142" s="78" t="str">
        <f ca="1">INDIRECT("B"&amp;142) &amp; CHAR(10) &amp; "vs" &amp; CHAR(10) &amp; INDIRECT("F"&amp;142)</f>
        <v xml:space="preserve">
vs
</v>
      </c>
      <c r="Y142" s="78" t="b">
        <f ca="1">$S$10=X142</f>
        <v>0</v>
      </c>
      <c r="Z142" s="78" t="b">
        <f ca="1">$S$20=X142</f>
        <v>0</v>
      </c>
      <c r="AA142" s="78" t="b">
        <f ca="1">$S$30=X142</f>
        <v>0</v>
      </c>
    </row>
    <row r="143" spans="24:27" x14ac:dyDescent="0.25">
      <c r="X143" s="78" t="str">
        <f ca="1">INDIRECT("B"&amp;143) &amp; CHAR(10) &amp; "vs" &amp; CHAR(10) &amp; INDIRECT("F"&amp;143)</f>
        <v xml:space="preserve">
vs
</v>
      </c>
      <c r="Y143" s="78" t="b">
        <f ca="1">$S$10=X143</f>
        <v>0</v>
      </c>
      <c r="Z143" s="78" t="b">
        <f ca="1">$S$20=X143</f>
        <v>0</v>
      </c>
      <c r="AA143" s="78" t="b">
        <f ca="1">$S$30=X143</f>
        <v>0</v>
      </c>
    </row>
    <row r="144" spans="24:27" x14ac:dyDescent="0.25">
      <c r="X144" s="78" t="str">
        <f ca="1">INDIRECT("B"&amp;144) &amp; CHAR(10) &amp; "vs" &amp; CHAR(10) &amp; INDIRECT("F"&amp;144)</f>
        <v xml:space="preserve">
vs
</v>
      </c>
      <c r="Y144" s="78" t="b">
        <f ca="1">$S$10=X144</f>
        <v>0</v>
      </c>
      <c r="Z144" s="78" t="b">
        <f ca="1">$S$20=X144</f>
        <v>0</v>
      </c>
      <c r="AA144" s="78" t="b">
        <f ca="1">$S$30=X144</f>
        <v>0</v>
      </c>
    </row>
    <row r="145" spans="24:27" x14ac:dyDescent="0.25">
      <c r="X145" s="78" t="str">
        <f ca="1">INDIRECT("B"&amp;145) &amp; CHAR(10) &amp; "vs" &amp; CHAR(10) &amp; INDIRECT("F"&amp;145)</f>
        <v xml:space="preserve">
vs
</v>
      </c>
      <c r="Y145" s="78" t="b">
        <f ca="1">$S$10=X145</f>
        <v>0</v>
      </c>
      <c r="Z145" s="78" t="b">
        <f ca="1">$S$20=X145</f>
        <v>0</v>
      </c>
      <c r="AA145" s="78" t="b">
        <f ca="1">$S$30=X145</f>
        <v>0</v>
      </c>
    </row>
    <row r="146" spans="24:27" x14ac:dyDescent="0.25">
      <c r="X146" s="78" t="str">
        <f ca="1">INDIRECT("B"&amp;146) &amp; CHAR(10) &amp; "vs" &amp; CHAR(10) &amp; INDIRECT("F"&amp;146)</f>
        <v xml:space="preserve">
vs
</v>
      </c>
      <c r="Y146" s="78" t="b">
        <f ca="1">$S$10=X146</f>
        <v>0</v>
      </c>
      <c r="Z146" s="78" t="b">
        <f ca="1">$S$20=X146</f>
        <v>0</v>
      </c>
      <c r="AA146" s="78" t="b">
        <f ca="1">$S$30=X146</f>
        <v>0</v>
      </c>
    </row>
    <row r="147" spans="24:27" x14ac:dyDescent="0.25">
      <c r="X147" s="78" t="str">
        <f ca="1">INDIRECT("B"&amp;147) &amp; CHAR(10) &amp; "vs" &amp; CHAR(10) &amp; INDIRECT("F"&amp;147)</f>
        <v xml:space="preserve">
vs
</v>
      </c>
      <c r="Y147" s="78" t="b">
        <f ca="1">$S$10=X147</f>
        <v>0</v>
      </c>
      <c r="Z147" s="78" t="b">
        <f ca="1">$S$20=X147</f>
        <v>0</v>
      </c>
      <c r="AA147" s="78" t="b">
        <f ca="1">$S$30=X147</f>
        <v>0</v>
      </c>
    </row>
    <row r="148" spans="24:27" x14ac:dyDescent="0.25">
      <c r="X148" s="78" t="str">
        <f ca="1">INDIRECT("B"&amp;148) &amp; CHAR(10) &amp; "vs" &amp; CHAR(10) &amp; INDIRECT("F"&amp;148)</f>
        <v xml:space="preserve">
vs
</v>
      </c>
      <c r="Y148" s="78" t="b">
        <f ca="1">$S$10=X148</f>
        <v>0</v>
      </c>
      <c r="Z148" s="78" t="b">
        <f ca="1">$S$20=X148</f>
        <v>0</v>
      </c>
      <c r="AA148" s="78" t="b">
        <f ca="1">$S$30=X148</f>
        <v>0</v>
      </c>
    </row>
    <row r="149" spans="24:27" x14ac:dyDescent="0.25">
      <c r="X149" s="78" t="str">
        <f ca="1">INDIRECT("B"&amp;149) &amp; CHAR(10) &amp; "vs" &amp; CHAR(10) &amp; INDIRECT("F"&amp;149)</f>
        <v xml:space="preserve">
vs
</v>
      </c>
      <c r="Y149" s="78" t="b">
        <f ca="1">$S$10=X149</f>
        <v>0</v>
      </c>
      <c r="Z149" s="78" t="b">
        <f ca="1">$S$20=X149</f>
        <v>0</v>
      </c>
      <c r="AA149" s="78" t="b">
        <f ca="1">$S$30=X149</f>
        <v>0</v>
      </c>
    </row>
    <row r="150" spans="24:27" x14ac:dyDescent="0.25">
      <c r="X150" s="78" t="str">
        <f ca="1">INDIRECT("B"&amp;150) &amp; CHAR(10) &amp; "vs" &amp; CHAR(10) &amp; INDIRECT("F"&amp;150)</f>
        <v xml:space="preserve">
vs
</v>
      </c>
      <c r="Y150" s="78" t="b">
        <f ca="1">$S$10=X150</f>
        <v>0</v>
      </c>
      <c r="Z150" s="78" t="b">
        <f ca="1">$S$20=X150</f>
        <v>0</v>
      </c>
      <c r="AA150" s="78" t="b">
        <f ca="1">$S$30=X150</f>
        <v>0</v>
      </c>
    </row>
    <row r="151" spans="24:27" x14ac:dyDescent="0.25">
      <c r="X151" s="78" t="str">
        <f ca="1">INDIRECT("B"&amp;151) &amp; CHAR(10) &amp; "vs" &amp; CHAR(10) &amp; INDIRECT("F"&amp;151)</f>
        <v xml:space="preserve">
vs
</v>
      </c>
      <c r="Y151" s="78" t="b">
        <f ca="1">$S$10=X151</f>
        <v>0</v>
      </c>
      <c r="Z151" s="78" t="b">
        <f ca="1">$S$20=X151</f>
        <v>0</v>
      </c>
      <c r="AA151" s="78" t="b">
        <f ca="1">$S$30=X151</f>
        <v>0</v>
      </c>
    </row>
    <row r="152" spans="24:27" x14ac:dyDescent="0.25">
      <c r="X152" s="78" t="str">
        <f ca="1">INDIRECT("B"&amp;152) &amp; CHAR(10) &amp; "vs" &amp; CHAR(10) &amp; INDIRECT("F"&amp;152)</f>
        <v xml:space="preserve">
vs
</v>
      </c>
      <c r="Y152" s="78" t="b">
        <f ca="1">$S$10=X152</f>
        <v>0</v>
      </c>
      <c r="Z152" s="78" t="b">
        <f ca="1">$S$20=X152</f>
        <v>0</v>
      </c>
      <c r="AA152" s="78" t="b">
        <f ca="1">$S$30=X152</f>
        <v>0</v>
      </c>
    </row>
    <row r="153" spans="24:27" x14ac:dyDescent="0.25">
      <c r="X153" s="78" t="str">
        <f ca="1">INDIRECT("B"&amp;153) &amp; CHAR(10) &amp; "vs" &amp; CHAR(10) &amp; INDIRECT("F"&amp;153)</f>
        <v xml:space="preserve">
vs
</v>
      </c>
      <c r="Y153" s="78" t="b">
        <f ca="1">$S$10=X153</f>
        <v>0</v>
      </c>
      <c r="Z153" s="78" t="b">
        <f ca="1">$S$20=X153</f>
        <v>0</v>
      </c>
      <c r="AA153" s="78" t="b">
        <f ca="1">$S$30=X153</f>
        <v>0</v>
      </c>
    </row>
    <row r="154" spans="24:27" x14ac:dyDescent="0.25">
      <c r="X154" s="78" t="str">
        <f ca="1">INDIRECT("B"&amp;154) &amp; CHAR(10) &amp; "vs" &amp; CHAR(10) &amp; INDIRECT("F"&amp;154)</f>
        <v xml:space="preserve">
vs
</v>
      </c>
      <c r="Y154" s="78" t="b">
        <f ca="1">$S$10=X154</f>
        <v>0</v>
      </c>
      <c r="Z154" s="78" t="b">
        <f ca="1">$S$20=X154</f>
        <v>0</v>
      </c>
      <c r="AA154" s="78" t="b">
        <f ca="1">$S$30=X154</f>
        <v>0</v>
      </c>
    </row>
    <row r="155" spans="24:27" x14ac:dyDescent="0.25">
      <c r="X155" s="78" t="str">
        <f ca="1">INDIRECT("B"&amp;155) &amp; CHAR(10) &amp; "vs" &amp; CHAR(10) &amp; INDIRECT("F"&amp;155)</f>
        <v xml:space="preserve">
vs
</v>
      </c>
      <c r="Y155" s="78" t="b">
        <f ca="1">$S$10=X155</f>
        <v>0</v>
      </c>
      <c r="Z155" s="78" t="b">
        <f ca="1">$S$20=X155</f>
        <v>0</v>
      </c>
      <c r="AA155" s="78" t="b">
        <f ca="1">$S$30=X155</f>
        <v>0</v>
      </c>
    </row>
    <row r="156" spans="24:27" x14ac:dyDescent="0.25">
      <c r="X156" s="78" t="str">
        <f ca="1">INDIRECT("B"&amp;156) &amp; CHAR(10) &amp; "vs" &amp; CHAR(10) &amp; INDIRECT("F"&amp;156)</f>
        <v xml:space="preserve">
vs
</v>
      </c>
      <c r="Y156" s="78" t="b">
        <f ca="1">$S$10=X156</f>
        <v>0</v>
      </c>
      <c r="Z156" s="78" t="b">
        <f ca="1">$S$20=X156</f>
        <v>0</v>
      </c>
      <c r="AA156" s="78" t="b">
        <f ca="1">$S$30=X156</f>
        <v>0</v>
      </c>
    </row>
    <row r="157" spans="24:27" x14ac:dyDescent="0.25">
      <c r="X157" s="78" t="str">
        <f ca="1">INDIRECT("B"&amp;157) &amp; CHAR(10) &amp; "vs" &amp; CHAR(10) &amp; INDIRECT("F"&amp;157)</f>
        <v xml:space="preserve">
vs
</v>
      </c>
      <c r="Y157" s="78" t="b">
        <f ca="1">$S$10=X157</f>
        <v>0</v>
      </c>
      <c r="Z157" s="78" t="b">
        <f ca="1">$S$20=X157</f>
        <v>0</v>
      </c>
      <c r="AA157" s="78" t="b">
        <f ca="1">$S$30=X157</f>
        <v>0</v>
      </c>
    </row>
    <row r="158" spans="24:27" x14ac:dyDescent="0.25">
      <c r="X158" s="78" t="str">
        <f ca="1">INDIRECT("B"&amp;158) &amp; CHAR(10) &amp; "vs" &amp; CHAR(10) &amp; INDIRECT("F"&amp;158)</f>
        <v xml:space="preserve">
vs
</v>
      </c>
      <c r="Y158" s="78" t="b">
        <f ca="1">$S$10=X158</f>
        <v>0</v>
      </c>
      <c r="Z158" s="78" t="b">
        <f ca="1">$S$20=X158</f>
        <v>0</v>
      </c>
      <c r="AA158" s="78" t="b">
        <f ca="1">$S$30=X158</f>
        <v>0</v>
      </c>
    </row>
    <row r="159" spans="24:27" x14ac:dyDescent="0.25">
      <c r="X159" s="78" t="str">
        <f ca="1">INDIRECT("B"&amp;159) &amp; CHAR(10) &amp; "vs" &amp; CHAR(10) &amp; INDIRECT("F"&amp;159)</f>
        <v xml:space="preserve">
vs
</v>
      </c>
      <c r="Y159" s="78" t="b">
        <f ca="1">$S$10=X159</f>
        <v>0</v>
      </c>
      <c r="Z159" s="78" t="b">
        <f ca="1">$S$20=X159</f>
        <v>0</v>
      </c>
      <c r="AA159" s="78" t="b">
        <f ca="1">$S$30=X159</f>
        <v>0</v>
      </c>
    </row>
    <row r="160" spans="24:27" x14ac:dyDescent="0.25">
      <c r="X160" s="78" t="str">
        <f ca="1">INDIRECT("B"&amp;160) &amp; CHAR(10) &amp; "vs" &amp; CHAR(10) &amp; INDIRECT("F"&amp;160)</f>
        <v xml:space="preserve">
vs
</v>
      </c>
      <c r="Y160" s="78" t="b">
        <f ca="1">$S$10=X160</f>
        <v>0</v>
      </c>
      <c r="Z160" s="78" t="b">
        <f ca="1">$S$20=X160</f>
        <v>0</v>
      </c>
      <c r="AA160" s="78" t="b">
        <f ca="1">$S$30=X160</f>
        <v>0</v>
      </c>
    </row>
    <row r="161" spans="24:27" x14ac:dyDescent="0.25">
      <c r="X161" s="78" t="str">
        <f ca="1">INDIRECT("B"&amp;161) &amp; CHAR(10) &amp; "vs" &amp; CHAR(10) &amp; INDIRECT("F"&amp;161)</f>
        <v xml:space="preserve">
vs
</v>
      </c>
      <c r="Y161" s="78" t="b">
        <f ca="1">$S$10=X161</f>
        <v>0</v>
      </c>
      <c r="Z161" s="78" t="b">
        <f ca="1">$S$20=X161</f>
        <v>0</v>
      </c>
      <c r="AA161" s="78" t="b">
        <f ca="1">$S$30=X161</f>
        <v>0</v>
      </c>
    </row>
    <row r="162" spans="24:27" x14ac:dyDescent="0.25">
      <c r="X162" s="78" t="str">
        <f ca="1">INDIRECT("B"&amp;162) &amp; CHAR(10) &amp; "vs" &amp; CHAR(10) &amp; INDIRECT("F"&amp;162)</f>
        <v xml:space="preserve">
vs
</v>
      </c>
      <c r="Y162" s="78" t="b">
        <f ca="1">$S$10=X162</f>
        <v>0</v>
      </c>
      <c r="Z162" s="78" t="b">
        <f ca="1">$S$20=X162</f>
        <v>0</v>
      </c>
      <c r="AA162" s="78" t="b">
        <f ca="1">$S$30=X162</f>
        <v>0</v>
      </c>
    </row>
    <row r="163" spans="24:27" x14ac:dyDescent="0.25">
      <c r="X163" s="78" t="str">
        <f ca="1">INDIRECT("B"&amp;163) &amp; CHAR(10) &amp; "vs" &amp; CHAR(10) &amp; INDIRECT("F"&amp;163)</f>
        <v xml:space="preserve">
vs
</v>
      </c>
      <c r="Y163" s="78" t="b">
        <f ca="1">$S$10=X163</f>
        <v>0</v>
      </c>
      <c r="Z163" s="78" t="b">
        <f ca="1">$S$20=X163</f>
        <v>0</v>
      </c>
      <c r="AA163" s="78" t="b">
        <f ca="1">$S$30=X163</f>
        <v>0</v>
      </c>
    </row>
    <row r="164" spans="24:27" x14ac:dyDescent="0.25">
      <c r="X164" s="78" t="str">
        <f ca="1">INDIRECT("B"&amp;164) &amp; CHAR(10) &amp; "vs" &amp; CHAR(10) &amp; INDIRECT("F"&amp;164)</f>
        <v xml:space="preserve">
vs
</v>
      </c>
      <c r="Y164" s="78" t="b">
        <f ca="1">$S$10=X164</f>
        <v>0</v>
      </c>
      <c r="Z164" s="78" t="b">
        <f ca="1">$S$20=X164</f>
        <v>0</v>
      </c>
      <c r="AA164" s="78" t="b">
        <f ca="1">$S$30=X164</f>
        <v>0</v>
      </c>
    </row>
    <row r="165" spans="24:27" x14ac:dyDescent="0.25">
      <c r="X165" s="78" t="str">
        <f ca="1">INDIRECT("B"&amp;165) &amp; CHAR(10) &amp; "vs" &amp; CHAR(10) &amp; INDIRECT("F"&amp;165)</f>
        <v xml:space="preserve">
vs
</v>
      </c>
      <c r="Y165" s="78" t="b">
        <f ca="1">$S$10=X165</f>
        <v>0</v>
      </c>
      <c r="Z165" s="78" t="b">
        <f ca="1">$S$20=X165</f>
        <v>0</v>
      </c>
      <c r="AA165" s="78" t="b">
        <f ca="1">$S$30=X165</f>
        <v>0</v>
      </c>
    </row>
    <row r="166" spans="24:27" x14ac:dyDescent="0.25">
      <c r="X166" s="78" t="str">
        <f ca="1">INDIRECT("B"&amp;166) &amp; CHAR(10) &amp; "vs" &amp; CHAR(10) &amp; INDIRECT("F"&amp;166)</f>
        <v xml:space="preserve">
vs
</v>
      </c>
      <c r="Y166" s="78" t="b">
        <f ca="1">$S$10=X166</f>
        <v>0</v>
      </c>
      <c r="Z166" s="78" t="b">
        <f ca="1">$S$20=X166</f>
        <v>0</v>
      </c>
      <c r="AA166" s="78" t="b">
        <f ca="1">$S$30=X166</f>
        <v>0</v>
      </c>
    </row>
    <row r="167" spans="24:27" x14ac:dyDescent="0.25">
      <c r="X167" s="78" t="str">
        <f ca="1">INDIRECT("B"&amp;167) &amp; CHAR(10) &amp; "vs" &amp; CHAR(10) &amp; INDIRECT("F"&amp;167)</f>
        <v xml:space="preserve">
vs
</v>
      </c>
      <c r="Y167" s="78" t="b">
        <f ca="1">$S$10=X167</f>
        <v>0</v>
      </c>
      <c r="Z167" s="78" t="b">
        <f ca="1">$S$20=X167</f>
        <v>0</v>
      </c>
      <c r="AA167" s="78" t="b">
        <f ca="1">$S$30=X167</f>
        <v>0</v>
      </c>
    </row>
    <row r="168" spans="24:27" x14ac:dyDescent="0.25">
      <c r="X168" s="78" t="str">
        <f ca="1">INDIRECT("B"&amp;168) &amp; CHAR(10) &amp; "vs" &amp; CHAR(10) &amp; INDIRECT("F"&amp;168)</f>
        <v xml:space="preserve">
vs
</v>
      </c>
      <c r="Y168" s="78" t="b">
        <f ca="1">$S$10=X168</f>
        <v>0</v>
      </c>
      <c r="Z168" s="78" t="b">
        <f ca="1">$S$20=X168</f>
        <v>0</v>
      </c>
      <c r="AA168" s="78" t="b">
        <f ca="1">$S$30=X168</f>
        <v>0</v>
      </c>
    </row>
    <row r="169" spans="24:27" x14ac:dyDescent="0.25">
      <c r="X169" s="78" t="str">
        <f ca="1">INDIRECT("B"&amp;169) &amp; CHAR(10) &amp; "vs" &amp; CHAR(10) &amp; INDIRECT("F"&amp;169)</f>
        <v xml:space="preserve">
vs
</v>
      </c>
      <c r="Y169" s="78" t="b">
        <f ca="1">$S$10=X169</f>
        <v>0</v>
      </c>
      <c r="Z169" s="78" t="b">
        <f ca="1">$S$20=X169</f>
        <v>0</v>
      </c>
      <c r="AA169" s="78" t="b">
        <f ca="1">$S$30=X169</f>
        <v>0</v>
      </c>
    </row>
    <row r="170" spans="24:27" x14ac:dyDescent="0.25">
      <c r="X170" s="78" t="str">
        <f ca="1">INDIRECT("B"&amp;170) &amp; CHAR(10) &amp; "vs" &amp; CHAR(10) &amp; INDIRECT("F"&amp;170)</f>
        <v xml:space="preserve">
vs
</v>
      </c>
      <c r="Y170" s="78" t="b">
        <f ca="1">$S$10=X170</f>
        <v>0</v>
      </c>
      <c r="Z170" s="78" t="b">
        <f ca="1">$S$20=X170</f>
        <v>0</v>
      </c>
      <c r="AA170" s="78" t="b">
        <f ca="1">$S$30=X170</f>
        <v>0</v>
      </c>
    </row>
    <row r="171" spans="24:27" x14ac:dyDescent="0.25">
      <c r="X171" s="78" t="str">
        <f ca="1">INDIRECT("B"&amp;171) &amp; CHAR(10) &amp; "vs" &amp; CHAR(10) &amp; INDIRECT("F"&amp;171)</f>
        <v xml:space="preserve">
vs
</v>
      </c>
      <c r="Y171" s="78" t="b">
        <f ca="1">$S$10=X171</f>
        <v>0</v>
      </c>
      <c r="Z171" s="78" t="b">
        <f ca="1">$S$20=X171</f>
        <v>0</v>
      </c>
      <c r="AA171" s="78" t="b">
        <f ca="1">$S$30=X171</f>
        <v>0</v>
      </c>
    </row>
    <row r="172" spans="24:27" x14ac:dyDescent="0.25">
      <c r="X172" s="78" t="str">
        <f ca="1">INDIRECT("B"&amp;172) &amp; CHAR(10) &amp; "vs" &amp; CHAR(10) &amp; INDIRECT("F"&amp;172)</f>
        <v xml:space="preserve">
vs
</v>
      </c>
      <c r="Y172" s="78" t="b">
        <f ca="1">$S$10=X172</f>
        <v>0</v>
      </c>
      <c r="Z172" s="78" t="b">
        <f ca="1">$S$20=X172</f>
        <v>0</v>
      </c>
      <c r="AA172" s="78" t="b">
        <f ca="1">$S$30=X172</f>
        <v>0</v>
      </c>
    </row>
    <row r="173" spans="24:27" x14ac:dyDescent="0.25">
      <c r="X173" s="78" t="str">
        <f ca="1">INDIRECT("B"&amp;173) &amp; CHAR(10) &amp; "vs" &amp; CHAR(10) &amp; INDIRECT("F"&amp;173)</f>
        <v xml:space="preserve">
vs
</v>
      </c>
      <c r="Y173" s="78" t="b">
        <f ca="1">$S$10=X173</f>
        <v>0</v>
      </c>
      <c r="Z173" s="78" t="b">
        <f ca="1">$S$20=X173</f>
        <v>0</v>
      </c>
      <c r="AA173" s="78" t="b">
        <f ca="1">$S$30=X173</f>
        <v>0</v>
      </c>
    </row>
    <row r="174" spans="24:27" x14ac:dyDescent="0.25">
      <c r="X174" s="78" t="str">
        <f ca="1">INDIRECT("B"&amp;174) &amp; CHAR(10) &amp; "vs" &amp; CHAR(10) &amp; INDIRECT("F"&amp;174)</f>
        <v xml:space="preserve">
vs
</v>
      </c>
      <c r="Y174" s="78" t="b">
        <f ca="1">$S$10=X174</f>
        <v>0</v>
      </c>
      <c r="Z174" s="78" t="b">
        <f ca="1">$S$20=X174</f>
        <v>0</v>
      </c>
      <c r="AA174" s="78" t="b">
        <f ca="1">$S$30=X174</f>
        <v>0</v>
      </c>
    </row>
    <row r="175" spans="24:27" x14ac:dyDescent="0.25">
      <c r="X175" s="78" t="str">
        <f ca="1">INDIRECT("B"&amp;175) &amp; CHAR(10) &amp; "vs" &amp; CHAR(10) &amp; INDIRECT("F"&amp;175)</f>
        <v xml:space="preserve">
vs
</v>
      </c>
      <c r="Y175" s="78" t="b">
        <f ca="1">$S$10=X175</f>
        <v>0</v>
      </c>
      <c r="Z175" s="78" t="b">
        <f ca="1">$S$20=X175</f>
        <v>0</v>
      </c>
      <c r="AA175" s="78" t="b">
        <f ca="1">$S$30=X175</f>
        <v>0</v>
      </c>
    </row>
    <row r="176" spans="24:27" x14ac:dyDescent="0.25">
      <c r="X176" s="78" t="str">
        <f ca="1">INDIRECT("B"&amp;176) &amp; CHAR(10) &amp; "vs" &amp; CHAR(10) &amp; INDIRECT("F"&amp;176)</f>
        <v xml:space="preserve">
vs
</v>
      </c>
      <c r="Y176" s="78" t="b">
        <f ca="1">$S$10=X176</f>
        <v>0</v>
      </c>
      <c r="Z176" s="78" t="b">
        <f ca="1">$S$20=X176</f>
        <v>0</v>
      </c>
      <c r="AA176" s="78" t="b">
        <f ca="1">$S$30=X176</f>
        <v>0</v>
      </c>
    </row>
    <row r="177" spans="24:27" x14ac:dyDescent="0.25">
      <c r="X177" s="78" t="str">
        <f ca="1">INDIRECT("B"&amp;177) &amp; CHAR(10) &amp; "vs" &amp; CHAR(10) &amp; INDIRECT("F"&amp;177)</f>
        <v xml:space="preserve">
vs
</v>
      </c>
      <c r="Y177" s="78" t="b">
        <f ca="1">$S$10=X177</f>
        <v>0</v>
      </c>
      <c r="Z177" s="78" t="b">
        <f ca="1">$S$20=X177</f>
        <v>0</v>
      </c>
      <c r="AA177" s="78" t="b">
        <f ca="1">$S$30=X177</f>
        <v>0</v>
      </c>
    </row>
    <row r="178" spans="24:27" x14ac:dyDescent="0.25">
      <c r="X178" s="78" t="str">
        <f ca="1">INDIRECT("B"&amp;178) &amp; CHAR(10) &amp; "vs" &amp; CHAR(10) &amp; INDIRECT("F"&amp;178)</f>
        <v xml:space="preserve">
vs
</v>
      </c>
      <c r="Y178" s="78" t="b">
        <f ca="1">$S$10=X178</f>
        <v>0</v>
      </c>
      <c r="Z178" s="78" t="b">
        <f ca="1">$S$20=X178</f>
        <v>0</v>
      </c>
      <c r="AA178" s="78" t="b">
        <f ca="1">$S$30=X178</f>
        <v>0</v>
      </c>
    </row>
    <row r="179" spans="24:27" x14ac:dyDescent="0.25">
      <c r="X179" s="78" t="str">
        <f ca="1">INDIRECT("B"&amp;179) &amp; CHAR(10) &amp; "vs" &amp; CHAR(10) &amp; INDIRECT("F"&amp;179)</f>
        <v xml:space="preserve">
vs
</v>
      </c>
      <c r="Y179" s="78" t="b">
        <f ca="1">$S$10=X179</f>
        <v>0</v>
      </c>
      <c r="Z179" s="78" t="b">
        <f ca="1">$S$20=X179</f>
        <v>0</v>
      </c>
      <c r="AA179" s="78" t="b">
        <f ca="1">$S$30=X179</f>
        <v>0</v>
      </c>
    </row>
    <row r="180" spans="24:27" x14ac:dyDescent="0.25">
      <c r="X180" s="78" t="str">
        <f ca="1">INDIRECT("B"&amp;180) &amp; CHAR(10) &amp; "vs" &amp; CHAR(10) &amp; INDIRECT("F"&amp;180)</f>
        <v xml:space="preserve">
vs
</v>
      </c>
      <c r="Y180" s="78" t="b">
        <f ca="1">$S$10=X180</f>
        <v>0</v>
      </c>
      <c r="Z180" s="78" t="b">
        <f ca="1">$S$20=X180</f>
        <v>0</v>
      </c>
      <c r="AA180" s="78" t="b">
        <f ca="1">$S$30=X180</f>
        <v>0</v>
      </c>
    </row>
    <row r="181" spans="24:27" x14ac:dyDescent="0.25">
      <c r="X181" s="78" t="str">
        <f ca="1">INDIRECT("B"&amp;181) &amp; CHAR(10) &amp; "vs" &amp; CHAR(10) &amp; INDIRECT("F"&amp;181)</f>
        <v xml:space="preserve">
vs
</v>
      </c>
      <c r="Y181" s="78" t="b">
        <f ca="1">$S$10=X181</f>
        <v>0</v>
      </c>
      <c r="Z181" s="78" t="b">
        <f ca="1">$S$20=X181</f>
        <v>0</v>
      </c>
      <c r="AA181" s="78" t="b">
        <f ca="1">$S$30=X181</f>
        <v>0</v>
      </c>
    </row>
    <row r="182" spans="24:27" x14ac:dyDescent="0.25">
      <c r="X182" s="78" t="str">
        <f ca="1">INDIRECT("B"&amp;182) &amp; CHAR(10) &amp; "vs" &amp; CHAR(10) &amp; INDIRECT("F"&amp;182)</f>
        <v xml:space="preserve">
vs
</v>
      </c>
      <c r="Y182" s="78" t="b">
        <f ca="1">$S$10=X182</f>
        <v>0</v>
      </c>
      <c r="Z182" s="78" t="b">
        <f ca="1">$S$20=X182</f>
        <v>0</v>
      </c>
      <c r="AA182" s="78" t="b">
        <f ca="1">$S$30=X182</f>
        <v>0</v>
      </c>
    </row>
    <row r="183" spans="24:27" x14ac:dyDescent="0.25">
      <c r="X183" s="78" t="str">
        <f ca="1">INDIRECT("B"&amp;183) &amp; CHAR(10) &amp; "vs" &amp; CHAR(10) &amp; INDIRECT("F"&amp;183)</f>
        <v xml:space="preserve">
vs
</v>
      </c>
      <c r="Y183" s="78" t="b">
        <f ca="1">$S$10=X183</f>
        <v>0</v>
      </c>
      <c r="Z183" s="78" t="b">
        <f ca="1">$S$20=X183</f>
        <v>0</v>
      </c>
      <c r="AA183" s="78" t="b">
        <f ca="1">$S$30=X183</f>
        <v>0</v>
      </c>
    </row>
    <row r="184" spans="24:27" x14ac:dyDescent="0.25">
      <c r="X184" s="78" t="str">
        <f ca="1">INDIRECT("B"&amp;184) &amp; CHAR(10) &amp; "vs" &amp; CHAR(10) &amp; INDIRECT("F"&amp;184)</f>
        <v xml:space="preserve">
vs
</v>
      </c>
      <c r="Y184" s="78" t="b">
        <f ca="1">$S$10=X184</f>
        <v>0</v>
      </c>
      <c r="Z184" s="78" t="b">
        <f ca="1">$S$20=X184</f>
        <v>0</v>
      </c>
      <c r="AA184" s="78" t="b">
        <f ca="1">$S$30=X184</f>
        <v>0</v>
      </c>
    </row>
    <row r="185" spans="24:27" x14ac:dyDescent="0.25">
      <c r="X185" s="78" t="str">
        <f ca="1">INDIRECT("B"&amp;185) &amp; CHAR(10) &amp; "vs" &amp; CHAR(10) &amp; INDIRECT("F"&amp;185)</f>
        <v xml:space="preserve">
vs
</v>
      </c>
      <c r="Y185" s="78" t="b">
        <f ca="1">$S$10=X185</f>
        <v>0</v>
      </c>
      <c r="Z185" s="78" t="b">
        <f ca="1">$S$20=X185</f>
        <v>0</v>
      </c>
      <c r="AA185" s="78" t="b">
        <f ca="1">$S$30=X185</f>
        <v>0</v>
      </c>
    </row>
    <row r="186" spans="24:27" x14ac:dyDescent="0.25">
      <c r="X186" s="78" t="str">
        <f ca="1">INDIRECT("B"&amp;186) &amp; CHAR(10) &amp; "vs" &amp; CHAR(10) &amp; INDIRECT("F"&amp;186)</f>
        <v xml:space="preserve">
vs
</v>
      </c>
      <c r="Y186" s="78" t="b">
        <f ca="1">$S$10=X186</f>
        <v>0</v>
      </c>
      <c r="Z186" s="78" t="b">
        <f ca="1">$S$20=X186</f>
        <v>0</v>
      </c>
      <c r="AA186" s="78" t="b">
        <f ca="1">$S$30=X186</f>
        <v>0</v>
      </c>
    </row>
    <row r="187" spans="24:27" x14ac:dyDescent="0.25">
      <c r="X187" s="78" t="str">
        <f ca="1">INDIRECT("B"&amp;187) &amp; CHAR(10) &amp; "vs" &amp; CHAR(10) &amp; INDIRECT("F"&amp;187)</f>
        <v xml:space="preserve">
vs
</v>
      </c>
      <c r="Y187" s="78" t="b">
        <f ca="1">$S$10=X187</f>
        <v>0</v>
      </c>
      <c r="Z187" s="78" t="b">
        <f ca="1">$S$20=X187</f>
        <v>0</v>
      </c>
      <c r="AA187" s="78" t="b">
        <f ca="1">$S$30=X187</f>
        <v>0</v>
      </c>
    </row>
    <row r="188" spans="24:27" x14ac:dyDescent="0.25">
      <c r="X188" s="78" t="str">
        <f ca="1">INDIRECT("B"&amp;188) &amp; CHAR(10) &amp; "vs" &amp; CHAR(10) &amp; INDIRECT("F"&amp;188)</f>
        <v xml:space="preserve">
vs
</v>
      </c>
      <c r="Y188" s="78" t="b">
        <f ca="1">$S$10=X188</f>
        <v>0</v>
      </c>
      <c r="Z188" s="78" t="b">
        <f ca="1">$S$20=X188</f>
        <v>0</v>
      </c>
      <c r="AA188" s="78" t="b">
        <f ca="1">$S$30=X188</f>
        <v>0</v>
      </c>
    </row>
    <row r="189" spans="24:27" x14ac:dyDescent="0.25">
      <c r="X189" s="78" t="str">
        <f ca="1">INDIRECT("B"&amp;189) &amp; CHAR(10) &amp; "vs" &amp; CHAR(10) &amp; INDIRECT("F"&amp;189)</f>
        <v xml:space="preserve">
vs
</v>
      </c>
      <c r="Y189" s="78" t="b">
        <f ca="1">$S$10=X189</f>
        <v>0</v>
      </c>
      <c r="Z189" s="78" t="b">
        <f ca="1">$S$20=X189</f>
        <v>0</v>
      </c>
      <c r="AA189" s="78" t="b">
        <f ca="1">$S$30=X189</f>
        <v>0</v>
      </c>
    </row>
    <row r="190" spans="24:27" x14ac:dyDescent="0.25">
      <c r="X190" s="78" t="str">
        <f ca="1">INDIRECT("B"&amp;190) &amp; CHAR(10) &amp; "vs" &amp; CHAR(10) &amp; INDIRECT("F"&amp;190)</f>
        <v xml:space="preserve">
vs
</v>
      </c>
      <c r="Y190" s="78" t="b">
        <f ca="1">$S$10=X190</f>
        <v>0</v>
      </c>
      <c r="Z190" s="78" t="b">
        <f ca="1">$S$20=X190</f>
        <v>0</v>
      </c>
      <c r="AA190" s="78" t="b">
        <f ca="1">$S$30=X190</f>
        <v>0</v>
      </c>
    </row>
    <row r="191" spans="24:27" x14ac:dyDescent="0.25">
      <c r="X191" s="78" t="str">
        <f ca="1">INDIRECT("B"&amp;191) &amp; CHAR(10) &amp; "vs" &amp; CHAR(10) &amp; INDIRECT("F"&amp;191)</f>
        <v xml:space="preserve">
vs
</v>
      </c>
      <c r="Y191" s="78" t="b">
        <f ca="1">$S$10=X191</f>
        <v>0</v>
      </c>
      <c r="Z191" s="78" t="b">
        <f ca="1">$S$20=X191</f>
        <v>0</v>
      </c>
      <c r="AA191" s="78" t="b">
        <f ca="1">$S$30=X191</f>
        <v>0</v>
      </c>
    </row>
    <row r="192" spans="24:27" x14ac:dyDescent="0.25">
      <c r="X192" s="78" t="str">
        <f ca="1">INDIRECT("B"&amp;192) &amp; CHAR(10) &amp; "vs" &amp; CHAR(10) &amp; INDIRECT("F"&amp;192)</f>
        <v xml:space="preserve">
vs
</v>
      </c>
      <c r="Y192" s="78" t="b">
        <f ca="1">$S$10=X192</f>
        <v>0</v>
      </c>
      <c r="Z192" s="78" t="b">
        <f ca="1">$S$20=X192</f>
        <v>0</v>
      </c>
      <c r="AA192" s="78" t="b">
        <f ca="1">$S$30=X192</f>
        <v>0</v>
      </c>
    </row>
    <row r="193" spans="24:27" x14ac:dyDescent="0.25">
      <c r="X193" s="78" t="str">
        <f ca="1">INDIRECT("B"&amp;193) &amp; CHAR(10) &amp; "vs" &amp; CHAR(10) &amp; INDIRECT("F"&amp;193)</f>
        <v xml:space="preserve">
vs
</v>
      </c>
      <c r="Y193" s="78" t="b">
        <f ca="1">$S$10=X193</f>
        <v>0</v>
      </c>
      <c r="Z193" s="78" t="b">
        <f ca="1">$S$20=X193</f>
        <v>0</v>
      </c>
      <c r="AA193" s="78" t="b">
        <f ca="1">$S$30=X193</f>
        <v>0</v>
      </c>
    </row>
    <row r="194" spans="24:27" x14ac:dyDescent="0.25">
      <c r="X194" s="78" t="str">
        <f ca="1">INDIRECT("B"&amp;194) &amp; CHAR(10) &amp; "vs" &amp; CHAR(10) &amp; INDIRECT("F"&amp;194)</f>
        <v xml:space="preserve">
vs
</v>
      </c>
      <c r="Y194" s="78" t="b">
        <f ca="1">$S$10=X194</f>
        <v>0</v>
      </c>
      <c r="Z194" s="78" t="b">
        <f ca="1">$S$20=X194</f>
        <v>0</v>
      </c>
      <c r="AA194" s="78" t="b">
        <f ca="1">$S$30=X194</f>
        <v>0</v>
      </c>
    </row>
    <row r="195" spans="24:27" x14ac:dyDescent="0.25">
      <c r="X195" s="78" t="str">
        <f ca="1">INDIRECT("B"&amp;195) &amp; CHAR(10) &amp; "vs" &amp; CHAR(10) &amp; INDIRECT("F"&amp;195)</f>
        <v xml:space="preserve">
vs
</v>
      </c>
      <c r="Y195" s="78" t="b">
        <f ca="1">$S$10=X195</f>
        <v>0</v>
      </c>
      <c r="Z195" s="78" t="b">
        <f ca="1">$S$20=X195</f>
        <v>0</v>
      </c>
      <c r="AA195" s="78" t="b">
        <f ca="1">$S$30=X195</f>
        <v>0</v>
      </c>
    </row>
    <row r="196" spans="24:27" x14ac:dyDescent="0.25">
      <c r="X196" s="78" t="str">
        <f ca="1">INDIRECT("B"&amp;196) &amp; CHAR(10) &amp; "vs" &amp; CHAR(10) &amp; INDIRECT("F"&amp;196)</f>
        <v xml:space="preserve">
vs
</v>
      </c>
      <c r="Y196" s="78" t="b">
        <f ca="1">$S$10=X196</f>
        <v>0</v>
      </c>
      <c r="Z196" s="78" t="b">
        <f ca="1">$S$20=X196</f>
        <v>0</v>
      </c>
      <c r="AA196" s="78" t="b">
        <f ca="1">$S$30=X196</f>
        <v>0</v>
      </c>
    </row>
    <row r="197" spans="24:27" x14ac:dyDescent="0.25">
      <c r="X197" s="78" t="str">
        <f ca="1">INDIRECT("B"&amp;197) &amp; CHAR(10) &amp; "vs" &amp; CHAR(10) &amp; INDIRECT("F"&amp;197)</f>
        <v xml:space="preserve">
vs
</v>
      </c>
      <c r="Y197" s="78" t="b">
        <f ca="1">$S$10=X197</f>
        <v>0</v>
      </c>
      <c r="Z197" s="78" t="b">
        <f ca="1">$S$20=X197</f>
        <v>0</v>
      </c>
      <c r="AA197" s="78" t="b">
        <f ca="1">$S$30=X197</f>
        <v>0</v>
      </c>
    </row>
    <row r="198" spans="24:27" x14ac:dyDescent="0.25">
      <c r="X198" s="78" t="str">
        <f ca="1">INDIRECT("B"&amp;198) &amp; CHAR(10) &amp; "vs" &amp; CHAR(10) &amp; INDIRECT("F"&amp;198)</f>
        <v xml:space="preserve">
vs
</v>
      </c>
      <c r="Y198" s="78" t="b">
        <f ca="1">$S$10=X198</f>
        <v>0</v>
      </c>
      <c r="Z198" s="78" t="b">
        <f ca="1">$S$20=X198</f>
        <v>0</v>
      </c>
      <c r="AA198" s="78" t="b">
        <f ca="1">$S$30=X198</f>
        <v>0</v>
      </c>
    </row>
    <row r="199" spans="24:27" x14ac:dyDescent="0.25">
      <c r="X199" s="78" t="str">
        <f ca="1">INDIRECT("B"&amp;199) &amp; CHAR(10) &amp; "vs" &amp; CHAR(10) &amp; INDIRECT("F"&amp;199)</f>
        <v xml:space="preserve">
vs
</v>
      </c>
      <c r="Y199" s="78" t="b">
        <f ca="1">$S$10=X199</f>
        <v>0</v>
      </c>
      <c r="Z199" s="78" t="b">
        <f ca="1">$S$20=X199</f>
        <v>0</v>
      </c>
      <c r="AA199" s="78" t="b">
        <f ca="1">$S$30=X199</f>
        <v>0</v>
      </c>
    </row>
    <row r="200" spans="24:27" x14ac:dyDescent="0.25">
      <c r="X200" s="78" t="str">
        <f ca="1">INDIRECT("B"&amp;200) &amp; CHAR(10) &amp; "vs" &amp; CHAR(10) &amp; INDIRECT("F"&amp;200)</f>
        <v xml:space="preserve">
vs
</v>
      </c>
      <c r="Y200" s="78" t="b">
        <f ca="1">$S$10=X200</f>
        <v>0</v>
      </c>
      <c r="Z200" s="78" t="b">
        <f ca="1">$S$20=X200</f>
        <v>0</v>
      </c>
      <c r="AA200" s="78" t="b">
        <f ca="1">$S$30=X200</f>
        <v>0</v>
      </c>
    </row>
    <row r="201" spans="24:27" x14ac:dyDescent="0.25">
      <c r="X201" s="78" t="str">
        <f ca="1">INDIRECT("B"&amp;201) &amp; CHAR(10) &amp; "vs" &amp; CHAR(10) &amp; INDIRECT("F"&amp;201)</f>
        <v xml:space="preserve">
vs
</v>
      </c>
      <c r="Y201" s="78" t="b">
        <f ca="1">$S$10=X201</f>
        <v>0</v>
      </c>
      <c r="Z201" s="78" t="b">
        <f ca="1">$S$20=X201</f>
        <v>0</v>
      </c>
      <c r="AA201" s="78" t="b">
        <f ca="1">$S$30=X201</f>
        <v>0</v>
      </c>
    </row>
    <row r="202" spans="24:27" x14ac:dyDescent="0.25">
      <c r="X202" s="78" t="str">
        <f ca="1">INDIRECT("B"&amp;202) &amp; CHAR(10) &amp; "vs" &amp; CHAR(10) &amp; INDIRECT("F"&amp;202)</f>
        <v xml:space="preserve">
vs
</v>
      </c>
      <c r="Y202" s="78" t="b">
        <f ca="1">$S$10=X202</f>
        <v>0</v>
      </c>
      <c r="Z202" s="78" t="b">
        <f ca="1">$S$20=X202</f>
        <v>0</v>
      </c>
      <c r="AA202" s="78" t="b">
        <f ca="1">$S$30=X202</f>
        <v>0</v>
      </c>
    </row>
    <row r="203" spans="24:27" x14ac:dyDescent="0.25">
      <c r="X203" s="78" t="str">
        <f ca="1">INDIRECT("B"&amp;203) &amp; CHAR(10) &amp; "vs" &amp; CHAR(10) &amp; INDIRECT("F"&amp;203)</f>
        <v xml:space="preserve">
vs
</v>
      </c>
      <c r="Y203" s="78" t="b">
        <f ca="1">$S$10=X203</f>
        <v>0</v>
      </c>
      <c r="Z203" s="78" t="b">
        <f ca="1">$S$20=X203</f>
        <v>0</v>
      </c>
      <c r="AA203" s="78" t="b">
        <f ca="1">$S$30=X203</f>
        <v>0</v>
      </c>
    </row>
    <row r="204" spans="24:27" x14ac:dyDescent="0.25">
      <c r="X204" s="78" t="str">
        <f ca="1">INDIRECT("B"&amp;204) &amp; CHAR(10) &amp; "vs" &amp; CHAR(10) &amp; INDIRECT("F"&amp;204)</f>
        <v xml:space="preserve">
vs
</v>
      </c>
      <c r="Y204" s="78" t="b">
        <f ca="1">$S$10=X204</f>
        <v>0</v>
      </c>
      <c r="Z204" s="78" t="b">
        <f ca="1">$S$20=X204</f>
        <v>0</v>
      </c>
      <c r="AA204" s="78" t="b">
        <f ca="1">$S$30=X204</f>
        <v>0</v>
      </c>
    </row>
    <row r="205" spans="24:27" x14ac:dyDescent="0.25">
      <c r="X205" s="78" t="str">
        <f ca="1">INDIRECT("B"&amp;205) &amp; CHAR(10) &amp; "vs" &amp; CHAR(10) &amp; INDIRECT("F"&amp;205)</f>
        <v xml:space="preserve">
vs
</v>
      </c>
      <c r="Y205" s="78" t="b">
        <f ca="1">$S$10=X205</f>
        <v>0</v>
      </c>
      <c r="Z205" s="78" t="b">
        <f ca="1">$S$20=X205</f>
        <v>0</v>
      </c>
      <c r="AA205" s="78" t="b">
        <f ca="1">$S$30=X205</f>
        <v>0</v>
      </c>
    </row>
    <row r="206" spans="24:27" x14ac:dyDescent="0.25">
      <c r="X206" s="78" t="str">
        <f ca="1">INDIRECT("B"&amp;206) &amp; CHAR(10) &amp; "vs" &amp; CHAR(10) &amp; INDIRECT("F"&amp;206)</f>
        <v xml:space="preserve">
vs
</v>
      </c>
      <c r="Y206" s="78" t="b">
        <f ca="1">$S$10=X206</f>
        <v>0</v>
      </c>
      <c r="Z206" s="78" t="b">
        <f ca="1">$S$20=X206</f>
        <v>0</v>
      </c>
      <c r="AA206" s="78" t="b">
        <f ca="1">$S$30=X206</f>
        <v>0</v>
      </c>
    </row>
    <row r="207" spans="24:27" x14ac:dyDescent="0.25">
      <c r="X207" s="78" t="str">
        <f ca="1">INDIRECT("B"&amp;207) &amp; CHAR(10) &amp; "vs" &amp; CHAR(10) &amp; INDIRECT("F"&amp;207)</f>
        <v xml:space="preserve">
vs
</v>
      </c>
      <c r="Y207" s="78" t="b">
        <f ca="1">$S$10=X207</f>
        <v>0</v>
      </c>
      <c r="Z207" s="78" t="b">
        <f ca="1">$S$20=X207</f>
        <v>0</v>
      </c>
      <c r="AA207" s="78" t="b">
        <f ca="1">$S$30=X207</f>
        <v>0</v>
      </c>
    </row>
    <row r="208" spans="24:27" x14ac:dyDescent="0.25">
      <c r="X208" s="78" t="str">
        <f ca="1">INDIRECT("B"&amp;208) &amp; CHAR(10) &amp; "vs" &amp; CHAR(10) &amp; INDIRECT("F"&amp;208)</f>
        <v xml:space="preserve">
vs
</v>
      </c>
      <c r="Y208" s="78" t="b">
        <f ca="1">$S$10=X208</f>
        <v>0</v>
      </c>
      <c r="Z208" s="78" t="b">
        <f ca="1">$S$20=X208</f>
        <v>0</v>
      </c>
      <c r="AA208" s="78" t="b">
        <f ca="1">$S$30=X208</f>
        <v>0</v>
      </c>
    </row>
    <row r="209" spans="24:27" x14ac:dyDescent="0.25">
      <c r="X209" s="78" t="str">
        <f ca="1">INDIRECT("B"&amp;209) &amp; CHAR(10) &amp; "vs" &amp; CHAR(10) &amp; INDIRECT("F"&amp;209)</f>
        <v xml:space="preserve">
vs
</v>
      </c>
      <c r="Y209" s="78" t="b">
        <f ca="1">$S$10=X209</f>
        <v>0</v>
      </c>
      <c r="Z209" s="78" t="b">
        <f ca="1">$S$20=X209</f>
        <v>0</v>
      </c>
      <c r="AA209" s="78" t="b">
        <f ca="1">$S$30=X209</f>
        <v>0</v>
      </c>
    </row>
    <row r="210" spans="24:27" x14ac:dyDescent="0.25">
      <c r="X210" s="78" t="str">
        <f ca="1">INDIRECT("B"&amp;210) &amp; CHAR(10) &amp; "vs" &amp; CHAR(10) &amp; INDIRECT("F"&amp;210)</f>
        <v xml:space="preserve">
vs
</v>
      </c>
      <c r="Y210" s="78" t="b">
        <f ca="1">$S$10=X210</f>
        <v>0</v>
      </c>
      <c r="Z210" s="78" t="b">
        <f ca="1">$S$20=X210</f>
        <v>0</v>
      </c>
      <c r="AA210" s="78" t="b">
        <f ca="1">$S$30=X210</f>
        <v>0</v>
      </c>
    </row>
    <row r="211" spans="24:27" x14ac:dyDescent="0.25">
      <c r="X211" s="78" t="str">
        <f ca="1">INDIRECT("B"&amp;211) &amp; CHAR(10) &amp; "vs" &amp; CHAR(10) &amp; INDIRECT("F"&amp;211)</f>
        <v xml:space="preserve">
vs
</v>
      </c>
      <c r="Y211" s="78" t="b">
        <f ca="1">$S$10=X211</f>
        <v>0</v>
      </c>
      <c r="Z211" s="78" t="b">
        <f ca="1">$S$20=X211</f>
        <v>0</v>
      </c>
      <c r="AA211" s="78" t="b">
        <f ca="1">$S$30=X211</f>
        <v>0</v>
      </c>
    </row>
    <row r="212" spans="24:27" x14ac:dyDescent="0.25">
      <c r="X212" s="78" t="str">
        <f ca="1">INDIRECT("B"&amp;212) &amp; CHAR(10) &amp; "vs" &amp; CHAR(10) &amp; INDIRECT("F"&amp;212)</f>
        <v xml:space="preserve">
vs
</v>
      </c>
      <c r="Y212" s="78" t="b">
        <f ca="1">$S$10=X212</f>
        <v>0</v>
      </c>
      <c r="Z212" s="78" t="b">
        <f ca="1">$S$20=X212</f>
        <v>0</v>
      </c>
      <c r="AA212" s="78" t="b">
        <f ca="1">$S$30=X212</f>
        <v>0</v>
      </c>
    </row>
    <row r="213" spans="24:27" x14ac:dyDescent="0.25">
      <c r="X213" s="78" t="str">
        <f ca="1">INDIRECT("B"&amp;213) &amp; CHAR(10) &amp; "vs" &amp; CHAR(10) &amp; INDIRECT("F"&amp;213)</f>
        <v xml:space="preserve">
vs
</v>
      </c>
      <c r="Y213" s="78" t="b">
        <f ca="1">$S$10=X213</f>
        <v>0</v>
      </c>
      <c r="Z213" s="78" t="b">
        <f ca="1">$S$20=X213</f>
        <v>0</v>
      </c>
      <c r="AA213" s="78" t="b">
        <f ca="1">$S$30=X213</f>
        <v>0</v>
      </c>
    </row>
    <row r="214" spans="24:27" x14ac:dyDescent="0.25">
      <c r="X214" s="78" t="str">
        <f ca="1">INDIRECT("B"&amp;214) &amp; CHAR(10) &amp; "vs" &amp; CHAR(10) &amp; INDIRECT("F"&amp;214)</f>
        <v xml:space="preserve">
vs
</v>
      </c>
      <c r="Y214" s="78" t="b">
        <f ca="1">$S$10=X214</f>
        <v>0</v>
      </c>
      <c r="Z214" s="78" t="b">
        <f ca="1">$S$20=X214</f>
        <v>0</v>
      </c>
      <c r="AA214" s="78" t="b">
        <f ca="1">$S$30=X214</f>
        <v>0</v>
      </c>
    </row>
    <row r="215" spans="24:27" x14ac:dyDescent="0.25">
      <c r="X215" s="78" t="str">
        <f ca="1">INDIRECT("B"&amp;215) &amp; CHAR(10) &amp; "vs" &amp; CHAR(10) &amp; INDIRECT("F"&amp;215)</f>
        <v xml:space="preserve">
vs
</v>
      </c>
      <c r="Y215" s="78" t="b">
        <f ca="1">$S$10=X215</f>
        <v>0</v>
      </c>
      <c r="Z215" s="78" t="b">
        <f ca="1">$S$20=X215</f>
        <v>0</v>
      </c>
      <c r="AA215" s="78" t="b">
        <f ca="1">$S$30=X215</f>
        <v>0</v>
      </c>
    </row>
    <row r="216" spans="24:27" x14ac:dyDescent="0.25">
      <c r="X216" s="78" t="str">
        <f ca="1">INDIRECT("B"&amp;216) &amp; CHAR(10) &amp; "vs" &amp; CHAR(10) &amp; INDIRECT("F"&amp;216)</f>
        <v xml:space="preserve">
vs
</v>
      </c>
      <c r="Y216" s="78" t="b">
        <f ca="1">$S$10=X216</f>
        <v>0</v>
      </c>
      <c r="Z216" s="78" t="b">
        <f ca="1">$S$20=X216</f>
        <v>0</v>
      </c>
      <c r="AA216" s="78" t="b">
        <f ca="1">$S$30=X216</f>
        <v>0</v>
      </c>
    </row>
    <row r="217" spans="24:27" x14ac:dyDescent="0.25">
      <c r="X217" s="78" t="str">
        <f ca="1">INDIRECT("B"&amp;217) &amp; CHAR(10) &amp; "vs" &amp; CHAR(10) &amp; INDIRECT("F"&amp;217)</f>
        <v xml:space="preserve">
vs
</v>
      </c>
      <c r="Y217" s="78" t="b">
        <f ca="1">$S$10=X217</f>
        <v>0</v>
      </c>
      <c r="Z217" s="78" t="b">
        <f ca="1">$S$20=X217</f>
        <v>0</v>
      </c>
      <c r="AA217" s="78" t="b">
        <f ca="1">$S$30=X217</f>
        <v>0</v>
      </c>
    </row>
    <row r="218" spans="24:27" x14ac:dyDescent="0.25">
      <c r="X218" s="78" t="str">
        <f ca="1">INDIRECT("B"&amp;218) &amp; CHAR(10) &amp; "vs" &amp; CHAR(10) &amp; INDIRECT("F"&amp;218)</f>
        <v xml:space="preserve">
vs
</v>
      </c>
      <c r="Y218" s="78" t="b">
        <f ca="1">$S$10=X218</f>
        <v>0</v>
      </c>
      <c r="Z218" s="78" t="b">
        <f ca="1">$S$20=X218</f>
        <v>0</v>
      </c>
      <c r="AA218" s="78" t="b">
        <f ca="1">$S$30=X218</f>
        <v>0</v>
      </c>
    </row>
    <row r="219" spans="24:27" x14ac:dyDescent="0.25">
      <c r="X219" s="78" t="str">
        <f ca="1">INDIRECT("B"&amp;219) &amp; CHAR(10) &amp; "vs" &amp; CHAR(10) &amp; INDIRECT("F"&amp;219)</f>
        <v xml:space="preserve">
vs
</v>
      </c>
      <c r="Y219" s="78" t="b">
        <f ca="1">$S$10=X219</f>
        <v>0</v>
      </c>
      <c r="Z219" s="78" t="b">
        <f ca="1">$S$20=X219</f>
        <v>0</v>
      </c>
      <c r="AA219" s="78" t="b">
        <f ca="1">$S$30=X219</f>
        <v>0</v>
      </c>
    </row>
    <row r="220" spans="24:27" x14ac:dyDescent="0.25">
      <c r="X220" s="78" t="str">
        <f ca="1">INDIRECT("B"&amp;220) &amp; CHAR(10) &amp; "vs" &amp; CHAR(10) &amp; INDIRECT("F"&amp;220)</f>
        <v xml:space="preserve">
vs
</v>
      </c>
      <c r="Y220" s="78" t="b">
        <f ca="1">$S$10=X220</f>
        <v>0</v>
      </c>
      <c r="Z220" s="78" t="b">
        <f ca="1">$S$20=X220</f>
        <v>0</v>
      </c>
      <c r="AA220" s="78" t="b">
        <f ca="1">$S$30=X220</f>
        <v>0</v>
      </c>
    </row>
    <row r="221" spans="24:27" x14ac:dyDescent="0.25">
      <c r="X221" s="78" t="str">
        <f ca="1">INDIRECT("B"&amp;221) &amp; CHAR(10) &amp; "vs" &amp; CHAR(10) &amp; INDIRECT("F"&amp;221)</f>
        <v xml:space="preserve">
vs
</v>
      </c>
      <c r="Y221" s="78" t="b">
        <f ca="1">$S$10=X221</f>
        <v>0</v>
      </c>
      <c r="Z221" s="78" t="b">
        <f ca="1">$S$20=X221</f>
        <v>0</v>
      </c>
      <c r="AA221" s="78" t="b">
        <f ca="1">$S$30=X221</f>
        <v>0</v>
      </c>
    </row>
    <row r="222" spans="24:27" x14ac:dyDescent="0.25">
      <c r="X222" s="78" t="str">
        <f ca="1">INDIRECT("B"&amp;222) &amp; CHAR(10) &amp; "vs" &amp; CHAR(10) &amp; INDIRECT("F"&amp;222)</f>
        <v xml:space="preserve">
vs
</v>
      </c>
      <c r="Y222" s="78" t="b">
        <f ca="1">$S$10=X222</f>
        <v>0</v>
      </c>
      <c r="Z222" s="78" t="b">
        <f ca="1">$S$20=X222</f>
        <v>0</v>
      </c>
      <c r="AA222" s="78" t="b">
        <f ca="1">$S$30=X222</f>
        <v>0</v>
      </c>
    </row>
    <row r="223" spans="24:27" x14ac:dyDescent="0.25">
      <c r="X223" s="78" t="str">
        <f ca="1">INDIRECT("B"&amp;223) &amp; CHAR(10) &amp; "vs" &amp; CHAR(10) &amp; INDIRECT("F"&amp;223)</f>
        <v xml:space="preserve">
vs
</v>
      </c>
      <c r="Y223" s="78" t="b">
        <f ca="1">$S$10=X223</f>
        <v>0</v>
      </c>
      <c r="Z223" s="78" t="b">
        <f ca="1">$S$20=X223</f>
        <v>0</v>
      </c>
      <c r="AA223" s="78" t="b">
        <f ca="1">$S$30=X223</f>
        <v>0</v>
      </c>
    </row>
    <row r="224" spans="24:27" x14ac:dyDescent="0.25">
      <c r="X224" s="78" t="str">
        <f ca="1">INDIRECT("B"&amp;224) &amp; CHAR(10) &amp; "vs" &amp; CHAR(10) &amp; INDIRECT("F"&amp;224)</f>
        <v xml:space="preserve">
vs
</v>
      </c>
      <c r="Y224" s="78" t="b">
        <f ca="1">$S$10=X224</f>
        <v>0</v>
      </c>
      <c r="Z224" s="78" t="b">
        <f ca="1">$S$20=X224</f>
        <v>0</v>
      </c>
      <c r="AA224" s="78" t="b">
        <f ca="1">$S$30=X224</f>
        <v>0</v>
      </c>
    </row>
    <row r="225" spans="24:27" x14ac:dyDescent="0.25">
      <c r="X225" s="78" t="str">
        <f ca="1">INDIRECT("B"&amp;225) &amp; CHAR(10) &amp; "vs" &amp; CHAR(10) &amp; INDIRECT("F"&amp;225)</f>
        <v xml:space="preserve">
vs
</v>
      </c>
      <c r="Y225" s="78" t="b">
        <f ca="1">$S$10=X225</f>
        <v>0</v>
      </c>
      <c r="Z225" s="78" t="b">
        <f ca="1">$S$20=X225</f>
        <v>0</v>
      </c>
      <c r="AA225" s="78" t="b">
        <f ca="1">$S$30=X225</f>
        <v>0</v>
      </c>
    </row>
    <row r="226" spans="24:27" x14ac:dyDescent="0.25">
      <c r="X226" s="78" t="str">
        <f ca="1">INDIRECT("B"&amp;226) &amp; CHAR(10) &amp; "vs" &amp; CHAR(10) &amp; INDIRECT("F"&amp;226)</f>
        <v xml:space="preserve">
vs
</v>
      </c>
      <c r="Y226" s="78" t="b">
        <f ca="1">$S$10=X226</f>
        <v>0</v>
      </c>
      <c r="Z226" s="78" t="b">
        <f ca="1">$S$20=X226</f>
        <v>0</v>
      </c>
      <c r="AA226" s="78" t="b">
        <f ca="1">$S$30=X226</f>
        <v>0</v>
      </c>
    </row>
    <row r="227" spans="24:27" x14ac:dyDescent="0.25">
      <c r="X227" s="78" t="str">
        <f ca="1">INDIRECT("B"&amp;227) &amp; CHAR(10) &amp; "vs" &amp; CHAR(10) &amp; INDIRECT("F"&amp;227)</f>
        <v xml:space="preserve">
vs
</v>
      </c>
      <c r="Y227" s="78" t="b">
        <f ca="1">$S$10=X227</f>
        <v>0</v>
      </c>
      <c r="Z227" s="78" t="b">
        <f ca="1">$S$20=X227</f>
        <v>0</v>
      </c>
      <c r="AA227" s="78" t="b">
        <f ca="1">$S$30=X227</f>
        <v>0</v>
      </c>
    </row>
    <row r="228" spans="24:27" x14ac:dyDescent="0.25">
      <c r="X228" s="78" t="str">
        <f ca="1">INDIRECT("B"&amp;228) &amp; CHAR(10) &amp; "vs" &amp; CHAR(10) &amp; INDIRECT("F"&amp;228)</f>
        <v xml:space="preserve">
vs
</v>
      </c>
      <c r="Y228" s="78" t="b">
        <f ca="1">$S$10=X228</f>
        <v>0</v>
      </c>
      <c r="Z228" s="78" t="b">
        <f ca="1">$S$20=X228</f>
        <v>0</v>
      </c>
      <c r="AA228" s="78" t="b">
        <f ca="1">$S$30=X228</f>
        <v>0</v>
      </c>
    </row>
    <row r="229" spans="24:27" x14ac:dyDescent="0.25">
      <c r="X229" s="78" t="str">
        <f ca="1">INDIRECT("B"&amp;229) &amp; CHAR(10) &amp; "vs" &amp; CHAR(10) &amp; INDIRECT("F"&amp;229)</f>
        <v xml:space="preserve">
vs
</v>
      </c>
      <c r="Y229" s="78" t="b">
        <f ca="1">$S$10=X229</f>
        <v>0</v>
      </c>
      <c r="Z229" s="78" t="b">
        <f ca="1">$S$20=X229</f>
        <v>0</v>
      </c>
      <c r="AA229" s="78" t="b">
        <f ca="1">$S$30=X229</f>
        <v>0</v>
      </c>
    </row>
    <row r="230" spans="24:27" x14ac:dyDescent="0.25">
      <c r="X230" s="78" t="str">
        <f ca="1">INDIRECT("B"&amp;230) &amp; CHAR(10) &amp; "vs" &amp; CHAR(10) &amp; INDIRECT("F"&amp;230)</f>
        <v xml:space="preserve">
vs
</v>
      </c>
      <c r="Y230" s="78" t="b">
        <f ca="1">$S$10=X230</f>
        <v>0</v>
      </c>
      <c r="Z230" s="78" t="b">
        <f ca="1">$S$20=X230</f>
        <v>0</v>
      </c>
      <c r="AA230" s="78" t="b">
        <f ca="1">$S$30=X230</f>
        <v>0</v>
      </c>
    </row>
    <row r="231" spans="24:27" x14ac:dyDescent="0.25">
      <c r="X231" s="78" t="str">
        <f ca="1">INDIRECT("B"&amp;231) &amp; CHAR(10) &amp; "vs" &amp; CHAR(10) &amp; INDIRECT("F"&amp;231)</f>
        <v xml:space="preserve">
vs
</v>
      </c>
      <c r="Y231" s="78" t="b">
        <f ca="1">$S$10=X231</f>
        <v>0</v>
      </c>
      <c r="Z231" s="78" t="b">
        <f ca="1">$S$20=X231</f>
        <v>0</v>
      </c>
      <c r="AA231" s="78" t="b">
        <f ca="1">$S$30=X231</f>
        <v>0</v>
      </c>
    </row>
    <row r="232" spans="24:27" x14ac:dyDescent="0.25">
      <c r="X232" s="78" t="str">
        <f ca="1">INDIRECT("B"&amp;232) &amp; CHAR(10) &amp; "vs" &amp; CHAR(10) &amp; INDIRECT("F"&amp;232)</f>
        <v xml:space="preserve">
vs
</v>
      </c>
      <c r="Y232" s="78" t="b">
        <f ca="1">$S$10=X232</f>
        <v>0</v>
      </c>
      <c r="Z232" s="78" t="b">
        <f ca="1">$S$20=X232</f>
        <v>0</v>
      </c>
      <c r="AA232" s="78" t="b">
        <f ca="1">$S$30=X232</f>
        <v>0</v>
      </c>
    </row>
    <row r="233" spans="24:27" x14ac:dyDescent="0.25">
      <c r="X233" s="78" t="str">
        <f ca="1">INDIRECT("B"&amp;233) &amp; CHAR(10) &amp; "vs" &amp; CHAR(10) &amp; INDIRECT("F"&amp;233)</f>
        <v xml:space="preserve">
vs
</v>
      </c>
      <c r="Y233" s="78" t="b">
        <f ca="1">$S$10=X233</f>
        <v>0</v>
      </c>
      <c r="Z233" s="78" t="b">
        <f ca="1">$S$20=X233</f>
        <v>0</v>
      </c>
      <c r="AA233" s="78" t="b">
        <f ca="1">$S$30=X233</f>
        <v>0</v>
      </c>
    </row>
    <row r="234" spans="24:27" x14ac:dyDescent="0.25">
      <c r="X234" s="78" t="str">
        <f ca="1">INDIRECT("B"&amp;234) &amp; CHAR(10) &amp; "vs" &amp; CHAR(10) &amp; INDIRECT("F"&amp;234)</f>
        <v xml:space="preserve">
vs
</v>
      </c>
      <c r="Y234" s="78" t="b">
        <f ca="1">$S$10=X234</f>
        <v>0</v>
      </c>
      <c r="Z234" s="78" t="b">
        <f ca="1">$S$20=X234</f>
        <v>0</v>
      </c>
      <c r="AA234" s="78" t="b">
        <f ca="1">$S$30=X234</f>
        <v>0</v>
      </c>
    </row>
    <row r="235" spans="24:27" x14ac:dyDescent="0.25">
      <c r="X235" s="78" t="str">
        <f ca="1">INDIRECT("B"&amp;235) &amp; CHAR(10) &amp; "vs" &amp; CHAR(10) &amp; INDIRECT("F"&amp;235)</f>
        <v xml:space="preserve">
vs
</v>
      </c>
      <c r="Y235" s="78" t="b">
        <f ca="1">$S$10=X235</f>
        <v>0</v>
      </c>
      <c r="Z235" s="78" t="b">
        <f ca="1">$S$20=X235</f>
        <v>0</v>
      </c>
      <c r="AA235" s="78" t="b">
        <f ca="1">$S$30=X235</f>
        <v>0</v>
      </c>
    </row>
    <row r="236" spans="24:27" x14ac:dyDescent="0.25">
      <c r="X236" s="78" t="str">
        <f ca="1">INDIRECT("B"&amp;236) &amp; CHAR(10) &amp; "vs" &amp; CHAR(10) &amp; INDIRECT("F"&amp;236)</f>
        <v xml:space="preserve">
vs
</v>
      </c>
      <c r="Y236" s="78" t="b">
        <f ca="1">$S$10=X236</f>
        <v>0</v>
      </c>
      <c r="Z236" s="78" t="b">
        <f ca="1">$S$20=X236</f>
        <v>0</v>
      </c>
      <c r="AA236" s="78" t="b">
        <f ca="1">$S$30=X236</f>
        <v>0</v>
      </c>
    </row>
    <row r="237" spans="24:27" x14ac:dyDescent="0.25">
      <c r="X237" s="78" t="str">
        <f ca="1">INDIRECT("B"&amp;237) &amp; CHAR(10) &amp; "vs" &amp; CHAR(10) &amp; INDIRECT("F"&amp;237)</f>
        <v xml:space="preserve">
vs
</v>
      </c>
      <c r="Y237" s="78" t="b">
        <f ca="1">$S$10=X237</f>
        <v>0</v>
      </c>
      <c r="Z237" s="78" t="b">
        <f ca="1">$S$20=X237</f>
        <v>0</v>
      </c>
      <c r="AA237" s="78" t="b">
        <f ca="1">$S$30=X237</f>
        <v>0</v>
      </c>
    </row>
    <row r="238" spans="24:27" x14ac:dyDescent="0.25">
      <c r="X238" s="78" t="str">
        <f ca="1">INDIRECT("B"&amp;238) &amp; CHAR(10) &amp; "vs" &amp; CHAR(10) &amp; INDIRECT("F"&amp;238)</f>
        <v xml:space="preserve">
vs
</v>
      </c>
      <c r="Y238" s="78" t="b">
        <f ca="1">$S$10=X238</f>
        <v>0</v>
      </c>
      <c r="Z238" s="78" t="b">
        <f ca="1">$S$20=X238</f>
        <v>0</v>
      </c>
      <c r="AA238" s="78" t="b">
        <f ca="1">$S$30=X238</f>
        <v>0</v>
      </c>
    </row>
    <row r="239" spans="24:27" x14ac:dyDescent="0.25">
      <c r="X239" s="78" t="str">
        <f ca="1">INDIRECT("B"&amp;239) &amp; CHAR(10) &amp; "vs" &amp; CHAR(10) &amp; INDIRECT("F"&amp;239)</f>
        <v xml:space="preserve">
vs
</v>
      </c>
      <c r="Y239" s="78" t="b">
        <f ca="1">$S$10=X239</f>
        <v>0</v>
      </c>
      <c r="Z239" s="78" t="b">
        <f ca="1">$S$20=X239</f>
        <v>0</v>
      </c>
      <c r="AA239" s="78" t="b">
        <f ca="1">$S$30=X239</f>
        <v>0</v>
      </c>
    </row>
    <row r="240" spans="24:27" x14ac:dyDescent="0.25">
      <c r="X240" s="78" t="str">
        <f ca="1">INDIRECT("B"&amp;240) &amp; CHAR(10) &amp; "vs" &amp; CHAR(10) &amp; INDIRECT("F"&amp;240)</f>
        <v xml:space="preserve">
vs
</v>
      </c>
      <c r="Y240" s="78" t="b">
        <f ca="1">$S$10=X240</f>
        <v>0</v>
      </c>
      <c r="Z240" s="78" t="b">
        <f ca="1">$S$20=X240</f>
        <v>0</v>
      </c>
      <c r="AA240" s="78" t="b">
        <f ca="1">$S$30=X240</f>
        <v>0</v>
      </c>
    </row>
    <row r="241" spans="24:27" x14ac:dyDescent="0.25">
      <c r="X241" s="78" t="str">
        <f ca="1">INDIRECT("B"&amp;241) &amp; CHAR(10) &amp; "vs" &amp; CHAR(10) &amp; INDIRECT("F"&amp;241)</f>
        <v xml:space="preserve">
vs
</v>
      </c>
      <c r="Y241" s="78" t="b">
        <f ca="1">$S$10=X241</f>
        <v>0</v>
      </c>
      <c r="Z241" s="78" t="b">
        <f ca="1">$S$20=X241</f>
        <v>0</v>
      </c>
      <c r="AA241" s="78" t="b">
        <f ca="1">$S$30=X241</f>
        <v>0</v>
      </c>
    </row>
    <row r="242" spans="24:27" x14ac:dyDescent="0.25">
      <c r="X242" s="78" t="str">
        <f ca="1">INDIRECT("B"&amp;242) &amp; CHAR(10) &amp; "vs" &amp; CHAR(10) &amp; INDIRECT("F"&amp;242)</f>
        <v xml:space="preserve">
vs
</v>
      </c>
      <c r="Y242" s="78" t="b">
        <f ca="1">$S$10=X242</f>
        <v>0</v>
      </c>
      <c r="Z242" s="78" t="b">
        <f ca="1">$S$20=X242</f>
        <v>0</v>
      </c>
      <c r="AA242" s="78" t="b">
        <f ca="1">$S$30=X242</f>
        <v>0</v>
      </c>
    </row>
    <row r="243" spans="24:27" x14ac:dyDescent="0.25">
      <c r="X243" s="78" t="str">
        <f ca="1">INDIRECT("B"&amp;243) &amp; CHAR(10) &amp; "vs" &amp; CHAR(10) &amp; INDIRECT("F"&amp;243)</f>
        <v xml:space="preserve">
vs
</v>
      </c>
      <c r="Y243" s="78" t="b">
        <f ca="1">$S$10=X243</f>
        <v>0</v>
      </c>
      <c r="Z243" s="78" t="b">
        <f ca="1">$S$20=X243</f>
        <v>0</v>
      </c>
      <c r="AA243" s="78" t="b">
        <f ca="1">$S$30=X243</f>
        <v>0</v>
      </c>
    </row>
    <row r="244" spans="24:27" x14ac:dyDescent="0.25">
      <c r="X244" s="78" t="str">
        <f ca="1">INDIRECT("B"&amp;244) &amp; CHAR(10) &amp; "vs" &amp; CHAR(10) &amp; INDIRECT("F"&amp;244)</f>
        <v xml:space="preserve">
vs
</v>
      </c>
      <c r="Y244" s="78" t="b">
        <f ca="1">$S$10=X244</f>
        <v>0</v>
      </c>
      <c r="Z244" s="78" t="b">
        <f ca="1">$S$20=X244</f>
        <v>0</v>
      </c>
      <c r="AA244" s="78" t="b">
        <f ca="1">$S$30=X244</f>
        <v>0</v>
      </c>
    </row>
    <row r="245" spans="24:27" x14ac:dyDescent="0.25">
      <c r="X245" s="78" t="str">
        <f ca="1">INDIRECT("B"&amp;245) &amp; CHAR(10) &amp; "vs" &amp; CHAR(10) &amp; INDIRECT("F"&amp;245)</f>
        <v xml:space="preserve">
vs
</v>
      </c>
      <c r="Y245" s="78" t="b">
        <f ca="1">$S$10=X245</f>
        <v>0</v>
      </c>
      <c r="Z245" s="78" t="b">
        <f ca="1">$S$20=X245</f>
        <v>0</v>
      </c>
      <c r="AA245" s="78" t="b">
        <f ca="1">$S$30=X245</f>
        <v>0</v>
      </c>
    </row>
    <row r="246" spans="24:27" x14ac:dyDescent="0.25">
      <c r="X246" s="78" t="str">
        <f ca="1">INDIRECT("B"&amp;246) &amp; CHAR(10) &amp; "vs" &amp; CHAR(10) &amp; INDIRECT("F"&amp;246)</f>
        <v xml:space="preserve">
vs
</v>
      </c>
      <c r="Y246" s="78" t="b">
        <f ca="1">$S$10=X246</f>
        <v>0</v>
      </c>
      <c r="Z246" s="78" t="b">
        <f ca="1">$S$20=X246</f>
        <v>0</v>
      </c>
      <c r="AA246" s="78" t="b">
        <f ca="1">$S$30=X246</f>
        <v>0</v>
      </c>
    </row>
    <row r="247" spans="24:27" x14ac:dyDescent="0.25">
      <c r="X247" s="78" t="str">
        <f ca="1">INDIRECT("B"&amp;247) &amp; CHAR(10) &amp; "vs" &amp; CHAR(10) &amp; INDIRECT("F"&amp;247)</f>
        <v xml:space="preserve">
vs
</v>
      </c>
      <c r="Y247" s="78" t="b">
        <f ca="1">$S$10=X247</f>
        <v>0</v>
      </c>
      <c r="Z247" s="78" t="b">
        <f ca="1">$S$20=X247</f>
        <v>0</v>
      </c>
      <c r="AA247" s="78" t="b">
        <f ca="1">$S$30=X247</f>
        <v>0</v>
      </c>
    </row>
    <row r="248" spans="24:27" x14ac:dyDescent="0.25">
      <c r="X248" s="78" t="str">
        <f ca="1">INDIRECT("B"&amp;248) &amp; CHAR(10) &amp; "vs" &amp; CHAR(10) &amp; INDIRECT("F"&amp;248)</f>
        <v xml:space="preserve">
vs
</v>
      </c>
      <c r="Y248" s="78" t="b">
        <f ca="1">$S$10=X248</f>
        <v>0</v>
      </c>
      <c r="Z248" s="78" t="b">
        <f ca="1">$S$20=X248</f>
        <v>0</v>
      </c>
      <c r="AA248" s="78" t="b">
        <f ca="1">$S$30=X248</f>
        <v>0</v>
      </c>
    </row>
    <row r="249" spans="24:27" x14ac:dyDescent="0.25">
      <c r="X249" s="78" t="str">
        <f ca="1">INDIRECT("B"&amp;249) &amp; CHAR(10) &amp; "vs" &amp; CHAR(10) &amp; INDIRECT("F"&amp;249)</f>
        <v xml:space="preserve">
vs
</v>
      </c>
      <c r="Y249" s="78" t="b">
        <f ca="1">$S$10=X249</f>
        <v>0</v>
      </c>
      <c r="Z249" s="78" t="b">
        <f ca="1">$S$20=X249</f>
        <v>0</v>
      </c>
      <c r="AA249" s="78" t="b">
        <f ca="1">$S$30=X249</f>
        <v>0</v>
      </c>
    </row>
    <row r="250" spans="24:27" x14ac:dyDescent="0.25">
      <c r="X250" s="78" t="str">
        <f ca="1">INDIRECT("B"&amp;250) &amp; CHAR(10) &amp; "vs" &amp; CHAR(10) &amp; INDIRECT("F"&amp;250)</f>
        <v xml:space="preserve">
vs
</v>
      </c>
      <c r="Y250" s="78" t="b">
        <f ca="1">$S$10=X250</f>
        <v>0</v>
      </c>
      <c r="Z250" s="78" t="b">
        <f ca="1">$S$20=X250</f>
        <v>0</v>
      </c>
      <c r="AA250" s="78" t="b">
        <f ca="1">$S$30=X250</f>
        <v>0</v>
      </c>
    </row>
    <row r="251" spans="24:27" x14ac:dyDescent="0.25">
      <c r="X251" s="78" t="str">
        <f ca="1">INDIRECT("B"&amp;251) &amp; CHAR(10) &amp; "vs" &amp; CHAR(10) &amp; INDIRECT("F"&amp;251)</f>
        <v xml:space="preserve">
vs
</v>
      </c>
      <c r="Y251" s="78" t="b">
        <f ca="1">$S$10=X251</f>
        <v>0</v>
      </c>
      <c r="Z251" s="78" t="b">
        <f ca="1">$S$20=X251</f>
        <v>0</v>
      </c>
      <c r="AA251" s="78" t="b">
        <f ca="1">$S$30=X251</f>
        <v>0</v>
      </c>
    </row>
    <row r="252" spans="24:27" x14ac:dyDescent="0.25">
      <c r="X252" s="78" t="str">
        <f ca="1">INDIRECT("B"&amp;252) &amp; CHAR(10) &amp; "vs" &amp; CHAR(10) &amp; INDIRECT("F"&amp;252)</f>
        <v xml:space="preserve">
vs
</v>
      </c>
      <c r="Y252" s="78" t="b">
        <f ca="1">$S$10=X252</f>
        <v>0</v>
      </c>
      <c r="Z252" s="78" t="b">
        <f ca="1">$S$20=X252</f>
        <v>0</v>
      </c>
      <c r="AA252" s="78" t="b">
        <f ca="1">$S$30=X252</f>
        <v>0</v>
      </c>
    </row>
    <row r="253" spans="24:27" x14ac:dyDescent="0.25">
      <c r="X253" s="78" t="str">
        <f ca="1">INDIRECT("B"&amp;253) &amp; CHAR(10) &amp; "vs" &amp; CHAR(10) &amp; INDIRECT("F"&amp;253)</f>
        <v xml:space="preserve">
vs
</v>
      </c>
      <c r="Y253" s="78" t="b">
        <f ca="1">$S$10=X253</f>
        <v>0</v>
      </c>
      <c r="Z253" s="78" t="b">
        <f ca="1">$S$20=X253</f>
        <v>0</v>
      </c>
      <c r="AA253" s="78" t="b">
        <f ca="1">$S$30=X253</f>
        <v>0</v>
      </c>
    </row>
    <row r="254" spans="24:27" x14ac:dyDescent="0.25">
      <c r="X254" s="78" t="str">
        <f ca="1">INDIRECT("B"&amp;254) &amp; CHAR(10) &amp; "vs" &amp; CHAR(10) &amp; INDIRECT("F"&amp;254)</f>
        <v xml:space="preserve">
vs
</v>
      </c>
      <c r="Y254" s="78" t="b">
        <f ca="1">$S$10=X254</f>
        <v>0</v>
      </c>
      <c r="Z254" s="78" t="b">
        <f ca="1">$S$20=X254</f>
        <v>0</v>
      </c>
      <c r="AA254" s="78" t="b">
        <f ca="1">$S$30=X254</f>
        <v>0</v>
      </c>
    </row>
    <row r="255" spans="24:27" x14ac:dyDescent="0.25">
      <c r="X255" s="78" t="str">
        <f ca="1">INDIRECT("B"&amp;255) &amp; CHAR(10) &amp; "vs" &amp; CHAR(10) &amp; INDIRECT("F"&amp;255)</f>
        <v xml:space="preserve">
vs
</v>
      </c>
      <c r="Y255" s="78" t="b">
        <f ca="1">$S$10=X255</f>
        <v>0</v>
      </c>
      <c r="Z255" s="78" t="b">
        <f ca="1">$S$20=X255</f>
        <v>0</v>
      </c>
      <c r="AA255" s="78" t="b">
        <f ca="1">$S$30=X255</f>
        <v>0</v>
      </c>
    </row>
    <row r="256" spans="24:27" x14ac:dyDescent="0.25">
      <c r="X256" s="78" t="str">
        <f ca="1">INDIRECT("B"&amp;256) &amp; CHAR(10) &amp; "vs" &amp; CHAR(10) &amp; INDIRECT("F"&amp;256)</f>
        <v xml:space="preserve">
vs
</v>
      </c>
      <c r="Y256" s="78" t="b">
        <f ca="1">$S$10=X256</f>
        <v>0</v>
      </c>
      <c r="Z256" s="78" t="b">
        <f ca="1">$S$20=X256</f>
        <v>0</v>
      </c>
      <c r="AA256" s="78" t="b">
        <f ca="1">$S$30=X256</f>
        <v>0</v>
      </c>
    </row>
    <row r="257" spans="24:27" x14ac:dyDescent="0.25">
      <c r="X257" s="78" t="str">
        <f ca="1">INDIRECT("B"&amp;257) &amp; CHAR(10) &amp; "vs" &amp; CHAR(10) &amp; INDIRECT("F"&amp;257)</f>
        <v xml:space="preserve">
vs
</v>
      </c>
      <c r="Y257" s="78" t="b">
        <f ca="1">$S$10=X257</f>
        <v>0</v>
      </c>
      <c r="Z257" s="78" t="b">
        <f ca="1">$S$20=X257</f>
        <v>0</v>
      </c>
      <c r="AA257" s="78" t="b">
        <f ca="1">$S$30=X257</f>
        <v>0</v>
      </c>
    </row>
    <row r="258" spans="24:27" x14ac:dyDescent="0.25">
      <c r="X258" s="78" t="str">
        <f ca="1">INDIRECT("B"&amp;258) &amp; CHAR(10) &amp; "vs" &amp; CHAR(10) &amp; INDIRECT("F"&amp;258)</f>
        <v xml:space="preserve">
vs
</v>
      </c>
      <c r="Y258" s="78" t="b">
        <f ca="1">$S$10=X258</f>
        <v>0</v>
      </c>
      <c r="Z258" s="78" t="b">
        <f ca="1">$S$20=X258</f>
        <v>0</v>
      </c>
      <c r="AA258" s="78" t="b">
        <f ca="1">$S$30=X258</f>
        <v>0</v>
      </c>
    </row>
    <row r="259" spans="24:27" x14ac:dyDescent="0.25">
      <c r="X259" s="78" t="str">
        <f ca="1">INDIRECT("B"&amp;259) &amp; CHAR(10) &amp; "vs" &amp; CHAR(10) &amp; INDIRECT("F"&amp;259)</f>
        <v xml:space="preserve">
vs
</v>
      </c>
      <c r="Y259" s="78" t="b">
        <f ca="1">$S$10=X259</f>
        <v>0</v>
      </c>
      <c r="Z259" s="78" t="b">
        <f ca="1">$S$20=X259</f>
        <v>0</v>
      </c>
      <c r="AA259" s="78" t="b">
        <f ca="1">$S$30=X259</f>
        <v>0</v>
      </c>
    </row>
    <row r="260" spans="24:27" x14ac:dyDescent="0.25">
      <c r="X260" s="78" t="str">
        <f ca="1">INDIRECT("B"&amp;260) &amp; CHAR(10) &amp; "vs" &amp; CHAR(10) &amp; INDIRECT("F"&amp;260)</f>
        <v xml:space="preserve">
vs
</v>
      </c>
      <c r="Y260" s="78" t="b">
        <f ca="1">$S$10=X260</f>
        <v>0</v>
      </c>
      <c r="Z260" s="78" t="b">
        <f ca="1">$S$20=X260</f>
        <v>0</v>
      </c>
      <c r="AA260" s="78" t="b">
        <f ca="1">$S$30=X260</f>
        <v>0</v>
      </c>
    </row>
    <row r="261" spans="24:27" x14ac:dyDescent="0.25">
      <c r="X261" s="78" t="str">
        <f ca="1">INDIRECT("B"&amp;261) &amp; CHAR(10) &amp; "vs" &amp; CHAR(10) &amp; INDIRECT("F"&amp;261)</f>
        <v xml:space="preserve">
vs
</v>
      </c>
      <c r="Y261" s="78" t="b">
        <f ca="1">$S$10=X261</f>
        <v>0</v>
      </c>
      <c r="Z261" s="78" t="b">
        <f ca="1">$S$20=X261</f>
        <v>0</v>
      </c>
      <c r="AA261" s="78" t="b">
        <f ca="1">$S$30=X261</f>
        <v>0</v>
      </c>
    </row>
    <row r="262" spans="24:27" x14ac:dyDescent="0.25">
      <c r="X262" s="78" t="str">
        <f ca="1">INDIRECT("B"&amp;262) &amp; CHAR(10) &amp; "vs" &amp; CHAR(10) &amp; INDIRECT("F"&amp;262)</f>
        <v xml:space="preserve">
vs
</v>
      </c>
      <c r="Y262" s="78" t="b">
        <f ca="1">$S$10=X262</f>
        <v>0</v>
      </c>
      <c r="Z262" s="78" t="b">
        <f ca="1">$S$20=X262</f>
        <v>0</v>
      </c>
      <c r="AA262" s="78" t="b">
        <f ca="1">$S$30=X262</f>
        <v>0</v>
      </c>
    </row>
    <row r="263" spans="24:27" x14ac:dyDescent="0.25">
      <c r="X263" s="78" t="str">
        <f ca="1">INDIRECT("B"&amp;263) &amp; CHAR(10) &amp; "vs" &amp; CHAR(10) &amp; INDIRECT("F"&amp;263)</f>
        <v xml:space="preserve">
vs
</v>
      </c>
      <c r="Y263" s="78" t="b">
        <f ca="1">$S$10=X263</f>
        <v>0</v>
      </c>
      <c r="Z263" s="78" t="b">
        <f ca="1">$S$20=X263</f>
        <v>0</v>
      </c>
      <c r="AA263" s="78" t="b">
        <f ca="1">$S$30=X263</f>
        <v>0</v>
      </c>
    </row>
    <row r="264" spans="24:27" x14ac:dyDescent="0.25">
      <c r="X264" s="78" t="str">
        <f ca="1">INDIRECT("B"&amp;264) &amp; CHAR(10) &amp; "vs" &amp; CHAR(10) &amp; INDIRECT("F"&amp;264)</f>
        <v xml:space="preserve">
vs
</v>
      </c>
      <c r="Y264" s="78" t="b">
        <f ca="1">$S$10=X264</f>
        <v>0</v>
      </c>
      <c r="Z264" s="78" t="b">
        <f ca="1">$S$20=X264</f>
        <v>0</v>
      </c>
      <c r="AA264" s="78" t="b">
        <f ca="1">$S$30=X264</f>
        <v>0</v>
      </c>
    </row>
    <row r="265" spans="24:27" x14ac:dyDescent="0.25">
      <c r="X265" s="78" t="str">
        <f ca="1">INDIRECT("B"&amp;265) &amp; CHAR(10) &amp; "vs" &amp; CHAR(10) &amp; INDIRECT("F"&amp;265)</f>
        <v xml:space="preserve">
vs
</v>
      </c>
      <c r="Y265" s="78" t="b">
        <f ca="1">$S$10=X265</f>
        <v>0</v>
      </c>
      <c r="Z265" s="78" t="b">
        <f ca="1">$S$20=X265</f>
        <v>0</v>
      </c>
      <c r="AA265" s="78" t="b">
        <f ca="1">$S$30=X265</f>
        <v>0</v>
      </c>
    </row>
    <row r="266" spans="24:27" x14ac:dyDescent="0.25">
      <c r="X266" s="78" t="str">
        <f ca="1">INDIRECT("B"&amp;266) &amp; CHAR(10) &amp; "vs" &amp; CHAR(10) &amp; INDIRECT("F"&amp;266)</f>
        <v xml:space="preserve">
vs
</v>
      </c>
      <c r="Y266" s="78" t="b">
        <f ca="1">$S$10=X266</f>
        <v>0</v>
      </c>
      <c r="Z266" s="78" t="b">
        <f ca="1">$S$20=X266</f>
        <v>0</v>
      </c>
      <c r="AA266" s="78" t="b">
        <f ca="1">$S$30=X266</f>
        <v>0</v>
      </c>
    </row>
    <row r="267" spans="24:27" x14ac:dyDescent="0.25">
      <c r="X267" s="78" t="str">
        <f ca="1">INDIRECT("B"&amp;267) &amp; CHAR(10) &amp; "vs" &amp; CHAR(10) &amp; INDIRECT("F"&amp;267)</f>
        <v xml:space="preserve">
vs
</v>
      </c>
      <c r="Y267" s="78" t="b">
        <f ca="1">$S$10=X267</f>
        <v>0</v>
      </c>
      <c r="Z267" s="78" t="b">
        <f ca="1">$S$20=X267</f>
        <v>0</v>
      </c>
      <c r="AA267" s="78" t="b">
        <f ca="1">$S$30=X267</f>
        <v>0</v>
      </c>
    </row>
    <row r="268" spans="24:27" x14ac:dyDescent="0.25">
      <c r="X268" s="78" t="str">
        <f ca="1">INDIRECT("B"&amp;268) &amp; CHAR(10) &amp; "vs" &amp; CHAR(10) &amp; INDIRECT("F"&amp;268)</f>
        <v xml:space="preserve">
vs
</v>
      </c>
      <c r="Y268" s="78" t="b">
        <f ca="1">$S$10=X268</f>
        <v>0</v>
      </c>
      <c r="Z268" s="78" t="b">
        <f ca="1">$S$20=X268</f>
        <v>0</v>
      </c>
      <c r="AA268" s="78" t="b">
        <f ca="1">$S$30=X268</f>
        <v>0</v>
      </c>
    </row>
    <row r="269" spans="24:27" x14ac:dyDescent="0.25">
      <c r="X269" s="78" t="str">
        <f ca="1">INDIRECT("B"&amp;269) &amp; CHAR(10) &amp; "vs" &amp; CHAR(10) &amp; INDIRECT("F"&amp;269)</f>
        <v xml:space="preserve">
vs
</v>
      </c>
      <c r="Y269" s="78" t="b">
        <f ca="1">$S$10=X269</f>
        <v>0</v>
      </c>
      <c r="Z269" s="78" t="b">
        <f ca="1">$S$20=X269</f>
        <v>0</v>
      </c>
      <c r="AA269" s="78" t="b">
        <f ca="1">$S$30=X269</f>
        <v>0</v>
      </c>
    </row>
    <row r="270" spans="24:27" x14ac:dyDescent="0.25">
      <c r="X270" s="78" t="str">
        <f ca="1">INDIRECT("B"&amp;270) &amp; CHAR(10) &amp; "vs" &amp; CHAR(10) &amp; INDIRECT("F"&amp;270)</f>
        <v xml:space="preserve">
vs
</v>
      </c>
      <c r="Y270" s="78" t="b">
        <f ca="1">$S$10=X270</f>
        <v>0</v>
      </c>
      <c r="Z270" s="78" t="b">
        <f ca="1">$S$20=X270</f>
        <v>0</v>
      </c>
      <c r="AA270" s="78" t="b">
        <f ca="1">$S$30=X270</f>
        <v>0</v>
      </c>
    </row>
    <row r="271" spans="24:27" x14ac:dyDescent="0.25">
      <c r="X271" s="78" t="str">
        <f ca="1">INDIRECT("B"&amp;271) &amp; CHAR(10) &amp; "vs" &amp; CHAR(10) &amp; INDIRECT("F"&amp;271)</f>
        <v xml:space="preserve">
vs
</v>
      </c>
      <c r="Y271" s="78" t="b">
        <f ca="1">$S$10=X271</f>
        <v>0</v>
      </c>
      <c r="Z271" s="78" t="b">
        <f ca="1">$S$20=X271</f>
        <v>0</v>
      </c>
      <c r="AA271" s="78" t="b">
        <f ca="1">$S$30=X271</f>
        <v>0</v>
      </c>
    </row>
    <row r="272" spans="24:27" x14ac:dyDescent="0.25">
      <c r="X272" s="78" t="str">
        <f ca="1">INDIRECT("B"&amp;272) &amp; CHAR(10) &amp; "vs" &amp; CHAR(10) &amp; INDIRECT("F"&amp;272)</f>
        <v xml:space="preserve">
vs
</v>
      </c>
      <c r="Y272" s="78" t="b">
        <f ca="1">$S$10=X272</f>
        <v>0</v>
      </c>
      <c r="Z272" s="78" t="b">
        <f ca="1">$S$20=X272</f>
        <v>0</v>
      </c>
      <c r="AA272" s="78" t="b">
        <f ca="1">$S$30=X272</f>
        <v>0</v>
      </c>
    </row>
    <row r="273" spans="24:27" x14ac:dyDescent="0.25">
      <c r="X273" s="78" t="str">
        <f ca="1">INDIRECT("B"&amp;273) &amp; CHAR(10) &amp; "vs" &amp; CHAR(10) &amp; INDIRECT("F"&amp;273)</f>
        <v xml:space="preserve">
vs
</v>
      </c>
      <c r="Y273" s="78" t="b">
        <f ca="1">$S$10=X273</f>
        <v>0</v>
      </c>
      <c r="Z273" s="78" t="b">
        <f ca="1">$S$20=X273</f>
        <v>0</v>
      </c>
      <c r="AA273" s="78" t="b">
        <f ca="1">$S$30=X273</f>
        <v>0</v>
      </c>
    </row>
    <row r="274" spans="24:27" x14ac:dyDescent="0.25">
      <c r="X274" s="78" t="str">
        <f ca="1">INDIRECT("B"&amp;274) &amp; CHAR(10) &amp; "vs" &amp; CHAR(10) &amp; INDIRECT("F"&amp;274)</f>
        <v xml:space="preserve">
vs
</v>
      </c>
      <c r="Y274" s="78" t="b">
        <f ca="1">$S$10=X274</f>
        <v>0</v>
      </c>
      <c r="Z274" s="78" t="b">
        <f ca="1">$S$20=X274</f>
        <v>0</v>
      </c>
      <c r="AA274" s="78" t="b">
        <f ca="1">$S$30=X274</f>
        <v>0</v>
      </c>
    </row>
    <row r="275" spans="24:27" x14ac:dyDescent="0.25">
      <c r="X275" s="78" t="str">
        <f ca="1">INDIRECT("B"&amp;275) &amp; CHAR(10) &amp; "vs" &amp; CHAR(10) &amp; INDIRECT("F"&amp;275)</f>
        <v xml:space="preserve">
vs
</v>
      </c>
      <c r="Y275" s="78" t="b">
        <f ca="1">$S$10=X275</f>
        <v>0</v>
      </c>
      <c r="Z275" s="78" t="b">
        <f ca="1">$S$20=X275</f>
        <v>0</v>
      </c>
      <c r="AA275" s="78" t="b">
        <f ca="1">$S$30=X275</f>
        <v>0</v>
      </c>
    </row>
    <row r="276" spans="24:27" x14ac:dyDescent="0.25">
      <c r="X276" s="78" t="str">
        <f ca="1">INDIRECT("B"&amp;276) &amp; CHAR(10) &amp; "vs" &amp; CHAR(10) &amp; INDIRECT("F"&amp;276)</f>
        <v xml:space="preserve">
vs
</v>
      </c>
      <c r="Y276" s="78" t="b">
        <f ca="1">$S$10=X276</f>
        <v>0</v>
      </c>
      <c r="Z276" s="78" t="b">
        <f ca="1">$S$20=X276</f>
        <v>0</v>
      </c>
      <c r="AA276" s="78" t="b">
        <f ca="1">$S$30=X276</f>
        <v>0</v>
      </c>
    </row>
    <row r="277" spans="24:27" x14ac:dyDescent="0.25">
      <c r="X277" s="78" t="str">
        <f ca="1">INDIRECT("B"&amp;277) &amp; CHAR(10) &amp; "vs" &amp; CHAR(10) &amp; INDIRECT("F"&amp;277)</f>
        <v xml:space="preserve">
vs
</v>
      </c>
      <c r="Y277" s="78" t="b">
        <f ca="1">$S$10=X277</f>
        <v>0</v>
      </c>
      <c r="Z277" s="78" t="b">
        <f ca="1">$S$20=X277</f>
        <v>0</v>
      </c>
      <c r="AA277" s="78" t="b">
        <f ca="1">$S$30=X277</f>
        <v>0</v>
      </c>
    </row>
    <row r="278" spans="24:27" x14ac:dyDescent="0.25">
      <c r="X278" s="78" t="str">
        <f ca="1">INDIRECT("B"&amp;278) &amp; CHAR(10) &amp; "vs" &amp; CHAR(10) &amp; INDIRECT("F"&amp;278)</f>
        <v xml:space="preserve">
vs
</v>
      </c>
      <c r="Y278" s="78" t="b">
        <f ca="1">$S$10=X278</f>
        <v>0</v>
      </c>
      <c r="Z278" s="78" t="b">
        <f ca="1">$S$20=X278</f>
        <v>0</v>
      </c>
      <c r="AA278" s="78" t="b">
        <f ca="1">$S$30=X278</f>
        <v>0</v>
      </c>
    </row>
    <row r="279" spans="24:27" x14ac:dyDescent="0.25">
      <c r="X279" s="78" t="str">
        <f ca="1">INDIRECT("B"&amp;279) &amp; CHAR(10) &amp; "vs" &amp; CHAR(10) &amp; INDIRECT("F"&amp;279)</f>
        <v xml:space="preserve">
vs
</v>
      </c>
      <c r="Y279" s="78" t="b">
        <f ca="1">$S$10=X279</f>
        <v>0</v>
      </c>
      <c r="Z279" s="78" t="b">
        <f ca="1">$S$20=X279</f>
        <v>0</v>
      </c>
      <c r="AA279" s="78" t="b">
        <f ca="1">$S$30=X279</f>
        <v>0</v>
      </c>
    </row>
    <row r="280" spans="24:27" x14ac:dyDescent="0.25">
      <c r="X280" s="78" t="str">
        <f ca="1">INDIRECT("B"&amp;280) &amp; CHAR(10) &amp; "vs" &amp; CHAR(10) &amp; INDIRECT("F"&amp;280)</f>
        <v xml:space="preserve">
vs
</v>
      </c>
      <c r="Y280" s="78" t="b">
        <f ca="1">$S$10=X280</f>
        <v>0</v>
      </c>
      <c r="Z280" s="78" t="b">
        <f ca="1">$S$20=X280</f>
        <v>0</v>
      </c>
      <c r="AA280" s="78" t="b">
        <f ca="1">$S$30=X280</f>
        <v>0</v>
      </c>
    </row>
    <row r="281" spans="24:27" x14ac:dyDescent="0.25">
      <c r="X281" s="78" t="str">
        <f ca="1">INDIRECT("B"&amp;281) &amp; CHAR(10) &amp; "vs" &amp; CHAR(10) &amp; INDIRECT("F"&amp;281)</f>
        <v xml:space="preserve">
vs
</v>
      </c>
      <c r="Y281" s="78" t="b">
        <f ca="1">$S$10=X281</f>
        <v>0</v>
      </c>
      <c r="Z281" s="78" t="b">
        <f ca="1">$S$20=X281</f>
        <v>0</v>
      </c>
      <c r="AA281" s="78" t="b">
        <f ca="1">$S$30=X281</f>
        <v>0</v>
      </c>
    </row>
    <row r="282" spans="24:27" x14ac:dyDescent="0.25">
      <c r="X282" s="78" t="str">
        <f ca="1">INDIRECT("B"&amp;282) &amp; CHAR(10) &amp; "vs" &amp; CHAR(10) &amp; INDIRECT("F"&amp;282)</f>
        <v xml:space="preserve">
vs
</v>
      </c>
      <c r="Y282" s="78" t="b">
        <f ca="1">$S$10=X282</f>
        <v>0</v>
      </c>
      <c r="Z282" s="78" t="b">
        <f ca="1">$S$20=X282</f>
        <v>0</v>
      </c>
      <c r="AA282" s="78" t="b">
        <f ca="1">$S$30=X282</f>
        <v>0</v>
      </c>
    </row>
    <row r="283" spans="24:27" x14ac:dyDescent="0.25">
      <c r="X283" s="78" t="str">
        <f ca="1">INDIRECT("B"&amp;283) &amp; CHAR(10) &amp; "vs" &amp; CHAR(10) &amp; INDIRECT("F"&amp;283)</f>
        <v xml:space="preserve">
vs
</v>
      </c>
      <c r="Y283" s="78" t="b">
        <f ca="1">$S$10=X283</f>
        <v>0</v>
      </c>
      <c r="Z283" s="78" t="b">
        <f ca="1">$S$20=X283</f>
        <v>0</v>
      </c>
      <c r="AA283" s="78" t="b">
        <f ca="1">$S$30=X283</f>
        <v>0</v>
      </c>
    </row>
    <row r="284" spans="24:27" x14ac:dyDescent="0.25">
      <c r="X284" s="78" t="str">
        <f ca="1">INDIRECT("B"&amp;284) &amp; CHAR(10) &amp; "vs" &amp; CHAR(10) &amp; INDIRECT("F"&amp;284)</f>
        <v xml:space="preserve">
vs
</v>
      </c>
      <c r="Y284" s="78" t="b">
        <f ca="1">$S$10=X284</f>
        <v>0</v>
      </c>
      <c r="Z284" s="78" t="b">
        <f ca="1">$S$20=X284</f>
        <v>0</v>
      </c>
      <c r="AA284" s="78" t="b">
        <f ca="1">$S$30=X284</f>
        <v>0</v>
      </c>
    </row>
    <row r="285" spans="24:27" x14ac:dyDescent="0.25">
      <c r="X285" s="78" t="str">
        <f ca="1">INDIRECT("B"&amp;285) &amp; CHAR(10) &amp; "vs" &amp; CHAR(10) &amp; INDIRECT("F"&amp;285)</f>
        <v xml:space="preserve">
vs
</v>
      </c>
      <c r="Y285" s="78" t="b">
        <f ca="1">$S$10=X285</f>
        <v>0</v>
      </c>
      <c r="Z285" s="78" t="b">
        <f ca="1">$S$20=X285</f>
        <v>0</v>
      </c>
      <c r="AA285" s="78" t="b">
        <f ca="1">$S$30=X285</f>
        <v>0</v>
      </c>
    </row>
    <row r="286" spans="24:27" x14ac:dyDescent="0.25">
      <c r="X286" s="78" t="str">
        <f ca="1">INDIRECT("B"&amp;286) &amp; CHAR(10) &amp; "vs" &amp; CHAR(10) &amp; INDIRECT("F"&amp;286)</f>
        <v xml:space="preserve">
vs
</v>
      </c>
      <c r="Y286" s="78" t="b">
        <f ca="1">$S$10=X286</f>
        <v>0</v>
      </c>
      <c r="Z286" s="78" t="b">
        <f ca="1">$S$20=X286</f>
        <v>0</v>
      </c>
      <c r="AA286" s="78" t="b">
        <f ca="1">$S$30=X286</f>
        <v>0</v>
      </c>
    </row>
    <row r="287" spans="24:27" x14ac:dyDescent="0.25">
      <c r="X287" s="78" t="str">
        <f ca="1">INDIRECT("B"&amp;287) &amp; CHAR(10) &amp; "vs" &amp; CHAR(10) &amp; INDIRECT("F"&amp;287)</f>
        <v xml:space="preserve">
vs
</v>
      </c>
      <c r="Y287" s="78" t="b">
        <f ca="1">$S$10=X287</f>
        <v>0</v>
      </c>
      <c r="Z287" s="78" t="b">
        <f ca="1">$S$20=X287</f>
        <v>0</v>
      </c>
      <c r="AA287" s="78" t="b">
        <f ca="1">$S$30=X287</f>
        <v>0</v>
      </c>
    </row>
    <row r="288" spans="24:27" x14ac:dyDescent="0.25">
      <c r="X288" s="78" t="str">
        <f ca="1">INDIRECT("B"&amp;288) &amp; CHAR(10) &amp; "vs" &amp; CHAR(10) &amp; INDIRECT("F"&amp;288)</f>
        <v xml:space="preserve">
vs
</v>
      </c>
      <c r="Y288" s="78" t="b">
        <f ca="1">$S$10=X288</f>
        <v>0</v>
      </c>
      <c r="Z288" s="78" t="b">
        <f ca="1">$S$20=X288</f>
        <v>0</v>
      </c>
      <c r="AA288" s="78" t="b">
        <f ca="1">$S$30=X288</f>
        <v>0</v>
      </c>
    </row>
    <row r="289" spans="24:27" x14ac:dyDescent="0.25">
      <c r="X289" s="78" t="str">
        <f ca="1">INDIRECT("B"&amp;289) &amp; CHAR(10) &amp; "vs" &amp; CHAR(10) &amp; INDIRECT("F"&amp;289)</f>
        <v xml:space="preserve">
vs
</v>
      </c>
      <c r="Y289" s="78" t="b">
        <f ca="1">$S$10=X289</f>
        <v>0</v>
      </c>
      <c r="Z289" s="78" t="b">
        <f ca="1">$S$20=X289</f>
        <v>0</v>
      </c>
      <c r="AA289" s="78" t="b">
        <f ca="1">$S$30=X289</f>
        <v>0</v>
      </c>
    </row>
    <row r="290" spans="24:27" x14ac:dyDescent="0.25">
      <c r="X290" s="78" t="str">
        <f ca="1">INDIRECT("B"&amp;290) &amp; CHAR(10) &amp; "vs" &amp; CHAR(10) &amp; INDIRECT("F"&amp;290)</f>
        <v xml:space="preserve">
vs
</v>
      </c>
      <c r="Y290" s="78" t="b">
        <f ca="1">$S$10=X290</f>
        <v>0</v>
      </c>
      <c r="Z290" s="78" t="b">
        <f ca="1">$S$20=X290</f>
        <v>0</v>
      </c>
      <c r="AA290" s="78" t="b">
        <f ca="1">$S$30=X290</f>
        <v>0</v>
      </c>
    </row>
    <row r="291" spans="24:27" x14ac:dyDescent="0.25">
      <c r="X291" s="78" t="str">
        <f ca="1">INDIRECT("B"&amp;291) &amp; CHAR(10) &amp; "vs" &amp; CHAR(10) &amp; INDIRECT("F"&amp;291)</f>
        <v xml:space="preserve">
vs
</v>
      </c>
      <c r="Y291" s="78" t="b">
        <f ca="1">$S$10=X291</f>
        <v>0</v>
      </c>
      <c r="Z291" s="78" t="b">
        <f ca="1">$S$20=X291</f>
        <v>0</v>
      </c>
      <c r="AA291" s="78" t="b">
        <f ca="1">$S$30=X291</f>
        <v>0</v>
      </c>
    </row>
    <row r="292" spans="24:27" x14ac:dyDescent="0.25">
      <c r="X292" s="78" t="str">
        <f ca="1">INDIRECT("B"&amp;292) &amp; CHAR(10) &amp; "vs" &amp; CHAR(10) &amp; INDIRECT("F"&amp;292)</f>
        <v xml:space="preserve">
vs
</v>
      </c>
      <c r="Y292" s="78" t="b">
        <f ca="1">$S$10=X292</f>
        <v>0</v>
      </c>
      <c r="Z292" s="78" t="b">
        <f ca="1">$S$20=X292</f>
        <v>0</v>
      </c>
      <c r="AA292" s="78" t="b">
        <f ca="1">$S$30=X292</f>
        <v>0</v>
      </c>
    </row>
    <row r="293" spans="24:27" x14ac:dyDescent="0.25">
      <c r="X293" s="78" t="str">
        <f ca="1">INDIRECT("B"&amp;293) &amp; CHAR(10) &amp; "vs" &amp; CHAR(10) &amp; INDIRECT("F"&amp;293)</f>
        <v xml:space="preserve">
vs
</v>
      </c>
      <c r="Y293" s="78" t="b">
        <f ca="1">$S$10=X293</f>
        <v>0</v>
      </c>
      <c r="Z293" s="78" t="b">
        <f ca="1">$S$20=X293</f>
        <v>0</v>
      </c>
      <c r="AA293" s="78" t="b">
        <f ca="1">$S$30=X293</f>
        <v>0</v>
      </c>
    </row>
    <row r="294" spans="24:27" x14ac:dyDescent="0.25">
      <c r="X294" s="78" t="str">
        <f ca="1">INDIRECT("B"&amp;294) &amp; CHAR(10) &amp; "vs" &amp; CHAR(10) &amp; INDIRECT("F"&amp;294)</f>
        <v xml:space="preserve">
vs
</v>
      </c>
      <c r="Y294" s="78" t="b">
        <f ca="1">$S$10=X294</f>
        <v>0</v>
      </c>
      <c r="Z294" s="78" t="b">
        <f ca="1">$S$20=X294</f>
        <v>0</v>
      </c>
      <c r="AA294" s="78" t="b">
        <f ca="1">$S$30=X294</f>
        <v>0</v>
      </c>
    </row>
    <row r="295" spans="24:27" x14ac:dyDescent="0.25">
      <c r="X295" s="78" t="str">
        <f ca="1">INDIRECT("B"&amp;295) &amp; CHAR(10) &amp; "vs" &amp; CHAR(10) &amp; INDIRECT("F"&amp;295)</f>
        <v xml:space="preserve">
vs
</v>
      </c>
      <c r="Y295" s="78" t="b">
        <f ca="1">$S$10=X295</f>
        <v>0</v>
      </c>
      <c r="Z295" s="78" t="b">
        <f ca="1">$S$20=X295</f>
        <v>0</v>
      </c>
      <c r="AA295" s="78" t="b">
        <f ca="1">$S$30=X295</f>
        <v>0</v>
      </c>
    </row>
    <row r="296" spans="24:27" x14ac:dyDescent="0.25">
      <c r="X296" s="78" t="str">
        <f ca="1">INDIRECT("B"&amp;296) &amp; CHAR(10) &amp; "vs" &amp; CHAR(10) &amp; INDIRECT("F"&amp;296)</f>
        <v xml:space="preserve">
vs
</v>
      </c>
      <c r="Y296" s="78" t="b">
        <f ca="1">$S$10=X296</f>
        <v>0</v>
      </c>
      <c r="Z296" s="78" t="b">
        <f ca="1">$S$20=X296</f>
        <v>0</v>
      </c>
      <c r="AA296" s="78" t="b">
        <f ca="1">$S$30=X296</f>
        <v>0</v>
      </c>
    </row>
    <row r="297" spans="24:27" x14ac:dyDescent="0.25">
      <c r="X297" s="78" t="str">
        <f ca="1">INDIRECT("B"&amp;297) &amp; CHAR(10) &amp; "vs" &amp; CHAR(10) &amp; INDIRECT("F"&amp;297)</f>
        <v xml:space="preserve">
vs
</v>
      </c>
      <c r="Y297" s="78" t="b">
        <f ca="1">$S$10=X297</f>
        <v>0</v>
      </c>
      <c r="Z297" s="78" t="b">
        <f ca="1">$S$20=X297</f>
        <v>0</v>
      </c>
      <c r="AA297" s="78" t="b">
        <f ca="1">$S$30=X297</f>
        <v>0</v>
      </c>
    </row>
    <row r="298" spans="24:27" x14ac:dyDescent="0.25">
      <c r="X298" s="78" t="str">
        <f ca="1">INDIRECT("B"&amp;298) &amp; CHAR(10) &amp; "vs" &amp; CHAR(10) &amp; INDIRECT("F"&amp;298)</f>
        <v xml:space="preserve">
vs
</v>
      </c>
      <c r="Y298" s="78" t="b">
        <f ca="1">$S$10=X298</f>
        <v>0</v>
      </c>
      <c r="Z298" s="78" t="b">
        <f ca="1">$S$20=X298</f>
        <v>0</v>
      </c>
      <c r="AA298" s="78" t="b">
        <f ca="1">$S$30=X298</f>
        <v>0</v>
      </c>
    </row>
    <row r="299" spans="24:27" x14ac:dyDescent="0.25">
      <c r="X299" s="78" t="str">
        <f ca="1">INDIRECT("B"&amp;299) &amp; CHAR(10) &amp; "vs" &amp; CHAR(10) &amp; INDIRECT("F"&amp;299)</f>
        <v xml:space="preserve">
vs
</v>
      </c>
      <c r="Y299" s="78" t="b">
        <f ca="1">$S$10=X299</f>
        <v>0</v>
      </c>
      <c r="Z299" s="78" t="b">
        <f ca="1">$S$20=X299</f>
        <v>0</v>
      </c>
      <c r="AA299" s="78" t="b">
        <f ca="1">$S$30=X299</f>
        <v>0</v>
      </c>
    </row>
    <row r="300" spans="24:27" x14ac:dyDescent="0.25">
      <c r="X300" s="78" t="str">
        <f ca="1">INDIRECT("B"&amp;300) &amp; CHAR(10) &amp; "vs" &amp; CHAR(10) &amp; INDIRECT("F"&amp;300)</f>
        <v xml:space="preserve">
vs
</v>
      </c>
      <c r="Y300" s="78" t="b">
        <f ca="1">$S$10=X300</f>
        <v>0</v>
      </c>
      <c r="Z300" s="78" t="b">
        <f ca="1">$S$20=X300</f>
        <v>0</v>
      </c>
      <c r="AA300" s="78" t="b">
        <f ca="1">$S$30=X300</f>
        <v>0</v>
      </c>
    </row>
  </sheetData>
  <mergeCells count="6">
    <mergeCell ref="S7:W9"/>
    <mergeCell ref="S10:W15"/>
    <mergeCell ref="S17:W19"/>
    <mergeCell ref="S20:W25"/>
    <mergeCell ref="S27:W29"/>
    <mergeCell ref="S30:W35"/>
  </mergeCells>
  <conditionalFormatting sqref="C2">
    <cfRule type="expression" dxfId="191" priority="191">
      <formula>$C2&lt;$E2</formula>
    </cfRule>
    <cfRule type="expression" dxfId="190" priority="192">
      <formula>$C2&gt;$E2</formula>
    </cfRule>
  </conditionalFormatting>
  <conditionalFormatting sqref="E2">
    <cfRule type="expression" dxfId="189" priority="189">
      <formula>$C2&gt;$E2</formula>
    </cfRule>
    <cfRule type="expression" dxfId="188" priority="190">
      <formula>$C2&lt;$E2</formula>
    </cfRule>
  </conditionalFormatting>
  <conditionalFormatting sqref="C3">
    <cfRule type="expression" dxfId="187" priority="187">
      <formula>$C3&lt;$E3</formula>
    </cfRule>
    <cfRule type="expression" dxfId="186" priority="188">
      <formula>$C3&gt;$E3</formula>
    </cfRule>
  </conditionalFormatting>
  <conditionalFormatting sqref="E3">
    <cfRule type="expression" dxfId="185" priority="185">
      <formula>$C3&gt;$E3</formula>
    </cfRule>
    <cfRule type="expression" dxfId="184" priority="186">
      <formula>$C3&lt;$E3</formula>
    </cfRule>
  </conditionalFormatting>
  <conditionalFormatting sqref="C4">
    <cfRule type="expression" dxfId="183" priority="183">
      <formula>$C4&lt;$E4</formula>
    </cfRule>
    <cfRule type="expression" dxfId="182" priority="184">
      <formula>$C4&gt;$E4</formula>
    </cfRule>
  </conditionalFormatting>
  <conditionalFormatting sqref="E4">
    <cfRule type="expression" dxfId="181" priority="181">
      <formula>$C4&gt;$E4</formula>
    </cfRule>
    <cfRule type="expression" dxfId="180" priority="182">
      <formula>$C4&lt;$E4</formula>
    </cfRule>
  </conditionalFormatting>
  <conditionalFormatting sqref="C5">
    <cfRule type="expression" dxfId="179" priority="179">
      <formula>$C5&lt;$E5</formula>
    </cfRule>
    <cfRule type="expression" dxfId="178" priority="180">
      <formula>$C5&gt;$E5</formula>
    </cfRule>
  </conditionalFormatting>
  <conditionalFormatting sqref="E5">
    <cfRule type="expression" dxfId="177" priority="177">
      <formula>$C5&gt;$E5</formula>
    </cfRule>
    <cfRule type="expression" dxfId="176" priority="178">
      <formula>$C5&lt;$E5</formula>
    </cfRule>
  </conditionalFormatting>
  <conditionalFormatting sqref="C6">
    <cfRule type="expression" dxfId="175" priority="175">
      <formula>$C6&lt;$E6</formula>
    </cfRule>
    <cfRule type="expression" dxfId="174" priority="176">
      <formula>$C6&gt;$E6</formula>
    </cfRule>
  </conditionalFormatting>
  <conditionalFormatting sqref="E6">
    <cfRule type="expression" dxfId="173" priority="173">
      <formula>$C6&gt;$E6</formula>
    </cfRule>
    <cfRule type="expression" dxfId="172" priority="174">
      <formula>$C6&lt;$E6</formula>
    </cfRule>
  </conditionalFormatting>
  <conditionalFormatting sqref="C7">
    <cfRule type="expression" dxfId="171" priority="171">
      <formula>$C7&lt;$E7</formula>
    </cfRule>
    <cfRule type="expression" dxfId="170" priority="172">
      <formula>$C7&gt;$E7</formula>
    </cfRule>
  </conditionalFormatting>
  <conditionalFormatting sqref="E7">
    <cfRule type="expression" dxfId="169" priority="169">
      <formula>$C7&gt;$E7</formula>
    </cfRule>
    <cfRule type="expression" dxfId="168" priority="170">
      <formula>$C7&lt;$E7</formula>
    </cfRule>
  </conditionalFormatting>
  <conditionalFormatting sqref="C8">
    <cfRule type="expression" dxfId="167" priority="167">
      <formula>$C8&lt;$E8</formula>
    </cfRule>
    <cfRule type="expression" dxfId="166" priority="168">
      <formula>$C8&gt;$E8</formula>
    </cfRule>
  </conditionalFormatting>
  <conditionalFormatting sqref="E8">
    <cfRule type="expression" dxfId="165" priority="165">
      <formula>$C8&gt;$E8</formula>
    </cfRule>
    <cfRule type="expression" dxfId="164" priority="166">
      <formula>$C8&lt;$E8</formula>
    </cfRule>
  </conditionalFormatting>
  <conditionalFormatting sqref="C9">
    <cfRule type="expression" dxfId="163" priority="163">
      <formula>$C9&lt;$E9</formula>
    </cfRule>
    <cfRule type="expression" dxfId="162" priority="164">
      <formula>$C9&gt;$E9</formula>
    </cfRule>
  </conditionalFormatting>
  <conditionalFormatting sqref="E9">
    <cfRule type="expression" dxfId="161" priority="161">
      <formula>$C9&gt;$E9</formula>
    </cfRule>
    <cfRule type="expression" dxfId="160" priority="162">
      <formula>$C9&lt;$E9</formula>
    </cfRule>
  </conditionalFormatting>
  <conditionalFormatting sqref="C11">
    <cfRule type="expression" dxfId="159" priority="159">
      <formula>$C11&lt;$E11</formula>
    </cfRule>
    <cfRule type="expression" dxfId="158" priority="160">
      <formula>$C11&gt;$E11</formula>
    </cfRule>
  </conditionalFormatting>
  <conditionalFormatting sqref="E11">
    <cfRule type="expression" dxfId="157" priority="157">
      <formula>$C11&gt;$E11</formula>
    </cfRule>
    <cfRule type="expression" dxfId="156" priority="158">
      <formula>$C11&lt;$E11</formula>
    </cfRule>
  </conditionalFormatting>
  <conditionalFormatting sqref="C12">
    <cfRule type="expression" dxfId="155" priority="155">
      <formula>$C12&lt;$E12</formula>
    </cfRule>
    <cfRule type="expression" dxfId="154" priority="156">
      <formula>$C12&gt;$E12</formula>
    </cfRule>
  </conditionalFormatting>
  <conditionalFormatting sqref="E12">
    <cfRule type="expression" dxfId="153" priority="153">
      <formula>$C12&gt;$E12</formula>
    </cfRule>
    <cfRule type="expression" dxfId="152" priority="154">
      <formula>$C12&lt;$E12</formula>
    </cfRule>
  </conditionalFormatting>
  <conditionalFormatting sqref="C13">
    <cfRule type="expression" dxfId="151" priority="152">
      <formula>$C13&gt;$E13</formula>
    </cfRule>
  </conditionalFormatting>
  <conditionalFormatting sqref="C13">
    <cfRule type="expression" dxfId="150" priority="151">
      <formula>$C13&lt;$E13</formula>
    </cfRule>
  </conditionalFormatting>
  <conditionalFormatting sqref="E13">
    <cfRule type="expression" dxfId="149" priority="150">
      <formula>$C13&lt;$E13</formula>
    </cfRule>
  </conditionalFormatting>
  <conditionalFormatting sqref="E13">
    <cfRule type="expression" dxfId="148" priority="149">
      <formula>$C13&gt;$E13</formula>
    </cfRule>
  </conditionalFormatting>
  <conditionalFormatting sqref="C14">
    <cfRule type="expression" dxfId="147" priority="148">
      <formula>$C14&gt;$E14</formula>
    </cfRule>
  </conditionalFormatting>
  <conditionalFormatting sqref="C14">
    <cfRule type="expression" dxfId="146" priority="147">
      <formula>$C14&lt;$E14</formula>
    </cfRule>
  </conditionalFormatting>
  <conditionalFormatting sqref="E14">
    <cfRule type="expression" dxfId="145" priority="146">
      <formula>$C14&lt;$E14</formula>
    </cfRule>
  </conditionalFormatting>
  <conditionalFormatting sqref="E14">
    <cfRule type="expression" dxfId="144" priority="145">
      <formula>$C14&gt;$E14</formula>
    </cfRule>
  </conditionalFormatting>
  <conditionalFormatting sqref="C15">
    <cfRule type="expression" dxfId="143" priority="144">
      <formula>$C15&gt;$E15</formula>
    </cfRule>
  </conditionalFormatting>
  <conditionalFormatting sqref="C15">
    <cfRule type="expression" dxfId="142" priority="143">
      <formula>$C15&lt;$E15</formula>
    </cfRule>
  </conditionalFormatting>
  <conditionalFormatting sqref="E15">
    <cfRule type="expression" dxfId="141" priority="142">
      <formula>$C15&lt;$E15</formula>
    </cfRule>
  </conditionalFormatting>
  <conditionalFormatting sqref="E15">
    <cfRule type="expression" dxfId="140" priority="141">
      <formula>$C15&gt;$E15</formula>
    </cfRule>
  </conditionalFormatting>
  <conditionalFormatting sqref="C16">
    <cfRule type="expression" dxfId="139" priority="140">
      <formula>$C16&gt;$E16</formula>
    </cfRule>
  </conditionalFormatting>
  <conditionalFormatting sqref="C16">
    <cfRule type="expression" dxfId="138" priority="139">
      <formula>$C16&lt;$E16</formula>
    </cfRule>
  </conditionalFormatting>
  <conditionalFormatting sqref="E16">
    <cfRule type="expression" dxfId="137" priority="138">
      <formula>$C16&lt;$E16</formula>
    </cfRule>
  </conditionalFormatting>
  <conditionalFormatting sqref="E16">
    <cfRule type="expression" dxfId="136" priority="137">
      <formula>$C16&gt;$E16</formula>
    </cfRule>
  </conditionalFormatting>
  <conditionalFormatting sqref="C17">
    <cfRule type="expression" dxfId="135" priority="136">
      <formula>$C17&gt;$E17</formula>
    </cfRule>
  </conditionalFormatting>
  <conditionalFormatting sqref="C17">
    <cfRule type="expression" dxfId="134" priority="135">
      <formula>$C17&lt;$E17</formula>
    </cfRule>
  </conditionalFormatting>
  <conditionalFormatting sqref="E17">
    <cfRule type="expression" dxfId="133" priority="134">
      <formula>$C17&lt;$E17</formula>
    </cfRule>
  </conditionalFormatting>
  <conditionalFormatting sqref="E17">
    <cfRule type="expression" dxfId="132" priority="133">
      <formula>$C17&gt;$E17</formula>
    </cfRule>
  </conditionalFormatting>
  <conditionalFormatting sqref="C18">
    <cfRule type="expression" dxfId="131" priority="132">
      <formula>$C18&gt;$E18</formula>
    </cfRule>
  </conditionalFormatting>
  <conditionalFormatting sqref="C18">
    <cfRule type="expression" dxfId="130" priority="131">
      <formula>$C18&lt;$E18</formula>
    </cfRule>
  </conditionalFormatting>
  <conditionalFormatting sqref="E18">
    <cfRule type="expression" dxfId="129" priority="130">
      <formula>$C18&lt;$E18</formula>
    </cfRule>
  </conditionalFormatting>
  <conditionalFormatting sqref="E18">
    <cfRule type="expression" dxfId="128" priority="129">
      <formula>$C18&gt;$E18</formula>
    </cfRule>
  </conditionalFormatting>
  <conditionalFormatting sqref="C20">
    <cfRule type="expression" dxfId="127" priority="128">
      <formula>$C20&gt;$E20</formula>
    </cfRule>
  </conditionalFormatting>
  <conditionalFormatting sqref="C20">
    <cfRule type="expression" dxfId="126" priority="127">
      <formula>$C20&lt;$E20</formula>
    </cfRule>
  </conditionalFormatting>
  <conditionalFormatting sqref="E20">
    <cfRule type="expression" dxfId="125" priority="126">
      <formula>$C20&lt;$E20</formula>
    </cfRule>
  </conditionalFormatting>
  <conditionalFormatting sqref="E20">
    <cfRule type="expression" dxfId="124" priority="125">
      <formula>$C20&gt;$E20</formula>
    </cfRule>
  </conditionalFormatting>
  <conditionalFormatting sqref="C21">
    <cfRule type="expression" dxfId="123" priority="124">
      <formula>$C21&gt;$E21</formula>
    </cfRule>
  </conditionalFormatting>
  <conditionalFormatting sqref="C21">
    <cfRule type="expression" dxfId="122" priority="123">
      <formula>$C21&lt;$E21</formula>
    </cfRule>
  </conditionalFormatting>
  <conditionalFormatting sqref="E21">
    <cfRule type="expression" dxfId="121" priority="122">
      <formula>$C21&lt;$E21</formula>
    </cfRule>
  </conditionalFormatting>
  <conditionalFormatting sqref="E21">
    <cfRule type="expression" dxfId="120" priority="121">
      <formula>$C21&gt;$E21</formula>
    </cfRule>
  </conditionalFormatting>
  <conditionalFormatting sqref="C22">
    <cfRule type="expression" dxfId="119" priority="120">
      <formula>$C22&gt;$E22</formula>
    </cfRule>
  </conditionalFormatting>
  <conditionalFormatting sqref="C22">
    <cfRule type="expression" dxfId="118" priority="119">
      <formula>$C22&lt;$E22</formula>
    </cfRule>
  </conditionalFormatting>
  <conditionalFormatting sqref="E22">
    <cfRule type="expression" dxfId="117" priority="118">
      <formula>$C22&lt;$E22</formula>
    </cfRule>
  </conditionalFormatting>
  <conditionalFormatting sqref="E22">
    <cfRule type="expression" dxfId="116" priority="117">
      <formula>$C22&gt;$E22</formula>
    </cfRule>
  </conditionalFormatting>
  <conditionalFormatting sqref="C23">
    <cfRule type="expression" dxfId="115" priority="116">
      <formula>$C23&gt;$E23</formula>
    </cfRule>
  </conditionalFormatting>
  <conditionalFormatting sqref="C23">
    <cfRule type="expression" dxfId="114" priority="115">
      <formula>$C23&lt;$E23</formula>
    </cfRule>
  </conditionalFormatting>
  <conditionalFormatting sqref="E23">
    <cfRule type="expression" dxfId="113" priority="114">
      <formula>$C23&lt;$E23</formula>
    </cfRule>
  </conditionalFormatting>
  <conditionalFormatting sqref="E23">
    <cfRule type="expression" dxfId="112" priority="113">
      <formula>$C23&gt;$E23</formula>
    </cfRule>
  </conditionalFormatting>
  <conditionalFormatting sqref="C24">
    <cfRule type="expression" dxfId="111" priority="112">
      <formula>$C24&gt;$E24</formula>
    </cfRule>
  </conditionalFormatting>
  <conditionalFormatting sqref="C24">
    <cfRule type="expression" dxfId="110" priority="111">
      <formula>$C24&lt;$E24</formula>
    </cfRule>
  </conditionalFormatting>
  <conditionalFormatting sqref="E24">
    <cfRule type="expression" dxfId="109" priority="110">
      <formula>$C24&lt;$E24</formula>
    </cfRule>
  </conditionalFormatting>
  <conditionalFormatting sqref="E24">
    <cfRule type="expression" dxfId="108" priority="109">
      <formula>$C24&gt;$E24</formula>
    </cfRule>
  </conditionalFormatting>
  <conditionalFormatting sqref="C25">
    <cfRule type="expression" dxfId="107" priority="108">
      <formula>$C25&gt;$E25</formula>
    </cfRule>
  </conditionalFormatting>
  <conditionalFormatting sqref="C25">
    <cfRule type="expression" dxfId="106" priority="107">
      <formula>$C25&lt;$E25</formula>
    </cfRule>
  </conditionalFormatting>
  <conditionalFormatting sqref="E25">
    <cfRule type="expression" dxfId="105" priority="106">
      <formula>$C25&lt;$E25</formula>
    </cfRule>
  </conditionalFormatting>
  <conditionalFormatting sqref="E25">
    <cfRule type="expression" dxfId="104" priority="105">
      <formula>$C25&gt;$E25</formula>
    </cfRule>
  </conditionalFormatting>
  <conditionalFormatting sqref="C26">
    <cfRule type="expression" dxfId="103" priority="104">
      <formula>$C26&gt;$E26</formula>
    </cfRule>
  </conditionalFormatting>
  <conditionalFormatting sqref="C26">
    <cfRule type="expression" dxfId="102" priority="103">
      <formula>$C26&lt;$E26</formula>
    </cfRule>
  </conditionalFormatting>
  <conditionalFormatting sqref="E26">
    <cfRule type="expression" dxfId="101" priority="102">
      <formula>$C26&lt;$E26</formula>
    </cfRule>
  </conditionalFormatting>
  <conditionalFormatting sqref="E26">
    <cfRule type="expression" dxfId="100" priority="101">
      <formula>$C26&gt;$E26</formula>
    </cfRule>
  </conditionalFormatting>
  <conditionalFormatting sqref="C27">
    <cfRule type="expression" dxfId="99" priority="100">
      <formula>$C27&gt;$E27</formula>
    </cfRule>
  </conditionalFormatting>
  <conditionalFormatting sqref="C27">
    <cfRule type="expression" dxfId="98" priority="99">
      <formula>$C27&lt;$E27</formula>
    </cfRule>
  </conditionalFormatting>
  <conditionalFormatting sqref="E27">
    <cfRule type="expression" dxfId="97" priority="98">
      <formula>$C27&lt;$E27</formula>
    </cfRule>
  </conditionalFormatting>
  <conditionalFormatting sqref="E27">
    <cfRule type="expression" dxfId="96" priority="97">
      <formula>$C27&gt;$E27</formula>
    </cfRule>
  </conditionalFormatting>
  <conditionalFormatting sqref="C29">
    <cfRule type="expression" dxfId="95" priority="96">
      <formula>$C29&gt;$E29</formula>
    </cfRule>
  </conditionalFormatting>
  <conditionalFormatting sqref="C29">
    <cfRule type="expression" dxfId="94" priority="95">
      <formula>$C29&lt;$E29</formula>
    </cfRule>
  </conditionalFormatting>
  <conditionalFormatting sqref="E29">
    <cfRule type="expression" dxfId="93" priority="94">
      <formula>$C29&lt;$E29</formula>
    </cfRule>
  </conditionalFormatting>
  <conditionalFormatting sqref="E29">
    <cfRule type="expression" dxfId="92" priority="93">
      <formula>$C29&gt;$E29</formula>
    </cfRule>
  </conditionalFormatting>
  <conditionalFormatting sqref="C30">
    <cfRule type="expression" dxfId="91" priority="92">
      <formula>$C30&gt;$E30</formula>
    </cfRule>
  </conditionalFormatting>
  <conditionalFormatting sqref="C30">
    <cfRule type="expression" dxfId="90" priority="91">
      <formula>$C30&lt;$E30</formula>
    </cfRule>
  </conditionalFormatting>
  <conditionalFormatting sqref="E30">
    <cfRule type="expression" dxfId="89" priority="90">
      <formula>$C30&lt;$E30</formula>
    </cfRule>
  </conditionalFormatting>
  <conditionalFormatting sqref="E30">
    <cfRule type="expression" dxfId="88" priority="89">
      <formula>$C30&gt;$E30</formula>
    </cfRule>
  </conditionalFormatting>
  <conditionalFormatting sqref="C31">
    <cfRule type="expression" dxfId="87" priority="88">
      <formula>$C31&gt;$E31</formula>
    </cfRule>
  </conditionalFormatting>
  <conditionalFormatting sqref="C31">
    <cfRule type="expression" dxfId="86" priority="87">
      <formula>$C31&lt;$E31</formula>
    </cfRule>
  </conditionalFormatting>
  <conditionalFormatting sqref="E31">
    <cfRule type="expression" dxfId="85" priority="86">
      <formula>$C31&lt;$E31</formula>
    </cfRule>
  </conditionalFormatting>
  <conditionalFormatting sqref="E31">
    <cfRule type="expression" dxfId="84" priority="85">
      <formula>$C31&gt;$E31</formula>
    </cfRule>
  </conditionalFormatting>
  <conditionalFormatting sqref="C32">
    <cfRule type="expression" dxfId="83" priority="84">
      <formula>$C32&gt;$E32</formula>
    </cfRule>
  </conditionalFormatting>
  <conditionalFormatting sqref="C32">
    <cfRule type="expression" dxfId="82" priority="83">
      <formula>$C32&lt;$E32</formula>
    </cfRule>
  </conditionalFormatting>
  <conditionalFormatting sqref="E32">
    <cfRule type="expression" dxfId="81" priority="82">
      <formula>$C32&lt;$E32</formula>
    </cfRule>
  </conditionalFormatting>
  <conditionalFormatting sqref="E32">
    <cfRule type="expression" dxfId="80" priority="81">
      <formula>$C32&gt;$E32</formula>
    </cfRule>
  </conditionalFormatting>
  <conditionalFormatting sqref="C33">
    <cfRule type="expression" dxfId="79" priority="80">
      <formula>$C33&gt;$E33</formula>
    </cfRule>
  </conditionalFormatting>
  <conditionalFormatting sqref="C33">
    <cfRule type="expression" dxfId="78" priority="79">
      <formula>$C33&lt;$E33</formula>
    </cfRule>
  </conditionalFormatting>
  <conditionalFormatting sqref="E33">
    <cfRule type="expression" dxfId="77" priority="78">
      <formula>$C33&lt;$E33</formula>
    </cfRule>
  </conditionalFormatting>
  <conditionalFormatting sqref="E33">
    <cfRule type="expression" dxfId="76" priority="77">
      <formula>$C33&gt;$E33</formula>
    </cfRule>
  </conditionalFormatting>
  <conditionalFormatting sqref="C34">
    <cfRule type="expression" dxfId="75" priority="76">
      <formula>$C34&gt;$E34</formula>
    </cfRule>
  </conditionalFormatting>
  <conditionalFormatting sqref="C34">
    <cfRule type="expression" dxfId="74" priority="75">
      <formula>$C34&lt;$E34</formula>
    </cfRule>
  </conditionalFormatting>
  <conditionalFormatting sqref="E34">
    <cfRule type="expression" dxfId="73" priority="74">
      <formula>$C34&lt;$E34</formula>
    </cfRule>
  </conditionalFormatting>
  <conditionalFormatting sqref="E34">
    <cfRule type="expression" dxfId="72" priority="73">
      <formula>$C34&gt;$E34</formula>
    </cfRule>
  </conditionalFormatting>
  <conditionalFormatting sqref="C35">
    <cfRule type="expression" dxfId="71" priority="72">
      <formula>$C35&gt;$E35</formula>
    </cfRule>
  </conditionalFormatting>
  <conditionalFormatting sqref="C35">
    <cfRule type="expression" dxfId="70" priority="71">
      <formula>$C35&lt;$E35</formula>
    </cfRule>
  </conditionalFormatting>
  <conditionalFormatting sqref="E35">
    <cfRule type="expression" dxfId="69" priority="70">
      <formula>$C35&lt;$E35</formula>
    </cfRule>
  </conditionalFormatting>
  <conditionalFormatting sqref="E35">
    <cfRule type="expression" dxfId="68" priority="69">
      <formula>$C35&gt;$E35</formula>
    </cfRule>
  </conditionalFormatting>
  <conditionalFormatting sqref="C36">
    <cfRule type="expression" dxfId="67" priority="68">
      <formula>$C36&gt;$E36</formula>
    </cfRule>
  </conditionalFormatting>
  <conditionalFormatting sqref="C36">
    <cfRule type="expression" dxfId="66" priority="67">
      <formula>$C36&lt;$E36</formula>
    </cfRule>
  </conditionalFormatting>
  <conditionalFormatting sqref="E36">
    <cfRule type="expression" dxfId="65" priority="66">
      <formula>$C36&lt;$E36</formula>
    </cfRule>
  </conditionalFormatting>
  <conditionalFormatting sqref="E36">
    <cfRule type="expression" dxfId="64" priority="65">
      <formula>$C36&gt;$E36</formula>
    </cfRule>
  </conditionalFormatting>
  <conditionalFormatting sqref="C38">
    <cfRule type="expression" dxfId="63" priority="64">
      <formula>$C38&gt;$E38</formula>
    </cfRule>
  </conditionalFormatting>
  <conditionalFormatting sqref="C38">
    <cfRule type="expression" dxfId="62" priority="63">
      <formula>$C38&lt;$E38</formula>
    </cfRule>
  </conditionalFormatting>
  <conditionalFormatting sqref="E38">
    <cfRule type="expression" dxfId="61" priority="62">
      <formula>$C38&lt;$E38</formula>
    </cfRule>
  </conditionalFormatting>
  <conditionalFormatting sqref="E38">
    <cfRule type="expression" dxfId="60" priority="61">
      <formula>$C38&gt;$E38</formula>
    </cfRule>
  </conditionalFormatting>
  <conditionalFormatting sqref="C39">
    <cfRule type="expression" dxfId="59" priority="60">
      <formula>$C39&gt;$E39</formula>
    </cfRule>
  </conditionalFormatting>
  <conditionalFormatting sqref="C39">
    <cfRule type="expression" dxfId="58" priority="59">
      <formula>$C39&lt;$E39</formula>
    </cfRule>
  </conditionalFormatting>
  <conditionalFormatting sqref="E39">
    <cfRule type="expression" dxfId="57" priority="58">
      <formula>$C39&lt;$E39</formula>
    </cfRule>
  </conditionalFormatting>
  <conditionalFormatting sqref="E39">
    <cfRule type="expression" dxfId="56" priority="57">
      <formula>$C39&gt;$E39</formula>
    </cfRule>
  </conditionalFormatting>
  <conditionalFormatting sqref="C40">
    <cfRule type="expression" dxfId="55" priority="56">
      <formula>$C40&gt;$E40</formula>
    </cfRule>
  </conditionalFormatting>
  <conditionalFormatting sqref="C40">
    <cfRule type="expression" dxfId="54" priority="55">
      <formula>$C40&lt;$E40</formula>
    </cfRule>
  </conditionalFormatting>
  <conditionalFormatting sqref="E40">
    <cfRule type="expression" dxfId="53" priority="54">
      <formula>$C40&lt;$E40</formula>
    </cfRule>
  </conditionalFormatting>
  <conditionalFormatting sqref="E40">
    <cfRule type="expression" dxfId="52" priority="53">
      <formula>$C40&gt;$E40</formula>
    </cfRule>
  </conditionalFormatting>
  <conditionalFormatting sqref="C41">
    <cfRule type="expression" dxfId="51" priority="52">
      <formula>$C41&gt;$E41</formula>
    </cfRule>
  </conditionalFormatting>
  <conditionalFormatting sqref="C41">
    <cfRule type="expression" dxfId="50" priority="51">
      <formula>$C41&lt;$E41</formula>
    </cfRule>
  </conditionalFormatting>
  <conditionalFormatting sqref="E41">
    <cfRule type="expression" dxfId="49" priority="50">
      <formula>$C41&lt;$E41</formula>
    </cfRule>
  </conditionalFormatting>
  <conditionalFormatting sqref="E41">
    <cfRule type="expression" dxfId="48" priority="49">
      <formula>$C41&gt;$E41</formula>
    </cfRule>
  </conditionalFormatting>
  <conditionalFormatting sqref="C42">
    <cfRule type="expression" dxfId="47" priority="48">
      <formula>$C42&gt;$E42</formula>
    </cfRule>
  </conditionalFormatting>
  <conditionalFormatting sqref="C42">
    <cfRule type="expression" dxfId="46" priority="47">
      <formula>$C42&lt;$E42</formula>
    </cfRule>
  </conditionalFormatting>
  <conditionalFormatting sqref="E42">
    <cfRule type="expression" dxfId="45" priority="46">
      <formula>$C42&lt;$E42</formula>
    </cfRule>
  </conditionalFormatting>
  <conditionalFormatting sqref="E42">
    <cfRule type="expression" dxfId="44" priority="45">
      <formula>$C42&gt;$E42</formula>
    </cfRule>
  </conditionalFormatting>
  <conditionalFormatting sqref="C43">
    <cfRule type="expression" dxfId="43" priority="44">
      <formula>$C43&gt;$E43</formula>
    </cfRule>
  </conditionalFormatting>
  <conditionalFormatting sqref="C43">
    <cfRule type="expression" dxfId="42" priority="43">
      <formula>$C43&lt;$E43</formula>
    </cfRule>
  </conditionalFormatting>
  <conditionalFormatting sqref="E43">
    <cfRule type="expression" dxfId="41" priority="42">
      <formula>$C43&lt;$E43</formula>
    </cfRule>
  </conditionalFormatting>
  <conditionalFormatting sqref="E43">
    <cfRule type="expression" dxfId="40" priority="41">
      <formula>$C43&gt;$E43</formula>
    </cfRule>
  </conditionalFormatting>
  <conditionalFormatting sqref="C44">
    <cfRule type="expression" dxfId="39" priority="40">
      <formula>$C44&gt;$E44</formula>
    </cfRule>
  </conditionalFormatting>
  <conditionalFormatting sqref="C44">
    <cfRule type="expression" dxfId="38" priority="39">
      <formula>$C44&lt;$E44</formula>
    </cfRule>
  </conditionalFormatting>
  <conditionalFormatting sqref="E44">
    <cfRule type="expression" dxfId="37" priority="38">
      <formula>$C44&lt;$E44</formula>
    </cfRule>
  </conditionalFormatting>
  <conditionalFormatting sqref="E44">
    <cfRule type="expression" dxfId="36" priority="37">
      <formula>$C44&gt;$E44</formula>
    </cfRule>
  </conditionalFormatting>
  <conditionalFormatting sqref="C45">
    <cfRule type="expression" dxfId="35" priority="36">
      <formula>$C45&gt;$E45</formula>
    </cfRule>
  </conditionalFormatting>
  <conditionalFormatting sqref="C45">
    <cfRule type="expression" dxfId="34" priority="35">
      <formula>$C45&lt;$E45</formula>
    </cfRule>
  </conditionalFormatting>
  <conditionalFormatting sqref="E45">
    <cfRule type="expression" dxfId="33" priority="34">
      <formula>$C45&lt;$E45</formula>
    </cfRule>
  </conditionalFormatting>
  <conditionalFormatting sqref="E45">
    <cfRule type="expression" dxfId="32" priority="33">
      <formula>$C45&gt;$E45</formula>
    </cfRule>
  </conditionalFormatting>
  <conditionalFormatting sqref="C47">
    <cfRule type="expression" dxfId="31" priority="32">
      <formula>$C47&gt;$E47</formula>
    </cfRule>
  </conditionalFormatting>
  <conditionalFormatting sqref="C47">
    <cfRule type="expression" dxfId="30" priority="31">
      <formula>$C47&lt;$E47</formula>
    </cfRule>
  </conditionalFormatting>
  <conditionalFormatting sqref="E47">
    <cfRule type="expression" dxfId="29" priority="30">
      <formula>$C47&lt;$E47</formula>
    </cfRule>
  </conditionalFormatting>
  <conditionalFormatting sqref="E47">
    <cfRule type="expression" dxfId="28" priority="29">
      <formula>$C47&gt;$E47</formula>
    </cfRule>
  </conditionalFormatting>
  <conditionalFormatting sqref="C48">
    <cfRule type="expression" dxfId="27" priority="28">
      <formula>$C48&gt;$E48</formula>
    </cfRule>
  </conditionalFormatting>
  <conditionalFormatting sqref="C48">
    <cfRule type="expression" dxfId="26" priority="27">
      <formula>$C48&lt;$E48</formula>
    </cfRule>
  </conditionalFormatting>
  <conditionalFormatting sqref="E48">
    <cfRule type="expression" dxfId="25" priority="26">
      <formula>$C48&lt;$E48</formula>
    </cfRule>
  </conditionalFormatting>
  <conditionalFormatting sqref="E48">
    <cfRule type="expression" dxfId="24" priority="25">
      <formula>$C48&gt;$E48</formula>
    </cfRule>
  </conditionalFormatting>
  <conditionalFormatting sqref="C49">
    <cfRule type="expression" dxfId="23" priority="24">
      <formula>$C49&gt;$E49</formula>
    </cfRule>
  </conditionalFormatting>
  <conditionalFormatting sqref="C49">
    <cfRule type="expression" dxfId="22" priority="23">
      <formula>$C49&lt;$E49</formula>
    </cfRule>
  </conditionalFormatting>
  <conditionalFormatting sqref="E49">
    <cfRule type="expression" dxfId="21" priority="22">
      <formula>$C49&lt;$E49</formula>
    </cfRule>
  </conditionalFormatting>
  <conditionalFormatting sqref="E49">
    <cfRule type="expression" dxfId="20" priority="21">
      <formula>$C49&gt;$E49</formula>
    </cfRule>
  </conditionalFormatting>
  <conditionalFormatting sqref="C50">
    <cfRule type="expression" dxfId="19" priority="20">
      <formula>$C50&gt;$E50</formula>
    </cfRule>
  </conditionalFormatting>
  <conditionalFormatting sqref="C50">
    <cfRule type="expression" dxfId="18" priority="19">
      <formula>$C50&lt;$E50</formula>
    </cfRule>
  </conditionalFormatting>
  <conditionalFormatting sqref="E50">
    <cfRule type="expression" dxfId="17" priority="18">
      <formula>$C50&lt;$E50</formula>
    </cfRule>
  </conditionalFormatting>
  <conditionalFormatting sqref="E50">
    <cfRule type="expression" dxfId="16" priority="17">
      <formula>$C50&gt;$E50</formula>
    </cfRule>
  </conditionalFormatting>
  <conditionalFormatting sqref="C51">
    <cfRule type="expression" dxfId="15" priority="16">
      <formula>$C51&gt;$E51</formula>
    </cfRule>
  </conditionalFormatting>
  <conditionalFormatting sqref="C51">
    <cfRule type="expression" dxfId="14" priority="15">
      <formula>$C51&lt;$E51</formula>
    </cfRule>
  </conditionalFormatting>
  <conditionalFormatting sqref="E51">
    <cfRule type="expression" dxfId="13" priority="14">
      <formula>$C51&lt;$E51</formula>
    </cfRule>
  </conditionalFormatting>
  <conditionalFormatting sqref="E51">
    <cfRule type="expression" dxfId="12" priority="13">
      <formula>$C51&gt;$E51</formula>
    </cfRule>
  </conditionalFormatting>
  <conditionalFormatting sqref="C52">
    <cfRule type="expression" dxfId="11" priority="12">
      <formula>$C52&gt;$E52</formula>
    </cfRule>
  </conditionalFormatting>
  <conditionalFormatting sqref="C52">
    <cfRule type="expression" dxfId="10" priority="11">
      <formula>$C52&lt;$E52</formula>
    </cfRule>
  </conditionalFormatting>
  <conditionalFormatting sqref="E52">
    <cfRule type="expression" dxfId="9" priority="10">
      <formula>$C52&lt;$E52</formula>
    </cfRule>
  </conditionalFormatting>
  <conditionalFormatting sqref="E52">
    <cfRule type="expression" dxfId="8" priority="9">
      <formula>$C52&gt;$E52</formula>
    </cfRule>
  </conditionalFormatting>
  <conditionalFormatting sqref="C53">
    <cfRule type="expression" dxfId="7" priority="8">
      <formula>$C53&gt;$E53</formula>
    </cfRule>
  </conditionalFormatting>
  <conditionalFormatting sqref="C53">
    <cfRule type="expression" dxfId="6" priority="7">
      <formula>$C53&lt;$E53</formula>
    </cfRule>
  </conditionalFormatting>
  <conditionalFormatting sqref="E53">
    <cfRule type="expression" dxfId="5" priority="6">
      <formula>$C53&lt;$E53</formula>
    </cfRule>
  </conditionalFormatting>
  <conditionalFormatting sqref="E53">
    <cfRule type="expression" dxfId="4" priority="5">
      <formula>$C53&gt;$E53</formula>
    </cfRule>
  </conditionalFormatting>
  <conditionalFormatting sqref="C54">
    <cfRule type="expression" dxfId="3" priority="4">
      <formula>$C54&gt;$E54</formula>
    </cfRule>
  </conditionalFormatting>
  <conditionalFormatting sqref="C54">
    <cfRule type="expression" dxfId="2" priority="3">
      <formula>$C54&lt;$E54</formula>
    </cfRule>
  </conditionalFormatting>
  <conditionalFormatting sqref="E54">
    <cfRule type="expression" dxfId="1" priority="2">
      <formula>$C54&lt;$E54</formula>
    </cfRule>
  </conditionalFormatting>
  <conditionalFormatting sqref="E54">
    <cfRule type="expression" dxfId="0" priority="1">
      <formula>$C54&gt;$E54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3117461C-7F40-4515-B4E0-A1F86774419D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6" r:id="rId4" name="C4PPMatchph">
              <controlPr defaultSize="0" print="0" autoFill="0" autoPict="0" macro="[0]!'copyimage &quot;A2:F54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7" r:id="rId5" name="C4IMPMatch">
              <controlPr defaultSize="0" print="0" autoFill="0" autoPict="0" macro="[0]!'copyimprimer &quot;FINAL_MATCHS&quot;,&quot;B1:F54&quot;'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CD538-3810-489D-ABD8-4BEB4361EBBC}">
  <sheetPr codeName="Feuil67"/>
  <dimension ref="A2:L18"/>
  <sheetViews>
    <sheetView workbookViewId="0"/>
  </sheetViews>
  <sheetFormatPr baseColWidth="10" defaultRowHeight="15" x14ac:dyDescent="0.25"/>
  <cols>
    <col min="1" max="1" width="30.7109375" style="114" customWidth="1"/>
    <col min="2" max="2" width="6.7109375" style="114" customWidth="1"/>
    <col min="3" max="16384" width="11.42578125" style="114"/>
  </cols>
  <sheetData>
    <row r="2" spans="1:12" ht="15.75" thickBot="1" x14ac:dyDescent="0.3">
      <c r="A2" s="114" t="s">
        <v>226</v>
      </c>
    </row>
    <row r="3" spans="1:12" x14ac:dyDescent="0.25">
      <c r="A3" s="115" t="str">
        <f>IF(OR(PHASE_FINALE_DM!O8="",PHASE_FINALE_DM!O9=""),"",IF(PHASE_FINALE_DM!O8&gt;PHASE_FINALE_DM!O9,PHASE_FINALE_DM!N8,PHASE_FINALE_DM!N9))</f>
        <v/>
      </c>
      <c r="B3" s="116">
        <v>1</v>
      </c>
    </row>
    <row r="4" spans="1:12" x14ac:dyDescent="0.25">
      <c r="A4" s="127" t="str">
        <f>IF(OR(PHASE_FINALE_DM!O8="",PHASE_FINALE_DM!O9=""),"",IF(PHASE_FINALE_DM!O8&lt;PHASE_FINALE_DM!O9,PHASE_FINALE_DM!N8,PHASE_FINALE_DM!N9))</f>
        <v/>
      </c>
      <c r="B4" s="128">
        <v>2</v>
      </c>
    </row>
    <row r="5" spans="1:12" x14ac:dyDescent="0.25">
      <c r="A5" s="127" t="str">
        <f>IF(OR(PHASE_FINALE_DM!O12="",PHASE_FINALE_DM!O13=""),"",IF(PHASE_FINALE_DM!O12&gt;PHASE_FINALE_DM!O13,PHASE_FINALE_DM!N12,PHASE_FINALE_DM!N13))</f>
        <v/>
      </c>
      <c r="B5" s="128">
        <v>3</v>
      </c>
    </row>
    <row r="6" spans="1:12" x14ac:dyDescent="0.25">
      <c r="A6" s="127" t="str">
        <f>IF(OR(PHASE_FINALE_DM!O12="",PHASE_FINALE_DM!O13=""),"",IF(PHASE_FINALE_DM!O12&lt;PHASE_FINALE_DM!O13,PHASE_FINALE_DM!N12,PHASE_FINALE_DM!N13))</f>
        <v/>
      </c>
      <c r="B6" s="128">
        <v>4</v>
      </c>
    </row>
    <row r="7" spans="1:12" x14ac:dyDescent="0.25">
      <c r="A7" s="127" t="str">
        <f>IF(OR(PHASE_FINALE_DM!B8="",PHASE_FINALE_DM!B9=""),"",IF(PHASE_FINALE_DM!B8&gt;PHASE_FINALE_DM!B9,PHASE_FINALE_DM!C8,PHASE_FINALE_DM!C9))</f>
        <v/>
      </c>
      <c r="B7" s="128">
        <v>5</v>
      </c>
      <c r="D7" s="255"/>
      <c r="E7" s="255"/>
      <c r="F7" s="255"/>
      <c r="G7" s="260" t="str">
        <f>A3</f>
        <v/>
      </c>
      <c r="H7" s="260"/>
      <c r="I7" s="260"/>
      <c r="J7" s="255"/>
      <c r="K7" s="255"/>
      <c r="L7" s="255"/>
    </row>
    <row r="8" spans="1:12" x14ac:dyDescent="0.25">
      <c r="A8" s="127" t="str">
        <f>IF(OR(PHASE_FINALE_DM!B8="",PHASE_FINALE_DM!B9=""),"",IF(PHASE_FINALE_DM!B8&lt;PHASE_FINALE_DM!B9,PHASE_FINALE_DM!C8,PHASE_FINALE_DM!C9))</f>
        <v/>
      </c>
      <c r="B8" s="128">
        <v>6</v>
      </c>
      <c r="D8" s="260" t="str">
        <f>A4</f>
        <v/>
      </c>
      <c r="E8" s="260"/>
      <c r="F8" s="260"/>
      <c r="G8" s="247"/>
      <c r="H8" s="247"/>
      <c r="I8" s="247"/>
      <c r="J8" s="255"/>
      <c r="K8" s="255"/>
      <c r="L8" s="255"/>
    </row>
    <row r="9" spans="1:12" x14ac:dyDescent="0.25">
      <c r="A9" s="127" t="str">
        <f>IF(OR(PHASE_FINALE_DM!B12="",PHASE_FINALE_DM!B13=""),"",IF(PHASE_FINALE_DM!B12&gt;PHASE_FINALE_DM!B13,PHASE_FINALE_DM!C12,PHASE_FINALE_DM!C13))</f>
        <v/>
      </c>
      <c r="B9" s="128">
        <v>7</v>
      </c>
      <c r="D9" s="247"/>
      <c r="E9" s="247"/>
      <c r="F9" s="247"/>
      <c r="G9" s="130"/>
      <c r="H9" s="256"/>
      <c r="I9" s="256"/>
      <c r="J9" s="245" t="str">
        <f>A5</f>
        <v/>
      </c>
      <c r="K9" s="260"/>
      <c r="L9" s="260"/>
    </row>
    <row r="10" spans="1:12" x14ac:dyDescent="0.25">
      <c r="A10" s="127" t="str">
        <f>IF(OR(PHASE_FINALE_DM!B12="",PHASE_FINALE_DM!B13=""),"",IF(PHASE_FINALE_DM!B12&lt;PHASE_FINALE_DM!B13,PHASE_FINALE_DM!C12,PHASE_FINALE_DM!C13))</f>
        <v/>
      </c>
      <c r="B10" s="128">
        <v>8</v>
      </c>
      <c r="D10" s="256"/>
      <c r="E10" s="256"/>
      <c r="F10" s="256"/>
      <c r="G10" s="256"/>
      <c r="H10" s="257">
        <v>1</v>
      </c>
      <c r="I10" s="256"/>
      <c r="J10" s="246"/>
      <c r="K10" s="247"/>
      <c r="L10" s="247"/>
    </row>
    <row r="11" spans="1:12" x14ac:dyDescent="0.25">
      <c r="A11" s="127" t="str">
        <f>IF(OR(PHASE_FINALE_DM!O25="",PHASE_FINALE_DM!O26=""),"",IF(PHASE_FINALE_DM!O25&gt;PHASE_FINALE_DM!O26,PHASE_FINALE_DM!N25,PHASE_FINALE_DM!N26))</f>
        <v/>
      </c>
      <c r="B11" s="128">
        <v>9</v>
      </c>
      <c r="D11" s="256"/>
      <c r="E11" s="258">
        <v>2</v>
      </c>
      <c r="F11" s="256"/>
      <c r="G11" s="256"/>
      <c r="H11" s="257"/>
      <c r="I11" s="256"/>
      <c r="J11" s="256"/>
      <c r="K11" s="259">
        <v>3</v>
      </c>
      <c r="L11" s="256"/>
    </row>
    <row r="12" spans="1:12" x14ac:dyDescent="0.25">
      <c r="A12" s="127" t="str">
        <f>IF(OR(PHASE_FINALE_DM!O25="",PHASE_FINALE_DM!O26=""),"",IF(PHASE_FINALE_DM!O25&lt;PHASE_FINALE_DM!O26,PHASE_FINALE_DM!N25,PHASE_FINALE_DM!N26))</f>
        <v/>
      </c>
      <c r="B12" s="128">
        <v>10</v>
      </c>
      <c r="D12" s="129"/>
      <c r="E12" s="243"/>
      <c r="F12" s="129"/>
      <c r="G12" s="129"/>
      <c r="H12" s="129"/>
      <c r="I12" s="129"/>
      <c r="J12" s="129"/>
      <c r="K12" s="244"/>
      <c r="L12" s="129"/>
    </row>
    <row r="13" spans="1:12" x14ac:dyDescent="0.25">
      <c r="A13" s="127" t="str">
        <f>IF(OR(PHASE_FINALE_DM!O29="",PHASE_FINALE_DM!O30=""),"",IF(PHASE_FINALE_DM!O29&gt;PHASE_FINALE_DM!O30,PHASE_FINALE_DM!N29,PHASE_FINALE_DM!N30))</f>
        <v/>
      </c>
      <c r="B13" s="128">
        <v>11</v>
      </c>
    </row>
    <row r="14" spans="1:12" x14ac:dyDescent="0.25">
      <c r="A14" s="127" t="str">
        <f>IF(OR(PHASE_FINALE_DM!O29="",PHASE_FINALE_DM!O30=""),"",IF(PHASE_FINALE_DM!O29&lt;PHASE_FINALE_DM!O30,PHASE_FINALE_DM!N29,PHASE_FINALE_DM!N30))</f>
        <v/>
      </c>
      <c r="B14" s="128">
        <v>12</v>
      </c>
    </row>
    <row r="15" spans="1:12" x14ac:dyDescent="0.25">
      <c r="A15" s="127" t="str">
        <f>IF(OR(PHASE_FINALE_DM!B25="",PHASE_FINALE_DM!B26=""),"",IF(PHASE_FINALE_DM!B25&gt;PHASE_FINALE_DM!B26,PHASE_FINALE_DM!C25,PHASE_FINALE_DM!C26))</f>
        <v/>
      </c>
      <c r="B15" s="128">
        <v>13</v>
      </c>
    </row>
    <row r="16" spans="1:12" x14ac:dyDescent="0.25">
      <c r="A16" s="127" t="str">
        <f>IF(OR(PHASE_FINALE_DM!B25="",PHASE_FINALE_DM!B26=""),"",IF(PHASE_FINALE_DM!B25&lt;PHASE_FINALE_DM!B26,PHASE_FINALE_DM!C25,PHASE_FINALE_DM!C26))</f>
        <v/>
      </c>
      <c r="B16" s="128">
        <v>14</v>
      </c>
    </row>
    <row r="17" spans="1:2" x14ac:dyDescent="0.25">
      <c r="A17" s="127" t="str">
        <f>IF(OR(PHASE_FINALE_DM!B29="",PHASE_FINALE_DM!B30=""),"",IF(PHASE_FINALE_DM!B29&gt;PHASE_FINALE_DM!B30,PHASE_FINALE_DM!C29,PHASE_FINALE_DM!C30))</f>
        <v/>
      </c>
      <c r="B17" s="128">
        <v>15</v>
      </c>
    </row>
    <row r="18" spans="1:2" ht="15.75" thickBot="1" x14ac:dyDescent="0.3">
      <c r="A18" s="117" t="str">
        <f>IF(OR(PHASE_FINALE_DM!B29="",PHASE_FINALE_DM!B30=""),"",IF(PHASE_FINALE_DM!B29&lt;PHASE_FINALE_DM!B30,PHASE_FINALE_DM!C29,PHASE_FINALE_DM!C30))</f>
        <v/>
      </c>
      <c r="B18" s="118">
        <v>16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29" r:id="rId3" name="C4PPphfinalh">
              <controlPr defaultSize="0" print="0" autoFill="0" autoPict="0" macro="[0]!'copyimage &quot;A2:L3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4630C-52ED-4786-BE5C-D69E1197C71D}">
  <sheetPr codeName="Feuil68"/>
  <dimension ref="A2:L18"/>
  <sheetViews>
    <sheetView workbookViewId="0"/>
  </sheetViews>
  <sheetFormatPr baseColWidth="10" defaultRowHeight="15" x14ac:dyDescent="0.25"/>
  <cols>
    <col min="1" max="1" width="30.7109375" style="114" customWidth="1"/>
    <col min="2" max="2" width="6.7109375" style="114" customWidth="1"/>
    <col min="3" max="16384" width="11.42578125" style="114"/>
  </cols>
  <sheetData>
    <row r="2" spans="1:12" ht="15.75" thickBot="1" x14ac:dyDescent="0.3">
      <c r="A2" s="114" t="s">
        <v>227</v>
      </c>
    </row>
    <row r="3" spans="1:12" x14ac:dyDescent="0.25">
      <c r="A3" s="115" t="str">
        <f>IF(OR(PHASE_FINALE_DH!O8="",PHASE_FINALE_DH!O9=""),"",IF(PHASE_FINALE_DH!O8&gt;PHASE_FINALE_DH!O9,PHASE_FINALE_DH!N8,PHASE_FINALE_DH!N9))</f>
        <v/>
      </c>
      <c r="B3" s="116">
        <v>1</v>
      </c>
    </row>
    <row r="4" spans="1:12" x14ac:dyDescent="0.25">
      <c r="A4" s="127" t="str">
        <f>IF(OR(PHASE_FINALE_DH!O8="",PHASE_FINALE_DH!O9=""),"",IF(PHASE_FINALE_DH!O8&lt;PHASE_FINALE_DH!O9,PHASE_FINALE_DH!N8,PHASE_FINALE_DH!N9))</f>
        <v/>
      </c>
      <c r="B4" s="128">
        <v>2</v>
      </c>
    </row>
    <row r="5" spans="1:12" x14ac:dyDescent="0.25">
      <c r="A5" s="127" t="str">
        <f>IF(OR(PHASE_FINALE_DH!O12="",PHASE_FINALE_DH!O13=""),"",IF(PHASE_FINALE_DH!O12&gt;PHASE_FINALE_DH!O13,PHASE_FINALE_DH!N12,PHASE_FINALE_DH!N13))</f>
        <v/>
      </c>
      <c r="B5" s="128">
        <v>3</v>
      </c>
    </row>
    <row r="6" spans="1:12" x14ac:dyDescent="0.25">
      <c r="A6" s="127" t="str">
        <f>IF(OR(PHASE_FINALE_DH!O12="",PHASE_FINALE_DH!O13=""),"",IF(PHASE_FINALE_DH!O12&lt;PHASE_FINALE_DH!O13,PHASE_FINALE_DH!N12,PHASE_FINALE_DH!N13))</f>
        <v/>
      </c>
      <c r="B6" s="128">
        <v>4</v>
      </c>
    </row>
    <row r="7" spans="1:12" x14ac:dyDescent="0.25">
      <c r="A7" s="127" t="str">
        <f>IF(OR(PHASE_FINALE_DH!B8="",PHASE_FINALE_DH!B9=""),"",IF(PHASE_FINALE_DH!B8&gt;PHASE_FINALE_DH!B9,PHASE_FINALE_DH!C8,PHASE_FINALE_DH!C9))</f>
        <v/>
      </c>
      <c r="B7" s="128">
        <v>5</v>
      </c>
      <c r="D7" s="255"/>
      <c r="E7" s="255"/>
      <c r="F7" s="255"/>
      <c r="G7" s="260" t="str">
        <f>A3</f>
        <v/>
      </c>
      <c r="H7" s="260"/>
      <c r="I7" s="260"/>
      <c r="J7" s="255"/>
      <c r="K7" s="255"/>
      <c r="L7" s="255"/>
    </row>
    <row r="8" spans="1:12" x14ac:dyDescent="0.25">
      <c r="A8" s="127" t="str">
        <f>IF(OR(PHASE_FINALE_DH!B8="",PHASE_FINALE_DH!B9=""),"",IF(PHASE_FINALE_DH!B8&lt;PHASE_FINALE_DH!B9,PHASE_FINALE_DH!C8,PHASE_FINALE_DH!C9))</f>
        <v/>
      </c>
      <c r="B8" s="128">
        <v>6</v>
      </c>
      <c r="D8" s="260" t="str">
        <f>A4</f>
        <v/>
      </c>
      <c r="E8" s="260"/>
      <c r="F8" s="260"/>
      <c r="G8" s="247"/>
      <c r="H8" s="247"/>
      <c r="I8" s="247"/>
      <c r="J8" s="255"/>
      <c r="K8" s="255"/>
      <c r="L8" s="255"/>
    </row>
    <row r="9" spans="1:12" x14ac:dyDescent="0.25">
      <c r="A9" s="127" t="str">
        <f>IF(OR(PHASE_FINALE_DH!B12="",PHASE_FINALE_DH!B13=""),"",IF(PHASE_FINALE_DH!B12&gt;PHASE_FINALE_DH!B13,PHASE_FINALE_DH!C12,PHASE_FINALE_DH!C13))</f>
        <v/>
      </c>
      <c r="B9" s="128">
        <v>7</v>
      </c>
      <c r="D9" s="247"/>
      <c r="E9" s="247"/>
      <c r="F9" s="247"/>
      <c r="G9" s="130"/>
      <c r="H9" s="256"/>
      <c r="I9" s="256"/>
      <c r="J9" s="245" t="str">
        <f>A5</f>
        <v/>
      </c>
      <c r="K9" s="260"/>
      <c r="L9" s="260"/>
    </row>
    <row r="10" spans="1:12" x14ac:dyDescent="0.25">
      <c r="A10" s="127" t="str">
        <f>IF(OR(PHASE_FINALE_DH!B12="",PHASE_FINALE_DH!B13=""),"",IF(PHASE_FINALE_DH!B12&lt;PHASE_FINALE_DH!B13,PHASE_FINALE_DH!C12,PHASE_FINALE_DH!C13))</f>
        <v/>
      </c>
      <c r="B10" s="128">
        <v>8</v>
      </c>
      <c r="D10" s="256"/>
      <c r="E10" s="256"/>
      <c r="F10" s="256"/>
      <c r="G10" s="256"/>
      <c r="H10" s="257">
        <v>1</v>
      </c>
      <c r="I10" s="256"/>
      <c r="J10" s="246"/>
      <c r="K10" s="247"/>
      <c r="L10" s="247"/>
    </row>
    <row r="11" spans="1:12" x14ac:dyDescent="0.25">
      <c r="A11" s="127" t="str">
        <f>IF(OR(PHASE_FINALE_DH!O25="",PHASE_FINALE_DH!O26=""),"",IF(PHASE_FINALE_DH!O25&gt;PHASE_FINALE_DH!O26,PHASE_FINALE_DH!N25,PHASE_FINALE_DH!N26))</f>
        <v/>
      </c>
      <c r="B11" s="128">
        <v>9</v>
      </c>
      <c r="D11" s="256"/>
      <c r="E11" s="258">
        <v>2</v>
      </c>
      <c r="F11" s="256"/>
      <c r="G11" s="256"/>
      <c r="H11" s="257"/>
      <c r="I11" s="256"/>
      <c r="J11" s="256"/>
      <c r="K11" s="259">
        <v>3</v>
      </c>
      <c r="L11" s="256"/>
    </row>
    <row r="12" spans="1:12" x14ac:dyDescent="0.25">
      <c r="A12" s="127" t="str">
        <f>IF(OR(PHASE_FINALE_DH!O25="",PHASE_FINALE_DH!O26=""),"",IF(PHASE_FINALE_DH!O25&lt;PHASE_FINALE_DH!O26,PHASE_FINALE_DH!N25,PHASE_FINALE_DH!N26))</f>
        <v/>
      </c>
      <c r="B12" s="128">
        <v>10</v>
      </c>
      <c r="D12" s="129"/>
      <c r="E12" s="243"/>
      <c r="F12" s="129"/>
      <c r="G12" s="129"/>
      <c r="H12" s="129"/>
      <c r="I12" s="129"/>
      <c r="J12" s="129"/>
      <c r="K12" s="244"/>
      <c r="L12" s="129"/>
    </row>
    <row r="13" spans="1:12" x14ac:dyDescent="0.25">
      <c r="A13" s="127" t="str">
        <f>IF(OR(PHASE_FINALE_DH!O29="",PHASE_FINALE_DH!O30=""),"",IF(PHASE_FINALE_DH!O29&gt;PHASE_FINALE_DH!O30,PHASE_FINALE_DH!N29,PHASE_FINALE_DH!N30))</f>
        <v/>
      </c>
      <c r="B13" s="128">
        <v>11</v>
      </c>
    </row>
    <row r="14" spans="1:12" x14ac:dyDescent="0.25">
      <c r="A14" s="127" t="str">
        <f>IF(OR(PHASE_FINALE_DH!O29="",PHASE_FINALE_DH!O30=""),"",IF(PHASE_FINALE_DH!O29&lt;PHASE_FINALE_DH!O30,PHASE_FINALE_DH!N29,PHASE_FINALE_DH!N30))</f>
        <v/>
      </c>
      <c r="B14" s="128">
        <v>12</v>
      </c>
    </row>
    <row r="15" spans="1:12" x14ac:dyDescent="0.25">
      <c r="A15" s="127" t="str">
        <f>IF(OR(PHASE_FINALE_DH!B25="",PHASE_FINALE_DH!B26=""),"",IF(PHASE_FINALE_DH!B25&gt;PHASE_FINALE_DH!B26,PHASE_FINALE_DH!C25,PHASE_FINALE_DH!C26))</f>
        <v/>
      </c>
      <c r="B15" s="128">
        <v>13</v>
      </c>
    </row>
    <row r="16" spans="1:12" x14ac:dyDescent="0.25">
      <c r="A16" s="127" t="str">
        <f>IF(OR(PHASE_FINALE_DH!B25="",PHASE_FINALE_DH!B26=""),"",IF(PHASE_FINALE_DH!B25&lt;PHASE_FINALE_DH!B26,PHASE_FINALE_DH!C25,PHASE_FINALE_DH!C26))</f>
        <v/>
      </c>
      <c r="B16" s="128">
        <v>14</v>
      </c>
    </row>
    <row r="17" spans="1:2" x14ac:dyDescent="0.25">
      <c r="A17" s="127" t="str">
        <f>IF(OR(PHASE_FINALE_DH!B29="",PHASE_FINALE_DH!B30=""),"",IF(PHASE_FINALE_DH!B29&gt;PHASE_FINALE_DH!B30,PHASE_FINALE_DH!C29,PHASE_FINALE_DH!C30))</f>
        <v/>
      </c>
      <c r="B17" s="128">
        <v>15</v>
      </c>
    </row>
    <row r="18" spans="1:2" ht="15.75" thickBot="1" x14ac:dyDescent="0.3">
      <c r="A18" s="117" t="str">
        <f>IF(OR(PHASE_FINALE_DH!B29="",PHASE_FINALE_DH!B30=""),"",IF(PHASE_FINALE_DH!B29&lt;PHASE_FINALE_DH!B30,PHASE_FINALE_DH!C29,PHASE_FINALE_DH!C30))</f>
        <v/>
      </c>
      <c r="B18" s="118">
        <v>16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3" name="C4PPphfinalh">
              <controlPr defaultSize="0" print="0" autoFill="0" autoPict="0" macro="[0]!'copyimage &quot;A2:L3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</vt:i4>
      </vt:variant>
    </vt:vector>
  </HeadingPairs>
  <TitlesOfParts>
    <vt:vector size="14" baseType="lpstr">
      <vt:lpstr>Accueil</vt:lpstr>
      <vt:lpstr>Parametres</vt:lpstr>
      <vt:lpstr>NOTES</vt:lpstr>
      <vt:lpstr>TEMPLATE</vt:lpstr>
      <vt:lpstr>FEUILLE_DE_SCORE</vt:lpstr>
      <vt:lpstr>INSCRITS</vt:lpstr>
      <vt:lpstr>MATCHS</vt:lpstr>
      <vt:lpstr>CLASSEMENTS</vt:lpstr>
      <vt:lpstr>PHASE_FINALE_DM</vt:lpstr>
      <vt:lpstr>PHASE_FINALE_DH</vt:lpstr>
      <vt:lpstr>FINAL_MATCHS</vt:lpstr>
      <vt:lpstr>PLACE_FINALE_DM</vt:lpstr>
      <vt:lpstr>PLACE_FINALE_DH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2024-10-27T19:26:28Z</dcterms:modified>
</cp:coreProperties>
</file>