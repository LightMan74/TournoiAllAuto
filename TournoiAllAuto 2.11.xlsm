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F343FC11-95E8-4CB7-8738-B7EB1BB11F96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5" i="1"/>
  <c r="A34" i="1"/>
  <c r="B30" i="1" a="1"/>
  <c r="B30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<sst xmlns="http://schemas.openxmlformats.org/spreadsheetml/2006/main" count="2659" uniqueCount="70">
  <si>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</si>
  <si>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</si>
  <si>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</si>
  <si>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</si>
  <si>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</si>
  <si>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</si>
  <si>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</si>
  <si>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</si>
  <si>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</si>
  <si>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</si>
  <si>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</si>
  <si>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</si>
  <si>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</si>
  <si>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</si>
  <si>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</si>
  <si>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</si>
  <si>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</si>
  <si>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</si>
  <si>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</si>
  <si>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</si>
  <si>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</si>
  <si>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</si>
  <si>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</si>
  <si>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</si>
  <si>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</si>
  <si>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</si>
  <si>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</si>
  <si>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</si>
  <si>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</si>
  <si>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</si>
  <si>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</si>
  <si>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</si>
  <si>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</si>
  <si>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</si>
  <si>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</si>
  <si>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</si>
  <si>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</si>
  <si>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</si>
  <si>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</si>
  <si>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</si>
  <si>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</si>
  <si>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</si>
  <si>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</si>
  <si>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</si>
  <si>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</si>
  <si>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</si>
  <si>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</si>
  <si>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4A</t>
  </si>
  <si>
    <t>5A</t>
  </si>
  <si>
    <t>1B</t>
  </si>
  <si>
    <t>2B</t>
  </si>
  <si>
    <t>3B</t>
  </si>
  <si>
    <t>4B</t>
  </si>
  <si>
    <t>5B</t>
  </si>
  <si>
    <t>HC</t>
  </si>
  <si>
    <t>HI</t>
  </si>
  <si>
    <t>DCI</t>
  </si>
  <si>
    <t>DL</t>
  </si>
  <si>
    <t>Fin de Poule</t>
  </si>
  <si>
    <t>Debut PhaseFinal</t>
  </si>
  <si>
    <t>Fin</t>
  </si>
  <si>
    <t>Ordre Ph</t>
  </si>
  <si>
    <t>Libre</t>
  </si>
  <si>
    <t>Nombres de Terrain PH</t>
  </si>
  <si>
    <t>Nombres de Terrain Poule</t>
  </si>
  <si>
    <t>6A</t>
  </si>
  <si>
    <t>7A</t>
  </si>
  <si>
    <t>6B</t>
  </si>
  <si>
    <t>7B</t>
  </si>
  <si>
    <t>Version 2.11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</si>
</sst>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71" t="s">
        <v>21</v>
      </c>
      <c r="B1" s="72"/>
      <c r="C1" s="72"/>
      <c r="D1" s="72"/>
      <c r="E1" s="72"/>
      <c r="F1" s="72"/>
      <c r="G1" s="72"/>
      <c r="H1" s="72"/>
      <c r="I1" s="72"/>
      <c r="J1" s="72"/>
      <c r="K1" s="73"/>
    </row>
    <row r="2" spans="1:11" ht="15" customHeight="1" x14ac:dyDescent="0.25">
      <c r="A2" s="74"/>
      <c r="B2" s="75"/>
      <c r="C2" s="75"/>
      <c r="D2" s="75"/>
      <c r="E2" s="75"/>
      <c r="F2" s="75"/>
      <c r="G2" s="75"/>
      <c r="H2" s="75"/>
      <c r="I2" s="75"/>
      <c r="J2" s="75"/>
      <c r="K2" s="76"/>
    </row>
    <row r="3" spans="1:11" ht="15" customHeight="1" x14ac:dyDescent="0.25">
      <c r="A3" s="74"/>
      <c r="B3" s="75"/>
      <c r="C3" s="75"/>
      <c r="D3" s="75"/>
      <c r="E3" s="75"/>
      <c r="F3" s="75"/>
      <c r="G3" s="75"/>
      <c r="H3" s="75"/>
      <c r="I3" s="75"/>
      <c r="J3" s="75"/>
      <c r="K3" s="76"/>
    </row>
    <row r="4" spans="1:11" ht="15" customHeight="1" x14ac:dyDescent="0.25">
      <c r="A4" s="74"/>
      <c r="B4" s="75"/>
      <c r="C4" s="75"/>
      <c r="D4" s="75"/>
      <c r="E4" s="75"/>
      <c r="F4" s="75"/>
      <c r="G4" s="75"/>
      <c r="H4" s="75"/>
      <c r="I4" s="75"/>
      <c r="J4" s="75"/>
      <c r="K4" s="76"/>
    </row>
    <row r="5" spans="1:11" ht="15" customHeight="1" x14ac:dyDescent="0.25">
      <c r="A5" s="74"/>
      <c r="B5" s="75"/>
      <c r="C5" s="75"/>
      <c r="D5" s="75"/>
      <c r="E5" s="75"/>
      <c r="F5" s="75"/>
      <c r="G5" s="75"/>
      <c r="H5" s="75"/>
      <c r="I5" s="75"/>
      <c r="J5" s="75"/>
      <c r="K5" s="76"/>
    </row>
    <row r="6" spans="1:11" ht="15" customHeight="1" x14ac:dyDescent="0.25">
      <c r="A6" s="74"/>
      <c r="B6" s="75"/>
      <c r="C6" s="75"/>
      <c r="D6" s="75"/>
      <c r="E6" s="75"/>
      <c r="F6" s="75"/>
      <c r="G6" s="75"/>
      <c r="H6" s="75"/>
      <c r="I6" s="75"/>
      <c r="J6" s="75"/>
      <c r="K6" s="76"/>
    </row>
    <row r="7" spans="1:11" ht="15" customHeight="1" x14ac:dyDescent="0.25">
      <c r="A7" s="74"/>
      <c r="B7" s="75"/>
      <c r="C7" s="75"/>
      <c r="D7" s="75"/>
      <c r="E7" s="75"/>
      <c r="F7" s="75"/>
      <c r="G7" s="75"/>
      <c r="H7" s="75"/>
      <c r="I7" s="75"/>
      <c r="J7" s="75"/>
      <c r="K7" s="76"/>
    </row>
    <row r="8" spans="1:11" ht="15" customHeight="1" x14ac:dyDescent="0.25">
      <c r="A8" s="74"/>
      <c r="B8" s="75"/>
      <c r="C8" s="75"/>
      <c r="D8" s="75"/>
      <c r="E8" s="75"/>
      <c r="F8" s="75"/>
      <c r="G8" s="75"/>
      <c r="H8" s="75"/>
      <c r="I8" s="75"/>
      <c r="J8" s="75"/>
      <c r="K8" s="76"/>
    </row>
    <row r="9" spans="1:11" ht="15" customHeight="1" x14ac:dyDescent="0.25">
      <c r="A9" s="74"/>
      <c r="B9" s="75"/>
      <c r="C9" s="75"/>
      <c r="D9" s="75"/>
      <c r="E9" s="75"/>
      <c r="F9" s="75"/>
      <c r="G9" s="75"/>
      <c r="H9" s="75"/>
      <c r="I9" s="75"/>
      <c r="J9" s="75"/>
      <c r="K9" s="76"/>
    </row>
    <row r="10" spans="1:11" ht="15" customHeight="1" x14ac:dyDescent="0.25">
      <c r="A10" s="74"/>
      <c r="B10" s="75"/>
      <c r="C10" s="75"/>
      <c r="D10" s="75"/>
      <c r="E10" s="75"/>
      <c r="F10" s="75"/>
      <c r="G10" s="75"/>
      <c r="H10" s="75"/>
      <c r="I10" s="75"/>
      <c r="J10" s="75"/>
      <c r="K10" s="76"/>
    </row>
    <row r="11" spans="1:11" ht="15" customHeight="1" x14ac:dyDescent="0.25">
      <c r="A11" s="74"/>
      <c r="B11" s="75"/>
      <c r="C11" s="75"/>
      <c r="D11" s="75"/>
      <c r="E11" s="75"/>
      <c r="F11" s="75"/>
      <c r="G11" s="75"/>
      <c r="H11" s="75"/>
      <c r="I11" s="75"/>
      <c r="J11" s="75"/>
      <c r="K11" s="76"/>
    </row>
    <row r="12" spans="1:11" ht="15" customHeight="1" x14ac:dyDescent="0.25">
      <c r="A12" s="74"/>
      <c r="B12" s="75"/>
      <c r="C12" s="75"/>
      <c r="D12" s="75"/>
      <c r="E12" s="75"/>
      <c r="F12" s="75"/>
      <c r="G12" s="75"/>
      <c r="H12" s="75"/>
      <c r="I12" s="75"/>
      <c r="J12" s="75"/>
      <c r="K12" s="76"/>
    </row>
    <row r="13" spans="1:11" ht="15" customHeight="1" x14ac:dyDescent="0.25">
      <c r="A13" s="74"/>
      <c r="B13" s="75"/>
      <c r="C13" s="75"/>
      <c r="D13" s="75"/>
      <c r="E13" s="75"/>
      <c r="F13" s="75"/>
      <c r="G13" s="75"/>
      <c r="H13" s="75"/>
      <c r="I13" s="75"/>
      <c r="J13" s="75"/>
      <c r="K13" s="76"/>
    </row>
    <row r="14" spans="1:11" ht="15" customHeight="1" x14ac:dyDescent="0.25">
      <c r="A14" s="74"/>
      <c r="B14" s="75"/>
      <c r="C14" s="75"/>
      <c r="D14" s="75"/>
      <c r="E14" s="75"/>
      <c r="F14" s="75"/>
      <c r="G14" s="75"/>
      <c r="H14" s="75"/>
      <c r="I14" s="75"/>
      <c r="J14" s="75"/>
      <c r="K14" s="76"/>
    </row>
    <row r="15" spans="1:11" ht="15" customHeight="1" x14ac:dyDescent="0.25">
      <c r="A15" s="74"/>
      <c r="B15" s="75"/>
      <c r="C15" s="75"/>
      <c r="D15" s="75"/>
      <c r="E15" s="75"/>
      <c r="F15" s="75"/>
      <c r="G15" s="75"/>
      <c r="H15" s="75"/>
      <c r="I15" s="75"/>
      <c r="J15" s="75"/>
      <c r="K15" s="76"/>
    </row>
    <row r="16" spans="1:11" ht="15" customHeight="1" x14ac:dyDescent="0.25">
      <c r="A16" s="74"/>
      <c r="B16" s="75"/>
      <c r="C16" s="75"/>
      <c r="D16" s="75"/>
      <c r="E16" s="75"/>
      <c r="F16" s="75"/>
      <c r="G16" s="75"/>
      <c r="H16" s="75"/>
      <c r="I16" s="75"/>
      <c r="J16" s="75"/>
      <c r="K16" s="76"/>
    </row>
    <row r="17" spans="1:12" ht="15" customHeight="1" x14ac:dyDescent="0.25">
      <c r="A17" s="74"/>
      <c r="B17" s="75"/>
      <c r="C17" s="75"/>
      <c r="D17" s="75"/>
      <c r="E17" s="75"/>
      <c r="F17" s="75"/>
      <c r="G17" s="75"/>
      <c r="H17" s="75"/>
      <c r="I17" s="75"/>
      <c r="J17" s="75"/>
      <c r="K17" s="76"/>
    </row>
    <row r="18" spans="1:12" ht="15" customHeight="1" x14ac:dyDescent="0.25">
      <c r="A18" s="74"/>
      <c r="B18" s="75"/>
      <c r="C18" s="75"/>
      <c r="D18" s="75"/>
      <c r="E18" s="75"/>
      <c r="F18" s="75"/>
      <c r="G18" s="75"/>
      <c r="H18" s="75"/>
      <c r="I18" s="75"/>
      <c r="J18" s="75"/>
      <c r="K18" s="76"/>
    </row>
    <row r="19" spans="1:12" ht="15" customHeight="1" x14ac:dyDescent="0.25">
      <c r="A19" s="74"/>
      <c r="B19" s="75"/>
      <c r="C19" s="75"/>
      <c r="D19" s="75"/>
      <c r="E19" s="75"/>
      <c r="F19" s="75"/>
      <c r="G19" s="75"/>
      <c r="H19" s="75"/>
      <c r="I19" s="75"/>
      <c r="J19" s="75"/>
      <c r="K19" s="76"/>
    </row>
    <row r="20" spans="1:12" ht="15" customHeight="1" x14ac:dyDescent="0.25">
      <c r="A20" s="74"/>
      <c r="B20" s="75"/>
      <c r="C20" s="75"/>
      <c r="D20" s="75"/>
      <c r="E20" s="75"/>
      <c r="F20" s="75"/>
      <c r="G20" s="75"/>
      <c r="H20" s="75"/>
      <c r="I20" s="75"/>
      <c r="J20" s="75"/>
      <c r="K20" s="76"/>
    </row>
    <row r="21" spans="1:12" ht="15" customHeight="1" x14ac:dyDescent="0.25">
      <c r="A21" s="74"/>
      <c r="B21" s="75"/>
      <c r="C21" s="75"/>
      <c r="D21" s="75"/>
      <c r="E21" s="75"/>
      <c r="F21" s="75"/>
      <c r="G21" s="75"/>
      <c r="H21" s="75"/>
      <c r="I21" s="75"/>
      <c r="J21" s="75"/>
      <c r="K21" s="76"/>
    </row>
    <row r="22" spans="1:12" ht="15" customHeight="1" x14ac:dyDescent="0.25">
      <c r="A22" s="74"/>
      <c r="B22" s="75"/>
      <c r="C22" s="75"/>
      <c r="D22" s="75"/>
      <c r="E22" s="75"/>
      <c r="F22" s="75"/>
      <c r="G22" s="75"/>
      <c r="H22" s="75"/>
      <c r="I22" s="75"/>
      <c r="J22" s="75"/>
      <c r="K22" s="76"/>
    </row>
    <row r="23" spans="1:12" ht="15" customHeight="1" x14ac:dyDescent="0.25">
      <c r="A23" s="68" t="s">
        <v>23</v>
      </c>
      <c r="B23" s="69"/>
      <c r="C23" s="69"/>
      <c r="D23" s="69"/>
      <c r="E23" s="69"/>
      <c r="F23" s="69"/>
      <c r="G23" s="69"/>
      <c r="H23" s="69"/>
      <c r="I23" s="69"/>
      <c r="J23" s="69"/>
      <c r="K23" s="70"/>
      <c r="L23" s="26"/>
    </row>
    <row r="24" spans="1:12" ht="15" customHeight="1" x14ac:dyDescent="0.25">
      <c r="A24" s="68"/>
      <c r="B24" s="69"/>
      <c r="C24" s="69"/>
      <c r="D24" s="69"/>
      <c r="E24" s="69"/>
      <c r="F24" s="69"/>
      <c r="G24" s="69"/>
      <c r="H24" s="69"/>
      <c r="I24" s="69"/>
      <c r="J24" s="69"/>
      <c r="K24" s="70"/>
      <c r="L24" s="26"/>
    </row>
    <row r="25" spans="1:12" ht="15" customHeight="1" x14ac:dyDescent="0.25">
      <c r="A25" s="68"/>
      <c r="B25" s="69"/>
      <c r="C25" s="69"/>
      <c r="D25" s="69"/>
      <c r="E25" s="69"/>
      <c r="F25" s="69"/>
      <c r="G25" s="69"/>
      <c r="H25" s="69"/>
      <c r="I25" s="69"/>
      <c r="J25" s="69"/>
      <c r="K25" s="70"/>
      <c r="L25" s="26"/>
    </row>
    <row r="26" spans="1:12" ht="15" customHeight="1" x14ac:dyDescent="0.25">
      <c r="A26" s="68"/>
      <c r="B26" s="69"/>
      <c r="C26" s="69"/>
      <c r="D26" s="69"/>
      <c r="E26" s="69"/>
      <c r="F26" s="69"/>
      <c r="G26" s="69"/>
      <c r="H26" s="69"/>
      <c r="I26" s="69"/>
      <c r="J26" s="69"/>
      <c r="K26" s="70"/>
      <c r="L26" s="26"/>
    </row>
    <row r="27" spans="1:12" ht="15" customHeight="1" x14ac:dyDescent="0.25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5"/>
      <c r="L27" s="26"/>
    </row>
    <row r="28" spans="1:12" ht="15" customHeight="1" thickBot="1" x14ac:dyDescent="0.3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8"/>
      <c r="L28" s="26"/>
    </row>
    <row r="29" spans="1:12" ht="15" customHeight="1" x14ac:dyDescent="0.25">
      <c r="A29" s="59" t="s">
        <v>22</v>
      </c>
      <c r="B29" s="60"/>
      <c r="C29" s="60"/>
      <c r="D29" s="60"/>
      <c r="E29" s="60"/>
      <c r="F29" s="60"/>
      <c r="G29" s="60"/>
      <c r="H29" s="60"/>
      <c r="I29" s="60"/>
      <c r="J29" s="60"/>
      <c r="K29" s="61"/>
      <c r="L29" s="26"/>
    </row>
    <row r="30" spans="1:12" ht="15" customHeight="1" x14ac:dyDescent="0.25">
      <c r="A30" s="62"/>
      <c r="B30" s="63"/>
      <c r="C30" s="63"/>
      <c r="D30" s="63"/>
      <c r="E30" s="63"/>
      <c r="F30" s="63"/>
      <c r="G30" s="63"/>
      <c r="H30" s="63"/>
      <c r="I30" s="63"/>
      <c r="J30" s="63"/>
      <c r="K30" s="64"/>
    </row>
    <row r="31" spans="1:12" ht="15" customHeight="1" thickBot="1" x14ac:dyDescent="0.3">
      <c r="A31" s="65"/>
      <c r="B31" s="66"/>
      <c r="C31" s="66"/>
      <c r="D31" s="66"/>
      <c r="E31" s="66"/>
      <c r="F31" s="66"/>
      <c r="G31" s="66"/>
      <c r="H31" s="66"/>
      <c r="I31" s="66"/>
      <c r="J31" s="66"/>
      <c r="K31" s="67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>
      <selection activeCell="F18" sqref="F18:F21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2</v>
      </c>
      <c r="B1" s="1"/>
      <c r="C1" s="80"/>
      <c r="D1" s="29" t="s">
        <v>0</v>
      </c>
      <c r="E1" s="82" t="s">
        <v>64</v>
      </c>
      <c r="F1" s="3" t="s">
        <v>1</v>
      </c>
      <c r="H1" s="16" t="s">
        <v>44</v>
      </c>
      <c r="I1" s="16" t="s">
        <v>45</v>
      </c>
      <c r="K1" s="23"/>
      <c r="L1" s="23"/>
      <c r="M1" s="23"/>
      <c r="N1" s="23"/>
      <c r="O1" s="23"/>
      <c r="P1" s="23"/>
      <c r="Q1" s="38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5.75" thickBot="1" x14ac:dyDescent="0.3">
      <c r="A2" s="7">
        <v>6.9444444444444441E-3</v>
      </c>
      <c r="C2" s="80"/>
      <c r="D2" s="33">
        <v>2</v>
      </c>
      <c r="E2" s="34">
        <v>4</v>
      </c>
      <c r="F2" s="28">
        <v>2</v>
      </c>
      <c r="H2" s="16" t="s">
        <v>46</v>
      </c>
      <c r="I2" s="16" t="s">
        <v>47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ht="15.75" thickBot="1" x14ac:dyDescent="0.3">
      <c r="A3" s="8">
        <v>6.9444444444444447E-4</v>
      </c>
      <c r="C3" s="81"/>
      <c r="D3" s="4" t="s">
        <v>33</v>
      </c>
      <c r="E3" s="43" t="str">
        <f>"Nbres de Cat : " &amp; B30</f>
        <v>Nbres de Cat : 1</v>
      </c>
      <c r="H3" s="16" t="s">
        <v>48</v>
      </c>
      <c r="I3" s="16" t="s">
        <v>65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7</v>
      </c>
      <c r="E4" s="6"/>
      <c r="F4" s="2" t="s">
        <v>25</v>
      </c>
      <c r="H4" s="16" t="s">
        <v>49</v>
      </c>
      <c r="I4" s="16" t="s">
        <v>50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</row>
    <row r="5" spans="1:27" ht="15.75" thickBot="1" x14ac:dyDescent="0.3">
      <c r="A5" s="28">
        <f>ROUNDUP(SUM(D4:D29)/8,0)</f>
        <v>2</v>
      </c>
      <c r="B5" s="2">
        <v>2</v>
      </c>
      <c r="C5" s="31" t="str">
        <f t="shared" si="0"/>
        <v>B</v>
      </c>
      <c r="D5" s="35">
        <v>7</v>
      </c>
      <c r="E5" s="6"/>
      <c r="F5" s="27" t="s">
        <v>26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27" ht="15.75" thickBot="1" x14ac:dyDescent="0.3">
      <c r="B6" s="2">
        <v>3</v>
      </c>
      <c r="C6" s="31" t="str">
        <f t="shared" si="0"/>
        <v/>
      </c>
      <c r="D6" s="35"/>
      <c r="E6" s="6"/>
      <c r="H6" s="16" t="s">
        <v>51</v>
      </c>
      <c r="I6" s="16" t="s">
        <v>52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</row>
    <row r="7" spans="1:27" x14ac:dyDescent="0.25">
      <c r="A7" s="10" t="s">
        <v>4</v>
      </c>
      <c r="B7" s="2">
        <v>4</v>
      </c>
      <c r="C7" s="31" t="str">
        <f t="shared" si="0"/>
        <v/>
      </c>
      <c r="D7" s="35"/>
      <c r="E7" s="6"/>
      <c r="H7" s="16" t="s">
        <v>53</v>
      </c>
      <c r="I7" s="16" t="s">
        <v>67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7" ht="15.75" thickBot="1" x14ac:dyDescent="0.3">
      <c r="A8" s="5">
        <f>ROUNDUP(SUM(D4:D29)/16,0)</f>
        <v>1</v>
      </c>
      <c r="B8" s="2">
        <v>5</v>
      </c>
      <c r="C8" s="31" t="str">
        <f t="shared" si="0"/>
        <v/>
      </c>
      <c r="D8" s="35"/>
      <c r="E8" s="6"/>
      <c r="H8" s="16" t="s">
        <v>62</v>
      </c>
      <c r="I8" s="16" t="s">
        <v>62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</row>
    <row r="9" spans="1:27" x14ac:dyDescent="0.25">
      <c r="B9" s="2">
        <v>6</v>
      </c>
      <c r="C9" s="31" t="str">
        <f t="shared" si="0"/>
        <v/>
      </c>
      <c r="D9" s="35"/>
      <c r="E9" s="6"/>
      <c r="H9" s="16" t="s">
        <v>62</v>
      </c>
      <c r="I9" s="16" t="s">
        <v>62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1:27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H11" s="16" t="s">
        <v>44</v>
      </c>
      <c r="I11" s="16" t="s">
        <v>46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H12" s="16" t="s">
        <v>48</v>
      </c>
      <c r="I12" s="16" t="s">
        <v>47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A13" s="12">
        <f>A2</f>
        <v>6.9444444444444441E-3</v>
      </c>
      <c r="B13" s="2">
        <v>10</v>
      </c>
      <c r="C13" s="31" t="str">
        <f t="shared" si="0"/>
        <v/>
      </c>
      <c r="D13" s="35"/>
      <c r="E13" s="6"/>
      <c r="H13" s="16" t="s">
        <v>65</v>
      </c>
      <c r="I13" s="16" t="s">
        <v>66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H14" s="16" t="s">
        <v>49</v>
      </c>
      <c r="I14" s="16" t="s">
        <v>51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A15" s="7">
        <v>0.39583333333333331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69</v>
      </c>
      <c r="H16" s="16" t="s">
        <v>53</v>
      </c>
      <c r="I16" s="16" t="s">
        <v>52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x14ac:dyDescent="0.25">
      <c r="A17" s="42">
        <f>(counttour()/E2*(A2+A3)) + (ROUNDUP(IF(B31=TRUE,12*A5,12*A5*B30)/E2,0)*(A2+A3))</f>
        <v>0.12604166666666666</v>
      </c>
      <c r="B17" s="2">
        <v>14</v>
      </c>
      <c r="C17" s="31" t="str">
        <f t="shared" si="0"/>
        <v/>
      </c>
      <c r="D17" s="35"/>
      <c r="E17" s="6"/>
      <c r="H17" s="16" t="s">
        <v>67</v>
      </c>
      <c r="I17" s="16" t="s">
        <v>68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77" t="s">
        <v>20</v>
      </c>
      <c r="H18" s="16" t="s">
        <v>62</v>
      </c>
      <c r="I18" s="16" t="s">
        <v>62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x14ac:dyDescent="0.25">
      <c r="A19" s="12">
        <f>A15+A17+A21</f>
        <v>0.54270833333333335</v>
      </c>
      <c r="B19" s="2">
        <v>16</v>
      </c>
      <c r="C19" s="31" t="str">
        <f t="shared" si="0"/>
        <v/>
      </c>
      <c r="D19" s="35"/>
      <c r="E19" s="6"/>
      <c r="F19" s="77"/>
      <c r="H19" s="16" t="s">
        <v>62</v>
      </c>
      <c r="I19" s="16" t="s">
        <v>62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77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77"/>
      <c r="H21" s="16" t="s">
        <v>44</v>
      </c>
      <c r="I21" s="16" t="s">
        <v>47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x14ac:dyDescent="0.25">
      <c r="B22" s="2">
        <v>19</v>
      </c>
      <c r="C22" s="31" t="str">
        <f t="shared" si="0"/>
        <v/>
      </c>
      <c r="D22" s="35"/>
      <c r="E22" s="6"/>
      <c r="F22" s="21"/>
      <c r="H22" s="16" t="s">
        <v>45</v>
      </c>
      <c r="I22" s="16" t="s">
        <v>48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x14ac:dyDescent="0.25">
      <c r="B23" s="2">
        <v>20</v>
      </c>
      <c r="C23" s="31" t="str">
        <f t="shared" si="0"/>
        <v/>
      </c>
      <c r="D23" s="35"/>
      <c r="E23" s="6"/>
      <c r="H23" s="16" t="s">
        <v>66</v>
      </c>
      <c r="I23" s="16" t="s">
        <v>46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x14ac:dyDescent="0.25">
      <c r="A24" s="13"/>
      <c r="B24" s="2">
        <v>21</v>
      </c>
      <c r="C24" s="31" t="str">
        <f t="shared" si="0"/>
        <v/>
      </c>
      <c r="D24" s="35"/>
      <c r="E24" s="6"/>
      <c r="F24" s="78" t="s">
        <v>22</v>
      </c>
      <c r="H24" s="16" t="s">
        <v>49</v>
      </c>
      <c r="I24" s="16" t="s">
        <v>52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15.75" x14ac:dyDescent="0.25">
      <c r="A25" s="14"/>
      <c r="B25" s="2">
        <v>22</v>
      </c>
      <c r="C25" s="31" t="str">
        <f t="shared" si="0"/>
        <v/>
      </c>
      <c r="D25" s="35"/>
      <c r="E25" s="6"/>
      <c r="F25" s="78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1:27" ht="15.75" x14ac:dyDescent="0.25">
      <c r="A26" s="14"/>
      <c r="B26" s="2">
        <v>23</v>
      </c>
      <c r="C26" s="31" t="str">
        <f t="shared" si="0"/>
        <v/>
      </c>
      <c r="D26" s="35"/>
      <c r="E26" s="6"/>
      <c r="F26" s="78"/>
      <c r="H26" s="16" t="s">
        <v>50</v>
      </c>
      <c r="I26" s="16" t="s">
        <v>53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1:27" ht="15.75" x14ac:dyDescent="0.25">
      <c r="A27" s="14"/>
      <c r="B27" s="2">
        <v>24</v>
      </c>
      <c r="C27" s="31" t="str">
        <f t="shared" si="0"/>
        <v/>
      </c>
      <c r="D27" s="35"/>
      <c r="E27" s="6"/>
      <c r="F27" s="78"/>
      <c r="H27" s="16" t="s">
        <v>68</v>
      </c>
      <c r="I27" s="16" t="s">
        <v>51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ht="15.75" x14ac:dyDescent="0.25">
      <c r="A28" s="14"/>
      <c r="B28" s="2">
        <v>25</v>
      </c>
      <c r="C28" s="31" t="str">
        <f t="shared" si="0"/>
        <v/>
      </c>
      <c r="D28" s="35"/>
      <c r="E28" s="6"/>
      <c r="F28" s="78"/>
      <c r="H28" s="16" t="s">
        <v>62</v>
      </c>
      <c r="I28" s="16" t="s">
        <v>62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79" t="s">
        <v>24</v>
      </c>
      <c r="G29" s="23"/>
      <c r="H29" s="16" t="s">
        <v>62</v>
      </c>
      <c r="I29" s="16" t="s">
        <v>62</v>
      </c>
      <c r="K29" s="23"/>
      <c r="L29" s="23"/>
      <c r="M29" s="23"/>
      <c r="N29" s="23"/>
      <c r="O29" s="23"/>
      <c r="P29" s="23"/>
      <c r="Q29" s="23"/>
      <c r="R29" s="23"/>
      <c r="S29" s="23"/>
    </row>
    <row r="30" spans="1:27" ht="15.75" x14ac:dyDescent="0.25">
      <c r="A30" s="22"/>
      <c r="B30" s="41">
        <f t="array" ref="B30">IF(SUMPRODUCT(IF(E4:E29&lt;&gt;"",1/COUNTIF(E4:E29,E4:E29)))=0,1,SUMPRODUCT(IF(E4:E29&lt;&gt;"",1/COUNTIF(E4:E29,E4:E29))))</f>
        <v>1</v>
      </c>
      <c r="C30" s="23"/>
      <c r="D30" s="23"/>
      <c r="E30" s="38"/>
      <c r="F30" s="79"/>
      <c r="G30" s="23"/>
      <c r="K30" s="23"/>
      <c r="L30" s="23"/>
      <c r="M30" s="23"/>
      <c r="N30" s="23"/>
      <c r="O30" s="23"/>
      <c r="P30" s="23"/>
      <c r="Q30" s="23"/>
      <c r="R30" s="23"/>
      <c r="S30" s="23"/>
    </row>
    <row r="31" spans="1:27" x14ac:dyDescent="0.25">
      <c r="A31" s="45" t="s">
        <v>6</v>
      </c>
      <c r="B31" s="41" t="b">
        <v>0</v>
      </c>
      <c r="C31" s="23"/>
      <c r="D31" s="23"/>
      <c r="E31" s="23"/>
      <c r="F31" s="79"/>
      <c r="G31" s="23"/>
      <c r="H31" s="16" t="s">
        <v>44</v>
      </c>
      <c r="I31" s="16" t="s">
        <v>48</v>
      </c>
      <c r="K31" s="23"/>
      <c r="L31" s="23"/>
      <c r="M31" s="23"/>
      <c r="N31" s="23"/>
      <c r="O31" s="23"/>
      <c r="P31" s="23"/>
      <c r="Q31" s="23"/>
      <c r="R31" s="23"/>
      <c r="S31" s="23"/>
    </row>
    <row r="32" spans="1:27" x14ac:dyDescent="0.25">
      <c r="A32" s="7">
        <v>0.39583333333333331</v>
      </c>
      <c r="B32" s="41" t="b">
        <v>0</v>
      </c>
      <c r="C32" s="23"/>
      <c r="D32" s="23"/>
      <c r="E32" s="23"/>
      <c r="F32" s="23"/>
      <c r="G32" s="23"/>
      <c r="H32" s="16" t="s">
        <v>65</v>
      </c>
      <c r="I32" s="16" t="s">
        <v>46</v>
      </c>
      <c r="K32" s="23"/>
      <c r="L32" s="23"/>
      <c r="M32" s="23"/>
      <c r="N32" s="23"/>
      <c r="O32" s="23"/>
      <c r="P32" s="23"/>
      <c r="Q32" s="23"/>
      <c r="R32" s="23"/>
      <c r="S32" s="23"/>
    </row>
    <row r="33" spans="1:19" x14ac:dyDescent="0.25">
      <c r="A33" s="45" t="s">
        <v>58</v>
      </c>
      <c r="B33" s="41" t="b">
        <v>0</v>
      </c>
      <c r="C33" s="23"/>
      <c r="D33" s="23"/>
      <c r="E33" s="23"/>
      <c r="F33" s="37"/>
      <c r="G33" s="23"/>
      <c r="H33" s="16" t="s">
        <v>45</v>
      </c>
      <c r="I33" s="16" t="s">
        <v>66</v>
      </c>
      <c r="K33" s="23"/>
      <c r="L33" s="23"/>
      <c r="M33" s="23"/>
      <c r="N33" s="23"/>
      <c r="O33" s="23"/>
      <c r="P33" s="23"/>
      <c r="Q33" s="23"/>
      <c r="R33" s="23"/>
      <c r="S33" s="23"/>
    </row>
    <row r="34" spans="1:19" x14ac:dyDescent="0.25">
      <c r="A34" s="46">
        <f>(counttour()/E2*(A2+A3))+A32</f>
        <v>0.47222222222222221</v>
      </c>
      <c r="B34" s="41" t="b">
        <v>0</v>
      </c>
      <c r="C34" s="23"/>
      <c r="D34" s="23"/>
      <c r="E34" s="23"/>
      <c r="G34" s="23"/>
      <c r="H34" s="16" t="s">
        <v>49</v>
      </c>
      <c r="I34" s="16" t="s">
        <v>53</v>
      </c>
      <c r="K34" s="23"/>
      <c r="L34" s="23"/>
      <c r="M34" s="23"/>
      <c r="N34" s="23"/>
      <c r="O34" s="23"/>
      <c r="P34" s="23"/>
      <c r="Q34" s="23"/>
      <c r="R34" s="23"/>
      <c r="S34" s="23"/>
    </row>
    <row r="35" spans="1:19" x14ac:dyDescent="0.25">
      <c r="A35" s="45" t="s">
        <v>59</v>
      </c>
      <c r="B35" s="23"/>
      <c r="C35" s="23"/>
      <c r="D35" s="44"/>
      <c r="E35" s="23"/>
      <c r="G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19" x14ac:dyDescent="0.25">
      <c r="A36" s="7">
        <v>0.4513888888888889</v>
      </c>
      <c r="B36" s="23"/>
      <c r="C36" s="23"/>
      <c r="D36" s="23"/>
      <c r="E36" s="23"/>
      <c r="G36" s="23"/>
      <c r="H36" s="16" t="s">
        <v>67</v>
      </c>
      <c r="I36" s="16" t="s">
        <v>51</v>
      </c>
      <c r="K36" s="23"/>
      <c r="L36" s="23"/>
      <c r="M36" s="23"/>
      <c r="N36" s="23"/>
      <c r="O36" s="23"/>
      <c r="P36" s="23"/>
      <c r="Q36" s="23"/>
      <c r="R36" s="23"/>
      <c r="S36" s="23"/>
    </row>
    <row r="37" spans="1:19" x14ac:dyDescent="0.25">
      <c r="A37" s="45" t="s">
        <v>60</v>
      </c>
      <c r="B37" s="23"/>
      <c r="C37" s="23"/>
      <c r="D37" s="23"/>
      <c r="E37" s="23"/>
      <c r="G37" s="23"/>
      <c r="H37" s="16" t="s">
        <v>50</v>
      </c>
      <c r="I37" s="16" t="s">
        <v>68</v>
      </c>
      <c r="K37" s="23"/>
      <c r="L37" s="23"/>
      <c r="M37" s="23"/>
      <c r="N37" s="23"/>
      <c r="O37" s="23"/>
      <c r="P37" s="23"/>
      <c r="Q37" s="23"/>
      <c r="R37" s="23"/>
      <c r="S37" s="23"/>
    </row>
    <row r="38" spans="1:19" x14ac:dyDescent="0.25">
      <c r="A38" s="46">
        <f>A36+(ROUNDUP(IF(B31=TRUE,12*A5,12*A5*B30)/E2,0)*(A2+A3))</f>
        <v>0.49722222222222223</v>
      </c>
      <c r="B38" s="23"/>
      <c r="C38" s="23"/>
      <c r="D38" s="23"/>
      <c r="E38" s="23"/>
      <c r="F38" s="23"/>
      <c r="G38" s="23"/>
      <c r="H38" s="16" t="s">
        <v>62</v>
      </c>
      <c r="I38" s="16" t="s">
        <v>62</v>
      </c>
      <c r="K38" s="23"/>
      <c r="L38" s="23"/>
      <c r="M38" s="23"/>
      <c r="N38" s="23"/>
      <c r="O38" s="23"/>
      <c r="P38" s="23"/>
      <c r="Q38" s="23"/>
      <c r="R38" s="23"/>
      <c r="S38" s="23"/>
    </row>
    <row r="39" spans="1:19" ht="16.5" thickBot="1" x14ac:dyDescent="0.3">
      <c r="A39" s="22"/>
      <c r="B39" s="23"/>
      <c r="C39" s="23"/>
      <c r="D39" s="23"/>
      <c r="E39" s="23"/>
      <c r="F39" s="23"/>
      <c r="G39" s="23"/>
      <c r="H39" s="16" t="s">
        <v>62</v>
      </c>
      <c r="I39" s="16" t="s">
        <v>62</v>
      </c>
      <c r="K39" s="23"/>
      <c r="L39" s="23"/>
      <c r="M39" s="23"/>
      <c r="N39" s="23"/>
      <c r="O39" s="23"/>
      <c r="P39" s="23"/>
      <c r="Q39" s="23"/>
      <c r="R39" s="23"/>
      <c r="S39" s="23"/>
    </row>
    <row r="40" spans="1:19" x14ac:dyDescent="0.25">
      <c r="A40" s="3" t="s">
        <v>63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 x14ac:dyDescent="0.25">
      <c r="A41" s="34">
        <v>6</v>
      </c>
      <c r="B41" s="23"/>
      <c r="C41" s="23"/>
      <c r="D41" s="23"/>
      <c r="E41" s="23"/>
      <c r="F41" s="23"/>
      <c r="G41" s="23"/>
      <c r="H41" s="16" t="s">
        <v>46</v>
      </c>
      <c r="I41" s="16" t="s">
        <v>48</v>
      </c>
      <c r="K41" s="23"/>
      <c r="L41" s="23"/>
      <c r="M41" s="23"/>
      <c r="N41" s="23"/>
      <c r="O41" s="23"/>
      <c r="P41" s="23"/>
      <c r="Q41" s="23"/>
      <c r="R41" s="23"/>
      <c r="S41" s="23"/>
    </row>
    <row r="42" spans="1:19" ht="15.75" x14ac:dyDescent="0.25">
      <c r="A42" s="22"/>
      <c r="B42" s="23"/>
      <c r="C42" s="23"/>
      <c r="D42" s="23"/>
      <c r="E42" s="23"/>
      <c r="F42" s="23"/>
      <c r="G42" s="23"/>
      <c r="H42" s="16" t="s">
        <v>45</v>
      </c>
      <c r="I42" s="16" t="s">
        <v>65</v>
      </c>
      <c r="K42" s="23"/>
      <c r="L42" s="23"/>
      <c r="M42" s="23"/>
      <c r="N42" s="23"/>
      <c r="O42" s="23"/>
      <c r="P42" s="23"/>
      <c r="Q42" s="23"/>
      <c r="R42" s="23"/>
      <c r="S42" s="23"/>
    </row>
    <row r="43" spans="1:19" ht="15.75" x14ac:dyDescent="0.25">
      <c r="A43" s="22"/>
      <c r="B43" s="23"/>
      <c r="C43" s="23"/>
      <c r="D43" s="23"/>
      <c r="E43" s="23"/>
      <c r="F43" s="23"/>
      <c r="G43" s="23"/>
      <c r="H43" s="16" t="s">
        <v>47</v>
      </c>
      <c r="I43" s="16" t="s">
        <v>66</v>
      </c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5">
      <c r="A44" s="24"/>
      <c r="B44" s="23"/>
      <c r="C44" s="23"/>
      <c r="D44" s="23"/>
      <c r="E44" s="23"/>
      <c r="F44" s="23"/>
      <c r="G44" s="23"/>
      <c r="H44" s="16" t="s">
        <v>51</v>
      </c>
      <c r="I44" s="16" t="s">
        <v>53</v>
      </c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5">
      <c r="A45" s="18"/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5">
      <c r="A46" s="17"/>
      <c r="H46" s="16" t="s">
        <v>50</v>
      </c>
      <c r="I46" s="16" t="s">
        <v>67</v>
      </c>
    </row>
    <row r="47" spans="1:19" x14ac:dyDescent="0.25">
      <c r="A47" s="13"/>
      <c r="H47" s="16" t="s">
        <v>52</v>
      </c>
      <c r="I47" s="16" t="s">
        <v>68</v>
      </c>
    </row>
    <row r="48" spans="1:19" ht="15.75" x14ac:dyDescent="0.25">
      <c r="A48" s="14"/>
      <c r="H48" s="16" t="s">
        <v>62</v>
      </c>
      <c r="I48" s="16" t="s">
        <v>62</v>
      </c>
    </row>
    <row r="49" spans="1:9" ht="15.75" x14ac:dyDescent="0.25">
      <c r="A49" s="14"/>
      <c r="H49" s="16" t="s">
        <v>62</v>
      </c>
      <c r="I49" s="16" t="s">
        <v>62</v>
      </c>
    </row>
    <row r="50" spans="1:9" ht="15.75" x14ac:dyDescent="0.25">
      <c r="A50" s="14"/>
    </row>
    <row r="51" spans="1:9" ht="15.75" x14ac:dyDescent="0.25">
      <c r="A51" s="14"/>
      <c r="H51" s="16" t="s">
        <v>44</v>
      </c>
      <c r="I51" s="16" t="s">
        <v>65</v>
      </c>
    </row>
    <row r="52" spans="1:9" ht="15.75" x14ac:dyDescent="0.25">
      <c r="A52" s="14"/>
      <c r="H52" s="16" t="s">
        <v>45</v>
      </c>
      <c r="I52" s="16" t="s">
        <v>47</v>
      </c>
    </row>
    <row r="53" spans="1:9" ht="15.75" x14ac:dyDescent="0.25">
      <c r="A53" s="14"/>
      <c r="H53" s="16" t="s">
        <v>48</v>
      </c>
      <c r="I53" s="16" t="s">
        <v>66</v>
      </c>
    </row>
    <row r="54" spans="1:9" ht="15.75" x14ac:dyDescent="0.25">
      <c r="A54" s="14"/>
      <c r="H54" s="16" t="s">
        <v>49</v>
      </c>
      <c r="I54" s="16" t="s">
        <v>67</v>
      </c>
    </row>
    <row r="55" spans="1:9" ht="15.75" x14ac:dyDescent="0.25">
      <c r="A55" s="14"/>
    </row>
    <row r="56" spans="1:9" x14ac:dyDescent="0.25">
      <c r="A56" s="13"/>
      <c r="H56" s="16" t="s">
        <v>50</v>
      </c>
      <c r="I56" s="16" t="s">
        <v>52</v>
      </c>
    </row>
    <row r="57" spans="1:9" x14ac:dyDescent="0.25">
      <c r="A57" s="17"/>
      <c r="H57" s="16" t="s">
        <v>53</v>
      </c>
      <c r="I57" s="16" t="s">
        <v>68</v>
      </c>
    </row>
    <row r="58" spans="1:9" x14ac:dyDescent="0.25">
      <c r="A58" s="13"/>
      <c r="H58" s="16" t="s">
        <v>62</v>
      </c>
      <c r="I58" s="16" t="s">
        <v>62</v>
      </c>
    </row>
    <row r="59" spans="1:9" ht="15.75" x14ac:dyDescent="0.25">
      <c r="A59" s="14"/>
      <c r="H59" s="16" t="s">
        <v>62</v>
      </c>
      <c r="I59" s="16" t="s">
        <v>62</v>
      </c>
    </row>
    <row r="60" spans="1:9" ht="15.75" x14ac:dyDescent="0.25">
      <c r="A60" s="14"/>
    </row>
    <row r="61" spans="1:9" ht="15.75" x14ac:dyDescent="0.25">
      <c r="A61" s="14"/>
      <c r="H61" s="16" t="s">
        <v>44</v>
      </c>
      <c r="I61" s="16" t="s">
        <v>66</v>
      </c>
    </row>
    <row r="62" spans="1:9" ht="15.75" x14ac:dyDescent="0.25">
      <c r="A62" s="14"/>
      <c r="H62" s="16" t="s">
        <v>45</v>
      </c>
      <c r="I62" s="16" t="s">
        <v>46</v>
      </c>
    </row>
    <row r="63" spans="1:9" ht="15.75" x14ac:dyDescent="0.25">
      <c r="A63" s="14"/>
      <c r="H63" s="16" t="s">
        <v>47</v>
      </c>
      <c r="I63" s="16" t="s">
        <v>65</v>
      </c>
    </row>
    <row r="64" spans="1:9" ht="15.75" x14ac:dyDescent="0.25">
      <c r="A64" s="14"/>
      <c r="D64" s="2" t="s">
        <v>44</v>
      </c>
      <c r="E64" s="2" t="s">
        <v>49</v>
      </c>
      <c r="H64" s="16" t="s">
        <v>49</v>
      </c>
      <c r="I64" s="16" t="s">
        <v>68</v>
      </c>
    </row>
    <row r="65" spans="1:9" ht="15.75" x14ac:dyDescent="0.25">
      <c r="A65" s="14"/>
    </row>
    <row r="66" spans="1:9" ht="15.75" x14ac:dyDescent="0.25">
      <c r="A66" s="14"/>
      <c r="H66" s="16" t="s">
        <v>50</v>
      </c>
      <c r="I66" s="16" t="s">
        <v>51</v>
      </c>
    </row>
    <row r="67" spans="1:9" x14ac:dyDescent="0.25">
      <c r="A67" s="13"/>
      <c r="H67" s="16" t="s">
        <v>52</v>
      </c>
      <c r="I67" s="16" t="s">
        <v>67</v>
      </c>
    </row>
    <row r="68" spans="1:9" x14ac:dyDescent="0.25">
      <c r="A68" s="17"/>
      <c r="H68" s="16" t="s">
        <v>62</v>
      </c>
      <c r="I68" s="16" t="s">
        <v>62</v>
      </c>
    </row>
    <row r="69" spans="1:9" x14ac:dyDescent="0.25">
      <c r="A69" s="13"/>
      <c r="H69" s="16" t="s">
        <v>62</v>
      </c>
      <c r="I69" s="16" t="s">
        <v>62</v>
      </c>
    </row>
    <row r="70" spans="1:9" ht="15.75" x14ac:dyDescent="0.25">
      <c r="A70" s="14"/>
    </row>
    <row r="71" spans="1:9" ht="15.75" x14ac:dyDescent="0.25">
      <c r="A71" s="14"/>
    </row>
    <row r="72" spans="1:9" ht="15.75" x14ac:dyDescent="0.25">
      <c r="A72" s="14"/>
    </row>
    <row r="73" spans="1:9" ht="15.75" x14ac:dyDescent="0.25">
      <c r="A73" s="14"/>
    </row>
    <row r="74" spans="1:9" ht="15.75" x14ac:dyDescent="0.25">
      <c r="A74" s="14"/>
    </row>
    <row r="75" spans="1:9" ht="15.75" x14ac:dyDescent="0.25">
      <c r="A75" s="14"/>
    </row>
    <row r="76" spans="1:9" ht="15.75" x14ac:dyDescent="0.25">
      <c r="A76" s="14"/>
    </row>
    <row r="77" spans="1:9" ht="15.75" x14ac:dyDescent="0.25">
      <c r="A77" s="14"/>
    </row>
    <row r="78" spans="1:9" x14ac:dyDescent="0.25">
      <c r="A78" s="13"/>
    </row>
    <row r="79" spans="1:9" x14ac:dyDescent="0.25">
      <c r="A79" s="17"/>
    </row>
    <row r="80" spans="1:9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1:J104857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D36"/>
  <sheetViews>
    <sheetView workbookViewId="0">
      <selection activeCell="D1" sqref="D1:D1048576"/>
    </sheetView>
  </sheetViews>
  <sheetFormatPr baseColWidth="10" defaultRowHeight="15" x14ac:dyDescent="0.25"/>
  <cols>
    <col min="4" max="4" width="6" style="47" customWidth="1"/>
  </cols>
  <sheetData>
    <row r="1" spans="1:4" ht="15.75" thickBot="1" x14ac:dyDescent="0.3">
      <c r="A1" s="35">
        <v>6</v>
      </c>
      <c r="B1" s="6" t="s">
        <v>54</v>
      </c>
    </row>
    <row r="2" spans="1:4" ht="24.75" thickBot="1" x14ac:dyDescent="0.3">
      <c r="A2" s="35">
        <v>5</v>
      </c>
      <c r="B2" s="6" t="s">
        <v>54</v>
      </c>
      <c r="D2" s="48" t="s">
        <v>61</v>
      </c>
    </row>
    <row r="3" spans="1:4" x14ac:dyDescent="0.25">
      <c r="A3" s="35">
        <v>5</v>
      </c>
      <c r="B3" s="6" t="s">
        <v>54</v>
      </c>
    </row>
    <row r="4" spans="1:4" ht="15.75" x14ac:dyDescent="0.25">
      <c r="A4" s="35">
        <v>5</v>
      </c>
      <c r="B4" s="6" t="s">
        <v>54</v>
      </c>
      <c r="D4" s="49">
        <v>1</v>
      </c>
    </row>
    <row r="5" spans="1:4" ht="15.75" x14ac:dyDescent="0.25">
      <c r="A5" s="35">
        <v>5</v>
      </c>
      <c r="B5" s="6" t="s">
        <v>54</v>
      </c>
      <c r="D5" s="49">
        <v>3</v>
      </c>
    </row>
    <row r="6" spans="1:4" ht="15.75" x14ac:dyDescent="0.25">
      <c r="A6" s="35">
        <v>5</v>
      </c>
      <c r="B6" s="6" t="s">
        <v>54</v>
      </c>
      <c r="D6" s="49">
        <v>5</v>
      </c>
    </row>
    <row r="7" spans="1:4" ht="15.75" x14ac:dyDescent="0.25">
      <c r="A7" s="35">
        <v>5</v>
      </c>
      <c r="B7" s="6" t="s">
        <v>55</v>
      </c>
      <c r="D7" s="49">
        <v>7</v>
      </c>
    </row>
    <row r="8" spans="1:4" ht="15.75" x14ac:dyDescent="0.25">
      <c r="A8" s="35">
        <v>5</v>
      </c>
      <c r="B8" s="6" t="s">
        <v>55</v>
      </c>
      <c r="D8" s="49">
        <v>9</v>
      </c>
    </row>
    <row r="9" spans="1:4" ht="15.75" x14ac:dyDescent="0.25">
      <c r="A9" s="35">
        <v>5</v>
      </c>
      <c r="B9" s="6" t="s">
        <v>55</v>
      </c>
      <c r="D9" s="49">
        <v>11</v>
      </c>
    </row>
    <row r="10" spans="1:4" ht="15.75" thickBot="1" x14ac:dyDescent="0.3">
      <c r="A10" s="35">
        <v>5</v>
      </c>
      <c r="B10" s="6" t="s">
        <v>55</v>
      </c>
    </row>
    <row r="11" spans="1:4" ht="24.75" thickBot="1" x14ac:dyDescent="0.3">
      <c r="A11" s="35">
        <v>5</v>
      </c>
      <c r="B11" s="6" t="s">
        <v>55</v>
      </c>
      <c r="D11" s="48" t="s">
        <v>61</v>
      </c>
    </row>
    <row r="12" spans="1:4" x14ac:dyDescent="0.25">
      <c r="A12" s="35">
        <v>6</v>
      </c>
      <c r="B12" s="6" t="s">
        <v>56</v>
      </c>
    </row>
    <row r="13" spans="1:4" ht="15.75" x14ac:dyDescent="0.25">
      <c r="A13" s="35">
        <v>6</v>
      </c>
      <c r="B13" s="6" t="s">
        <v>56</v>
      </c>
      <c r="D13" s="50">
        <v>3</v>
      </c>
    </row>
    <row r="14" spans="1:4" ht="15.75" x14ac:dyDescent="0.25">
      <c r="A14" s="35">
        <v>6</v>
      </c>
      <c r="B14" s="6" t="s">
        <v>56</v>
      </c>
      <c r="D14" s="50">
        <v>1</v>
      </c>
    </row>
    <row r="15" spans="1:4" ht="15.75" x14ac:dyDescent="0.25">
      <c r="A15" s="35">
        <v>6</v>
      </c>
      <c r="B15" s="6" t="s">
        <v>57</v>
      </c>
      <c r="D15" s="50">
        <v>7</v>
      </c>
    </row>
    <row r="16" spans="1:4" ht="15.75" x14ac:dyDescent="0.25">
      <c r="D16" s="50">
        <v>5</v>
      </c>
    </row>
    <row r="17" spans="4:4" ht="15.75" x14ac:dyDescent="0.25">
      <c r="D17" s="50">
        <v>11</v>
      </c>
    </row>
    <row r="18" spans="4:4" ht="15.75" x14ac:dyDescent="0.25">
      <c r="D18" s="50">
        <v>9</v>
      </c>
    </row>
    <row r="19" spans="4:4" ht="15.75" thickBot="1" x14ac:dyDescent="0.3"/>
    <row r="20" spans="4:4" ht="24.75" thickBot="1" x14ac:dyDescent="0.3">
      <c r="D20" s="48" t="s">
        <v>61</v>
      </c>
    </row>
    <row r="22" spans="4:4" ht="15.75" x14ac:dyDescent="0.25">
      <c r="D22" s="51">
        <v>2</v>
      </c>
    </row>
    <row r="23" spans="4:4" ht="15.75" x14ac:dyDescent="0.25">
      <c r="D23" s="51">
        <v>4</v>
      </c>
    </row>
    <row r="24" spans="4:4" ht="15.75" x14ac:dyDescent="0.25">
      <c r="D24" s="51">
        <v>6</v>
      </c>
    </row>
    <row r="25" spans="4:4" ht="15.75" x14ac:dyDescent="0.25">
      <c r="D25" s="51">
        <v>8</v>
      </c>
    </row>
    <row r="26" spans="4:4" ht="15.75" x14ac:dyDescent="0.25">
      <c r="D26" s="51">
        <v>10</v>
      </c>
    </row>
    <row r="27" spans="4:4" ht="15.75" x14ac:dyDescent="0.25">
      <c r="D27" s="51">
        <v>12</v>
      </c>
    </row>
    <row r="28" spans="4:4" ht="15.75" thickBot="1" x14ac:dyDescent="0.3"/>
    <row r="29" spans="4:4" ht="24.75" thickBot="1" x14ac:dyDescent="0.3">
      <c r="D29" s="48" t="s">
        <v>61</v>
      </c>
    </row>
    <row r="31" spans="4:4" ht="15.75" x14ac:dyDescent="0.25">
      <c r="D31" s="52">
        <v>4</v>
      </c>
    </row>
    <row r="32" spans="4:4" ht="15.75" x14ac:dyDescent="0.25">
      <c r="D32" s="52">
        <v>2</v>
      </c>
    </row>
    <row r="33" spans="4:4" ht="15.75" x14ac:dyDescent="0.25">
      <c r="D33" s="52">
        <v>8</v>
      </c>
    </row>
    <row r="34" spans="4:4" ht="15.75" x14ac:dyDescent="0.25">
      <c r="D34" s="52">
        <v>6</v>
      </c>
    </row>
    <row r="35" spans="4:4" ht="15.75" x14ac:dyDescent="0.25">
      <c r="D35" s="52">
        <v>12</v>
      </c>
    </row>
    <row r="36" spans="4:4" ht="15.75" x14ac:dyDescent="0.25">
      <c r="D36" s="52">
        <v>10</v>
      </c>
    </row>
  </sheetData>
  <sheetProtection selectLockedCells="1"/>
  <dataValidations count="2">
    <dataValidation type="whole" allowBlank="1" showErrorMessage="1" errorTitle="ATTENTION" error="NOMBRE ENTIER UNIQUEMENT_x000a_COMPRIS ENTRE --&gt; 2 ET 16" sqref="A1:A15" xr:uid="{00000000-0002-0000-0200-000000000000}">
      <formula1>2</formula1>
      <formula2>20</formula2>
    </dataValidation>
    <dataValidation type="whole" allowBlank="1" showErrorMessage="1" errorTitle="ATTENTION" error="NOMBRE ENTIER UNIQUEMENT_x000a_COMPRIS ENTRE --&gt; 1 ET 12" sqref="D1:D1048576" xr:uid="{619D6550-D5B9-4B5D-9621-525004B48EF0}">
      <formula1>1</formula1>
      <formula2>12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dcterms:created xsi:type="dcterms:W3CDTF">2020-04-24T22:48:13Z</dcterms:created>
  <dcterms:modified xsi:type="dcterms:W3CDTF">2022-01-30T17:30:04Z</dcterms:modified>
</cp:coreProperties>
</file>