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2.xml" ContentType="application/vnd.openxmlformats-officedocument.drawing+xml"/>
  <Override PartName="/xl/ctrlProps/ctrlProp15.xml" ContentType="application/vnd.ms-excel.controlproperties+xml"/>
  <Override PartName="/xl/drawings/drawing13.xml" ContentType="application/vnd.openxmlformats-officedocument.drawing+xml"/>
  <Override PartName="/xl/ctrlProps/ctrlProp16.xml" ContentType="application/vnd.ms-excel.controlproperties+xml"/>
  <Override PartName="/xl/drawings/drawing14.xml" ContentType="application/vnd.openxmlformats-officedocument.drawing+xml"/>
  <Override PartName="/xl/ctrlProps/ctrlProp17.xml" ContentType="application/vnd.ms-excel.controlproperties+xml"/>
  <Override PartName="/xl/drawings/drawing1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6.xml" ContentType="application/vnd.openxmlformats-officedocument.drawing+xml"/>
  <Override PartName="/xl/ctrlProps/ctrlProp20.xml" ContentType="application/vnd.ms-excel.controlproperties+xml"/>
  <Override PartName="/xl/drawings/drawing17.xml" ContentType="application/vnd.openxmlformats-officedocument.drawing+xml"/>
  <Override PartName="/xl/ctrlProps/ctrlProp21.xml" ContentType="application/vnd.ms-excel.controlproperties+xml"/>
  <Override PartName="/xl/drawings/drawing18.xml" ContentType="application/vnd.openxmlformats-officedocument.drawing+xml"/>
  <Override PartName="/xl/ctrlProps/ctrlProp22.xml" ContentType="application/vnd.ms-excel.controlproperties+xml"/>
  <Override PartName="/xl/drawings/drawing19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RF2022\"/>
    </mc:Choice>
  </mc:AlternateContent>
  <xr:revisionPtr revIDLastSave="0" documentId="13_ncr:1_{1FA4A7EF-D329-4A02-9660-E52D5EF4075A}" xr6:coauthVersionLast="47" xr6:coauthVersionMax="47" xr10:uidLastSave="{00000000-0000-0000-0000-000000000000}"/>
  <bookViews>
    <workbookView xWindow="-1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INSCRIPTS" sheetId="72" r:id="rId4"/>
    <sheet name="INSCRIPTS_M" sheetId="73" r:id="rId5"/>
    <sheet name="MATCHS" sheetId="75" r:id="rId6"/>
    <sheet name="MATCHS_M" sheetId="76" r:id="rId7"/>
    <sheet name="CLASSEMENTS_POULE" sheetId="77" r:id="rId8"/>
    <sheet name="INSCRIPTS_PH" sheetId="78" r:id="rId9"/>
    <sheet name="INSCRIPTS_14" sheetId="74" r:id="rId10"/>
    <sheet name="MATCHS_14" sheetId="79" r:id="rId11"/>
    <sheet name="CLASSEMENTS" sheetId="80" r:id="rId12"/>
    <sheet name="CLASSEMENTS_14" sheetId="81" r:id="rId13"/>
    <sheet name="PHASE_FINAL_H_CONFIRME" sheetId="82" r:id="rId14"/>
    <sheet name="PHASE_FINAL_H_INTERMEDIAIRE" sheetId="83" r:id="rId15"/>
    <sheet name="PHASE_FINAL_F_CONF_ET_INTER" sheetId="84" r:id="rId16"/>
    <sheet name="FINAL_MATCHS" sheetId="85" r:id="rId17"/>
    <sheet name="PLACE_FINAL_H_CONFIRME" sheetId="88" r:id="rId18"/>
    <sheet name="PLACE_FINAL_H_INTERMEDIAIRE" sheetId="89" r:id="rId19"/>
    <sheet name="PLACE_FINAL_F_CONF_ET_INTER" sheetId="90" r:id="rId20"/>
    <sheet name="PLACE_FINAL_MIXE_LOISIR" sheetId="87" r:id="rId21"/>
    <sheet name="OMPN" sheetId="2" state="hidden" r:id="rId22"/>
  </sheets>
  <functionGroups builtInGroupCount="19"/>
  <externalReferences>
    <externalReference r:id="rId2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81" l="1"/>
  <c r="D16" i="81"/>
  <c r="D15" i="81"/>
  <c r="D14" i="81"/>
  <c r="D13" i="81"/>
  <c r="D12" i="81"/>
  <c r="D11" i="81"/>
  <c r="D10" i="81"/>
  <c r="D9" i="81"/>
  <c r="D8" i="81"/>
  <c r="D7" i="81"/>
  <c r="D6" i="81"/>
  <c r="D5" i="81"/>
  <c r="D4" i="81"/>
  <c r="D121" i="85"/>
  <c r="D111" i="85"/>
  <c r="D101" i="85"/>
  <c r="D91" i="85"/>
  <c r="D81" i="85"/>
  <c r="D71" i="85"/>
  <c r="D61" i="85"/>
  <c r="D51" i="85"/>
  <c r="D41" i="85"/>
  <c r="D31" i="85"/>
  <c r="D21" i="85"/>
  <c r="D11" i="85"/>
  <c r="A17" i="1"/>
  <c r="D72" i="80" l="1"/>
  <c r="D71" i="80"/>
  <c r="D70" i="80"/>
  <c r="D69" i="80"/>
  <c r="D68" i="80"/>
  <c r="D67" i="80"/>
  <c r="D66" i="80"/>
  <c r="D65" i="80"/>
  <c r="D64" i="80"/>
  <c r="D63" i="80"/>
  <c r="D62" i="80"/>
  <c r="D61" i="80"/>
  <c r="D57" i="80"/>
  <c r="D56" i="80"/>
  <c r="D55" i="80"/>
  <c r="D54" i="80"/>
  <c r="D53" i="80"/>
  <c r="D52" i="80"/>
  <c r="D51" i="80"/>
  <c r="D50" i="80"/>
  <c r="D49" i="80"/>
  <c r="D48" i="80"/>
  <c r="D47" i="80"/>
  <c r="D46" i="80"/>
  <c r="D45" i="80"/>
  <c r="D44" i="80"/>
  <c r="D43" i="80"/>
  <c r="D42" i="80"/>
  <c r="D38" i="80"/>
  <c r="D37" i="80"/>
  <c r="D36" i="80"/>
  <c r="D35" i="80"/>
  <c r="D34" i="80"/>
  <c r="D33" i="80"/>
  <c r="D32" i="80"/>
  <c r="D31" i="80"/>
  <c r="D30" i="80"/>
  <c r="D29" i="80"/>
  <c r="D28" i="80"/>
  <c r="D27" i="80"/>
  <c r="D26" i="80"/>
  <c r="D25" i="80"/>
  <c r="D24" i="80"/>
  <c r="D23" i="80"/>
  <c r="D19" i="80"/>
  <c r="D18" i="80"/>
  <c r="D17" i="80"/>
  <c r="D16" i="80"/>
  <c r="D15" i="80"/>
  <c r="D14" i="80"/>
  <c r="D13" i="80"/>
  <c r="D12" i="80"/>
  <c r="D11" i="80"/>
  <c r="D10" i="80"/>
  <c r="D9" i="80"/>
  <c r="D8" i="80"/>
  <c r="D7" i="80"/>
  <c r="D6" i="80"/>
  <c r="D5" i="80"/>
  <c r="D4" i="80"/>
  <c r="F167" i="75"/>
  <c r="F166" i="75"/>
  <c r="F165" i="75"/>
  <c r="B167" i="75"/>
  <c r="B166" i="75"/>
  <c r="B165" i="75"/>
  <c r="D171" i="75"/>
  <c r="D151" i="75"/>
  <c r="D141" i="75"/>
  <c r="D131" i="75"/>
  <c r="D121" i="75"/>
  <c r="D111" i="75"/>
  <c r="D101" i="75"/>
  <c r="D91" i="75"/>
  <c r="D81" i="75"/>
  <c r="D71" i="75"/>
  <c r="D61" i="75"/>
  <c r="D51" i="75"/>
  <c r="D41" i="75"/>
  <c r="D31" i="75"/>
  <c r="D21" i="75"/>
  <c r="D11" i="75"/>
  <c r="H33" i="82"/>
  <c r="H16" i="82"/>
  <c r="H22" i="84"/>
  <c r="H8" i="82"/>
  <c r="H46" i="82"/>
  <c r="H59" i="82"/>
  <c r="H38" i="82"/>
  <c r="H39" i="82"/>
  <c r="H60" i="82"/>
  <c r="H17" i="84"/>
  <c r="H42" i="82"/>
  <c r="H22" i="82"/>
  <c r="H26" i="82"/>
  <c r="H26" i="84"/>
  <c r="H34" i="82"/>
  <c r="H68" i="82"/>
  <c r="H56" i="82"/>
  <c r="H16" i="84"/>
  <c r="H47" i="82"/>
  <c r="H29" i="82"/>
  <c r="H21" i="82"/>
  <c r="H34" i="83"/>
  <c r="H51" i="82"/>
  <c r="H30" i="82"/>
  <c r="H9" i="83"/>
  <c r="H33" i="83"/>
  <c r="H17" i="82"/>
  <c r="H12" i="82"/>
  <c r="H25" i="82"/>
  <c r="H4" i="82"/>
  <c r="H5" i="82"/>
  <c r="H9" i="82"/>
  <c r="H17" i="83"/>
  <c r="H16" i="83"/>
  <c r="H21" i="84"/>
  <c r="H43" i="82"/>
  <c r="H13" i="82"/>
  <c r="H67" i="82"/>
  <c r="H12" i="84"/>
  <c r="H25" i="84"/>
  <c r="H4" i="84"/>
  <c r="H5" i="84"/>
  <c r="H64" i="82"/>
  <c r="H13" i="84"/>
  <c r="H5" i="83"/>
  <c r="H13" i="83"/>
  <c r="H8" i="83"/>
  <c r="H50" i="82"/>
  <c r="H29" i="83"/>
  <c r="H8" i="84"/>
  <c r="H21" i="83"/>
  <c r="H22" i="83"/>
  <c r="H9" i="84"/>
  <c r="H30" i="83"/>
  <c r="H12" i="83"/>
  <c r="H25" i="83"/>
  <c r="H4" i="83"/>
  <c r="H26" i="83"/>
  <c r="H63" i="82"/>
  <c r="H55" i="82"/>
  <c r="M3" i="85" l="1"/>
  <c r="M4" i="85"/>
  <c r="M5" i="85"/>
  <c r="M6" i="85"/>
  <c r="M7" i="85"/>
  <c r="M8" i="85"/>
  <c r="M9" i="85"/>
  <c r="M10" i="85"/>
  <c r="M2" i="85"/>
  <c r="A14" i="90"/>
  <c r="A13" i="90"/>
  <c r="A12" i="90"/>
  <c r="A11" i="90"/>
  <c r="A10" i="90"/>
  <c r="A9" i="90"/>
  <c r="A8" i="90"/>
  <c r="A7" i="90"/>
  <c r="A6" i="90"/>
  <c r="A5" i="90"/>
  <c r="J9" i="90" s="1"/>
  <c r="A4" i="90"/>
  <c r="D8" i="90" s="1"/>
  <c r="A3" i="90"/>
  <c r="G7" i="90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D8" i="89" s="1"/>
  <c r="A3" i="89"/>
  <c r="G7" i="89" s="1"/>
  <c r="J9" i="89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4" i="88"/>
  <c r="A13" i="88"/>
  <c r="A12" i="88"/>
  <c r="A11" i="88"/>
  <c r="A10" i="88"/>
  <c r="A9" i="88"/>
  <c r="A8" i="88"/>
  <c r="A7" i="88"/>
  <c r="A6" i="88"/>
  <c r="A5" i="88"/>
  <c r="A4" i="88"/>
  <c r="D8" i="88" s="1"/>
  <c r="A3" i="88"/>
  <c r="G7" i="88" s="1"/>
  <c r="J9" i="88"/>
  <c r="G7" i="87"/>
  <c r="J9" i="87"/>
  <c r="D8" i="87"/>
  <c r="E117" i="85" l="1"/>
  <c r="C117" i="85"/>
  <c r="E116" i="85"/>
  <c r="C116" i="85"/>
  <c r="E115" i="85"/>
  <c r="C115" i="85"/>
  <c r="E114" i="85"/>
  <c r="C114" i="85"/>
  <c r="E113" i="85"/>
  <c r="C113" i="85"/>
  <c r="E112" i="85"/>
  <c r="C112" i="85"/>
  <c r="E109" i="85"/>
  <c r="C109" i="85"/>
  <c r="E108" i="85"/>
  <c r="C108" i="85"/>
  <c r="E107" i="85"/>
  <c r="C107" i="85"/>
  <c r="E106" i="85"/>
  <c r="C106" i="85"/>
  <c r="E105" i="85"/>
  <c r="C105" i="85"/>
  <c r="E104" i="85"/>
  <c r="C104" i="85"/>
  <c r="E103" i="85"/>
  <c r="C103" i="85"/>
  <c r="E102" i="85"/>
  <c r="C102" i="85"/>
  <c r="E99" i="85"/>
  <c r="C99" i="85"/>
  <c r="E98" i="85"/>
  <c r="C98" i="85"/>
  <c r="E97" i="85"/>
  <c r="C97" i="85"/>
  <c r="E96" i="85"/>
  <c r="C96" i="85"/>
  <c r="E95" i="85"/>
  <c r="C95" i="85"/>
  <c r="E94" i="85"/>
  <c r="C94" i="85"/>
  <c r="E93" i="85"/>
  <c r="C93" i="85"/>
  <c r="E92" i="85"/>
  <c r="C92" i="85"/>
  <c r="E89" i="85"/>
  <c r="C89" i="85"/>
  <c r="E88" i="85"/>
  <c r="C88" i="85"/>
  <c r="E87" i="85"/>
  <c r="C87" i="85"/>
  <c r="E86" i="85"/>
  <c r="C86" i="85"/>
  <c r="E85" i="85"/>
  <c r="C85" i="85"/>
  <c r="E84" i="85"/>
  <c r="C84" i="85"/>
  <c r="E83" i="85"/>
  <c r="C83" i="85"/>
  <c r="E82" i="85"/>
  <c r="C82" i="85"/>
  <c r="E77" i="85"/>
  <c r="C77" i="85"/>
  <c r="E76" i="85"/>
  <c r="C76" i="85"/>
  <c r="E75" i="85"/>
  <c r="C75" i="85"/>
  <c r="E74" i="85"/>
  <c r="C74" i="85"/>
  <c r="E73" i="85"/>
  <c r="C73" i="85"/>
  <c r="E72" i="85"/>
  <c r="C72" i="85"/>
  <c r="E69" i="85"/>
  <c r="C69" i="85"/>
  <c r="E68" i="85"/>
  <c r="C68" i="85"/>
  <c r="E67" i="85"/>
  <c r="C67" i="85"/>
  <c r="E66" i="85"/>
  <c r="C66" i="85"/>
  <c r="E65" i="85"/>
  <c r="C65" i="85"/>
  <c r="E64" i="85"/>
  <c r="C64" i="85"/>
  <c r="E63" i="85"/>
  <c r="C63" i="85"/>
  <c r="E62" i="85"/>
  <c r="C62" i="85"/>
  <c r="E59" i="85"/>
  <c r="C59" i="85"/>
  <c r="E58" i="85"/>
  <c r="C58" i="85"/>
  <c r="E57" i="85"/>
  <c r="C57" i="85"/>
  <c r="E56" i="85"/>
  <c r="C56" i="85"/>
  <c r="E55" i="85"/>
  <c r="C55" i="85"/>
  <c r="E54" i="85"/>
  <c r="C54" i="85"/>
  <c r="E53" i="85"/>
  <c r="C53" i="85"/>
  <c r="E52" i="85"/>
  <c r="C52" i="85"/>
  <c r="E49" i="85"/>
  <c r="C49" i="85"/>
  <c r="E48" i="85"/>
  <c r="C48" i="85"/>
  <c r="E47" i="85"/>
  <c r="C47" i="85"/>
  <c r="E46" i="85"/>
  <c r="C46" i="85"/>
  <c r="E45" i="85"/>
  <c r="C45" i="85"/>
  <c r="E44" i="85"/>
  <c r="C44" i="85"/>
  <c r="E43" i="85"/>
  <c r="C43" i="85"/>
  <c r="E42" i="85"/>
  <c r="C42" i="85"/>
  <c r="E37" i="85"/>
  <c r="C37" i="85"/>
  <c r="E36" i="85"/>
  <c r="C36" i="85"/>
  <c r="E35" i="85"/>
  <c r="C35" i="85"/>
  <c r="E34" i="85"/>
  <c r="C34" i="85"/>
  <c r="E33" i="85"/>
  <c r="C33" i="85"/>
  <c r="E32" i="85"/>
  <c r="C32" i="85"/>
  <c r="E29" i="85"/>
  <c r="C29" i="85"/>
  <c r="E28" i="85"/>
  <c r="C28" i="85"/>
  <c r="E27" i="85"/>
  <c r="C27" i="85"/>
  <c r="E26" i="85"/>
  <c r="C26" i="85"/>
  <c r="E25" i="85"/>
  <c r="C25" i="85"/>
  <c r="E24" i="85"/>
  <c r="C24" i="85"/>
  <c r="E23" i="85"/>
  <c r="C23" i="85"/>
  <c r="E22" i="85"/>
  <c r="C22" i="85"/>
  <c r="E19" i="85"/>
  <c r="C19" i="85"/>
  <c r="E18" i="85"/>
  <c r="C18" i="85"/>
  <c r="E17" i="85"/>
  <c r="C17" i="85"/>
  <c r="E16" i="85"/>
  <c r="C16" i="85"/>
  <c r="E15" i="85"/>
  <c r="C15" i="85"/>
  <c r="E14" i="85"/>
  <c r="C14" i="85"/>
  <c r="E13" i="85"/>
  <c r="C13" i="85"/>
  <c r="E12" i="85"/>
  <c r="C12" i="85"/>
  <c r="E9" i="85"/>
  <c r="C9" i="85"/>
  <c r="E8" i="85"/>
  <c r="C8" i="85"/>
  <c r="E7" i="85"/>
  <c r="C7" i="85"/>
  <c r="E6" i="85"/>
  <c r="C6" i="85"/>
  <c r="E5" i="85"/>
  <c r="C5" i="85"/>
  <c r="E4" i="85"/>
  <c r="C4" i="85"/>
  <c r="E3" i="85"/>
  <c r="C3" i="85"/>
  <c r="E2" i="85"/>
  <c r="C2" i="85"/>
  <c r="F120" i="85"/>
  <c r="B120" i="85"/>
  <c r="F119" i="85"/>
  <c r="B119" i="85"/>
  <c r="F118" i="85"/>
  <c r="B118" i="85"/>
  <c r="F117" i="85"/>
  <c r="F116" i="85"/>
  <c r="F80" i="85"/>
  <c r="B80" i="85"/>
  <c r="F79" i="85"/>
  <c r="B79" i="85"/>
  <c r="F78" i="85"/>
  <c r="B78" i="85"/>
  <c r="F40" i="85"/>
  <c r="B40" i="85"/>
  <c r="F39" i="85"/>
  <c r="B39" i="85"/>
  <c r="F38" i="85"/>
  <c r="B38" i="85"/>
  <c r="D231" i="85"/>
  <c r="D221" i="85"/>
  <c r="D211" i="85"/>
  <c r="D201" i="85"/>
  <c r="D191" i="85"/>
  <c r="D181" i="85"/>
  <c r="D171" i="85"/>
  <c r="D161" i="85"/>
  <c r="D151" i="85"/>
  <c r="D141" i="85"/>
  <c r="D131" i="85"/>
  <c r="N128" i="84"/>
  <c r="C128" i="84"/>
  <c r="N127" i="84"/>
  <c r="C127" i="84"/>
  <c r="K126" i="84"/>
  <c r="F126" i="84"/>
  <c r="K125" i="84"/>
  <c r="F125" i="84"/>
  <c r="K117" i="84"/>
  <c r="F117" i="84"/>
  <c r="K116" i="84"/>
  <c r="F116" i="84"/>
  <c r="N115" i="84"/>
  <c r="C115" i="84"/>
  <c r="N114" i="84"/>
  <c r="C114" i="84"/>
  <c r="N111" i="84"/>
  <c r="C111" i="84"/>
  <c r="N110" i="84"/>
  <c r="C110" i="84"/>
  <c r="K109" i="84"/>
  <c r="F109" i="84"/>
  <c r="K108" i="84"/>
  <c r="F108" i="84"/>
  <c r="K100" i="84"/>
  <c r="F100" i="84"/>
  <c r="K99" i="84"/>
  <c r="F99" i="84"/>
  <c r="N98" i="84"/>
  <c r="C98" i="84"/>
  <c r="N97" i="84"/>
  <c r="C97" i="84"/>
  <c r="N94" i="84"/>
  <c r="C94" i="84"/>
  <c r="N93" i="84"/>
  <c r="C93" i="84"/>
  <c r="K92" i="84"/>
  <c r="F92" i="84"/>
  <c r="K91" i="84"/>
  <c r="F91" i="84"/>
  <c r="K83" i="84"/>
  <c r="F83" i="84"/>
  <c r="K82" i="84"/>
  <c r="F82" i="84"/>
  <c r="N81" i="84"/>
  <c r="C81" i="84"/>
  <c r="N80" i="84"/>
  <c r="C80" i="84"/>
  <c r="N77" i="84"/>
  <c r="C77" i="84"/>
  <c r="N76" i="84"/>
  <c r="C76" i="84"/>
  <c r="K75" i="84"/>
  <c r="F75" i="84"/>
  <c r="K74" i="84"/>
  <c r="F74" i="84"/>
  <c r="K66" i="84"/>
  <c r="F66" i="84"/>
  <c r="K65" i="84"/>
  <c r="F65" i="84"/>
  <c r="N64" i="84"/>
  <c r="C64" i="84"/>
  <c r="N63" i="84"/>
  <c r="C63" i="84"/>
  <c r="N60" i="84"/>
  <c r="C60" i="84"/>
  <c r="N59" i="84"/>
  <c r="C59" i="84"/>
  <c r="K58" i="84"/>
  <c r="F58" i="84"/>
  <c r="K57" i="84"/>
  <c r="F57" i="84"/>
  <c r="K49" i="84"/>
  <c r="F49" i="84"/>
  <c r="K48" i="84"/>
  <c r="F48" i="84"/>
  <c r="N47" i="84"/>
  <c r="C47" i="84"/>
  <c r="N46" i="84"/>
  <c r="C46" i="84"/>
  <c r="N43" i="84"/>
  <c r="C43" i="84"/>
  <c r="N42" i="84"/>
  <c r="C42" i="84"/>
  <c r="K41" i="84"/>
  <c r="F41" i="84"/>
  <c r="K40" i="84"/>
  <c r="F40" i="84"/>
  <c r="K32" i="84"/>
  <c r="F32" i="84"/>
  <c r="K31" i="84"/>
  <c r="F31" i="84"/>
  <c r="N30" i="84"/>
  <c r="C30" i="84"/>
  <c r="N29" i="84"/>
  <c r="C29" i="84"/>
  <c r="N26" i="84"/>
  <c r="C26" i="84"/>
  <c r="N25" i="84"/>
  <c r="B116" i="85" s="1"/>
  <c r="C25" i="84"/>
  <c r="B117" i="85" s="1"/>
  <c r="K24" i="84"/>
  <c r="F76" i="85" s="1"/>
  <c r="F24" i="84"/>
  <c r="F77" i="85" s="1"/>
  <c r="K23" i="84"/>
  <c r="B76" i="85" s="1"/>
  <c r="F23" i="84"/>
  <c r="B77" i="85" s="1"/>
  <c r="K15" i="84"/>
  <c r="F73" i="85" s="1"/>
  <c r="F15" i="84"/>
  <c r="F75" i="85" s="1"/>
  <c r="K14" i="84"/>
  <c r="B73" i="85" s="1"/>
  <c r="F14" i="84"/>
  <c r="B75" i="85" s="1"/>
  <c r="N13" i="84"/>
  <c r="F113" i="85" s="1"/>
  <c r="C13" i="84"/>
  <c r="F115" i="85" s="1"/>
  <c r="N12" i="84"/>
  <c r="B113" i="85" s="1"/>
  <c r="C12" i="84"/>
  <c r="B115" i="85" s="1"/>
  <c r="N9" i="84"/>
  <c r="F112" i="85" s="1"/>
  <c r="C9" i="84"/>
  <c r="F114" i="85" s="1"/>
  <c r="N8" i="84"/>
  <c r="B112" i="85" s="1"/>
  <c r="C8" i="84"/>
  <c r="B114" i="85" s="1"/>
  <c r="K7" i="84"/>
  <c r="F72" i="85" s="1"/>
  <c r="F7" i="84"/>
  <c r="F74" i="85" s="1"/>
  <c r="K6" i="84"/>
  <c r="B72" i="85" s="1"/>
  <c r="F6" i="84"/>
  <c r="B74" i="85" s="1"/>
  <c r="N128" i="83"/>
  <c r="C128" i="83"/>
  <c r="N127" i="83"/>
  <c r="C127" i="83"/>
  <c r="K126" i="83"/>
  <c r="F126" i="83"/>
  <c r="K125" i="83"/>
  <c r="F125" i="83"/>
  <c r="K117" i="83"/>
  <c r="F117" i="83"/>
  <c r="K116" i="83"/>
  <c r="F116" i="83"/>
  <c r="N115" i="83"/>
  <c r="C115" i="83"/>
  <c r="N114" i="83"/>
  <c r="C114" i="83"/>
  <c r="N111" i="83"/>
  <c r="C111" i="83"/>
  <c r="N110" i="83"/>
  <c r="C110" i="83"/>
  <c r="K109" i="83"/>
  <c r="F109" i="83"/>
  <c r="K108" i="83"/>
  <c r="F108" i="83"/>
  <c r="K100" i="83"/>
  <c r="F100" i="83"/>
  <c r="K99" i="83"/>
  <c r="F99" i="83"/>
  <c r="N98" i="83"/>
  <c r="C98" i="83"/>
  <c r="N97" i="83"/>
  <c r="C97" i="83"/>
  <c r="N94" i="83"/>
  <c r="C94" i="83"/>
  <c r="N93" i="83"/>
  <c r="C93" i="83"/>
  <c r="K92" i="83"/>
  <c r="F92" i="83"/>
  <c r="K91" i="83"/>
  <c r="F91" i="83"/>
  <c r="K83" i="83"/>
  <c r="F83" i="83"/>
  <c r="K82" i="83"/>
  <c r="F82" i="83"/>
  <c r="N81" i="83"/>
  <c r="C81" i="83"/>
  <c r="N80" i="83"/>
  <c r="C80" i="83"/>
  <c r="N77" i="83"/>
  <c r="C77" i="83"/>
  <c r="N76" i="83"/>
  <c r="C76" i="83"/>
  <c r="K75" i="83"/>
  <c r="F75" i="83"/>
  <c r="K74" i="83"/>
  <c r="F74" i="83"/>
  <c r="K66" i="83"/>
  <c r="F66" i="83"/>
  <c r="K65" i="83"/>
  <c r="F65" i="83"/>
  <c r="N64" i="83"/>
  <c r="C64" i="83"/>
  <c r="N63" i="83"/>
  <c r="C63" i="83"/>
  <c r="N60" i="83"/>
  <c r="C60" i="83"/>
  <c r="N59" i="83"/>
  <c r="C59" i="83"/>
  <c r="K58" i="83"/>
  <c r="F58" i="83"/>
  <c r="K57" i="83"/>
  <c r="F57" i="83"/>
  <c r="K49" i="83"/>
  <c r="F49" i="83"/>
  <c r="K48" i="83"/>
  <c r="F48" i="83"/>
  <c r="N47" i="83"/>
  <c r="C47" i="83"/>
  <c r="N46" i="83"/>
  <c r="C46" i="83"/>
  <c r="N43" i="83"/>
  <c r="C43" i="83"/>
  <c r="N42" i="83"/>
  <c r="C42" i="83"/>
  <c r="K41" i="83"/>
  <c r="F41" i="83"/>
  <c r="K40" i="83"/>
  <c r="F40" i="83"/>
  <c r="K32" i="83"/>
  <c r="F67" i="85" s="1"/>
  <c r="F32" i="83"/>
  <c r="F69" i="85" s="1"/>
  <c r="K31" i="83"/>
  <c r="B67" i="85" s="1"/>
  <c r="F31" i="83"/>
  <c r="B69" i="85" s="1"/>
  <c r="N30" i="83"/>
  <c r="F107" i="85" s="1"/>
  <c r="C30" i="83"/>
  <c r="F109" i="85" s="1"/>
  <c r="N29" i="83"/>
  <c r="B107" i="85" s="1"/>
  <c r="C29" i="83"/>
  <c r="B109" i="85" s="1"/>
  <c r="N26" i="83"/>
  <c r="F106" i="85" s="1"/>
  <c r="C26" i="83"/>
  <c r="F108" i="85" s="1"/>
  <c r="N25" i="83"/>
  <c r="B106" i="85" s="1"/>
  <c r="C25" i="83"/>
  <c r="B108" i="85" s="1"/>
  <c r="K24" i="83"/>
  <c r="F66" i="85" s="1"/>
  <c r="F24" i="83"/>
  <c r="F68" i="85" s="1"/>
  <c r="K23" i="83"/>
  <c r="B66" i="85" s="1"/>
  <c r="F23" i="83"/>
  <c r="B68" i="85" s="1"/>
  <c r="K15" i="83"/>
  <c r="F63" i="85" s="1"/>
  <c r="F15" i="83"/>
  <c r="F65" i="85" s="1"/>
  <c r="K14" i="83"/>
  <c r="B63" i="85" s="1"/>
  <c r="F14" i="83"/>
  <c r="B65" i="85" s="1"/>
  <c r="N13" i="83"/>
  <c r="F103" i="85" s="1"/>
  <c r="C13" i="83"/>
  <c r="F105" i="85" s="1"/>
  <c r="N12" i="83"/>
  <c r="B103" i="85" s="1"/>
  <c r="C12" i="83"/>
  <c r="B105" i="85" s="1"/>
  <c r="N9" i="83"/>
  <c r="C9" i="83"/>
  <c r="F104" i="85" s="1"/>
  <c r="N8" i="83"/>
  <c r="B102" i="85" s="1"/>
  <c r="C8" i="83"/>
  <c r="B104" i="85" s="1"/>
  <c r="K7" i="83"/>
  <c r="F62" i="85" s="1"/>
  <c r="F7" i="83"/>
  <c r="F64" i="85" s="1"/>
  <c r="K6" i="83"/>
  <c r="B62" i="85" s="1"/>
  <c r="F6" i="83"/>
  <c r="B64" i="85" s="1"/>
  <c r="N128" i="82"/>
  <c r="C128" i="82"/>
  <c r="N127" i="82"/>
  <c r="C127" i="82"/>
  <c r="K126" i="82"/>
  <c r="F126" i="82"/>
  <c r="K125" i="82"/>
  <c r="F125" i="82"/>
  <c r="K117" i="82"/>
  <c r="F117" i="82"/>
  <c r="K116" i="82"/>
  <c r="F116" i="82"/>
  <c r="N115" i="82"/>
  <c r="C115" i="82"/>
  <c r="N114" i="82"/>
  <c r="C114" i="82"/>
  <c r="N111" i="82"/>
  <c r="C111" i="82"/>
  <c r="N110" i="82"/>
  <c r="C110" i="82"/>
  <c r="K109" i="82"/>
  <c r="F109" i="82"/>
  <c r="K108" i="82"/>
  <c r="F108" i="82"/>
  <c r="K100" i="82"/>
  <c r="F100" i="82"/>
  <c r="K99" i="82"/>
  <c r="F99" i="82"/>
  <c r="N98" i="82"/>
  <c r="C98" i="82"/>
  <c r="N97" i="82"/>
  <c r="C97" i="82"/>
  <c r="N94" i="82"/>
  <c r="C94" i="82"/>
  <c r="N93" i="82"/>
  <c r="C93" i="82"/>
  <c r="K92" i="82"/>
  <c r="F92" i="82"/>
  <c r="K91" i="82"/>
  <c r="F91" i="82"/>
  <c r="K83" i="82"/>
  <c r="F83" i="82"/>
  <c r="K82" i="82"/>
  <c r="F82" i="82"/>
  <c r="N81" i="82"/>
  <c r="C81" i="82"/>
  <c r="N80" i="82"/>
  <c r="C80" i="82"/>
  <c r="N77" i="82"/>
  <c r="C77" i="82"/>
  <c r="N76" i="82"/>
  <c r="C76" i="82"/>
  <c r="K75" i="82"/>
  <c r="F75" i="82"/>
  <c r="K74" i="82"/>
  <c r="F74" i="82"/>
  <c r="K66" i="82"/>
  <c r="F57" i="85" s="1"/>
  <c r="F66" i="82"/>
  <c r="F59" i="85" s="1"/>
  <c r="K65" i="82"/>
  <c r="B57" i="85" s="1"/>
  <c r="F65" i="82"/>
  <c r="B59" i="85" s="1"/>
  <c r="N64" i="82"/>
  <c r="F97" i="85" s="1"/>
  <c r="C64" i="82"/>
  <c r="F99" i="85" s="1"/>
  <c r="N63" i="82"/>
  <c r="B97" i="85" s="1"/>
  <c r="C63" i="82"/>
  <c r="B99" i="85" s="1"/>
  <c r="N60" i="82"/>
  <c r="F96" i="85" s="1"/>
  <c r="C60" i="82"/>
  <c r="F98" i="85" s="1"/>
  <c r="N59" i="82"/>
  <c r="B96" i="85" s="1"/>
  <c r="C59" i="82"/>
  <c r="B98" i="85" s="1"/>
  <c r="K58" i="82"/>
  <c r="F56" i="85" s="1"/>
  <c r="F58" i="82"/>
  <c r="F58" i="85" s="1"/>
  <c r="K57" i="82"/>
  <c r="B56" i="85" s="1"/>
  <c r="F57" i="82"/>
  <c r="B58" i="85" s="1"/>
  <c r="K49" i="82"/>
  <c r="F53" i="85" s="1"/>
  <c r="F49" i="82"/>
  <c r="F55" i="85" s="1"/>
  <c r="K48" i="82"/>
  <c r="B53" i="85" s="1"/>
  <c r="F48" i="82"/>
  <c r="B55" i="85" s="1"/>
  <c r="N47" i="82"/>
  <c r="F93" i="85" s="1"/>
  <c r="C47" i="82"/>
  <c r="F95" i="85" s="1"/>
  <c r="N46" i="82"/>
  <c r="B93" i="85" s="1"/>
  <c r="C46" i="82"/>
  <c r="B95" i="85" s="1"/>
  <c r="N43" i="82"/>
  <c r="F92" i="85" s="1"/>
  <c r="C43" i="82"/>
  <c r="F94" i="85" s="1"/>
  <c r="N42" i="82"/>
  <c r="B92" i="85" s="1"/>
  <c r="C42" i="82"/>
  <c r="B94" i="85" s="1"/>
  <c r="K41" i="82"/>
  <c r="F52" i="85" s="1"/>
  <c r="F41" i="82"/>
  <c r="F54" i="85" s="1"/>
  <c r="K40" i="82"/>
  <c r="B52" i="85" s="1"/>
  <c r="F40" i="82"/>
  <c r="B54" i="85" s="1"/>
  <c r="K32" i="82"/>
  <c r="F47" i="85" s="1"/>
  <c r="F32" i="82"/>
  <c r="F49" i="85" s="1"/>
  <c r="K31" i="82"/>
  <c r="B47" i="85" s="1"/>
  <c r="F31" i="82"/>
  <c r="B49" i="85" s="1"/>
  <c r="N30" i="82"/>
  <c r="F87" i="85" s="1"/>
  <c r="C30" i="82"/>
  <c r="F89" i="85" s="1"/>
  <c r="N29" i="82"/>
  <c r="B87" i="85" s="1"/>
  <c r="C29" i="82"/>
  <c r="B89" i="85" s="1"/>
  <c r="N26" i="82"/>
  <c r="F86" i="85" s="1"/>
  <c r="C26" i="82"/>
  <c r="F88" i="85" s="1"/>
  <c r="N25" i="82"/>
  <c r="B86" i="85" s="1"/>
  <c r="C25" i="82"/>
  <c r="B88" i="85" s="1"/>
  <c r="K24" i="82"/>
  <c r="F46" i="85" s="1"/>
  <c r="F24" i="82"/>
  <c r="F48" i="85" s="1"/>
  <c r="K23" i="82"/>
  <c r="B46" i="85" s="1"/>
  <c r="F23" i="82"/>
  <c r="B48" i="85" s="1"/>
  <c r="K15" i="82"/>
  <c r="F43" i="85" s="1"/>
  <c r="F15" i="82"/>
  <c r="F45" i="85" s="1"/>
  <c r="K14" i="82"/>
  <c r="B43" i="85" s="1"/>
  <c r="F14" i="82"/>
  <c r="B45" i="85" s="1"/>
  <c r="N13" i="82"/>
  <c r="F83" i="85" s="1"/>
  <c r="C13" i="82"/>
  <c r="F85" i="85" s="1"/>
  <c r="N12" i="82"/>
  <c r="B83" i="85" s="1"/>
  <c r="C12" i="82"/>
  <c r="B85" i="85" s="1"/>
  <c r="N9" i="82"/>
  <c r="F82" i="85" s="1"/>
  <c r="C9" i="82"/>
  <c r="F84" i="85" s="1"/>
  <c r="N8" i="82"/>
  <c r="B82" i="85" s="1"/>
  <c r="C8" i="82"/>
  <c r="B84" i="85" s="1"/>
  <c r="K7" i="82"/>
  <c r="F42" i="85" s="1"/>
  <c r="F7" i="82"/>
  <c r="F44" i="85" s="1"/>
  <c r="K6" i="82"/>
  <c r="B42" i="85" s="1"/>
  <c r="F6" i="82"/>
  <c r="B44" i="85" s="1"/>
  <c r="L30" i="80"/>
  <c r="L29" i="80"/>
  <c r="L28" i="80"/>
  <c r="L27" i="80"/>
  <c r="L26" i="80"/>
  <c r="L25" i="80"/>
  <c r="L24" i="80"/>
  <c r="L23" i="80"/>
  <c r="L19" i="80"/>
  <c r="L38" i="80" s="1"/>
  <c r="L18" i="80"/>
  <c r="L37" i="80" s="1"/>
  <c r="L17" i="80"/>
  <c r="L36" i="80" s="1"/>
  <c r="L16" i="80"/>
  <c r="L35" i="80" s="1"/>
  <c r="L15" i="80"/>
  <c r="L34" i="80" s="1"/>
  <c r="L14" i="80"/>
  <c r="L33" i="80" s="1"/>
  <c r="L13" i="80"/>
  <c r="L32" i="80" s="1"/>
  <c r="L12" i="80"/>
  <c r="L31" i="80" s="1"/>
  <c r="F28" i="79"/>
  <c r="B28" i="79"/>
  <c r="F27" i="79"/>
  <c r="B27" i="79"/>
  <c r="F26" i="79"/>
  <c r="B26" i="79"/>
  <c r="F25" i="79"/>
  <c r="B25" i="79"/>
  <c r="F24" i="79"/>
  <c r="B24" i="79"/>
  <c r="F23" i="79"/>
  <c r="B23" i="79"/>
  <c r="F21" i="79"/>
  <c r="B21" i="79"/>
  <c r="F20" i="79"/>
  <c r="B20" i="79"/>
  <c r="F19" i="79"/>
  <c r="B19" i="79"/>
  <c r="F18" i="79"/>
  <c r="B18" i="79"/>
  <c r="F17" i="79"/>
  <c r="B17" i="79"/>
  <c r="F16" i="79"/>
  <c r="B16" i="79"/>
  <c r="F14" i="79"/>
  <c r="B14" i="79"/>
  <c r="F13" i="79"/>
  <c r="B13" i="79"/>
  <c r="F12" i="79"/>
  <c r="B12" i="79"/>
  <c r="F11" i="79"/>
  <c r="B11" i="79"/>
  <c r="F10" i="79"/>
  <c r="B10" i="79"/>
  <c r="F9" i="79"/>
  <c r="B9" i="79"/>
  <c r="F7" i="79"/>
  <c r="B7" i="79"/>
  <c r="F6" i="79"/>
  <c r="B6" i="79"/>
  <c r="F5" i="79"/>
  <c r="B5" i="79"/>
  <c r="F4" i="79"/>
  <c r="B4" i="79"/>
  <c r="F3" i="79"/>
  <c r="B3" i="79"/>
  <c r="F2" i="79"/>
  <c r="B2" i="79"/>
  <c r="D631" i="79"/>
  <c r="D624" i="79"/>
  <c r="D617" i="79"/>
  <c r="D610" i="79"/>
  <c r="D603" i="79"/>
  <c r="D596" i="79"/>
  <c r="D589" i="79"/>
  <c r="D582" i="79"/>
  <c r="D575" i="79"/>
  <c r="D568" i="79"/>
  <c r="D561" i="79"/>
  <c r="D554" i="79"/>
  <c r="D547" i="79"/>
  <c r="D540" i="79"/>
  <c r="D533" i="79"/>
  <c r="D526" i="79"/>
  <c r="D519" i="79"/>
  <c r="D512" i="79"/>
  <c r="D505" i="79"/>
  <c r="D498" i="79"/>
  <c r="D491" i="79"/>
  <c r="D484" i="79"/>
  <c r="D477" i="79"/>
  <c r="D470" i="79"/>
  <c r="D463" i="79"/>
  <c r="D456" i="79"/>
  <c r="D449" i="79"/>
  <c r="D442" i="79"/>
  <c r="D435" i="79"/>
  <c r="D428" i="79"/>
  <c r="D421" i="79"/>
  <c r="D414" i="79"/>
  <c r="D407" i="79"/>
  <c r="D400" i="79"/>
  <c r="D393" i="79"/>
  <c r="D386" i="79"/>
  <c r="D379" i="79"/>
  <c r="D372" i="79"/>
  <c r="D365" i="79"/>
  <c r="D358" i="79"/>
  <c r="D351" i="79"/>
  <c r="D344" i="79"/>
  <c r="D337" i="79"/>
  <c r="D330" i="79"/>
  <c r="D323" i="79"/>
  <c r="D316" i="79"/>
  <c r="D309" i="79"/>
  <c r="D302" i="79"/>
  <c r="D295" i="79"/>
  <c r="D288" i="79"/>
  <c r="D281" i="79"/>
  <c r="D274" i="79"/>
  <c r="D267" i="79"/>
  <c r="D260" i="79"/>
  <c r="D253" i="79"/>
  <c r="D246" i="79"/>
  <c r="D239" i="79"/>
  <c r="D232" i="79"/>
  <c r="D225" i="79"/>
  <c r="D218" i="79"/>
  <c r="D211" i="79"/>
  <c r="D204" i="79"/>
  <c r="D197" i="79"/>
  <c r="D190" i="79"/>
  <c r="D183" i="79"/>
  <c r="D176" i="79"/>
  <c r="D169" i="79"/>
  <c r="D162" i="79"/>
  <c r="D155" i="79"/>
  <c r="D148" i="79"/>
  <c r="D141" i="79"/>
  <c r="D134" i="79"/>
  <c r="D127" i="79"/>
  <c r="D120" i="79"/>
  <c r="D113" i="79"/>
  <c r="D106" i="79"/>
  <c r="D99" i="79"/>
  <c r="D92" i="79"/>
  <c r="D85" i="79"/>
  <c r="D78" i="79"/>
  <c r="D71" i="79"/>
  <c r="D64" i="79"/>
  <c r="D57" i="79"/>
  <c r="D50" i="79"/>
  <c r="D43" i="79"/>
  <c r="D36" i="79"/>
  <c r="D29" i="79"/>
  <c r="D22" i="79"/>
  <c r="D15" i="79"/>
  <c r="D8" i="79"/>
  <c r="D112" i="77"/>
  <c r="D111" i="77"/>
  <c r="D110" i="77"/>
  <c r="D109" i="77"/>
  <c r="D108" i="77"/>
  <c r="D107" i="77"/>
  <c r="D106" i="77"/>
  <c r="D105" i="77"/>
  <c r="D104" i="77"/>
  <c r="D103" i="77"/>
  <c r="D99" i="77"/>
  <c r="D98" i="77"/>
  <c r="D97" i="77"/>
  <c r="D96" i="77"/>
  <c r="D95" i="77"/>
  <c r="D94" i="77"/>
  <c r="D90" i="77"/>
  <c r="D89" i="77"/>
  <c r="D88" i="77"/>
  <c r="D87" i="77"/>
  <c r="D86" i="77"/>
  <c r="D85" i="77"/>
  <c r="D84" i="77"/>
  <c r="D80" i="77"/>
  <c r="D79" i="77"/>
  <c r="D78" i="77"/>
  <c r="D77" i="77"/>
  <c r="D76" i="77"/>
  <c r="D72" i="77"/>
  <c r="D71" i="77"/>
  <c r="D70" i="77"/>
  <c r="D69" i="77"/>
  <c r="D68" i="77"/>
  <c r="D64" i="77"/>
  <c r="D63" i="77"/>
  <c r="D62" i="77"/>
  <c r="D61" i="77"/>
  <c r="D60" i="77"/>
  <c r="D56" i="77"/>
  <c r="D55" i="77"/>
  <c r="D54" i="77"/>
  <c r="D53" i="77"/>
  <c r="D52" i="77"/>
  <c r="D48" i="77"/>
  <c r="D47" i="77"/>
  <c r="D46" i="77"/>
  <c r="D45" i="77"/>
  <c r="D44" i="77"/>
  <c r="D40" i="77"/>
  <c r="D39" i="77"/>
  <c r="D38" i="77"/>
  <c r="D37" i="77"/>
  <c r="D36" i="77"/>
  <c r="D32" i="77"/>
  <c r="D31" i="77"/>
  <c r="D30" i="77"/>
  <c r="D29" i="77"/>
  <c r="D28" i="77"/>
  <c r="D24" i="77"/>
  <c r="D23" i="77"/>
  <c r="D22" i="77"/>
  <c r="D21" i="77"/>
  <c r="D20" i="77"/>
  <c r="D16" i="77"/>
  <c r="D15" i="77"/>
  <c r="D14" i="77"/>
  <c r="D13" i="77"/>
  <c r="D12" i="77"/>
  <c r="D8" i="77"/>
  <c r="D7" i="77"/>
  <c r="D6" i="77"/>
  <c r="D5" i="77"/>
  <c r="D4" i="77"/>
  <c r="F164" i="75"/>
  <c r="B164" i="75"/>
  <c r="F163" i="75"/>
  <c r="B163" i="75"/>
  <c r="F162" i="75"/>
  <c r="B162" i="75"/>
  <c r="F159" i="75"/>
  <c r="B159" i="75"/>
  <c r="F158" i="75"/>
  <c r="B158" i="75"/>
  <c r="F157" i="75"/>
  <c r="B157" i="75"/>
  <c r="F156" i="75"/>
  <c r="B156" i="75"/>
  <c r="F155" i="75"/>
  <c r="B155" i="75"/>
  <c r="F154" i="75"/>
  <c r="B154" i="75"/>
  <c r="F153" i="75"/>
  <c r="B153" i="75"/>
  <c r="F152" i="75"/>
  <c r="B152" i="75"/>
  <c r="F150" i="75"/>
  <c r="B150" i="75"/>
  <c r="F149" i="75"/>
  <c r="B149" i="75"/>
  <c r="F148" i="75"/>
  <c r="B148" i="75"/>
  <c r="F147" i="75"/>
  <c r="B147" i="75"/>
  <c r="F146" i="75"/>
  <c r="B146" i="75"/>
  <c r="F145" i="75"/>
  <c r="B145" i="75"/>
  <c r="F144" i="75"/>
  <c r="B144" i="75"/>
  <c r="F143" i="75"/>
  <c r="B143" i="75"/>
  <c r="F142" i="75"/>
  <c r="B142" i="75"/>
  <c r="F140" i="75"/>
  <c r="B140" i="75"/>
  <c r="F139" i="75"/>
  <c r="B139" i="75"/>
  <c r="F138" i="75"/>
  <c r="B138" i="75"/>
  <c r="F137" i="75"/>
  <c r="B137" i="75"/>
  <c r="F136" i="75"/>
  <c r="B136" i="75"/>
  <c r="F135" i="75"/>
  <c r="B135" i="75"/>
  <c r="F134" i="75"/>
  <c r="B134" i="75"/>
  <c r="F133" i="75"/>
  <c r="B133" i="75"/>
  <c r="F132" i="75"/>
  <c r="B132" i="75"/>
  <c r="F130" i="75"/>
  <c r="B130" i="75"/>
  <c r="F129" i="75"/>
  <c r="B129" i="75"/>
  <c r="F128" i="75"/>
  <c r="B128" i="75"/>
  <c r="F127" i="75"/>
  <c r="B127" i="75"/>
  <c r="F126" i="75"/>
  <c r="B126" i="75"/>
  <c r="F125" i="75"/>
  <c r="B125" i="75"/>
  <c r="F124" i="75"/>
  <c r="B124" i="75"/>
  <c r="F123" i="75"/>
  <c r="B123" i="75"/>
  <c r="F122" i="75"/>
  <c r="B122" i="75"/>
  <c r="F120" i="75"/>
  <c r="B120" i="75"/>
  <c r="F119" i="75"/>
  <c r="B119" i="75"/>
  <c r="F118" i="75"/>
  <c r="B118" i="75"/>
  <c r="F117" i="75"/>
  <c r="B117" i="75"/>
  <c r="F116" i="75"/>
  <c r="B116" i="75"/>
  <c r="F115" i="75"/>
  <c r="B115" i="75"/>
  <c r="F114" i="75"/>
  <c r="B114" i="75"/>
  <c r="F113" i="75"/>
  <c r="B113" i="75"/>
  <c r="F112" i="75"/>
  <c r="B112" i="75"/>
  <c r="F110" i="75"/>
  <c r="B110" i="75"/>
  <c r="F109" i="75"/>
  <c r="B109" i="75"/>
  <c r="F108" i="75"/>
  <c r="B108" i="75"/>
  <c r="F107" i="75"/>
  <c r="B107" i="75"/>
  <c r="F106" i="75"/>
  <c r="B106" i="75"/>
  <c r="F105" i="75"/>
  <c r="B105" i="75"/>
  <c r="F104" i="75"/>
  <c r="B104" i="75"/>
  <c r="F103" i="75"/>
  <c r="B103" i="75"/>
  <c r="F102" i="75"/>
  <c r="B102" i="75"/>
  <c r="F100" i="75"/>
  <c r="B100" i="75"/>
  <c r="F99" i="75"/>
  <c r="B99" i="75"/>
  <c r="F98" i="75"/>
  <c r="B98" i="75"/>
  <c r="F97" i="75"/>
  <c r="B97" i="75"/>
  <c r="F96" i="75"/>
  <c r="B96" i="75"/>
  <c r="F95" i="75"/>
  <c r="B95" i="75"/>
  <c r="F94" i="75"/>
  <c r="B94" i="75"/>
  <c r="F93" i="75"/>
  <c r="B93" i="75"/>
  <c r="F92" i="75"/>
  <c r="B92" i="75"/>
  <c r="F90" i="75"/>
  <c r="B90" i="75"/>
  <c r="F89" i="75"/>
  <c r="B89" i="75"/>
  <c r="F88" i="75"/>
  <c r="B88" i="75"/>
  <c r="F87" i="75"/>
  <c r="B87" i="75"/>
  <c r="F86" i="75"/>
  <c r="B86" i="75"/>
  <c r="F85" i="75"/>
  <c r="B85" i="75"/>
  <c r="F84" i="75"/>
  <c r="B84" i="75"/>
  <c r="F83" i="75"/>
  <c r="B83" i="75"/>
  <c r="F82" i="75"/>
  <c r="B82" i="75"/>
  <c r="F80" i="75"/>
  <c r="B80" i="75"/>
  <c r="F79" i="75"/>
  <c r="B79" i="75"/>
  <c r="F78" i="75"/>
  <c r="B78" i="75"/>
  <c r="F77" i="75"/>
  <c r="B77" i="75"/>
  <c r="F76" i="75"/>
  <c r="B76" i="75"/>
  <c r="F75" i="75"/>
  <c r="B75" i="75"/>
  <c r="F74" i="75"/>
  <c r="B74" i="75"/>
  <c r="F73" i="75"/>
  <c r="B73" i="75"/>
  <c r="F72" i="75"/>
  <c r="B72" i="75"/>
  <c r="F70" i="75"/>
  <c r="B70" i="75"/>
  <c r="F69" i="75"/>
  <c r="B69" i="75"/>
  <c r="F68" i="75"/>
  <c r="B68" i="75"/>
  <c r="F67" i="75"/>
  <c r="B67" i="75"/>
  <c r="F66" i="75"/>
  <c r="B66" i="75"/>
  <c r="F65" i="75"/>
  <c r="B65" i="75"/>
  <c r="F64" i="75"/>
  <c r="B64" i="75"/>
  <c r="F63" i="75"/>
  <c r="B63" i="75"/>
  <c r="F62" i="75"/>
  <c r="B62" i="75"/>
  <c r="F60" i="75"/>
  <c r="B60" i="75"/>
  <c r="F59" i="75"/>
  <c r="B59" i="75"/>
  <c r="F58" i="75"/>
  <c r="B58" i="75"/>
  <c r="F57" i="75"/>
  <c r="B57" i="75"/>
  <c r="F56" i="75"/>
  <c r="B56" i="75"/>
  <c r="F55" i="75"/>
  <c r="B55" i="75"/>
  <c r="F54" i="75"/>
  <c r="B54" i="75"/>
  <c r="F53" i="75"/>
  <c r="B53" i="75"/>
  <c r="F52" i="75"/>
  <c r="B52" i="75"/>
  <c r="F50" i="75"/>
  <c r="B50" i="75"/>
  <c r="F49" i="75"/>
  <c r="B49" i="75"/>
  <c r="F48" i="75"/>
  <c r="B48" i="75"/>
  <c r="F47" i="75"/>
  <c r="B47" i="75"/>
  <c r="F46" i="75"/>
  <c r="B46" i="75"/>
  <c r="F45" i="75"/>
  <c r="B45" i="75"/>
  <c r="F44" i="75"/>
  <c r="B44" i="75"/>
  <c r="F43" i="75"/>
  <c r="B43" i="75"/>
  <c r="F42" i="75"/>
  <c r="B42" i="75"/>
  <c r="F40" i="75"/>
  <c r="B40" i="75"/>
  <c r="F39" i="75"/>
  <c r="B39" i="75"/>
  <c r="F38" i="75"/>
  <c r="B38" i="75"/>
  <c r="F37" i="75"/>
  <c r="B37" i="75"/>
  <c r="F36" i="75"/>
  <c r="B36" i="75"/>
  <c r="F35" i="75"/>
  <c r="B35" i="75"/>
  <c r="F34" i="75"/>
  <c r="B34" i="75"/>
  <c r="F33" i="75"/>
  <c r="B33" i="75"/>
  <c r="F32" i="75"/>
  <c r="B32" i="75"/>
  <c r="F30" i="75"/>
  <c r="B30" i="75"/>
  <c r="F29" i="75"/>
  <c r="B29" i="75"/>
  <c r="F28" i="75"/>
  <c r="B28" i="75"/>
  <c r="F27" i="75"/>
  <c r="B27" i="75"/>
  <c r="F26" i="75"/>
  <c r="B26" i="75"/>
  <c r="F25" i="75"/>
  <c r="B25" i="75"/>
  <c r="F24" i="75"/>
  <c r="B24" i="75"/>
  <c r="F23" i="75"/>
  <c r="B23" i="75"/>
  <c r="F22" i="75"/>
  <c r="B22" i="75"/>
  <c r="F20" i="75"/>
  <c r="B20" i="75"/>
  <c r="F19" i="75"/>
  <c r="B19" i="75"/>
  <c r="F18" i="75"/>
  <c r="B18" i="75"/>
  <c r="F17" i="75"/>
  <c r="B17" i="75"/>
  <c r="F16" i="75"/>
  <c r="B16" i="75"/>
  <c r="F15" i="75"/>
  <c r="B15" i="75"/>
  <c r="F14" i="75"/>
  <c r="B14" i="75"/>
  <c r="F13" i="75"/>
  <c r="B13" i="75"/>
  <c r="F12" i="75"/>
  <c r="B12" i="75"/>
  <c r="F10" i="75"/>
  <c r="B10" i="75"/>
  <c r="F9" i="75"/>
  <c r="B9" i="75"/>
  <c r="F8" i="75"/>
  <c r="B8" i="75"/>
  <c r="F7" i="75"/>
  <c r="B7" i="75"/>
  <c r="F6" i="75"/>
  <c r="B6" i="75"/>
  <c r="F5" i="75"/>
  <c r="B5" i="75"/>
  <c r="F4" i="75"/>
  <c r="B4" i="75"/>
  <c r="F3" i="75"/>
  <c r="B3" i="75"/>
  <c r="F2" i="75"/>
  <c r="B2" i="75"/>
  <c r="F25" i="76"/>
  <c r="B25" i="76"/>
  <c r="F24" i="76"/>
  <c r="B24" i="76"/>
  <c r="F23" i="76"/>
  <c r="B23" i="76"/>
  <c r="F22" i="76"/>
  <c r="B22" i="76"/>
  <c r="F20" i="76"/>
  <c r="B20" i="76"/>
  <c r="F19" i="76"/>
  <c r="B19" i="76"/>
  <c r="F18" i="76"/>
  <c r="B18" i="76"/>
  <c r="F17" i="76"/>
  <c r="B17" i="76"/>
  <c r="F15" i="76"/>
  <c r="B15" i="76"/>
  <c r="F14" i="76"/>
  <c r="B14" i="76"/>
  <c r="F13" i="76"/>
  <c r="B13" i="76"/>
  <c r="F12" i="76"/>
  <c r="B12" i="76"/>
  <c r="F10" i="76"/>
  <c r="B10" i="76"/>
  <c r="F9" i="76"/>
  <c r="B9" i="76"/>
  <c r="F8" i="76"/>
  <c r="B8" i="76"/>
  <c r="F7" i="76"/>
  <c r="B7" i="76"/>
  <c r="F5" i="76"/>
  <c r="B5" i="76"/>
  <c r="F4" i="76"/>
  <c r="B4" i="76"/>
  <c r="F3" i="76"/>
  <c r="B3" i="76"/>
  <c r="F2" i="76"/>
  <c r="B2" i="76"/>
  <c r="D221" i="76"/>
  <c r="D216" i="76"/>
  <c r="D211" i="76"/>
  <c r="D206" i="76"/>
  <c r="D201" i="76"/>
  <c r="D196" i="76"/>
  <c r="D191" i="76"/>
  <c r="D186" i="76"/>
  <c r="D181" i="76"/>
  <c r="D176" i="76"/>
  <c r="D171" i="76"/>
  <c r="D166" i="76"/>
  <c r="D161" i="76"/>
  <c r="D156" i="76"/>
  <c r="D151" i="76"/>
  <c r="D146" i="76"/>
  <c r="D141" i="76"/>
  <c r="D136" i="76"/>
  <c r="D131" i="76"/>
  <c r="D126" i="76"/>
  <c r="D121" i="76"/>
  <c r="D116" i="76"/>
  <c r="D111" i="76"/>
  <c r="D106" i="76"/>
  <c r="D101" i="76"/>
  <c r="D96" i="76"/>
  <c r="D91" i="76"/>
  <c r="D86" i="76"/>
  <c r="D81" i="76"/>
  <c r="D76" i="76"/>
  <c r="D71" i="76"/>
  <c r="D66" i="76"/>
  <c r="D61" i="76"/>
  <c r="D56" i="76"/>
  <c r="D51" i="76"/>
  <c r="D46" i="76"/>
  <c r="D41" i="76"/>
  <c r="D36" i="76"/>
  <c r="D31" i="76"/>
  <c r="D26" i="76"/>
  <c r="D21" i="76"/>
  <c r="D16" i="76"/>
  <c r="D11" i="76"/>
  <c r="D6" i="76"/>
  <c r="D1451" i="75"/>
  <c r="D1441" i="75"/>
  <c r="D1431" i="75"/>
  <c r="D1421" i="75"/>
  <c r="D1411" i="75"/>
  <c r="D1401" i="75"/>
  <c r="D1391" i="75"/>
  <c r="D1381" i="75"/>
  <c r="D1371" i="75"/>
  <c r="D1361" i="75"/>
  <c r="D1351" i="75"/>
  <c r="D1341" i="75"/>
  <c r="D1331" i="75"/>
  <c r="D1321" i="75"/>
  <c r="D1311" i="75"/>
  <c r="D1301" i="75"/>
  <c r="D1291" i="75"/>
  <c r="D1281" i="75"/>
  <c r="D1271" i="75"/>
  <c r="D1261" i="75"/>
  <c r="D1251" i="75"/>
  <c r="D1241" i="75"/>
  <c r="D1231" i="75"/>
  <c r="D1221" i="75"/>
  <c r="D1211" i="75"/>
  <c r="D1201" i="75"/>
  <c r="D1191" i="75"/>
  <c r="D1181" i="75"/>
  <c r="D1171" i="75"/>
  <c r="D1161" i="75"/>
  <c r="D1151" i="75"/>
  <c r="D1141" i="75"/>
  <c r="D1131" i="75"/>
  <c r="D1121" i="75"/>
  <c r="D1111" i="75"/>
  <c r="D1101" i="75"/>
  <c r="D1091" i="75"/>
  <c r="D1081" i="75"/>
  <c r="D1071" i="75"/>
  <c r="D1061" i="75"/>
  <c r="D1051" i="75"/>
  <c r="D1041" i="75"/>
  <c r="D1031" i="75"/>
  <c r="D1021" i="75"/>
  <c r="D1011" i="75"/>
  <c r="D1001" i="75"/>
  <c r="D991" i="75"/>
  <c r="D981" i="75"/>
  <c r="D971" i="75"/>
  <c r="D961" i="75"/>
  <c r="D951" i="75"/>
  <c r="D941" i="75"/>
  <c r="D931" i="75"/>
  <c r="D921" i="75"/>
  <c r="D911" i="75"/>
  <c r="D901" i="75"/>
  <c r="D891" i="75"/>
  <c r="D881" i="75"/>
  <c r="D871" i="75"/>
  <c r="D861" i="75"/>
  <c r="D851" i="75"/>
  <c r="D841" i="75"/>
  <c r="D831" i="75"/>
  <c r="D821" i="75"/>
  <c r="D811" i="75"/>
  <c r="D801" i="75"/>
  <c r="D791" i="75"/>
  <c r="D781" i="75"/>
  <c r="D771" i="75"/>
  <c r="D761" i="75"/>
  <c r="D751" i="75"/>
  <c r="D741" i="75"/>
  <c r="D731" i="75"/>
  <c r="D721" i="75"/>
  <c r="D711" i="75"/>
  <c r="D701" i="75"/>
  <c r="D691" i="75"/>
  <c r="D681" i="75"/>
  <c r="D671" i="75"/>
  <c r="D661" i="75"/>
  <c r="D651" i="75"/>
  <c r="D641" i="75"/>
  <c r="D631" i="75"/>
  <c r="D621" i="75"/>
  <c r="D611" i="75"/>
  <c r="D601" i="75"/>
  <c r="D591" i="75"/>
  <c r="D581" i="75"/>
  <c r="D571" i="75"/>
  <c r="D561" i="75"/>
  <c r="D551" i="75"/>
  <c r="D541" i="75"/>
  <c r="D531" i="75"/>
  <c r="D521" i="75"/>
  <c r="D511" i="75"/>
  <c r="D501" i="75"/>
  <c r="D491" i="75"/>
  <c r="D481" i="75"/>
  <c r="D471" i="75"/>
  <c r="D461" i="75"/>
  <c r="D451" i="75"/>
  <c r="D441" i="75"/>
  <c r="D431" i="75"/>
  <c r="D421" i="75"/>
  <c r="D411" i="75"/>
  <c r="D401" i="75"/>
  <c r="D391" i="75"/>
  <c r="D381" i="75"/>
  <c r="D371" i="75"/>
  <c r="D361" i="75"/>
  <c r="D351" i="75"/>
  <c r="D341" i="75"/>
  <c r="D331" i="75"/>
  <c r="D321" i="75"/>
  <c r="D311" i="75"/>
  <c r="D301" i="75"/>
  <c r="D291" i="75"/>
  <c r="D281" i="75"/>
  <c r="D271" i="75"/>
  <c r="D261" i="75"/>
  <c r="D251" i="75"/>
  <c r="D241" i="75"/>
  <c r="D231" i="75"/>
  <c r="D221" i="75"/>
  <c r="D211" i="75"/>
  <c r="D201" i="75"/>
  <c r="D191" i="75"/>
  <c r="D181" i="75"/>
  <c r="A38" i="1"/>
  <c r="B30" i="1" a="1"/>
  <c r="B30" i="1" s="1"/>
  <c r="R21" i="71"/>
  <c r="R17" i="71"/>
  <c r="R13" i="71"/>
  <c r="R9" i="71"/>
  <c r="R5" i="71"/>
  <c r="M874" i="71"/>
  <c r="M865" i="71"/>
  <c r="M856" i="71"/>
  <c r="M847" i="71"/>
  <c r="M838" i="71"/>
  <c r="M829" i="71"/>
  <c r="M820" i="71"/>
  <c r="M811" i="71"/>
  <c r="M802" i="71"/>
  <c r="M793" i="71"/>
  <c r="M784" i="71"/>
  <c r="M775" i="71"/>
  <c r="M766" i="71"/>
  <c r="M757" i="71"/>
  <c r="M748" i="71"/>
  <c r="M739" i="71"/>
  <c r="M730" i="71"/>
  <c r="M721" i="71"/>
  <c r="M712" i="71"/>
  <c r="M703" i="71"/>
  <c r="M694" i="71"/>
  <c r="M685" i="71"/>
  <c r="M676" i="71"/>
  <c r="M667" i="71"/>
  <c r="M658" i="71"/>
  <c r="M649" i="71"/>
  <c r="M640" i="71"/>
  <c r="M631" i="71"/>
  <c r="M622" i="71"/>
  <c r="M613" i="71"/>
  <c r="M604" i="71"/>
  <c r="M595" i="71"/>
  <c r="M586" i="71"/>
  <c r="M577" i="71"/>
  <c r="M568" i="71"/>
  <c r="M559" i="71"/>
  <c r="M550" i="71"/>
  <c r="M541" i="71"/>
  <c r="M532" i="71"/>
  <c r="M523" i="71"/>
  <c r="M514" i="71"/>
  <c r="M505" i="71"/>
  <c r="M496" i="71"/>
  <c r="M487" i="71"/>
  <c r="M478" i="71"/>
  <c r="M469" i="71"/>
  <c r="M460" i="71"/>
  <c r="M451" i="71"/>
  <c r="M442" i="71"/>
  <c r="M433" i="71"/>
  <c r="M424" i="71"/>
  <c r="M415" i="71"/>
  <c r="M406" i="71"/>
  <c r="M397" i="71"/>
  <c r="M388" i="71"/>
  <c r="M379" i="71"/>
  <c r="M370" i="71"/>
  <c r="M361" i="71"/>
  <c r="M352" i="71"/>
  <c r="M343" i="71"/>
  <c r="M334" i="71"/>
  <c r="M325" i="71"/>
  <c r="M316" i="71"/>
  <c r="M307" i="71"/>
  <c r="M298" i="71"/>
  <c r="M289" i="71"/>
  <c r="M280" i="71"/>
  <c r="M271" i="71"/>
  <c r="M262" i="71"/>
  <c r="M253" i="71"/>
  <c r="M244" i="71"/>
  <c r="M235" i="71"/>
  <c r="M226" i="71"/>
  <c r="M217" i="71"/>
  <c r="M208" i="71"/>
  <c r="M199" i="71"/>
  <c r="M190" i="71"/>
  <c r="M181" i="71"/>
  <c r="M172" i="71"/>
  <c r="M163" i="71"/>
  <c r="M154" i="71"/>
  <c r="M145" i="71"/>
  <c r="M136" i="71"/>
  <c r="M127" i="7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  <c r="A34" i="1"/>
  <c r="E5" i="81"/>
  <c r="H72" i="80"/>
  <c r="H42" i="80"/>
  <c r="H14" i="80"/>
  <c r="F14" i="80"/>
  <c r="F71" i="77"/>
  <c r="G8" i="77"/>
  <c r="E68" i="77"/>
  <c r="F88" i="77"/>
  <c r="F64" i="77"/>
  <c r="H39" i="77"/>
  <c r="H15" i="81"/>
  <c r="F52" i="80"/>
  <c r="G19" i="80"/>
  <c r="E54" i="80"/>
  <c r="E26" i="80"/>
  <c r="H40" i="77"/>
  <c r="F104" i="77"/>
  <c r="G37" i="77"/>
  <c r="G99" i="77"/>
  <c r="G4" i="77"/>
  <c r="G16" i="77"/>
  <c r="H16" i="81"/>
  <c r="H38" i="80"/>
  <c r="E19" i="80"/>
  <c r="F13" i="80"/>
  <c r="G21" i="77"/>
  <c r="E8" i="77"/>
  <c r="G9" i="81"/>
  <c r="G28" i="80"/>
  <c r="F53" i="80"/>
  <c r="F54" i="80"/>
  <c r="G26" i="80"/>
  <c r="H86" i="77"/>
  <c r="E28" i="77"/>
  <c r="G80" i="77"/>
  <c r="H13" i="77"/>
  <c r="F106" i="77"/>
  <c r="G69" i="77"/>
  <c r="F10" i="81"/>
  <c r="G72" i="80"/>
  <c r="H12" i="80"/>
  <c r="G47" i="80"/>
  <c r="G111" i="77"/>
  <c r="F32" i="77"/>
  <c r="H94" i="77"/>
  <c r="E29" i="77"/>
  <c r="E94" i="77"/>
  <c r="G60" i="77"/>
  <c r="H21" i="77"/>
  <c r="F9" i="81"/>
  <c r="F63" i="80"/>
  <c r="G30" i="80"/>
  <c r="E65" i="80"/>
  <c r="F5" i="80"/>
  <c r="H54" i="77"/>
  <c r="F112" i="77"/>
  <c r="G48" i="77"/>
  <c r="G88" i="77"/>
  <c r="E47" i="77"/>
  <c r="F16" i="81"/>
  <c r="H28" i="80"/>
  <c r="H33" i="80"/>
  <c r="F30" i="80"/>
  <c r="H56" i="80"/>
  <c r="G112" i="77"/>
  <c r="E67" i="80"/>
  <c r="H22" i="77"/>
  <c r="E84" i="77"/>
  <c r="G46" i="80"/>
  <c r="E29" i="80"/>
  <c r="F61" i="77"/>
  <c r="E9" i="81"/>
  <c r="H53" i="80"/>
  <c r="H23" i="80"/>
  <c r="G55" i="80"/>
  <c r="H29" i="80"/>
  <c r="F46" i="77"/>
  <c r="H105" i="77"/>
  <c r="E40" i="77"/>
  <c r="E105" i="77"/>
  <c r="G104" i="77"/>
  <c r="E48" i="77"/>
  <c r="F11" i="81"/>
  <c r="E63" i="80"/>
  <c r="H70" i="80"/>
  <c r="G33" i="80"/>
  <c r="E99" i="77"/>
  <c r="H15" i="77"/>
  <c r="F79" i="77"/>
  <c r="G12" i="77"/>
  <c r="G77" i="77"/>
  <c r="H48" i="77"/>
  <c r="G84" i="77"/>
  <c r="G56" i="80"/>
  <c r="H19" i="80"/>
  <c r="E57" i="80"/>
  <c r="E34" i="80"/>
  <c r="F111" i="77"/>
  <c r="F44" i="77"/>
  <c r="F13" i="81"/>
  <c r="F67" i="80"/>
  <c r="E36" i="80"/>
  <c r="E69" i="80"/>
  <c r="F9" i="80"/>
  <c r="H61" i="77"/>
  <c r="F84" i="77"/>
  <c r="G55" i="77"/>
  <c r="H28" i="77"/>
  <c r="G90" i="77"/>
  <c r="H103" i="77"/>
  <c r="G15" i="81"/>
  <c r="G53" i="80"/>
  <c r="H55" i="80"/>
  <c r="H26" i="80"/>
  <c r="G89" i="77"/>
  <c r="F7" i="77"/>
  <c r="H69" i="77"/>
  <c r="E4" i="77"/>
  <c r="E69" i="77"/>
  <c r="F53" i="77"/>
  <c r="E14" i="77"/>
  <c r="H7" i="81"/>
  <c r="E71" i="80"/>
  <c r="F11" i="80"/>
  <c r="E46" i="80"/>
  <c r="E110" i="77"/>
  <c r="H29" i="77"/>
  <c r="F90" i="77"/>
  <c r="G23" i="77"/>
  <c r="G38" i="77"/>
  <c r="F55" i="77"/>
  <c r="G10" i="81"/>
  <c r="G10" i="80"/>
  <c r="H65" i="80"/>
  <c r="E11" i="80"/>
  <c r="H35" i="80"/>
  <c r="G15" i="77"/>
  <c r="H24" i="77"/>
  <c r="E10" i="81"/>
  <c r="E48" i="80"/>
  <c r="E4" i="80"/>
  <c r="E31" i="77"/>
  <c r="E64" i="77"/>
  <c r="G34" i="80"/>
  <c r="H12" i="81"/>
  <c r="G64" i="80"/>
  <c r="H4" i="80"/>
  <c r="H34" i="80"/>
  <c r="G103" i="77"/>
  <c r="F21" i="77"/>
  <c r="H80" i="77"/>
  <c r="E15" i="77"/>
  <c r="E80" i="77"/>
  <c r="G54" i="77"/>
  <c r="G44" i="77"/>
  <c r="E6" i="81"/>
  <c r="E44" i="80"/>
  <c r="H25" i="80"/>
  <c r="G14" i="80"/>
  <c r="E77" i="77"/>
  <c r="H78" i="77"/>
  <c r="F54" i="77"/>
  <c r="F38" i="77"/>
  <c r="G52" i="77"/>
  <c r="E108" i="77"/>
  <c r="G4" i="81"/>
  <c r="H36" i="80"/>
  <c r="F69" i="80"/>
  <c r="F38" i="80"/>
  <c r="H67" i="80"/>
  <c r="F39" i="77"/>
  <c r="E98" i="77"/>
  <c r="H11" i="81"/>
  <c r="F48" i="80"/>
  <c r="E17" i="80"/>
  <c r="E50" i="80"/>
  <c r="F10" i="80"/>
  <c r="H36" i="77"/>
  <c r="F97" i="77"/>
  <c r="G30" i="77"/>
  <c r="G95" i="77"/>
  <c r="H87" i="77"/>
  <c r="F6" i="77"/>
  <c r="G71" i="80"/>
  <c r="F36" i="80"/>
  <c r="E72" i="80"/>
  <c r="G9" i="80"/>
  <c r="G64" i="77"/>
  <c r="F31" i="77"/>
  <c r="H44" i="77"/>
  <c r="F109" i="77"/>
  <c r="E44" i="77"/>
  <c r="G40" i="77"/>
  <c r="F52" i="77"/>
  <c r="E14" i="81"/>
  <c r="E52" i="80"/>
  <c r="H51" i="80"/>
  <c r="G25" i="80"/>
  <c r="E88" i="77"/>
  <c r="H4" i="77"/>
  <c r="F68" i="77"/>
  <c r="H111" i="77"/>
  <c r="H32" i="77"/>
  <c r="E109" i="77"/>
  <c r="E4" i="81"/>
  <c r="H7" i="80"/>
  <c r="H46" i="80"/>
  <c r="F31" i="80"/>
  <c r="H16" i="80"/>
  <c r="H37" i="77"/>
  <c r="G31" i="77"/>
  <c r="E66" i="80"/>
  <c r="G29" i="80"/>
  <c r="G65" i="80"/>
  <c r="E111" i="77"/>
  <c r="E89" i="77"/>
  <c r="F64" i="80"/>
  <c r="G7" i="81"/>
  <c r="G45" i="80"/>
  <c r="G32" i="80"/>
  <c r="H15" i="80"/>
  <c r="G78" i="77"/>
  <c r="H89" i="77"/>
  <c r="H55" i="77"/>
  <c r="H53" i="77"/>
  <c r="E55" i="77"/>
  <c r="H98" i="77"/>
  <c r="G106" i="77"/>
  <c r="E62" i="80"/>
  <c r="E27" i="80"/>
  <c r="G61" i="80"/>
  <c r="H37" i="80"/>
  <c r="E52" i="77"/>
  <c r="E107" i="77"/>
  <c r="F29" i="77"/>
  <c r="H95" i="77"/>
  <c r="F110" i="77"/>
  <c r="E36" i="77"/>
  <c r="F8" i="81"/>
  <c r="H17" i="80"/>
  <c r="H5" i="80"/>
  <c r="F19" i="80"/>
  <c r="H48" i="80"/>
  <c r="F70" i="77"/>
  <c r="E23" i="77"/>
  <c r="H4" i="81"/>
  <c r="E56" i="80"/>
  <c r="H62" i="80"/>
  <c r="E31" i="80"/>
  <c r="E95" i="77"/>
  <c r="H8" i="77"/>
  <c r="F72" i="77"/>
  <c r="G5" i="77"/>
  <c r="G70" i="77"/>
  <c r="E97" i="77"/>
  <c r="G16" i="81"/>
  <c r="G52" i="80"/>
  <c r="F17" i="80"/>
  <c r="E53" i="80"/>
  <c r="G17" i="80"/>
  <c r="G39" i="77"/>
  <c r="G97" i="77"/>
  <c r="H16" i="77"/>
  <c r="F87" i="77"/>
  <c r="E16" i="77"/>
  <c r="H62" i="77"/>
  <c r="H52" i="77"/>
  <c r="E70" i="80"/>
  <c r="E35" i="80"/>
  <c r="G69" i="80"/>
  <c r="E8" i="80"/>
  <c r="E63" i="77"/>
  <c r="F20" i="77"/>
  <c r="F40" i="77"/>
  <c r="H106" i="77"/>
  <c r="G32" i="77"/>
  <c r="E12" i="77"/>
  <c r="H6" i="81"/>
  <c r="H57" i="80"/>
  <c r="F29" i="80"/>
  <c r="G62" i="80"/>
  <c r="F44" i="80"/>
  <c r="E72" i="77"/>
  <c r="E11" i="81"/>
  <c r="E47" i="80"/>
  <c r="E10" i="80"/>
  <c r="E9" i="80"/>
  <c r="G63" i="80"/>
  <c r="F28" i="80"/>
  <c r="E64" i="80"/>
  <c r="H45" i="80"/>
  <c r="G53" i="77"/>
  <c r="G108" i="77"/>
  <c r="H30" i="77"/>
  <c r="F98" i="77"/>
  <c r="E30" i="77"/>
  <c r="H23" i="77"/>
  <c r="E7" i="81"/>
  <c r="E43" i="80"/>
  <c r="E6" i="80"/>
  <c r="G42" i="80"/>
  <c r="F70" i="80"/>
  <c r="E24" i="77"/>
  <c r="E85" i="77"/>
  <c r="F4" i="77"/>
  <c r="H70" i="77"/>
  <c r="G46" i="77"/>
  <c r="F94" i="77"/>
  <c r="E12" i="81"/>
  <c r="F35" i="80"/>
  <c r="H54" i="80"/>
  <c r="F65" i="80"/>
  <c r="H27" i="80"/>
  <c r="G29" i="77"/>
  <c r="H64" i="77"/>
  <c r="H8" i="81"/>
  <c r="G37" i="80"/>
  <c r="F12" i="80"/>
  <c r="E12" i="80"/>
  <c r="E70" i="77"/>
  <c r="F45" i="77"/>
  <c r="F47" i="77"/>
  <c r="H110" i="77"/>
  <c r="G45" i="77"/>
  <c r="F77" i="77"/>
  <c r="G6" i="81"/>
  <c r="F34" i="80"/>
  <c r="F50" i="80"/>
  <c r="H32" i="80"/>
  <c r="H63" i="80"/>
  <c r="G14" i="77"/>
  <c r="G72" i="77"/>
  <c r="H85" i="77"/>
  <c r="F62" i="77"/>
  <c r="H46" i="77"/>
  <c r="H60" i="77"/>
  <c r="E15" i="81"/>
  <c r="E51" i="80"/>
  <c r="E16" i="80"/>
  <c r="G50" i="80"/>
  <c r="E15" i="80"/>
  <c r="E38" i="77"/>
  <c r="E96" i="77"/>
  <c r="F15" i="77"/>
  <c r="H84" i="77"/>
  <c r="F28" i="77"/>
  <c r="F108" i="77"/>
  <c r="F6" i="81"/>
  <c r="G68" i="80"/>
  <c r="H8" i="80"/>
  <c r="G43" i="80"/>
  <c r="G107" i="77"/>
  <c r="F105" i="77"/>
  <c r="H13" i="81"/>
  <c r="G27" i="80"/>
  <c r="E30" i="80"/>
  <c r="E6" i="77"/>
  <c r="H97" i="77"/>
  <c r="G8" i="81"/>
  <c r="G44" i="80"/>
  <c r="G7" i="80"/>
  <c r="E45" i="80"/>
  <c r="H71" i="80"/>
  <c r="G28" i="77"/>
  <c r="G86" i="77"/>
  <c r="H5" i="77"/>
  <c r="F76" i="77"/>
  <c r="E5" i="77"/>
  <c r="E86" i="77"/>
  <c r="H9" i="81"/>
  <c r="E25" i="80"/>
  <c r="G13" i="80"/>
  <c r="G23" i="80"/>
  <c r="F51" i="80"/>
  <c r="H112" i="77"/>
  <c r="E60" i="77"/>
  <c r="G109" i="77"/>
  <c r="H45" i="77"/>
  <c r="F89" i="77"/>
  <c r="F16" i="77"/>
  <c r="H14" i="81"/>
  <c r="H68" i="80"/>
  <c r="F37" i="80"/>
  <c r="G70" i="80"/>
  <c r="H10" i="80"/>
  <c r="H76" i="77"/>
  <c r="G56" i="77"/>
  <c r="E55" i="80"/>
  <c r="G18" i="80"/>
  <c r="G54" i="80"/>
  <c r="F27" i="80"/>
  <c r="E45" i="77"/>
  <c r="E103" i="77"/>
  <c r="F22" i="77"/>
  <c r="H88" i="77"/>
  <c r="G20" i="77"/>
  <c r="F30" i="77"/>
  <c r="F4" i="81"/>
  <c r="F15" i="80"/>
  <c r="H69" i="80"/>
  <c r="H13" i="80"/>
  <c r="H44" i="80"/>
  <c r="F107" i="77"/>
  <c r="G47" i="77"/>
  <c r="E104" i="77"/>
  <c r="F37" i="77"/>
  <c r="G110" i="77"/>
  <c r="E22" i="77"/>
  <c r="H17" i="81"/>
  <c r="E33" i="80"/>
  <c r="F42" i="80"/>
  <c r="G31" i="80"/>
  <c r="F62" i="80"/>
  <c r="E13" i="77"/>
  <c r="E71" i="77"/>
  <c r="H71" i="77"/>
  <c r="H56" i="77"/>
  <c r="G68" i="77"/>
  <c r="F36" i="77"/>
  <c r="G11" i="81"/>
  <c r="G49" i="80"/>
  <c r="H47" i="80"/>
  <c r="F24" i="80"/>
  <c r="G85" i="77"/>
  <c r="F5" i="77"/>
  <c r="G17" i="81"/>
  <c r="G8" i="80"/>
  <c r="F12" i="81"/>
  <c r="F26" i="80"/>
  <c r="F23" i="80"/>
  <c r="H24" i="80"/>
  <c r="H52" i="80"/>
  <c r="H14" i="77"/>
  <c r="G61" i="77"/>
  <c r="E112" i="77"/>
  <c r="F48" i="77"/>
  <c r="G24" i="77"/>
  <c r="H7" i="77"/>
  <c r="G13" i="81"/>
  <c r="E5" i="80"/>
  <c r="F57" i="80"/>
  <c r="G4" i="80"/>
  <c r="E32" i="80"/>
  <c r="H90" i="77"/>
  <c r="E32" i="77"/>
  <c r="G87" i="77"/>
  <c r="H20" i="77"/>
  <c r="F14" i="77"/>
  <c r="E76" i="77"/>
  <c r="F14" i="81"/>
  <c r="H49" i="80"/>
  <c r="F18" i="80"/>
  <c r="G51" i="80"/>
  <c r="F16" i="80"/>
  <c r="H107" i="77"/>
  <c r="E13" i="81"/>
  <c r="G35" i="80"/>
  <c r="F61" i="80"/>
  <c r="E37" i="80"/>
  <c r="F66" i="80"/>
  <c r="E20" i="77"/>
  <c r="E78" i="77"/>
  <c r="F95" i="77"/>
  <c r="H63" i="77"/>
  <c r="F63" i="77"/>
  <c r="E62" i="77"/>
  <c r="E8" i="81"/>
  <c r="H18" i="80"/>
  <c r="H50" i="80"/>
  <c r="F46" i="80"/>
  <c r="F25" i="80"/>
  <c r="F85" i="77"/>
  <c r="G22" i="77"/>
  <c r="E79" i="77"/>
  <c r="F12" i="77"/>
  <c r="G63" i="77"/>
  <c r="F80" i="77"/>
  <c r="G14" i="81"/>
  <c r="E14" i="80"/>
  <c r="F68" i="80"/>
  <c r="G12" i="80"/>
  <c r="F43" i="80"/>
  <c r="H104" i="77"/>
  <c r="E46" i="77"/>
  <c r="G98" i="77"/>
  <c r="H31" i="77"/>
  <c r="H109" i="77"/>
  <c r="H99" i="77"/>
  <c r="G67" i="80"/>
  <c r="H30" i="80"/>
  <c r="E68" i="80"/>
  <c r="G5" i="80"/>
  <c r="G7" i="77"/>
  <c r="E37" i="77"/>
  <c r="E17" i="81"/>
  <c r="F8" i="80"/>
  <c r="F45" i="80"/>
  <c r="G24" i="80"/>
  <c r="G15" i="80"/>
  <c r="H72" i="77"/>
  <c r="F8" i="77"/>
  <c r="F15" i="81"/>
  <c r="E42" i="80"/>
  <c r="G6" i="77"/>
  <c r="E23" i="80"/>
  <c r="E56" i="77"/>
  <c r="H9" i="80"/>
  <c r="F55" i="80"/>
  <c r="E16" i="81"/>
  <c r="G6" i="80"/>
  <c r="H61" i="80"/>
  <c r="E7" i="80"/>
  <c r="F33" i="80"/>
  <c r="F96" i="77"/>
  <c r="G36" i="77"/>
  <c r="E90" i="77"/>
  <c r="F23" i="77"/>
  <c r="G71" i="77"/>
  <c r="F69" i="77"/>
  <c r="F17" i="81"/>
  <c r="F71" i="80"/>
  <c r="G38" i="80"/>
  <c r="F4" i="80"/>
  <c r="E13" i="80"/>
  <c r="H68" i="77"/>
  <c r="E7" i="77"/>
  <c r="G62" i="77"/>
  <c r="F56" i="77"/>
  <c r="G79" i="77"/>
  <c r="H96" i="77"/>
  <c r="F7" i="81"/>
  <c r="G57" i="80"/>
  <c r="H66" i="80"/>
  <c r="F32" i="80"/>
  <c r="G96" i="77"/>
  <c r="E61" i="77"/>
  <c r="H5" i="81"/>
  <c r="G16" i="80"/>
  <c r="F72" i="80"/>
  <c r="E18" i="80"/>
  <c r="F47" i="80"/>
  <c r="H108" i="77"/>
  <c r="E53" i="77"/>
  <c r="G105" i="77"/>
  <c r="H38" i="77"/>
  <c r="F103" i="77"/>
  <c r="E39" i="77"/>
  <c r="H10" i="81"/>
  <c r="H64" i="80"/>
  <c r="H31" i="80"/>
  <c r="G66" i="80"/>
  <c r="H6" i="80"/>
  <c r="F60" i="77"/>
  <c r="F24" i="77"/>
  <c r="E54" i="77"/>
  <c r="F13" i="77"/>
  <c r="G13" i="77"/>
  <c r="E87" i="77"/>
  <c r="G5" i="81"/>
  <c r="H11" i="80"/>
  <c r="F49" i="80"/>
  <c r="E38" i="80"/>
  <c r="E24" i="80"/>
  <c r="H79" i="77"/>
  <c r="E21" i="77"/>
  <c r="G76" i="77"/>
  <c r="H6" i="77"/>
  <c r="H12" i="77"/>
  <c r="G12" i="81"/>
  <c r="G48" i="80"/>
  <c r="G11" i="80"/>
  <c r="E49" i="80"/>
  <c r="F6" i="80"/>
  <c r="F78" i="77"/>
  <c r="F86" i="77"/>
  <c r="F5" i="81"/>
  <c r="F56" i="80"/>
  <c r="E28" i="80"/>
  <c r="E61" i="80"/>
  <c r="G36" i="80"/>
  <c r="H47" i="77"/>
  <c r="H77" i="77"/>
  <c r="G94" i="77"/>
  <c r="F7" i="80"/>
  <c r="E106" i="77"/>
  <c r="H43" i="80"/>
  <c r="F99" i="77"/>
  <c r="E3" i="1" l="1"/>
  <c r="F8" i="85"/>
  <c r="F2" i="85"/>
  <c r="F3" i="85"/>
  <c r="F7" i="85"/>
  <c r="F13" i="85"/>
  <c r="F17" i="85"/>
  <c r="B2" i="85"/>
  <c r="F6" i="85"/>
  <c r="F16" i="85"/>
  <c r="B6" i="85"/>
  <c r="B4" i="85"/>
  <c r="B8" i="85"/>
  <c r="B14" i="85"/>
  <c r="B18" i="85"/>
  <c r="F4" i="85"/>
  <c r="B12" i="85"/>
  <c r="B16" i="85"/>
  <c r="B5" i="85"/>
  <c r="B9" i="85"/>
  <c r="B15" i="85"/>
  <c r="B19" i="85"/>
  <c r="F14" i="85"/>
  <c r="F18" i="85"/>
  <c r="F12" i="85"/>
  <c r="B3" i="85"/>
  <c r="F5" i="85"/>
  <c r="B7" i="85"/>
  <c r="F9" i="85"/>
  <c r="B13" i="85"/>
  <c r="F15" i="85"/>
  <c r="B17" i="85"/>
  <c r="F19" i="85"/>
  <c r="B22" i="85"/>
  <c r="F28" i="85"/>
  <c r="F22" i="85"/>
  <c r="F23" i="85"/>
  <c r="F27" i="85"/>
  <c r="F26" i="85"/>
  <c r="B26" i="85"/>
  <c r="B24" i="85"/>
  <c r="B28" i="85"/>
  <c r="B25" i="85"/>
  <c r="B29" i="85"/>
  <c r="F24" i="85"/>
  <c r="B23" i="85"/>
  <c r="F25" i="85"/>
  <c r="B27" i="85"/>
  <c r="F29" i="85"/>
  <c r="B34" i="85"/>
  <c r="B35" i="85"/>
  <c r="B33" i="85"/>
  <c r="F35" i="85"/>
  <c r="B37" i="85"/>
  <c r="B32" i="85"/>
  <c r="F34" i="85"/>
  <c r="B36" i="85"/>
  <c r="F32" i="85"/>
  <c r="F36" i="85"/>
  <c r="F33" i="85"/>
  <c r="F37" i="85"/>
  <c r="I7" i="81"/>
  <c r="I11" i="81"/>
  <c r="I15" i="81"/>
  <c r="I5" i="81"/>
  <c r="I9" i="81"/>
  <c r="I13" i="81"/>
  <c r="I17" i="81"/>
  <c r="I10" i="81"/>
  <c r="I14" i="81"/>
  <c r="I6" i="81"/>
  <c r="I4" i="81"/>
  <c r="I8" i="81"/>
  <c r="I12" i="81"/>
  <c r="I16" i="81"/>
  <c r="I36" i="80"/>
  <c r="I15" i="80"/>
  <c r="I26" i="80"/>
  <c r="I34" i="80"/>
  <c r="I17" i="80"/>
  <c r="I5" i="80"/>
  <c r="I9" i="80"/>
  <c r="I14" i="80"/>
  <c r="I25" i="80"/>
  <c r="I33" i="80"/>
  <c r="I43" i="80"/>
  <c r="I47" i="80"/>
  <c r="I51" i="80"/>
  <c r="I55" i="80"/>
  <c r="I62" i="80"/>
  <c r="I66" i="80"/>
  <c r="I70" i="80"/>
  <c r="I24" i="80"/>
  <c r="I4" i="80"/>
  <c r="I8" i="80"/>
  <c r="I12" i="80"/>
  <c r="I23" i="80"/>
  <c r="I31" i="80"/>
  <c r="I42" i="80"/>
  <c r="I46" i="80"/>
  <c r="I50" i="80"/>
  <c r="I54" i="80"/>
  <c r="I61" i="80"/>
  <c r="I65" i="80"/>
  <c r="I69" i="80"/>
  <c r="I32" i="80"/>
  <c r="I19" i="80"/>
  <c r="I30" i="80"/>
  <c r="I38" i="80"/>
  <c r="I13" i="80"/>
  <c r="I7" i="80"/>
  <c r="I11" i="80"/>
  <c r="I18" i="80"/>
  <c r="I29" i="80"/>
  <c r="I37" i="80"/>
  <c r="I45" i="80"/>
  <c r="I49" i="80"/>
  <c r="I53" i="80"/>
  <c r="I57" i="80"/>
  <c r="I64" i="80"/>
  <c r="I68" i="80"/>
  <c r="I72" i="80"/>
  <c r="I28" i="80"/>
  <c r="I6" i="80"/>
  <c r="I10" i="80"/>
  <c r="I16" i="80"/>
  <c r="I27" i="80"/>
  <c r="I35" i="80"/>
  <c r="I44" i="80"/>
  <c r="I48" i="80"/>
  <c r="I52" i="80"/>
  <c r="I56" i="80"/>
  <c r="I63" i="80"/>
  <c r="I67" i="80"/>
  <c r="I71" i="80"/>
  <c r="I6" i="77"/>
  <c r="I13" i="77"/>
  <c r="I20" i="77"/>
  <c r="I24" i="77"/>
  <c r="I31" i="77"/>
  <c r="I38" i="77"/>
  <c r="I45" i="77"/>
  <c r="I52" i="77"/>
  <c r="I56" i="77"/>
  <c r="I63" i="77"/>
  <c r="I70" i="77"/>
  <c r="I77" i="77"/>
  <c r="I84" i="77"/>
  <c r="I88" i="77"/>
  <c r="I95" i="77"/>
  <c r="I99" i="77"/>
  <c r="I106" i="77"/>
  <c r="I110" i="77"/>
  <c r="I5" i="77"/>
  <c r="I12" i="77"/>
  <c r="I16" i="77"/>
  <c r="I23" i="77"/>
  <c r="I30" i="77"/>
  <c r="I37" i="77"/>
  <c r="I44" i="77"/>
  <c r="I48" i="77"/>
  <c r="I55" i="77"/>
  <c r="I62" i="77"/>
  <c r="I69" i="77"/>
  <c r="I76" i="77"/>
  <c r="I80" i="77"/>
  <c r="I87" i="77"/>
  <c r="I94" i="77"/>
  <c r="I98" i="77"/>
  <c r="I105" i="77"/>
  <c r="I109" i="77"/>
  <c r="I4" i="77"/>
  <c r="I8" i="77"/>
  <c r="I15" i="77"/>
  <c r="I22" i="77"/>
  <c r="I29" i="77"/>
  <c r="I36" i="77"/>
  <c r="I40" i="77"/>
  <c r="I47" i="77"/>
  <c r="I54" i="77"/>
  <c r="I61" i="77"/>
  <c r="I68" i="77"/>
  <c r="I72" i="77"/>
  <c r="I79" i="77"/>
  <c r="I86" i="77"/>
  <c r="I90" i="77"/>
  <c r="I97" i="77"/>
  <c r="I104" i="77"/>
  <c r="I108" i="77"/>
  <c r="I112" i="77"/>
  <c r="I7" i="77"/>
  <c r="I14" i="77"/>
  <c r="I21" i="77"/>
  <c r="I28" i="77"/>
  <c r="I32" i="77"/>
  <c r="I39" i="77"/>
  <c r="I46" i="77"/>
  <c r="I53" i="77"/>
  <c r="I60" i="77"/>
  <c r="I64" i="77"/>
  <c r="I71" i="77"/>
  <c r="I78" i="77"/>
  <c r="I85" i="77"/>
  <c r="I89" i="77"/>
  <c r="I96" i="77"/>
  <c r="I103" i="77"/>
  <c r="I107" i="77"/>
  <c r="I111" i="77"/>
  <c r="A19" i="1"/>
</calcChain>
</file>

<file path=xl/sharedStrings.xml><?xml version="1.0" encoding="utf-8"?>
<sst xmlns="http://schemas.openxmlformats.org/spreadsheetml/2006/main" count="4110" uniqueCount="313">
  <si>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</si>
  <si>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</si>
  <si>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</si>
  <si>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</si>
  <si>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</si>
  <si>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</si>
  <si>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</si>
  <si>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</si>
  <si>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</si>
  <si>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</si>
  <si>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</si>
  <si>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</si>
  <si>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</si>
  <si>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</si>
  <si>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</si>
  <si>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</si>
  <si>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</si>
  <si>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</si>
  <si>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</si>
  <si>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</si>
  <si>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</si>
  <si>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</si>
  <si>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</si>
  <si>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</si>
  <si>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</si>
  <si>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</si>
  <si>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</si>
  <si>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</si>
  <si>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</si>
  <si>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</si>
  <si>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</si>
  <si>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</si>
  <si>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</si>
  <si>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</si>
  <si>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</si>
  <si>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</si>
  <si>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</si>
  <si>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</si>
  <si>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</si>
  <si>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</si>
  <si>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</si>
  <si>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</si>
  <si>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</si>
  <si>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</si>
  <si>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</si>
  <si>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</si>
  <si>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</si>
  <si>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1B</t>
  </si>
  <si>
    <t>2B</t>
  </si>
  <si>
    <t>3B</t>
  </si>
  <si>
    <t>Fin de Poule</t>
  </si>
  <si>
    <t>Debut PhaseFinal</t>
  </si>
  <si>
    <t>Fin</t>
  </si>
  <si>
    <t>Ordre Ph</t>
  </si>
  <si>
    <t>Nombres de Terrain PH</t>
  </si>
  <si>
    <t>Nombres de Terrain Poule</t>
  </si>
  <si>
    <t>Lolo et les bad boys</t>
  </si>
  <si>
    <t>Razmoket</t>
  </si>
  <si>
    <t>Team Rompiche</t>
  </si>
  <si>
    <t>La boiserie</t>
  </si>
  <si>
    <t>Les Dalton</t>
  </si>
  <si>
    <t>Les artistes du bad</t>
  </si>
  <si>
    <t>La TRACC team</t>
  </si>
  <si>
    <t>Les badeurs fous</t>
  </si>
  <si>
    <t>Playmobils</t>
  </si>
  <si>
    <t>Les brakass</t>
  </si>
  <si>
    <t>Coop 74</t>
  </si>
  <si>
    <t>Les semi-croustillants</t>
  </si>
  <si>
    <t>Team BS</t>
  </si>
  <si>
    <t>Badatra</t>
  </si>
  <si>
    <t>Les Badaboum</t>
  </si>
  <si>
    <t>La Basse et 3 yautes</t>
  </si>
  <si>
    <t>Les scrapis</t>
  </si>
  <si>
    <t>Les Fous du volant</t>
  </si>
  <si>
    <t>Dark eyes</t>
  </si>
  <si>
    <t>Bois Filet Ligne</t>
  </si>
  <si>
    <t>Les rats voient rien</t>
  </si>
  <si>
    <t>Les meilleurs</t>
  </si>
  <si>
    <t>1 TERRAIN 1</t>
  </si>
  <si>
    <t>2 TERRAIN 2</t>
  </si>
  <si>
    <t>3 TERRAIN 3</t>
  </si>
  <si>
    <t>4 TERRAIN 4</t>
  </si>
  <si>
    <t>5 TERRAIN 5</t>
  </si>
  <si>
    <t>6 TERRAIN 6</t>
  </si>
  <si>
    <t>7 TERRAIN 7</t>
  </si>
  <si>
    <t>8 TERRAIN 8</t>
  </si>
  <si>
    <t>Les Bad Coachs</t>
  </si>
  <si>
    <t>Team monchu</t>
  </si>
  <si>
    <t>Les Munsterkass</t>
  </si>
  <si>
    <t>Les Gribouilleurs</t>
  </si>
  <si>
    <t>ROBOBROL</t>
  </si>
  <si>
    <t>Ouais vous allez voir</t>
  </si>
  <si>
    <t>Les Rescapés</t>
  </si>
  <si>
    <t>Les Bouches trous de la 30eme</t>
  </si>
  <si>
    <t>LIBRE</t>
  </si>
  <si>
    <t>Nombre de Match en +</t>
  </si>
  <si>
    <t>Nombre de Tour en +</t>
  </si>
  <si>
    <t>Version 2.20</t>
  </si>
  <si>
    <t>H_CONFIRME</t>
  </si>
  <si>
    <t>A</t>
  </si>
  <si>
    <t>4A</t>
  </si>
  <si>
    <t>5A</t>
  </si>
  <si>
    <t>B</t>
  </si>
  <si>
    <t>4B</t>
  </si>
  <si>
    <t>5B</t>
  </si>
  <si>
    <t>C</t>
  </si>
  <si>
    <t>1C</t>
  </si>
  <si>
    <t>2C</t>
  </si>
  <si>
    <t>3C</t>
  </si>
  <si>
    <t>4C</t>
  </si>
  <si>
    <t>5C</t>
  </si>
  <si>
    <t>D</t>
  </si>
  <si>
    <t>1D</t>
  </si>
  <si>
    <t>2D</t>
  </si>
  <si>
    <t>3D</t>
  </si>
  <si>
    <t>4D</t>
  </si>
  <si>
    <t>5D</t>
  </si>
  <si>
    <t>E</t>
  </si>
  <si>
    <t>1E</t>
  </si>
  <si>
    <t>2E</t>
  </si>
  <si>
    <t>3E</t>
  </si>
  <si>
    <t>4E</t>
  </si>
  <si>
    <t>5E</t>
  </si>
  <si>
    <t>F</t>
  </si>
  <si>
    <t>1F</t>
  </si>
  <si>
    <t>2F</t>
  </si>
  <si>
    <t>3F</t>
  </si>
  <si>
    <t>4F</t>
  </si>
  <si>
    <t>5F</t>
  </si>
  <si>
    <t>G</t>
  </si>
  <si>
    <t>1G</t>
  </si>
  <si>
    <t>2G</t>
  </si>
  <si>
    <t>3G</t>
  </si>
  <si>
    <t>4G</t>
  </si>
  <si>
    <t>5G</t>
  </si>
  <si>
    <t>H_INTERMEDIAIRE</t>
  </si>
  <si>
    <t>H</t>
  </si>
  <si>
    <t>1H</t>
  </si>
  <si>
    <t>2H</t>
  </si>
  <si>
    <t>3H</t>
  </si>
  <si>
    <t>4H</t>
  </si>
  <si>
    <t>5H</t>
  </si>
  <si>
    <t>I</t>
  </si>
  <si>
    <t>1I</t>
  </si>
  <si>
    <t>2I</t>
  </si>
  <si>
    <t>3I</t>
  </si>
  <si>
    <t>4I</t>
  </si>
  <si>
    <t>5I</t>
  </si>
  <si>
    <t>J</t>
  </si>
  <si>
    <t>1J</t>
  </si>
  <si>
    <t>2J</t>
  </si>
  <si>
    <t>3J</t>
  </si>
  <si>
    <t>4J</t>
  </si>
  <si>
    <t>5J</t>
  </si>
  <si>
    <t>F_CONF_ET_INTER</t>
  </si>
  <si>
    <t>K</t>
  </si>
  <si>
    <t>1K</t>
  </si>
  <si>
    <t>2K</t>
  </si>
  <si>
    <t>3K</t>
  </si>
  <si>
    <t>4K</t>
  </si>
  <si>
    <t>5K</t>
  </si>
  <si>
    <t>6K</t>
  </si>
  <si>
    <t>7K</t>
  </si>
  <si>
    <t>L</t>
  </si>
  <si>
    <t>1L</t>
  </si>
  <si>
    <t>2L</t>
  </si>
  <si>
    <t>3L</t>
  </si>
  <si>
    <t>4L</t>
  </si>
  <si>
    <t>5L</t>
  </si>
  <si>
    <t>6L</t>
  </si>
  <si>
    <t>MIXE_LOISIR</t>
  </si>
  <si>
    <t>M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</si>
  <si>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</si>
  <si>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</si>
  <si>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</si>
  <si>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</si>
  <si>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</si>
  <si>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</si>
  <si>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</si>
  <si>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</si>
  <si>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</si>
  <si>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</si>
  <si>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</si>
  <si>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</si>
  <si>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13M</t>
  </si>
  <si>
    <t>14M</t>
  </si>
  <si>
    <t>1 H_CONFIRME 1</t>
  </si>
  <si>
    <t>2 H_CONFIRME 2</t>
  </si>
  <si>
    <t>3 H_CONFIRME 3</t>
  </si>
  <si>
    <t>4 H_CONFIRME 4</t>
  </si>
  <si>
    <t>5 H_CONFIRME 5</t>
  </si>
  <si>
    <t>6 H_CONFIRME 6</t>
  </si>
  <si>
    <t>7 H_CONFIRME 7</t>
  </si>
  <si>
    <t>8 H_CONFIRME 8</t>
  </si>
  <si>
    <t>9 H_CONFIRME 9</t>
  </si>
  <si>
    <t>6 H_INTERMEDIAIRE 6</t>
  </si>
  <si>
    <t>7 H_INTERMEDIAIRE 7</t>
  </si>
  <si>
    <t>8 H_INTERMEDIAIRE 8</t>
  </si>
  <si>
    <t>9 H_INTERMEDIAIRE 9</t>
  </si>
  <si>
    <t>1 H_INTERMEDIAIRE 1</t>
  </si>
  <si>
    <t>2 H_INTERMEDIAIRE 2</t>
  </si>
  <si>
    <t>3 F_CONF_ET_INTER 3</t>
  </si>
  <si>
    <t>4 F_CONF_ET_INTER 4</t>
  </si>
  <si>
    <t>5 F_CONF_ET_INTER 5</t>
  </si>
  <si>
    <t>6 F_CONF_ET_INTER 6</t>
  </si>
  <si>
    <t>7 F_CONF_ET_INTER 7</t>
  </si>
  <si>
    <t>8 F_CONF_ET_INTER 8</t>
  </si>
  <si>
    <t>9 MIXE_LOISIR 9</t>
  </si>
  <si>
    <t>1 MIXE_LOISIR 1</t>
  </si>
  <si>
    <t>3 H_INTERMEDIAIRE 3</t>
  </si>
  <si>
    <t>9 F_CONF_ET_INTER 9</t>
  </si>
  <si>
    <t>2 MIXE_LOISIR 2</t>
  </si>
  <si>
    <t>4 H_INTERMEDIAIRE 4</t>
  </si>
  <si>
    <t>1 F_CONF_ET_INTER 1</t>
  </si>
  <si>
    <t>3 MIXE_LOISIR 3</t>
  </si>
  <si>
    <t>5 H_INTERMEDIAIRE 5</t>
  </si>
  <si>
    <t>2 F_CONF_ET_INTER 2</t>
  </si>
  <si>
    <t>4 MIXE_LOISIR 4</t>
  </si>
  <si>
    <t>5 MIXE_LOISIR 5</t>
  </si>
  <si>
    <t>Libre</t>
  </si>
  <si>
    <t>9  9</t>
  </si>
  <si>
    <t>7  7</t>
  </si>
  <si>
    <t>8  8</t>
  </si>
  <si>
    <t>7A</t>
  </si>
  <si>
    <t>8A</t>
  </si>
  <si>
    <t>6A</t>
  </si>
  <si>
    <t>9A</t>
  </si>
  <si>
    <t>10A</t>
  </si>
  <si>
    <t>Lettre</t>
  </si>
  <si>
    <t>Gagnés</t>
  </si>
  <si>
    <t>Perdus</t>
  </si>
  <si>
    <t>Marqués</t>
  </si>
  <si>
    <t>Encaissés</t>
  </si>
  <si>
    <t>Différence</t>
  </si>
  <si>
    <t>Confrontation Direct</t>
  </si>
  <si>
    <t>Ordre Inscrip</t>
  </si>
  <si>
    <t>Equipe</t>
  </si>
  <si>
    <t>11A</t>
  </si>
  <si>
    <t>12A</t>
  </si>
  <si>
    <t>13A</t>
  </si>
  <si>
    <t>14A</t>
  </si>
  <si>
    <t>15A</t>
  </si>
  <si>
    <t>16A</t>
  </si>
  <si>
    <t>6B</t>
  </si>
  <si>
    <t>7B</t>
  </si>
  <si>
    <t>8B</t>
  </si>
  <si>
    <t>9B</t>
  </si>
  <si>
    <t>10B</t>
  </si>
  <si>
    <t>11B</t>
  </si>
  <si>
    <t>12B</t>
  </si>
  <si>
    <t>13B</t>
  </si>
  <si>
    <t>14B</t>
  </si>
  <si>
    <t>15B</t>
  </si>
  <si>
    <t>16B</t>
  </si>
  <si>
    <t>6C</t>
  </si>
  <si>
    <t>7C</t>
  </si>
  <si>
    <t>8C</t>
  </si>
  <si>
    <t>9C</t>
  </si>
  <si>
    <t>10C</t>
  </si>
  <si>
    <t>11C</t>
  </si>
  <si>
    <t>12C</t>
  </si>
  <si>
    <t>13C</t>
  </si>
  <si>
    <t>14C</t>
  </si>
  <si>
    <t>15C</t>
  </si>
  <si>
    <t>16C</t>
  </si>
  <si>
    <t>6D</t>
  </si>
  <si>
    <t>7D</t>
  </si>
  <si>
    <t>8D</t>
  </si>
  <si>
    <t>9D</t>
  </si>
  <si>
    <t>10D</t>
  </si>
  <si>
    <t>11D</t>
  </si>
  <si>
    <t>12D</t>
  </si>
  <si>
    <t>PHASE FINAL H_CONFIRME</t>
  </si>
  <si>
    <t>PHASE FINAL 1</t>
  </si>
  <si>
    <t>TERRAIN 1</t>
  </si>
  <si>
    <t>TERRAIN 3</t>
  </si>
  <si>
    <t>Place 5 et 6</t>
  </si>
  <si>
    <t>TERRAIN 2</t>
  </si>
  <si>
    <t>Place 1 et 2</t>
  </si>
  <si>
    <t>TERRAIN 4</t>
  </si>
  <si>
    <t>Place 7 et 8</t>
  </si>
  <si>
    <t>Place 3 et 4</t>
  </si>
  <si>
    <t>PHASE FINAL 2</t>
  </si>
  <si>
    <t>TERRAIN 5</t>
  </si>
  <si>
    <t>TERRAIN 7</t>
  </si>
  <si>
    <t>Place 13 et 14</t>
  </si>
  <si>
    <t>TERRAIN 6</t>
  </si>
  <si>
    <t>Place 9 et 10</t>
  </si>
  <si>
    <t>TERRAIN 8</t>
  </si>
  <si>
    <t>Place 15 et 16</t>
  </si>
  <si>
    <t>Place 11 et 12</t>
  </si>
  <si>
    <t>PHASE FINAL 3</t>
  </si>
  <si>
    <t>Place 21 et 22</t>
  </si>
  <si>
    <t>Place 17 et 18</t>
  </si>
  <si>
    <t>Place 23 et 24</t>
  </si>
  <si>
    <t>Place 19 et 20</t>
  </si>
  <si>
    <t>PHASE FINAL 4</t>
  </si>
  <si>
    <t>Place 29 et 30</t>
  </si>
  <si>
    <t>Place 25 et 26</t>
  </si>
  <si>
    <t>Place 31 et 32</t>
  </si>
  <si>
    <t>Place 27 et 28</t>
  </si>
  <si>
    <t>PHASE FINAL H_INTERMEDIAIRE</t>
  </si>
  <si>
    <t>PHASE FINAL F_CONF_ET_INTER</t>
  </si>
  <si>
    <t>CLASSEMENT FINAL MIXE_LOISIR</t>
  </si>
  <si>
    <t>CLASSEMENT FINAL H_CONFIRME</t>
  </si>
  <si>
    <t>CLASSEMENT FINAL H_INTERMEDIAIRE</t>
  </si>
  <si>
    <t>CLASSEMENT FINAL F_CONF_ET_INTER</t>
  </si>
  <si>
    <t>8MIXE_LOISIR 8</t>
  </si>
  <si>
    <t>7 MIXE_LOISIR 7</t>
  </si>
  <si>
    <t>9 LIBRE 9</t>
  </si>
  <si>
    <t>6 MIXE_LOISIR 6</t>
  </si>
  <si>
    <t>NON CONTROLER</t>
  </si>
  <si>
    <t>RF VALIDE A 17h00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</si>
</sst>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2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sz val="85"/>
      <color rgb="FFFFFFFF"/>
      <name val="Calibri"/>
      <family val="2"/>
      <scheme val="minor"/>
    </font>
    <font>
      <sz val="90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indexed="8"/>
      <name val="Calibri"/>
      <family val="2"/>
      <scheme val="minor"/>
    </font>
    <font>
      <sz val="85"/>
      <name val="Calibri"/>
      <family val="2"/>
      <scheme val="minor"/>
    </font>
    <font>
      <sz val="16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 style="thin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9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9" fillId="5" borderId="32" xfId="0" applyFont="1" applyFill="1" applyBorder="1" applyAlignment="1" applyProtection="1">
      <alignment horizontal="center" vertical="center"/>
      <protection locked="0"/>
    </xf>
    <xf numFmtId="0" fontId="9" fillId="5" borderId="33" xfId="0" applyFont="1" applyFill="1" applyBorder="1" applyAlignment="1" applyProtection="1">
      <alignment horizontal="center" vertical="center"/>
      <protection locked="0"/>
    </xf>
    <xf numFmtId="0" fontId="9" fillId="5" borderId="34" xfId="0" applyFont="1" applyFill="1" applyBorder="1" applyAlignment="1" applyProtection="1">
      <alignment horizontal="center" vertical="center"/>
      <protection locked="0"/>
    </xf>
    <xf numFmtId="0" fontId="9" fillId="6" borderId="32" xfId="0" applyFont="1" applyFill="1" applyBorder="1" applyAlignment="1" applyProtection="1">
      <alignment horizontal="center" vertical="center"/>
      <protection locked="0"/>
    </xf>
    <xf numFmtId="0" fontId="9" fillId="6" borderId="33" xfId="0" applyFont="1" applyFill="1" applyBorder="1" applyAlignment="1" applyProtection="1">
      <alignment horizontal="center" vertical="center"/>
      <protection locked="0"/>
    </xf>
    <xf numFmtId="0" fontId="9" fillId="6" borderId="34" xfId="0" applyFont="1" applyFill="1" applyBorder="1" applyAlignment="1" applyProtection="1">
      <alignment horizontal="center" vertical="center"/>
      <protection locked="0"/>
    </xf>
    <xf numFmtId="0" fontId="9" fillId="7" borderId="32" xfId="0" applyFont="1" applyFill="1" applyBorder="1" applyAlignment="1" applyProtection="1">
      <alignment horizontal="center" vertical="center"/>
      <protection locked="0"/>
    </xf>
    <xf numFmtId="0" fontId="9" fillId="7" borderId="33" xfId="0" applyFont="1" applyFill="1" applyBorder="1" applyAlignment="1" applyProtection="1">
      <alignment horizontal="center" vertical="center"/>
      <protection locked="0"/>
    </xf>
    <xf numFmtId="0" fontId="9" fillId="7" borderId="34" xfId="0" applyFont="1" applyFill="1" applyBorder="1" applyAlignment="1" applyProtection="1">
      <alignment horizontal="center" vertical="center"/>
      <protection locked="0"/>
    </xf>
    <xf numFmtId="0" fontId="9" fillId="8" borderId="32" xfId="0" applyFont="1" applyFill="1" applyBorder="1" applyAlignment="1" applyProtection="1">
      <alignment horizontal="center" vertical="center"/>
      <protection locked="0"/>
    </xf>
    <xf numFmtId="0" fontId="9" fillId="8" borderId="33" xfId="0" applyFont="1" applyFill="1" applyBorder="1" applyAlignment="1" applyProtection="1">
      <alignment horizontal="center" vertical="center"/>
      <protection locked="0"/>
    </xf>
    <xf numFmtId="0" fontId="9" fillId="8" borderId="34" xfId="0" applyFont="1" applyFill="1" applyBorder="1" applyAlignment="1" applyProtection="1">
      <alignment horizontal="center" vertical="center"/>
      <protection locked="0"/>
    </xf>
    <xf numFmtId="0" fontId="12" fillId="10" borderId="35" xfId="0" applyFont="1" applyFill="1" applyBorder="1" applyAlignment="1">
      <alignment horizontal="center" vertical="center"/>
    </xf>
    <xf numFmtId="0" fontId="12" fillId="10" borderId="0" xfId="0" applyFont="1" applyFill="1" applyAlignment="1" applyProtection="1">
      <alignment horizontal="center" vertical="center"/>
      <protection locked="0"/>
    </xf>
    <xf numFmtId="0" fontId="13" fillId="0" borderId="36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20" fontId="12" fillId="10" borderId="0" xfId="0" applyNumberFormat="1" applyFont="1" applyFill="1" applyAlignment="1">
      <alignment horizontal="center" vertical="center"/>
    </xf>
    <xf numFmtId="0" fontId="13" fillId="0" borderId="36" xfId="0" applyFont="1" applyBorder="1" applyAlignment="1" applyProtection="1">
      <alignment horizontal="center" vertical="center"/>
      <protection locked="0"/>
    </xf>
    <xf numFmtId="20" fontId="12" fillId="10" borderId="0" xfId="0" applyNumberFormat="1" applyFont="1" applyFill="1" applyAlignment="1">
      <alignment horizontal="center" vertical="center"/>
    </xf>
    <xf numFmtId="0" fontId="13" fillId="9" borderId="37" xfId="0" applyFont="1" applyFill="1" applyBorder="1" applyAlignment="1">
      <alignment horizontal="center" vertical="center"/>
    </xf>
    <xf numFmtId="0" fontId="13" fillId="9" borderId="38" xfId="0" applyFont="1" applyFill="1" applyBorder="1" applyAlignment="1">
      <alignment horizontal="center" vertical="center"/>
    </xf>
    <xf numFmtId="0" fontId="9" fillId="11" borderId="32" xfId="0" applyFont="1" applyFill="1" applyBorder="1" applyAlignment="1" applyProtection="1">
      <alignment horizontal="center" vertical="center"/>
      <protection locked="0"/>
    </xf>
    <xf numFmtId="0" fontId="9" fillId="11" borderId="33" xfId="0" applyFont="1" applyFill="1" applyBorder="1" applyAlignment="1" applyProtection="1">
      <alignment horizontal="center" vertical="center"/>
      <protection locked="0"/>
    </xf>
    <xf numFmtId="0" fontId="9" fillId="11" borderId="34" xfId="0" applyFont="1" applyFill="1" applyBorder="1" applyAlignment="1" applyProtection="1">
      <alignment horizontal="center" vertical="center"/>
      <protection locked="0"/>
    </xf>
    <xf numFmtId="0" fontId="12" fillId="10" borderId="0" xfId="0" applyFont="1" applyFill="1" applyAlignment="1">
      <alignment horizontal="center" vertical="center"/>
    </xf>
    <xf numFmtId="0" fontId="17" fillId="5" borderId="31" xfId="0" applyFont="1" applyFill="1" applyBorder="1" applyAlignment="1">
      <alignment horizontal="center" vertical="center"/>
    </xf>
    <xf numFmtId="0" fontId="17" fillId="6" borderId="31" xfId="0" applyFont="1" applyFill="1" applyBorder="1" applyAlignment="1">
      <alignment horizontal="center" vertical="center"/>
    </xf>
    <xf numFmtId="0" fontId="17" fillId="7" borderId="31" xfId="0" applyFont="1" applyFill="1" applyBorder="1" applyAlignment="1">
      <alignment horizontal="center" vertical="center"/>
    </xf>
    <xf numFmtId="0" fontId="17" fillId="8" borderId="31" xfId="0" applyFont="1" applyFill="1" applyBorder="1" applyAlignment="1">
      <alignment horizontal="center" vertical="center"/>
    </xf>
    <xf numFmtId="0" fontId="17" fillId="11" borderId="31" xfId="0" applyFont="1" applyFill="1" applyBorder="1" applyAlignment="1">
      <alignment horizontal="center" vertical="center"/>
    </xf>
    <xf numFmtId="1" fontId="0" fillId="4" borderId="0" xfId="0" applyNumberFormat="1" applyFill="1"/>
    <xf numFmtId="0" fontId="18" fillId="9" borderId="30" xfId="0" applyFont="1" applyFill="1" applyBorder="1" applyAlignment="1">
      <alignment horizontal="center" vertical="center"/>
    </xf>
    <xf numFmtId="1" fontId="18" fillId="9" borderId="30" xfId="0" applyNumberFormat="1" applyFont="1" applyFill="1" applyBorder="1" applyAlignment="1">
      <alignment horizontal="center" vertical="center"/>
    </xf>
    <xf numFmtId="1" fontId="9" fillId="5" borderId="31" xfId="0" applyNumberFormat="1" applyFont="1" applyFill="1" applyBorder="1" applyAlignment="1" applyProtection="1">
      <alignment horizontal="center" vertical="center"/>
      <protection locked="0"/>
    </xf>
    <xf numFmtId="1" fontId="9" fillId="6" borderId="31" xfId="0" applyNumberFormat="1" applyFont="1" applyFill="1" applyBorder="1" applyAlignment="1" applyProtection="1">
      <alignment horizontal="center" vertical="center"/>
      <protection locked="0"/>
    </xf>
    <xf numFmtId="1" fontId="9" fillId="7" borderId="31" xfId="0" applyNumberFormat="1" applyFont="1" applyFill="1" applyBorder="1" applyAlignment="1" applyProtection="1">
      <alignment horizontal="center" vertical="center"/>
      <protection locked="0"/>
    </xf>
    <xf numFmtId="1" fontId="9" fillId="8" borderId="31" xfId="0" applyNumberFormat="1" applyFont="1" applyFill="1" applyBorder="1" applyAlignment="1" applyProtection="1">
      <alignment horizontal="center" vertical="center"/>
      <protection locked="0"/>
    </xf>
    <xf numFmtId="0" fontId="9" fillId="11" borderId="31" xfId="0" applyFont="1" applyFill="1" applyBorder="1" applyAlignment="1" applyProtection="1">
      <alignment horizontal="center" vertical="center"/>
      <protection locked="0"/>
    </xf>
    <xf numFmtId="1" fontId="9" fillId="11" borderId="31" xfId="0" applyNumberFormat="1" applyFont="1" applyFill="1" applyBorder="1" applyAlignment="1" applyProtection="1">
      <alignment horizontal="center" vertical="center"/>
      <protection locked="0"/>
    </xf>
    <xf numFmtId="0" fontId="2" fillId="3" borderId="3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3" fillId="3" borderId="32" xfId="0" applyFont="1" applyFill="1" applyBorder="1" applyAlignment="1" applyProtection="1">
      <alignment horizontal="center" vertical="center"/>
      <protection locked="0"/>
    </xf>
    <xf numFmtId="0" fontId="3" fillId="3" borderId="33" xfId="0" applyFont="1" applyFill="1" applyBorder="1" applyAlignment="1" applyProtection="1">
      <alignment horizontal="center" vertical="center"/>
      <protection locked="0"/>
    </xf>
    <xf numFmtId="0" fontId="3" fillId="3" borderId="3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>
      <alignment horizontal="center" vertical="center"/>
    </xf>
    <xf numFmtId="0" fontId="13" fillId="9" borderId="3" xfId="0" applyFont="1" applyFill="1" applyBorder="1" applyAlignment="1">
      <alignment horizontal="center" vertical="center"/>
    </xf>
    <xf numFmtId="0" fontId="13" fillId="9" borderId="4" xfId="0" applyFont="1" applyFill="1" applyBorder="1" applyAlignment="1" applyProtection="1">
      <alignment horizontal="center" vertical="center"/>
      <protection locked="0"/>
    </xf>
    <xf numFmtId="0" fontId="13" fillId="9" borderId="10" xfId="0" applyFont="1" applyFill="1" applyBorder="1" applyAlignment="1">
      <alignment horizontal="center" vertical="center"/>
    </xf>
    <xf numFmtId="0" fontId="13" fillId="9" borderId="11" xfId="0" applyFont="1" applyFill="1" applyBorder="1" applyAlignment="1" applyProtection="1">
      <alignment horizontal="center" vertical="center"/>
      <protection locked="0"/>
    </xf>
    <xf numFmtId="0" fontId="13" fillId="9" borderId="3" xfId="0" applyFont="1" applyFill="1" applyBorder="1" applyAlignment="1" applyProtection="1">
      <alignment horizontal="center" vertical="center"/>
      <protection locked="0"/>
    </xf>
    <xf numFmtId="0" fontId="13" fillId="9" borderId="4" xfId="0" applyFont="1" applyFill="1" applyBorder="1" applyAlignment="1">
      <alignment horizontal="center" vertical="center"/>
    </xf>
    <xf numFmtId="0" fontId="13" fillId="9" borderId="10" xfId="0" applyFont="1" applyFill="1" applyBorder="1" applyAlignment="1" applyProtection="1">
      <alignment horizontal="center" vertical="center"/>
      <protection locked="0"/>
    </xf>
    <xf numFmtId="0" fontId="13" fillId="9" borderId="11" xfId="0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7" fillId="6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3" fillId="9" borderId="7" xfId="0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12" fillId="12" borderId="46" xfId="0" applyFont="1" applyFill="1" applyBorder="1" applyAlignment="1">
      <alignment horizontal="center" vertical="center"/>
    </xf>
    <xf numFmtId="0" fontId="1" fillId="4" borderId="0" xfId="0" applyFont="1" applyFill="1"/>
    <xf numFmtId="0" fontId="2" fillId="4" borderId="0" xfId="0" applyFont="1" applyFill="1"/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15" fillId="5" borderId="40" xfId="0" applyFont="1" applyFill="1" applyBorder="1" applyAlignment="1">
      <alignment horizontal="center" vertical="center"/>
    </xf>
    <xf numFmtId="0" fontId="15" fillId="5" borderId="41" xfId="0" applyFont="1" applyFill="1" applyBorder="1" applyAlignment="1">
      <alignment horizontal="center" vertical="center"/>
    </xf>
    <xf numFmtId="0" fontId="15" fillId="6" borderId="39" xfId="0" applyFont="1" applyFill="1" applyBorder="1" applyAlignment="1">
      <alignment horizontal="center" vertical="center"/>
    </xf>
    <xf numFmtId="0" fontId="15" fillId="6" borderId="40" xfId="0" applyFont="1" applyFill="1" applyBorder="1" applyAlignment="1">
      <alignment horizontal="center" vertical="center"/>
    </xf>
    <xf numFmtId="0" fontId="15" fillId="6" borderId="41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15" fillId="7" borderId="40" xfId="0" applyFont="1" applyFill="1" applyBorder="1" applyAlignment="1">
      <alignment horizontal="center" vertical="center"/>
    </xf>
    <xf numFmtId="0" fontId="15" fillId="7" borderId="41" xfId="0" applyFont="1" applyFill="1" applyBorder="1" applyAlignment="1">
      <alignment horizontal="center" vertical="center"/>
    </xf>
    <xf numFmtId="0" fontId="15" fillId="8" borderId="39" xfId="0" applyFont="1" applyFill="1" applyBorder="1" applyAlignment="1">
      <alignment horizontal="center" vertical="center"/>
    </xf>
    <xf numFmtId="0" fontId="15" fillId="8" borderId="40" xfId="0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/>
    </xf>
    <xf numFmtId="0" fontId="15" fillId="11" borderId="39" xfId="0" applyFont="1" applyFill="1" applyBorder="1" applyAlignment="1">
      <alignment horizontal="center" vertical="center"/>
    </xf>
    <xf numFmtId="0" fontId="15" fillId="11" borderId="40" xfId="0" applyFont="1" applyFill="1" applyBorder="1" applyAlignment="1">
      <alignment horizontal="center" vertical="center"/>
    </xf>
    <xf numFmtId="0" fontId="15" fillId="11" borderId="41" xfId="0" applyFont="1" applyFill="1" applyBorder="1" applyAlignment="1">
      <alignment horizontal="center" vertical="center"/>
    </xf>
    <xf numFmtId="0" fontId="19" fillId="3" borderId="43" xfId="0" applyFont="1" applyFill="1" applyBorder="1" applyAlignment="1">
      <alignment horizontal="center" vertical="center"/>
    </xf>
    <xf numFmtId="0" fontId="19" fillId="3" borderId="44" xfId="0" applyFont="1" applyFill="1" applyBorder="1" applyAlignment="1">
      <alignment horizontal="center" vertical="center"/>
    </xf>
    <xf numFmtId="0" fontId="19" fillId="3" borderId="45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41" xfId="0" applyFont="1" applyFill="1" applyBorder="1" applyAlignment="1">
      <alignment horizontal="center" vertical="center"/>
    </xf>
    <xf numFmtId="0" fontId="16" fillId="6" borderId="39" xfId="0" applyFont="1" applyFill="1" applyBorder="1" applyAlignment="1">
      <alignment horizontal="center" vertical="center"/>
    </xf>
    <xf numFmtId="0" fontId="16" fillId="6" borderId="40" xfId="0" applyFont="1" applyFill="1" applyBorder="1" applyAlignment="1">
      <alignment horizontal="center" vertical="center"/>
    </xf>
    <xf numFmtId="0" fontId="16" fillId="6" borderId="41" xfId="0" applyFont="1" applyFill="1" applyBorder="1" applyAlignment="1">
      <alignment horizontal="center" vertical="center"/>
    </xf>
    <xf numFmtId="0" fontId="16" fillId="7" borderId="39" xfId="0" applyFont="1" applyFill="1" applyBorder="1" applyAlignment="1">
      <alignment horizontal="center" vertical="center"/>
    </xf>
    <xf numFmtId="0" fontId="16" fillId="7" borderId="40" xfId="0" applyFont="1" applyFill="1" applyBorder="1" applyAlignment="1">
      <alignment horizontal="center" vertical="center"/>
    </xf>
    <xf numFmtId="0" fontId="16" fillId="7" borderId="41" xfId="0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5" fillId="7" borderId="42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0" fontId="16" fillId="8" borderId="39" xfId="0" applyFont="1" applyFill="1" applyBorder="1" applyAlignment="1">
      <alignment horizontal="center" vertical="center"/>
    </xf>
    <xf numFmtId="0" fontId="16" fillId="8" borderId="40" xfId="0" applyFont="1" applyFill="1" applyBorder="1" applyAlignment="1">
      <alignment horizontal="center" vertical="center"/>
    </xf>
    <xf numFmtId="0" fontId="16" fillId="8" borderId="41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center" vertical="center"/>
    </xf>
    <xf numFmtId="0" fontId="20" fillId="12" borderId="0" xfId="0" applyFont="1" applyFill="1" applyAlignment="1">
      <alignment horizontal="center"/>
    </xf>
    <xf numFmtId="0" fontId="20" fillId="12" borderId="46" xfId="0" applyFont="1" applyFill="1" applyBorder="1" applyAlignment="1">
      <alignment horizontal="center"/>
    </xf>
    <xf numFmtId="0" fontId="20" fillId="12" borderId="48" xfId="0" applyFont="1" applyFill="1" applyBorder="1" applyAlignment="1">
      <alignment horizontal="center"/>
    </xf>
    <xf numFmtId="0" fontId="20" fillId="12" borderId="49" xfId="0" applyFont="1" applyFill="1" applyBorder="1" applyAlignment="1">
      <alignment horizontal="center"/>
    </xf>
    <xf numFmtId="0" fontId="21" fillId="12" borderId="0" xfId="0" applyFont="1" applyFill="1" applyAlignment="1">
      <alignment horizontal="center" vertical="center"/>
    </xf>
    <xf numFmtId="0" fontId="22" fillId="12" borderId="0" xfId="0" applyFont="1" applyFill="1" applyAlignment="1">
      <alignment horizontal="center" vertical="center"/>
    </xf>
    <xf numFmtId="0" fontId="22" fillId="12" borderId="46" xfId="0" applyFont="1" applyFill="1" applyBorder="1" applyAlignment="1">
      <alignment horizontal="center" vertical="center"/>
    </xf>
    <xf numFmtId="0" fontId="23" fillId="12" borderId="0" xfId="0" applyFont="1" applyFill="1" applyAlignment="1">
      <alignment horizontal="center" vertical="center"/>
    </xf>
    <xf numFmtId="0" fontId="23" fillId="12" borderId="46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656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81</xdr:row>
          <xdr:rowOff>0</xdr:rowOff>
        </xdr:to>
        <xdr:sp macro="" textlink="">
          <xdr:nvSpPr>
            <xdr:cNvPr id="7169" name="C4PPinscrip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8193" name="C4PPinscript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170</xdr:row>
          <xdr:rowOff>0</xdr:rowOff>
        </xdr:to>
        <xdr:sp macro="" textlink="">
          <xdr:nvSpPr>
            <xdr:cNvPr id="10241" name="MAJHEUREB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170</xdr:row>
          <xdr:rowOff>0</xdr:rowOff>
        </xdr:to>
        <xdr:sp macro="" textlink="">
          <xdr:nvSpPr>
            <xdr:cNvPr id="10242" name="C4PPMatch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1265" name="MAJHEUREB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1266" name="C4PPMatch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112</xdr:row>
          <xdr:rowOff>28575</xdr:rowOff>
        </xdr:to>
        <xdr:sp macro="" textlink="">
          <xdr:nvSpPr>
            <xdr:cNvPr id="12289" name="TRIPOUL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98</xdr:row>
          <xdr:rowOff>152400</xdr:rowOff>
        </xdr:to>
        <xdr:sp macro="" textlink="">
          <xdr:nvSpPr>
            <xdr:cNvPr id="12291" name="C4PPClassemen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100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7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64</xdr:row>
          <xdr:rowOff>0</xdr:rowOff>
        </xdr:to>
        <xdr:sp macro="" textlink="">
          <xdr:nvSpPr>
            <xdr:cNvPr id="13313" name="C4PPinscrip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9217" name="C4PPinscript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16</xdr:col>
          <xdr:colOff>0</xdr:colOff>
          <xdr:row>72</xdr:row>
          <xdr:rowOff>0</xdr:rowOff>
        </xdr:to>
        <xdr:sp macro="" textlink="">
          <xdr:nvSpPr>
            <xdr:cNvPr id="15362" name="ValiderOrdrePhaseFinale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B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17</xdr:row>
          <xdr:rowOff>0</xdr:rowOff>
        </xdr:to>
        <xdr:sp macro="" textlink="">
          <xdr:nvSpPr>
            <xdr:cNvPr id="16385" name="TRIPOULE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6387" name="C4PPClassement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C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7409" name="C4PPph14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8433" name="C4PPph14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E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9457" name="C4PPph14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119</xdr:row>
          <xdr:rowOff>0</xdr:rowOff>
        </xdr:to>
        <xdr:sp macro="" textlink="">
          <xdr:nvSpPr>
            <xdr:cNvPr id="20481" name="MAJHEUREB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119</xdr:row>
          <xdr:rowOff>0</xdr:rowOff>
        </xdr:to>
        <xdr:sp macro="" textlink="">
          <xdr:nvSpPr>
            <xdr:cNvPr id="20482" name="C4PPMatchph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2529" name="C4PPphfinalh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3553" name="C4PPphfinalh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62</xdr:row>
          <xdr:rowOff>0</xdr:rowOff>
        </xdr:to>
        <xdr:sp macro="" textlink="">
          <xdr:nvSpPr>
            <xdr:cNvPr id="24577" name="C4PPphfinalh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16</xdr:row>
          <xdr:rowOff>0</xdr:rowOff>
        </xdr:to>
        <xdr:sp macro="" textlink="">
          <xdr:nvSpPr>
            <xdr:cNvPr id="21505" name="C4PPphfinalh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U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arametres"/>
      <sheetName val="NOTES"/>
      <sheetName val="OMPN"/>
      <sheetName val="INSCRIPTS"/>
      <sheetName val="INSCRIPTS_M"/>
      <sheetName val="MATCHS"/>
      <sheetName val="MATCHS_M"/>
      <sheetName val="CLASSEMENTS"/>
      <sheetName val="CLASSEMENTS_M"/>
      <sheetName val="POULE"/>
    </sheetNames>
    <definedNames>
      <definedName name="heureaut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137" t="s">
        <v>21</v>
      </c>
      <c r="B1" s="138"/>
      <c r="C1" s="138"/>
      <c r="D1" s="138"/>
      <c r="E1" s="138"/>
      <c r="F1" s="138"/>
      <c r="G1" s="138"/>
      <c r="H1" s="138"/>
      <c r="I1" s="138"/>
      <c r="J1" s="138"/>
      <c r="K1" s="139"/>
    </row>
    <row r="2" spans="1:11" ht="15" customHeight="1" x14ac:dyDescent="0.25">
      <c r="A2" s="140"/>
      <c r="B2" s="141"/>
      <c r="C2" s="141"/>
      <c r="D2" s="141"/>
      <c r="E2" s="141"/>
      <c r="F2" s="141"/>
      <c r="G2" s="141"/>
      <c r="H2" s="141"/>
      <c r="I2" s="141"/>
      <c r="J2" s="141"/>
      <c r="K2" s="142"/>
    </row>
    <row r="3" spans="1:11" ht="15" customHeight="1" x14ac:dyDescent="0.25">
      <c r="A3" s="140"/>
      <c r="B3" s="141"/>
      <c r="C3" s="141"/>
      <c r="D3" s="141"/>
      <c r="E3" s="141"/>
      <c r="F3" s="141"/>
      <c r="G3" s="141"/>
      <c r="H3" s="141"/>
      <c r="I3" s="141"/>
      <c r="J3" s="141"/>
      <c r="K3" s="142"/>
    </row>
    <row r="4" spans="1:11" ht="15" customHeight="1" x14ac:dyDescent="0.25">
      <c r="A4" s="140"/>
      <c r="B4" s="141"/>
      <c r="C4" s="141"/>
      <c r="D4" s="141"/>
      <c r="E4" s="141"/>
      <c r="F4" s="141"/>
      <c r="G4" s="141"/>
      <c r="H4" s="141"/>
      <c r="I4" s="141"/>
      <c r="J4" s="141"/>
      <c r="K4" s="142"/>
    </row>
    <row r="5" spans="1:11" ht="15" customHeight="1" x14ac:dyDescent="0.25">
      <c r="A5" s="140"/>
      <c r="B5" s="141"/>
      <c r="C5" s="141"/>
      <c r="D5" s="141"/>
      <c r="E5" s="141"/>
      <c r="F5" s="141"/>
      <c r="G5" s="141"/>
      <c r="H5" s="141"/>
      <c r="I5" s="141"/>
      <c r="J5" s="141"/>
      <c r="K5" s="142"/>
    </row>
    <row r="6" spans="1:11" ht="15" customHeight="1" x14ac:dyDescent="0.25">
      <c r="A6" s="140"/>
      <c r="B6" s="141"/>
      <c r="C6" s="141"/>
      <c r="D6" s="141"/>
      <c r="E6" s="141"/>
      <c r="F6" s="141"/>
      <c r="G6" s="141"/>
      <c r="H6" s="141"/>
      <c r="I6" s="141"/>
      <c r="J6" s="141"/>
      <c r="K6" s="142"/>
    </row>
    <row r="7" spans="1:11" ht="15" customHeight="1" x14ac:dyDescent="0.25">
      <c r="A7" s="140"/>
      <c r="B7" s="141"/>
      <c r="C7" s="141"/>
      <c r="D7" s="141"/>
      <c r="E7" s="141"/>
      <c r="F7" s="141"/>
      <c r="G7" s="141"/>
      <c r="H7" s="141"/>
      <c r="I7" s="141"/>
      <c r="J7" s="141"/>
      <c r="K7" s="142"/>
    </row>
    <row r="8" spans="1:11" ht="15" customHeight="1" x14ac:dyDescent="0.25">
      <c r="A8" s="140"/>
      <c r="B8" s="141"/>
      <c r="C8" s="141"/>
      <c r="D8" s="141"/>
      <c r="E8" s="141"/>
      <c r="F8" s="141"/>
      <c r="G8" s="141"/>
      <c r="H8" s="141"/>
      <c r="I8" s="141"/>
      <c r="J8" s="141"/>
      <c r="K8" s="142"/>
    </row>
    <row r="9" spans="1:11" ht="15" customHeight="1" x14ac:dyDescent="0.25">
      <c r="A9" s="140"/>
      <c r="B9" s="141"/>
      <c r="C9" s="141"/>
      <c r="D9" s="141"/>
      <c r="E9" s="141"/>
      <c r="F9" s="141"/>
      <c r="G9" s="141"/>
      <c r="H9" s="141"/>
      <c r="I9" s="141"/>
      <c r="J9" s="141"/>
      <c r="K9" s="142"/>
    </row>
    <row r="10" spans="1:11" ht="15" customHeight="1" x14ac:dyDescent="0.25">
      <c r="A10" s="140"/>
      <c r="B10" s="141"/>
      <c r="C10" s="141"/>
      <c r="D10" s="141"/>
      <c r="E10" s="141"/>
      <c r="F10" s="141"/>
      <c r="G10" s="141"/>
      <c r="H10" s="141"/>
      <c r="I10" s="141"/>
      <c r="J10" s="141"/>
      <c r="K10" s="142"/>
    </row>
    <row r="11" spans="1:11" ht="15" customHeight="1" x14ac:dyDescent="0.25">
      <c r="A11" s="140"/>
      <c r="B11" s="141"/>
      <c r="C11" s="141"/>
      <c r="D11" s="141"/>
      <c r="E11" s="141"/>
      <c r="F11" s="141"/>
      <c r="G11" s="141"/>
      <c r="H11" s="141"/>
      <c r="I11" s="141"/>
      <c r="J11" s="141"/>
      <c r="K11" s="142"/>
    </row>
    <row r="12" spans="1:11" ht="15" customHeight="1" x14ac:dyDescent="0.25">
      <c r="A12" s="140"/>
      <c r="B12" s="141"/>
      <c r="C12" s="141"/>
      <c r="D12" s="141"/>
      <c r="E12" s="141"/>
      <c r="F12" s="141"/>
      <c r="G12" s="141"/>
      <c r="H12" s="141"/>
      <c r="I12" s="141"/>
      <c r="J12" s="141"/>
      <c r="K12" s="142"/>
    </row>
    <row r="13" spans="1:11" ht="15" customHeight="1" x14ac:dyDescent="0.25">
      <c r="A13" s="140"/>
      <c r="B13" s="141"/>
      <c r="C13" s="141"/>
      <c r="D13" s="141"/>
      <c r="E13" s="141"/>
      <c r="F13" s="141"/>
      <c r="G13" s="141"/>
      <c r="H13" s="141"/>
      <c r="I13" s="141"/>
      <c r="J13" s="141"/>
      <c r="K13" s="142"/>
    </row>
    <row r="14" spans="1:11" ht="15" customHeight="1" x14ac:dyDescent="0.25">
      <c r="A14" s="140"/>
      <c r="B14" s="141"/>
      <c r="C14" s="141"/>
      <c r="D14" s="141"/>
      <c r="E14" s="141"/>
      <c r="F14" s="141"/>
      <c r="G14" s="141"/>
      <c r="H14" s="141"/>
      <c r="I14" s="141"/>
      <c r="J14" s="141"/>
      <c r="K14" s="142"/>
    </row>
    <row r="15" spans="1:11" ht="15" customHeight="1" x14ac:dyDescent="0.25">
      <c r="A15" s="140"/>
      <c r="B15" s="141"/>
      <c r="C15" s="141"/>
      <c r="D15" s="141"/>
      <c r="E15" s="141"/>
      <c r="F15" s="141"/>
      <c r="G15" s="141"/>
      <c r="H15" s="141"/>
      <c r="I15" s="141"/>
      <c r="J15" s="141"/>
      <c r="K15" s="142"/>
    </row>
    <row r="16" spans="1:11" ht="15" customHeight="1" x14ac:dyDescent="0.25">
      <c r="A16" s="140"/>
      <c r="B16" s="141"/>
      <c r="C16" s="141"/>
      <c r="D16" s="141"/>
      <c r="E16" s="141"/>
      <c r="F16" s="141"/>
      <c r="G16" s="141"/>
      <c r="H16" s="141"/>
      <c r="I16" s="141"/>
      <c r="J16" s="141"/>
      <c r="K16" s="142"/>
    </row>
    <row r="17" spans="1:12" ht="15" customHeight="1" x14ac:dyDescent="0.25">
      <c r="A17" s="140"/>
      <c r="B17" s="141"/>
      <c r="C17" s="141"/>
      <c r="D17" s="141"/>
      <c r="E17" s="141"/>
      <c r="F17" s="141"/>
      <c r="G17" s="141"/>
      <c r="H17" s="141"/>
      <c r="I17" s="141"/>
      <c r="J17" s="141"/>
      <c r="K17" s="142"/>
    </row>
    <row r="18" spans="1:12" ht="15" customHeight="1" x14ac:dyDescent="0.25">
      <c r="A18" s="140"/>
      <c r="B18" s="141"/>
      <c r="C18" s="141"/>
      <c r="D18" s="141"/>
      <c r="E18" s="141"/>
      <c r="F18" s="141"/>
      <c r="G18" s="141"/>
      <c r="H18" s="141"/>
      <c r="I18" s="141"/>
      <c r="J18" s="141"/>
      <c r="K18" s="142"/>
    </row>
    <row r="19" spans="1:12" ht="15" customHeight="1" x14ac:dyDescent="0.25">
      <c r="A19" s="140"/>
      <c r="B19" s="141"/>
      <c r="C19" s="141"/>
      <c r="D19" s="141"/>
      <c r="E19" s="141"/>
      <c r="F19" s="141"/>
      <c r="G19" s="141"/>
      <c r="H19" s="141"/>
      <c r="I19" s="141"/>
      <c r="J19" s="141"/>
      <c r="K19" s="142"/>
    </row>
    <row r="20" spans="1:12" ht="15" customHeight="1" x14ac:dyDescent="0.25">
      <c r="A20" s="140"/>
      <c r="B20" s="141"/>
      <c r="C20" s="141"/>
      <c r="D20" s="141"/>
      <c r="E20" s="141"/>
      <c r="F20" s="141"/>
      <c r="G20" s="141"/>
      <c r="H20" s="141"/>
      <c r="I20" s="141"/>
      <c r="J20" s="141"/>
      <c r="K20" s="142"/>
    </row>
    <row r="21" spans="1:12" ht="15" customHeight="1" x14ac:dyDescent="0.25">
      <c r="A21" s="140"/>
      <c r="B21" s="141"/>
      <c r="C21" s="141"/>
      <c r="D21" s="141"/>
      <c r="E21" s="141"/>
      <c r="F21" s="141"/>
      <c r="G21" s="141"/>
      <c r="H21" s="141"/>
      <c r="I21" s="141"/>
      <c r="J21" s="141"/>
      <c r="K21" s="142"/>
    </row>
    <row r="22" spans="1:12" ht="15" customHeight="1" x14ac:dyDescent="0.25">
      <c r="A22" s="140"/>
      <c r="B22" s="141"/>
      <c r="C22" s="141"/>
      <c r="D22" s="141"/>
      <c r="E22" s="141"/>
      <c r="F22" s="141"/>
      <c r="G22" s="141"/>
      <c r="H22" s="141"/>
      <c r="I22" s="141"/>
      <c r="J22" s="141"/>
      <c r="K22" s="142"/>
    </row>
    <row r="23" spans="1:12" ht="15" customHeight="1" x14ac:dyDescent="0.25">
      <c r="A23" s="134" t="s">
        <v>23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6"/>
      <c r="L23" s="26"/>
    </row>
    <row r="24" spans="1:12" ht="15" customHeight="1" x14ac:dyDescent="0.25">
      <c r="A24" s="134"/>
      <c r="B24" s="135"/>
      <c r="C24" s="135"/>
      <c r="D24" s="135"/>
      <c r="E24" s="135"/>
      <c r="F24" s="135"/>
      <c r="G24" s="135"/>
      <c r="H24" s="135"/>
      <c r="I24" s="135"/>
      <c r="J24" s="135"/>
      <c r="K24" s="136"/>
      <c r="L24" s="26"/>
    </row>
    <row r="25" spans="1:12" ht="15" customHeight="1" x14ac:dyDescent="0.25">
      <c r="A25" s="134"/>
      <c r="B25" s="135"/>
      <c r="C25" s="135"/>
      <c r="D25" s="135"/>
      <c r="E25" s="135"/>
      <c r="F25" s="135"/>
      <c r="G25" s="135"/>
      <c r="H25" s="135"/>
      <c r="I25" s="135"/>
      <c r="J25" s="135"/>
      <c r="K25" s="136"/>
      <c r="L25" s="26"/>
    </row>
    <row r="26" spans="1:12" ht="15" customHeight="1" x14ac:dyDescent="0.25">
      <c r="A26" s="134"/>
      <c r="B26" s="135"/>
      <c r="C26" s="135"/>
      <c r="D26" s="135"/>
      <c r="E26" s="135"/>
      <c r="F26" s="135"/>
      <c r="G26" s="135"/>
      <c r="H26" s="135"/>
      <c r="I26" s="135"/>
      <c r="J26" s="135"/>
      <c r="K26" s="136"/>
      <c r="L26" s="26"/>
    </row>
    <row r="27" spans="1:12" ht="15" customHeight="1" x14ac:dyDescent="0.25">
      <c r="A27" s="119"/>
      <c r="B27" s="120"/>
      <c r="C27" s="120"/>
      <c r="D27" s="120"/>
      <c r="E27" s="120"/>
      <c r="F27" s="120"/>
      <c r="G27" s="120"/>
      <c r="H27" s="120"/>
      <c r="I27" s="120"/>
      <c r="J27" s="120"/>
      <c r="K27" s="121"/>
      <c r="L27" s="26"/>
    </row>
    <row r="28" spans="1:12" ht="15" customHeight="1" thickBot="1" x14ac:dyDescent="0.3">
      <c r="A28" s="122"/>
      <c r="B28" s="123"/>
      <c r="C28" s="123"/>
      <c r="D28" s="123"/>
      <c r="E28" s="123"/>
      <c r="F28" s="123"/>
      <c r="G28" s="123"/>
      <c r="H28" s="123"/>
      <c r="I28" s="123"/>
      <c r="J28" s="123"/>
      <c r="K28" s="124"/>
      <c r="L28" s="26"/>
    </row>
    <row r="29" spans="1:12" ht="15" customHeight="1" x14ac:dyDescent="0.25">
      <c r="A29" s="125" t="s">
        <v>22</v>
      </c>
      <c r="B29" s="126"/>
      <c r="C29" s="126"/>
      <c r="D29" s="126"/>
      <c r="E29" s="126"/>
      <c r="F29" s="126"/>
      <c r="G29" s="126"/>
      <c r="H29" s="126"/>
      <c r="I29" s="126"/>
      <c r="J29" s="126"/>
      <c r="K29" s="127"/>
      <c r="L29" s="26"/>
    </row>
    <row r="30" spans="1:12" ht="15" customHeight="1" x14ac:dyDescent="0.25">
      <c r="A30" s="128"/>
      <c r="B30" s="129"/>
      <c r="C30" s="129"/>
      <c r="D30" s="129"/>
      <c r="E30" s="129"/>
      <c r="F30" s="129"/>
      <c r="G30" s="129"/>
      <c r="H30" s="129"/>
      <c r="I30" s="129"/>
      <c r="J30" s="129"/>
      <c r="K30" s="130"/>
    </row>
    <row r="31" spans="1:12" ht="15" customHeight="1" thickBot="1" x14ac:dyDescent="0.3">
      <c r="A31" s="131"/>
      <c r="B31" s="132"/>
      <c r="C31" s="132"/>
      <c r="D31" s="132"/>
      <c r="E31" s="132"/>
      <c r="F31" s="132"/>
      <c r="G31" s="132"/>
      <c r="H31" s="132"/>
      <c r="I31" s="132"/>
      <c r="J31" s="132"/>
      <c r="K31" s="133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Y226"/>
  <sheetViews>
    <sheetView tabSelected="1" zoomScale="85" zoomScaleNormal="85" workbookViewId="0">
      <selection activeCell="F36" sqref="F36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5" ht="15.75" thickBot="1" x14ac:dyDescent="0.3">
      <c r="A1" s="3" t="s">
        <v>2</v>
      </c>
      <c r="B1" s="1"/>
      <c r="C1" s="146"/>
      <c r="D1" s="29" t="s">
        <v>0</v>
      </c>
      <c r="E1" s="53" t="s">
        <v>55</v>
      </c>
      <c r="F1" s="3" t="s">
        <v>1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</row>
    <row r="2" spans="1:25" ht="15.75" thickBot="1" x14ac:dyDescent="0.3">
      <c r="A2" s="7">
        <v>8.3333333333333332E-3</v>
      </c>
      <c r="C2" s="146"/>
      <c r="D2" s="33">
        <v>4</v>
      </c>
      <c r="E2" s="34">
        <v>9</v>
      </c>
      <c r="F2" s="28">
        <v>4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ht="15.75" thickBot="1" x14ac:dyDescent="0.3">
      <c r="A3" s="8">
        <v>0</v>
      </c>
      <c r="C3" s="147"/>
      <c r="D3" s="4" t="s">
        <v>33</v>
      </c>
      <c r="E3" s="43" t="str">
        <f>"Nbres de Cat : " &amp; B30</f>
        <v>Nbres de Cat : 3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x14ac:dyDescent="0.25">
      <c r="A4" s="9" t="s">
        <v>3</v>
      </c>
      <c r="B4" s="2">
        <v>1</v>
      </c>
      <c r="C4" s="30" t="str">
        <f t="shared" ref="C4:C29" si="0">IF($D$2&gt;=B4,CHAR(64+B4),"")</f>
        <v>A</v>
      </c>
      <c r="D4" s="35">
        <v>16</v>
      </c>
      <c r="E4" s="6" t="s">
        <v>98</v>
      </c>
      <c r="F4" s="2" t="s">
        <v>25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25" ht="15.75" thickBot="1" x14ac:dyDescent="0.3">
      <c r="A5" s="28">
        <v>8</v>
      </c>
      <c r="B5" s="2">
        <v>2</v>
      </c>
      <c r="C5" s="31" t="str">
        <f t="shared" si="0"/>
        <v>B</v>
      </c>
      <c r="D5" s="35">
        <v>16</v>
      </c>
      <c r="E5" s="6" t="s">
        <v>98</v>
      </c>
      <c r="F5" s="27" t="s">
        <v>26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ht="15.75" thickBot="1" x14ac:dyDescent="0.3">
      <c r="B6" s="2">
        <v>3</v>
      </c>
      <c r="C6" s="31" t="str">
        <f t="shared" si="0"/>
        <v>C</v>
      </c>
      <c r="D6" s="35">
        <v>16</v>
      </c>
      <c r="E6" s="6" t="s">
        <v>135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25" x14ac:dyDescent="0.25">
      <c r="A7" s="10" t="s">
        <v>4</v>
      </c>
      <c r="B7" s="2">
        <v>4</v>
      </c>
      <c r="C7" s="31" t="str">
        <f t="shared" si="0"/>
        <v>D</v>
      </c>
      <c r="D7" s="35">
        <v>12</v>
      </c>
      <c r="E7" s="6" t="s">
        <v>154</v>
      </c>
      <c r="K7" s="23"/>
      <c r="L7" s="23"/>
      <c r="M7" s="23"/>
      <c r="N7" s="23"/>
      <c r="O7" s="23"/>
      <c r="P7" s="23"/>
      <c r="Q7" s="23"/>
      <c r="R7" s="23"/>
      <c r="S7" s="23"/>
      <c r="T7" s="23"/>
    </row>
    <row r="8" spans="1:25" ht="15.75" thickBot="1" x14ac:dyDescent="0.3">
      <c r="A8" s="5">
        <f>ROUNDUP(SUM(D4:D29)/16,0)</f>
        <v>4</v>
      </c>
      <c r="B8" s="2">
        <v>5</v>
      </c>
      <c r="C8" s="31" t="str">
        <f t="shared" si="0"/>
        <v/>
      </c>
      <c r="D8" s="35"/>
      <c r="E8" s="6"/>
      <c r="K8" s="23"/>
      <c r="L8" s="23"/>
      <c r="M8" s="23"/>
      <c r="N8" s="23"/>
      <c r="O8" s="23"/>
      <c r="P8" s="23"/>
      <c r="Q8" s="23"/>
      <c r="R8" s="23"/>
      <c r="S8" s="23"/>
      <c r="T8" s="23"/>
    </row>
    <row r="9" spans="1:25" x14ac:dyDescent="0.25">
      <c r="B9" s="2">
        <v>6</v>
      </c>
      <c r="C9" s="31" t="str">
        <f t="shared" si="0"/>
        <v/>
      </c>
      <c r="D9" s="35"/>
      <c r="E9" s="6"/>
      <c r="K9" s="23"/>
      <c r="L9" s="23"/>
      <c r="M9" s="23"/>
      <c r="N9" s="23"/>
      <c r="O9" s="23"/>
      <c r="P9" s="23"/>
      <c r="Q9" s="23"/>
      <c r="R9" s="23"/>
      <c r="S9" s="23"/>
      <c r="T9" s="23"/>
    </row>
    <row r="10" spans="1:25" ht="15.75" thickBot="1" x14ac:dyDescent="0.3">
      <c r="B10" s="2">
        <v>7</v>
      </c>
      <c r="C10" s="31" t="str">
        <f t="shared" si="0"/>
        <v/>
      </c>
      <c r="D10" s="35"/>
      <c r="E10" s="6"/>
      <c r="K10" s="23"/>
      <c r="L10" s="23"/>
      <c r="M10" s="23"/>
      <c r="N10" s="23"/>
      <c r="O10" s="23"/>
      <c r="P10" s="23"/>
      <c r="Q10" s="23"/>
      <c r="R10" s="23"/>
      <c r="S10" s="23"/>
      <c r="T10" s="23"/>
    </row>
    <row r="11" spans="1:25" x14ac:dyDescent="0.25">
      <c r="A11" s="3" t="s">
        <v>5</v>
      </c>
      <c r="B11" s="2">
        <v>8</v>
      </c>
      <c r="C11" s="31" t="str">
        <f t="shared" si="0"/>
        <v/>
      </c>
      <c r="D11" s="35"/>
      <c r="E11" s="6"/>
      <c r="K11" s="23"/>
      <c r="L11" s="23"/>
      <c r="M11" s="23"/>
      <c r="N11" s="23"/>
      <c r="O11" s="23"/>
      <c r="P11" s="23"/>
      <c r="Q11" s="23"/>
      <c r="R11" s="23"/>
      <c r="S11" s="23"/>
      <c r="T11" s="23"/>
    </row>
    <row r="12" spans="1:25" x14ac:dyDescent="0.25">
      <c r="A12" s="11" t="str">
        <f>A1</f>
        <v>Temps de Match</v>
      </c>
      <c r="B12" s="2">
        <v>9</v>
      </c>
      <c r="C12" s="31" t="str">
        <f t="shared" si="0"/>
        <v/>
      </c>
      <c r="D12" s="35"/>
      <c r="E12" s="6"/>
      <c r="K12" s="23"/>
      <c r="L12" s="23"/>
      <c r="M12" s="23"/>
      <c r="N12" s="23"/>
      <c r="O12" s="23"/>
      <c r="P12" s="23"/>
      <c r="Q12" s="23"/>
      <c r="R12" s="23"/>
      <c r="S12" s="23"/>
      <c r="T12" s="23"/>
    </row>
    <row r="13" spans="1:25" x14ac:dyDescent="0.25">
      <c r="A13" s="12">
        <f>A2</f>
        <v>8.3333333333333332E-3</v>
      </c>
      <c r="B13" s="2">
        <v>10</v>
      </c>
      <c r="C13" s="31" t="str">
        <f t="shared" si="0"/>
        <v/>
      </c>
      <c r="D13" s="35"/>
      <c r="E13" s="6"/>
      <c r="K13" s="23"/>
      <c r="L13" s="23"/>
      <c r="M13" s="23"/>
      <c r="N13" s="23"/>
      <c r="O13" s="23"/>
      <c r="P13" s="23"/>
      <c r="Q13" s="23"/>
      <c r="R13" s="23"/>
      <c r="S13" s="23"/>
      <c r="T13" s="23"/>
    </row>
    <row r="14" spans="1:25" x14ac:dyDescent="0.25">
      <c r="A14" s="11" t="s">
        <v>6</v>
      </c>
      <c r="B14" s="2">
        <v>11</v>
      </c>
      <c r="C14" s="31" t="str">
        <f t="shared" si="0"/>
        <v/>
      </c>
      <c r="D14" s="35"/>
      <c r="E14" s="6"/>
      <c r="K14" s="23"/>
      <c r="L14" s="23"/>
      <c r="M14" s="23"/>
      <c r="N14" s="23"/>
      <c r="O14" s="23"/>
      <c r="P14" s="23"/>
      <c r="Q14" s="23"/>
      <c r="R14" s="23"/>
      <c r="S14" s="23"/>
      <c r="T14" s="23"/>
    </row>
    <row r="15" spans="1:25" x14ac:dyDescent="0.25">
      <c r="A15" s="7">
        <v>0.83333333333333337</v>
      </c>
      <c r="B15" s="2">
        <v>12</v>
      </c>
      <c r="C15" s="31" t="str">
        <f t="shared" si="0"/>
        <v/>
      </c>
      <c r="D15" s="35"/>
      <c r="E15" s="6"/>
      <c r="K15" s="23"/>
      <c r="L15" s="23"/>
      <c r="M15" s="23"/>
      <c r="N15" s="23"/>
      <c r="O15" s="23"/>
      <c r="P15" s="23"/>
      <c r="Q15" s="23"/>
      <c r="R15" s="23"/>
      <c r="S15" s="23"/>
      <c r="T15" s="23"/>
    </row>
    <row r="16" spans="1:25" x14ac:dyDescent="0.25">
      <c r="A16" s="11" t="s">
        <v>7</v>
      </c>
      <c r="B16" s="2">
        <v>13</v>
      </c>
      <c r="C16" s="31" t="str">
        <f t="shared" si="0"/>
        <v/>
      </c>
      <c r="D16" s="35"/>
      <c r="E16" s="6"/>
      <c r="F16" s="2" t="s">
        <v>97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</row>
    <row r="17" spans="1:25" x14ac:dyDescent="0.25">
      <c r="A17" s="42">
        <f>(counttour()/E2*(A2+A3)) + (ROUNDUP(IF(B31=TRUE,12*A5,12*A5*B30)/E2,0)*(A2+A3))</f>
        <v>0.48611111111111116</v>
      </c>
      <c r="B17" s="2">
        <v>14</v>
      </c>
      <c r="C17" s="31" t="str">
        <f t="shared" si="0"/>
        <v/>
      </c>
      <c r="D17" s="35"/>
      <c r="E17" s="6"/>
      <c r="K17" s="23"/>
      <c r="L17" s="23"/>
      <c r="M17" s="23"/>
      <c r="N17" s="23"/>
      <c r="O17" s="23"/>
      <c r="P17" s="23"/>
      <c r="Q17" s="23"/>
      <c r="R17" s="23"/>
      <c r="S17" s="23"/>
      <c r="T17" s="23"/>
    </row>
    <row r="18" spans="1:25" x14ac:dyDescent="0.25">
      <c r="A18" s="11" t="s">
        <v>8</v>
      </c>
      <c r="B18" s="2">
        <v>15</v>
      </c>
      <c r="C18" s="31" t="str">
        <f t="shared" si="0"/>
        <v/>
      </c>
      <c r="D18" s="35"/>
      <c r="E18" s="6"/>
      <c r="F18" s="143" t="s">
        <v>20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</row>
    <row r="19" spans="1:25" x14ac:dyDescent="0.25">
      <c r="A19" s="12">
        <f>A15+A17+A21</f>
        <v>1.3402777777777779</v>
      </c>
      <c r="B19" s="2">
        <v>16</v>
      </c>
      <c r="C19" s="31" t="str">
        <f t="shared" si="0"/>
        <v/>
      </c>
      <c r="D19" s="35"/>
      <c r="E19" s="6"/>
      <c r="F19" s="143"/>
      <c r="K19" s="23"/>
      <c r="L19" s="23"/>
      <c r="M19" s="23"/>
      <c r="N19" s="23"/>
      <c r="O19" s="23"/>
      <c r="P19" s="23"/>
      <c r="Q19" s="23"/>
      <c r="R19" s="23"/>
      <c r="S19" s="23"/>
      <c r="T19" s="23"/>
    </row>
    <row r="20" spans="1:25" x14ac:dyDescent="0.25">
      <c r="A20" s="11" t="s">
        <v>9</v>
      </c>
      <c r="B20" s="2">
        <v>17</v>
      </c>
      <c r="C20" s="31" t="str">
        <f t="shared" si="0"/>
        <v/>
      </c>
      <c r="D20" s="35"/>
      <c r="E20" s="6"/>
      <c r="F20" s="143"/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5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14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B22" s="2">
        <v>19</v>
      </c>
      <c r="C22" s="31" t="str">
        <f t="shared" si="0"/>
        <v/>
      </c>
      <c r="D22" s="35"/>
      <c r="E22" s="6"/>
      <c r="F22" s="21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</row>
    <row r="23" spans="1:25" x14ac:dyDescent="0.25">
      <c r="B23" s="2">
        <v>20</v>
      </c>
      <c r="C23" s="31" t="str">
        <f t="shared" si="0"/>
        <v/>
      </c>
      <c r="D23" s="35"/>
      <c r="E23" s="6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13"/>
      <c r="B24" s="2">
        <v>21</v>
      </c>
      <c r="C24" s="31" t="str">
        <f t="shared" si="0"/>
        <v/>
      </c>
      <c r="D24" s="35"/>
      <c r="E24" s="6"/>
      <c r="F24" s="144" t="s">
        <v>22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1:25" ht="15.75" x14ac:dyDescent="0.25">
      <c r="A25" s="14"/>
      <c r="B25" s="2">
        <v>22</v>
      </c>
      <c r="C25" s="31" t="str">
        <f t="shared" si="0"/>
        <v/>
      </c>
      <c r="D25" s="35"/>
      <c r="E25" s="6"/>
      <c r="F25" s="144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ht="15.75" x14ac:dyDescent="0.25">
      <c r="A26" s="14"/>
      <c r="B26" s="2">
        <v>23</v>
      </c>
      <c r="C26" s="31" t="str">
        <f t="shared" si="0"/>
        <v/>
      </c>
      <c r="D26" s="35"/>
      <c r="E26" s="6"/>
      <c r="F26" s="144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</row>
    <row r="27" spans="1:25" ht="15.75" x14ac:dyDescent="0.25">
      <c r="A27" s="14"/>
      <c r="B27" s="2">
        <v>24</v>
      </c>
      <c r="C27" s="31" t="str">
        <f t="shared" si="0"/>
        <v/>
      </c>
      <c r="D27" s="35"/>
      <c r="E27" s="6"/>
      <c r="F27" s="144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ht="15.75" x14ac:dyDescent="0.25">
      <c r="A28" s="14"/>
      <c r="B28" s="2">
        <v>25</v>
      </c>
      <c r="C28" s="31" t="str">
        <f t="shared" si="0"/>
        <v/>
      </c>
      <c r="D28" s="35"/>
      <c r="E28" s="6"/>
      <c r="F28" s="144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</row>
    <row r="29" spans="1:25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145" t="s">
        <v>24</v>
      </c>
      <c r="G29" s="23"/>
      <c r="K29" s="23"/>
      <c r="L29" s="23"/>
      <c r="M29" s="23"/>
      <c r="N29" s="23"/>
      <c r="O29" s="23"/>
      <c r="P29" s="23"/>
      <c r="Q29" s="23"/>
    </row>
    <row r="30" spans="1:25" ht="15.75" x14ac:dyDescent="0.25">
      <c r="A30" s="22"/>
      <c r="B30" s="41">
        <f t="array" ref="B30">IF(SUMPRODUCT(IF(E4:E29&lt;&gt;"",1/COUNTIF(E4:E29,E4:E29)))=0,1,SUMPRODUCT(IF(E4:E29&lt;&gt;"",1/COUNTIF(E4:E29,E4:E29))))</f>
        <v>3</v>
      </c>
      <c r="C30" s="23"/>
      <c r="D30" s="23"/>
      <c r="E30" s="38"/>
      <c r="F30" s="145"/>
      <c r="G30" s="23"/>
      <c r="K30" s="23"/>
      <c r="L30" s="23"/>
      <c r="M30" s="23"/>
      <c r="N30" s="23"/>
      <c r="O30" s="23"/>
      <c r="P30" s="23"/>
      <c r="Q30" s="23"/>
    </row>
    <row r="31" spans="1:25" x14ac:dyDescent="0.25">
      <c r="A31" s="45" t="s">
        <v>6</v>
      </c>
      <c r="B31" s="41" t="b">
        <v>1</v>
      </c>
      <c r="C31" s="23"/>
      <c r="D31" s="45" t="s">
        <v>95</v>
      </c>
      <c r="E31" s="23"/>
      <c r="F31" s="145"/>
      <c r="G31" s="23"/>
      <c r="K31" s="23"/>
      <c r="L31" s="23"/>
      <c r="M31" s="23"/>
      <c r="N31" s="23"/>
      <c r="O31" s="23"/>
      <c r="P31" s="23"/>
      <c r="Q31" s="23"/>
    </row>
    <row r="32" spans="1:25" x14ac:dyDescent="0.25">
      <c r="A32" s="7">
        <v>0.39583333333333331</v>
      </c>
      <c r="B32" s="41" t="b">
        <v>0</v>
      </c>
      <c r="C32" s="23"/>
      <c r="D32" s="34">
        <v>0</v>
      </c>
      <c r="E32" s="23"/>
      <c r="F32" s="23"/>
      <c r="G32" s="23"/>
      <c r="K32" s="23"/>
      <c r="L32" s="23"/>
      <c r="M32" s="23"/>
      <c r="N32" s="23"/>
      <c r="O32" s="23"/>
      <c r="P32" s="23"/>
      <c r="Q32" s="23"/>
    </row>
    <row r="33" spans="1:17" x14ac:dyDescent="0.25">
      <c r="A33" s="45" t="s">
        <v>50</v>
      </c>
      <c r="B33" s="41" t="b">
        <v>0</v>
      </c>
      <c r="C33" s="23"/>
      <c r="D33" s="45" t="s">
        <v>96</v>
      </c>
      <c r="E33" s="23"/>
      <c r="F33" s="37"/>
      <c r="G33" s="23"/>
      <c r="K33" s="23"/>
      <c r="L33" s="23"/>
      <c r="M33" s="23"/>
      <c r="N33" s="23"/>
      <c r="O33" s="23"/>
      <c r="P33" s="23"/>
      <c r="Q33" s="23"/>
    </row>
    <row r="34" spans="1:17" x14ac:dyDescent="0.25">
      <c r="A34" s="46">
        <f>(counttour()/E2*(A2+A3))+A32</f>
        <v>0.39861111111111108</v>
      </c>
      <c r="B34" s="41" t="b">
        <v>0</v>
      </c>
      <c r="C34" s="23"/>
      <c r="D34" s="34">
        <v>0</v>
      </c>
      <c r="E34" s="23"/>
      <c r="G34" s="23"/>
      <c r="K34" s="23"/>
      <c r="L34" s="23"/>
      <c r="M34" s="23"/>
      <c r="N34" s="23"/>
      <c r="O34" s="23"/>
      <c r="P34" s="23"/>
      <c r="Q34" s="23"/>
    </row>
    <row r="35" spans="1:17" x14ac:dyDescent="0.25">
      <c r="A35" s="45" t="s">
        <v>51</v>
      </c>
      <c r="B35" s="23"/>
      <c r="C35" s="23"/>
      <c r="D35" s="44"/>
      <c r="E35" s="23"/>
      <c r="F35" s="2" t="s">
        <v>312</v>
      </c>
      <c r="G35" s="23"/>
      <c r="K35" s="23"/>
      <c r="L35" s="23"/>
      <c r="M35" s="23"/>
      <c r="N35" s="23"/>
      <c r="O35" s="23"/>
      <c r="P35" s="23"/>
      <c r="Q35" s="23"/>
    </row>
    <row r="36" spans="1:17" x14ac:dyDescent="0.25">
      <c r="A36" s="7">
        <v>0.58333333333333337</v>
      </c>
      <c r="B36" s="23"/>
      <c r="C36" s="23"/>
      <c r="D36" s="23"/>
      <c r="E36" s="23"/>
      <c r="F36" s="2" t="s">
        <v>311</v>
      </c>
      <c r="G36" s="23"/>
      <c r="K36" s="23"/>
      <c r="L36" s="23"/>
      <c r="M36" s="23"/>
      <c r="N36" s="23"/>
      <c r="O36" s="23"/>
      <c r="P36" s="23"/>
      <c r="Q36" s="23"/>
    </row>
    <row r="37" spans="1:17" x14ac:dyDescent="0.25">
      <c r="A37" s="45" t="s">
        <v>52</v>
      </c>
      <c r="B37" s="23"/>
      <c r="C37" s="23"/>
      <c r="D37" s="23"/>
      <c r="E37" s="23"/>
      <c r="G37" s="23"/>
      <c r="K37" s="23"/>
      <c r="L37" s="23"/>
      <c r="M37" s="23"/>
      <c r="N37" s="23"/>
      <c r="O37" s="23"/>
      <c r="P37" s="23"/>
      <c r="Q37" s="23"/>
    </row>
    <row r="38" spans="1:17" x14ac:dyDescent="0.25">
      <c r="A38" s="46">
        <f>A36+(ROUNDUP(IF(B31=TRUE,12*A5,12*A5*B30)/E2,0)*(A2+A3))</f>
        <v>0.67500000000000004</v>
      </c>
      <c r="B38" s="23"/>
      <c r="C38" s="23"/>
      <c r="D38" s="23"/>
      <c r="E38" s="23"/>
      <c r="F38" s="23"/>
      <c r="G38" s="23"/>
      <c r="K38" s="23"/>
      <c r="L38" s="23"/>
      <c r="M38" s="23"/>
      <c r="N38" s="23"/>
      <c r="O38" s="23"/>
      <c r="P38" s="23"/>
      <c r="Q38" s="23"/>
    </row>
    <row r="39" spans="1:17" ht="16.5" thickBot="1" x14ac:dyDescent="0.3">
      <c r="A39" s="22"/>
      <c r="B39" s="23"/>
      <c r="C39" s="23"/>
      <c r="D39" s="23"/>
      <c r="E39" s="23"/>
      <c r="F39" s="23"/>
      <c r="G39" s="23"/>
      <c r="K39" s="23"/>
      <c r="L39" s="23"/>
      <c r="M39" s="23"/>
      <c r="N39" s="23"/>
      <c r="O39" s="23"/>
      <c r="P39" s="23"/>
      <c r="Q39" s="23"/>
    </row>
    <row r="40" spans="1:17" x14ac:dyDescent="0.25">
      <c r="A40" s="3" t="s">
        <v>54</v>
      </c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</row>
    <row r="41" spans="1:17" x14ac:dyDescent="0.25">
      <c r="A41" s="34">
        <v>9</v>
      </c>
      <c r="B41" s="23"/>
      <c r="C41" s="23"/>
      <c r="D41" s="23"/>
      <c r="E41" s="23"/>
      <c r="F41" s="23"/>
      <c r="G41" s="23"/>
      <c r="K41" s="23"/>
      <c r="L41" s="23"/>
      <c r="M41" s="23"/>
      <c r="N41" s="23"/>
      <c r="O41" s="23"/>
      <c r="P41" s="23"/>
      <c r="Q41" s="23"/>
    </row>
    <row r="42" spans="1:17" ht="15.75" x14ac:dyDescent="0.25">
      <c r="A42" s="22"/>
      <c r="B42" s="23"/>
      <c r="C42" s="23"/>
      <c r="D42" s="23"/>
      <c r="E42" s="23"/>
      <c r="F42" s="23"/>
      <c r="G42" s="23"/>
      <c r="K42" s="23"/>
      <c r="L42" s="23"/>
      <c r="M42" s="23"/>
      <c r="N42" s="23"/>
      <c r="O42" s="23"/>
      <c r="P42" s="23"/>
      <c r="Q42" s="23"/>
    </row>
    <row r="43" spans="1:17" ht="15.75" x14ac:dyDescent="0.25">
      <c r="A43" s="22"/>
      <c r="B43" s="23"/>
      <c r="C43" s="23"/>
      <c r="D43" s="23"/>
      <c r="E43" s="23"/>
      <c r="F43" s="23"/>
      <c r="G43" s="23"/>
      <c r="K43" s="23"/>
      <c r="L43" s="23"/>
      <c r="M43" s="23"/>
      <c r="N43" s="23"/>
      <c r="O43" s="23"/>
      <c r="P43" s="23"/>
      <c r="Q43" s="23"/>
    </row>
    <row r="44" spans="1:17" x14ac:dyDescent="0.25">
      <c r="A44" s="24"/>
      <c r="B44" s="23"/>
      <c r="C44" s="23"/>
      <c r="D44" s="23"/>
      <c r="E44" s="23"/>
      <c r="F44" s="23"/>
      <c r="G44" s="23"/>
      <c r="K44" s="23"/>
      <c r="L44" s="23"/>
      <c r="M44" s="23"/>
      <c r="N44" s="23"/>
      <c r="O44" s="23"/>
      <c r="P44" s="23"/>
      <c r="Q44" s="23"/>
    </row>
    <row r="45" spans="1:17" x14ac:dyDescent="0.25">
      <c r="A45" s="18"/>
      <c r="K45" s="23"/>
      <c r="L45" s="23"/>
      <c r="M45" s="23"/>
      <c r="N45" s="23"/>
      <c r="O45" s="23"/>
      <c r="P45" s="23"/>
      <c r="Q45" s="23"/>
    </row>
    <row r="46" spans="1:17" x14ac:dyDescent="0.25">
      <c r="A46" s="17"/>
    </row>
    <row r="47" spans="1:17" x14ac:dyDescent="0.25">
      <c r="A47" s="13"/>
    </row>
    <row r="48" spans="1:17" ht="15.75" x14ac:dyDescent="0.25">
      <c r="A48" s="14"/>
    </row>
    <row r="49" spans="1:5" ht="15.75" x14ac:dyDescent="0.25">
      <c r="A49" s="14"/>
    </row>
    <row r="50" spans="1:5" ht="15.75" x14ac:dyDescent="0.25">
      <c r="A50" s="14"/>
    </row>
    <row r="51" spans="1:5" ht="15.75" x14ac:dyDescent="0.25">
      <c r="A51" s="14"/>
    </row>
    <row r="52" spans="1:5" ht="15.75" x14ac:dyDescent="0.25">
      <c r="A52" s="14"/>
    </row>
    <row r="53" spans="1:5" ht="15.75" x14ac:dyDescent="0.25">
      <c r="A53" s="14"/>
    </row>
    <row r="54" spans="1:5" ht="15.75" x14ac:dyDescent="0.25">
      <c r="A54" s="14"/>
    </row>
    <row r="55" spans="1:5" ht="15.75" x14ac:dyDescent="0.25">
      <c r="A55" s="14"/>
    </row>
    <row r="56" spans="1:5" x14ac:dyDescent="0.25">
      <c r="A56" s="13"/>
    </row>
    <row r="57" spans="1:5" x14ac:dyDescent="0.25">
      <c r="A57" s="17"/>
    </row>
    <row r="58" spans="1:5" x14ac:dyDescent="0.25">
      <c r="A58" s="13"/>
    </row>
    <row r="59" spans="1:5" ht="15.75" x14ac:dyDescent="0.25">
      <c r="A59" s="14"/>
    </row>
    <row r="60" spans="1:5" ht="15.75" x14ac:dyDescent="0.25">
      <c r="A60" s="14"/>
    </row>
    <row r="61" spans="1:5" ht="15.75" x14ac:dyDescent="0.25">
      <c r="A61" s="14"/>
    </row>
    <row r="62" spans="1:5" ht="15.75" x14ac:dyDescent="0.25">
      <c r="A62" s="14"/>
    </row>
    <row r="63" spans="1:5" ht="15.75" x14ac:dyDescent="0.25">
      <c r="A63" s="14"/>
    </row>
    <row r="64" spans="1:5" ht="15.75" x14ac:dyDescent="0.25">
      <c r="A64" s="14"/>
      <c r="D64" s="2" t="s">
        <v>44</v>
      </c>
      <c r="E64" s="2" t="s">
        <v>47</v>
      </c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C1:S874"/>
  <sheetViews>
    <sheetView workbookViewId="0">
      <selection activeCell="Q2" sqref="Q2:S12"/>
    </sheetView>
  </sheetViews>
  <sheetFormatPr baseColWidth="10" defaultRowHeight="15" x14ac:dyDescent="0.25"/>
  <cols>
    <col min="7" max="7" width="75.7109375" style="47" customWidth="1"/>
    <col min="10" max="10" width="6" style="47" customWidth="1"/>
    <col min="12" max="12" width="6" style="69" customWidth="1"/>
    <col min="13" max="13" width="16.7109375" style="47" customWidth="1"/>
    <col min="14" max="14" width="6" style="69" customWidth="1"/>
    <col min="17" max="17" width="6" style="69" customWidth="1"/>
    <col min="18" max="18" width="16.7109375" style="47" customWidth="1"/>
    <col min="19" max="19" width="6" style="69" customWidth="1"/>
  </cols>
  <sheetData>
    <row r="1" spans="3:19" ht="15.75" thickBot="1" x14ac:dyDescent="0.3">
      <c r="C1" s="16" t="s">
        <v>44</v>
      </c>
      <c r="D1" s="16" t="s">
        <v>45</v>
      </c>
      <c r="L1" s="67"/>
      <c r="M1" s="70">
        <v>4.7916666666666663E-2</v>
      </c>
      <c r="N1" s="67">
        <v>0</v>
      </c>
      <c r="Q1" s="67"/>
      <c r="R1" s="72">
        <v>4.7916666666666663E-2</v>
      </c>
      <c r="S1" s="67"/>
    </row>
    <row r="2" spans="3:19" ht="24.75" thickBot="1" x14ac:dyDescent="0.3">
      <c r="C2" s="16" t="s">
        <v>47</v>
      </c>
      <c r="D2" s="16" t="s">
        <v>48</v>
      </c>
      <c r="G2" s="54" t="s">
        <v>56</v>
      </c>
      <c r="J2" s="48" t="s">
        <v>53</v>
      </c>
      <c r="L2" s="68">
        <v>40</v>
      </c>
      <c r="M2" s="66" t="s">
        <v>78</v>
      </c>
      <c r="N2" s="68">
        <v>48</v>
      </c>
      <c r="Q2" s="68">
        <v>1</v>
      </c>
      <c r="R2" s="66" t="s">
        <v>78</v>
      </c>
      <c r="S2" s="68">
        <v>0</v>
      </c>
    </row>
    <row r="3" spans="3:19" ht="15.75" x14ac:dyDescent="0.25">
      <c r="C3" s="16" t="s">
        <v>46</v>
      </c>
      <c r="D3" s="16" t="s">
        <v>49</v>
      </c>
      <c r="G3" s="55" t="s">
        <v>57</v>
      </c>
      <c r="L3" s="68">
        <v>47</v>
      </c>
      <c r="M3" s="66" t="s">
        <v>79</v>
      </c>
      <c r="N3" s="68">
        <v>58</v>
      </c>
      <c r="Q3" s="68">
        <v>1</v>
      </c>
      <c r="R3" s="66" t="s">
        <v>79</v>
      </c>
      <c r="S3" s="68">
        <v>0</v>
      </c>
    </row>
    <row r="4" spans="3:19" ht="15.75" x14ac:dyDescent="0.25">
      <c r="C4" s="16"/>
      <c r="D4" s="16"/>
      <c r="G4" s="55" t="s">
        <v>58</v>
      </c>
      <c r="J4" s="49">
        <v>1</v>
      </c>
      <c r="L4" s="68">
        <v>64</v>
      </c>
      <c r="M4" s="66" t="s">
        <v>80</v>
      </c>
      <c r="N4" s="68">
        <v>44</v>
      </c>
      <c r="Q4" s="68">
        <v>1</v>
      </c>
      <c r="R4" s="66" t="s">
        <v>80</v>
      </c>
      <c r="S4" s="68">
        <v>0</v>
      </c>
    </row>
    <row r="5" spans="3:19" ht="15.75" x14ac:dyDescent="0.25">
      <c r="C5" s="16" t="s">
        <v>44</v>
      </c>
      <c r="D5" s="16" t="s">
        <v>46</v>
      </c>
      <c r="G5" s="55" t="s">
        <v>59</v>
      </c>
      <c r="J5" s="49">
        <v>3</v>
      </c>
      <c r="L5" s="68">
        <v>70</v>
      </c>
      <c r="M5" s="66" t="s">
        <v>81</v>
      </c>
      <c r="N5" s="68">
        <v>33</v>
      </c>
      <c r="Q5" s="67"/>
      <c r="R5" s="72">
        <f>0.0479166666666667 + "00:20:00"</f>
        <v>6.1805555555555586E-2</v>
      </c>
      <c r="S5" s="67"/>
    </row>
    <row r="6" spans="3:19" ht="15.75" x14ac:dyDescent="0.25">
      <c r="C6" s="16" t="s">
        <v>47</v>
      </c>
      <c r="D6" s="16" t="s">
        <v>49</v>
      </c>
      <c r="G6" s="55" t="s">
        <v>60</v>
      </c>
      <c r="J6" s="49">
        <v>5</v>
      </c>
      <c r="L6" s="68">
        <v>34</v>
      </c>
      <c r="M6" s="66" t="s">
        <v>82</v>
      </c>
      <c r="N6" s="68">
        <v>60</v>
      </c>
      <c r="Q6" s="68">
        <v>1</v>
      </c>
      <c r="R6" s="66" t="s">
        <v>78</v>
      </c>
      <c r="S6" s="68">
        <v>0</v>
      </c>
    </row>
    <row r="7" spans="3:19" ht="15.75" x14ac:dyDescent="0.25">
      <c r="C7" s="16" t="s">
        <v>45</v>
      </c>
      <c r="D7" s="16" t="s">
        <v>48</v>
      </c>
      <c r="G7" s="55" t="s">
        <v>61</v>
      </c>
      <c r="J7" s="49">
        <v>7</v>
      </c>
      <c r="L7" s="68">
        <v>70</v>
      </c>
      <c r="M7" s="66" t="s">
        <v>83</v>
      </c>
      <c r="N7" s="68">
        <v>38</v>
      </c>
      <c r="Q7" s="68">
        <v>1</v>
      </c>
      <c r="R7" s="66" t="s">
        <v>79</v>
      </c>
      <c r="S7" s="68">
        <v>0</v>
      </c>
    </row>
    <row r="8" spans="3:19" ht="15.75" x14ac:dyDescent="0.25">
      <c r="C8" s="16"/>
      <c r="D8" s="16"/>
      <c r="G8" s="55" t="s">
        <v>62</v>
      </c>
      <c r="J8" s="49">
        <v>9</v>
      </c>
      <c r="L8" s="68">
        <v>55</v>
      </c>
      <c r="M8" s="66" t="s">
        <v>84</v>
      </c>
      <c r="N8" s="68">
        <v>49</v>
      </c>
      <c r="Q8" s="68">
        <v>1</v>
      </c>
      <c r="R8" s="66" t="s">
        <v>80</v>
      </c>
      <c r="S8" s="68">
        <v>0</v>
      </c>
    </row>
    <row r="9" spans="3:19" ht="16.5" thickBot="1" x14ac:dyDescent="0.3">
      <c r="C9" s="16" t="s">
        <v>45</v>
      </c>
      <c r="D9" s="16" t="s">
        <v>46</v>
      </c>
      <c r="G9" s="56" t="s">
        <v>63</v>
      </c>
      <c r="J9" s="49">
        <v>11</v>
      </c>
      <c r="L9" s="68">
        <v>58</v>
      </c>
      <c r="M9" s="66" t="s">
        <v>85</v>
      </c>
      <c r="N9" s="68">
        <v>59</v>
      </c>
      <c r="Q9" s="67"/>
      <c r="R9" s="72">
        <f>0.0618055555555556 + "00:20:00"</f>
        <v>7.5694444444444481E-2</v>
      </c>
      <c r="S9" s="67"/>
    </row>
    <row r="10" spans="3:19" ht="16.5" thickBot="1" x14ac:dyDescent="0.3">
      <c r="C10" s="16" t="s">
        <v>48</v>
      </c>
      <c r="D10" s="16" t="s">
        <v>49</v>
      </c>
      <c r="J10" s="49">
        <v>13</v>
      </c>
      <c r="L10" s="67"/>
      <c r="M10" s="70">
        <v>4.7916666666666663E-2</v>
      </c>
      <c r="N10" s="67">
        <v>0</v>
      </c>
      <c r="Q10" s="68">
        <v>1</v>
      </c>
      <c r="R10" s="66" t="s">
        <v>78</v>
      </c>
      <c r="S10" s="68">
        <v>0</v>
      </c>
    </row>
    <row r="11" spans="3:19" ht="15.75" x14ac:dyDescent="0.25">
      <c r="C11" s="16" t="s">
        <v>44</v>
      </c>
      <c r="D11" s="16" t="s">
        <v>47</v>
      </c>
      <c r="G11" s="57" t="s">
        <v>64</v>
      </c>
      <c r="J11" s="49">
        <v>14</v>
      </c>
      <c r="L11" s="68">
        <v>61</v>
      </c>
      <c r="M11" s="66" t="s">
        <v>78</v>
      </c>
      <c r="N11" s="68">
        <v>48</v>
      </c>
      <c r="Q11" s="68">
        <v>1</v>
      </c>
      <c r="R11" s="66" t="s">
        <v>79</v>
      </c>
      <c r="S11" s="68">
        <v>0</v>
      </c>
    </row>
    <row r="12" spans="3:19" ht="16.5" thickBot="1" x14ac:dyDescent="0.3">
      <c r="G12" s="58" t="s">
        <v>65</v>
      </c>
      <c r="L12" s="68">
        <v>47</v>
      </c>
      <c r="M12" s="66" t="s">
        <v>79</v>
      </c>
      <c r="N12" s="68">
        <v>54</v>
      </c>
      <c r="Q12" s="68">
        <v>1</v>
      </c>
      <c r="R12" s="66" t="s">
        <v>80</v>
      </c>
      <c r="S12" s="68">
        <v>0</v>
      </c>
    </row>
    <row r="13" spans="3:19" ht="24.75" thickBot="1" x14ac:dyDescent="0.3">
      <c r="C13" s="16" t="s">
        <v>44</v>
      </c>
      <c r="D13" s="16" t="s">
        <v>48</v>
      </c>
      <c r="G13" s="58" t="s">
        <v>66</v>
      </c>
      <c r="J13" s="48" t="s">
        <v>53</v>
      </c>
      <c r="L13" s="68">
        <v>76</v>
      </c>
      <c r="M13" s="66" t="s">
        <v>80</v>
      </c>
      <c r="N13" s="68">
        <v>26</v>
      </c>
      <c r="R13" s="47">
        <f>0.0756944444444445 + "00:20:00"</f>
        <v>8.9583333333333376E-2</v>
      </c>
    </row>
    <row r="14" spans="3:19" ht="15.75" x14ac:dyDescent="0.25">
      <c r="C14" s="16" t="s">
        <v>47</v>
      </c>
      <c r="D14" s="16" t="s">
        <v>45</v>
      </c>
      <c r="G14" s="58" t="s">
        <v>67</v>
      </c>
      <c r="L14" s="68">
        <v>43</v>
      </c>
      <c r="M14" s="66" t="s">
        <v>81</v>
      </c>
      <c r="N14" s="68">
        <v>54</v>
      </c>
    </row>
    <row r="15" spans="3:19" ht="15.75" x14ac:dyDescent="0.25">
      <c r="C15" s="16" t="s">
        <v>94</v>
      </c>
      <c r="D15" s="16" t="s">
        <v>94</v>
      </c>
      <c r="G15" s="58" t="s">
        <v>75</v>
      </c>
      <c r="J15" s="50">
        <v>3</v>
      </c>
      <c r="L15" s="68">
        <v>51</v>
      </c>
      <c r="M15" s="66" t="s">
        <v>82</v>
      </c>
      <c r="N15" s="68">
        <v>46</v>
      </c>
    </row>
    <row r="16" spans="3:19" ht="15.75" x14ac:dyDescent="0.25">
      <c r="G16" s="58" t="s">
        <v>69</v>
      </c>
      <c r="J16" s="50">
        <v>1</v>
      </c>
      <c r="L16" s="68">
        <v>52</v>
      </c>
      <c r="M16" s="66" t="s">
        <v>83</v>
      </c>
      <c r="N16" s="68">
        <v>47</v>
      </c>
    </row>
    <row r="17" spans="7:18" ht="15.75" x14ac:dyDescent="0.25">
      <c r="G17" s="58" t="s">
        <v>92</v>
      </c>
      <c r="J17" s="50">
        <v>7</v>
      </c>
      <c r="L17" s="68">
        <v>65</v>
      </c>
      <c r="M17" s="66" t="s">
        <v>84</v>
      </c>
      <c r="N17" s="68">
        <v>43</v>
      </c>
      <c r="R17" s="47">
        <f>0.0895833333333334 + "00:20:00"</f>
        <v>0.1034722222222223</v>
      </c>
    </row>
    <row r="18" spans="7:18" ht="16.5" thickBot="1" x14ac:dyDescent="0.3">
      <c r="G18" s="59" t="s">
        <v>70</v>
      </c>
      <c r="J18" s="50">
        <v>5</v>
      </c>
      <c r="L18" s="68"/>
      <c r="M18" s="66" t="s">
        <v>85</v>
      </c>
      <c r="N18" s="68"/>
    </row>
    <row r="19" spans="7:18" ht="16.5" thickBot="1" x14ac:dyDescent="0.3">
      <c r="J19" s="50">
        <v>11</v>
      </c>
      <c r="L19" s="67"/>
      <c r="M19" s="70">
        <v>4.7916666666666663E-2</v>
      </c>
      <c r="N19" s="67">
        <v>0</v>
      </c>
    </row>
    <row r="20" spans="7:18" ht="15.75" x14ac:dyDescent="0.25">
      <c r="G20" s="60" t="s">
        <v>71</v>
      </c>
      <c r="J20" s="50">
        <v>9</v>
      </c>
      <c r="L20" s="68">
        <v>72</v>
      </c>
      <c r="M20" s="66" t="s">
        <v>78</v>
      </c>
      <c r="N20" s="68">
        <v>37</v>
      </c>
    </row>
    <row r="21" spans="7:18" ht="15.75" x14ac:dyDescent="0.25">
      <c r="G21" s="61" t="s">
        <v>76</v>
      </c>
      <c r="J21" s="50">
        <v>14</v>
      </c>
      <c r="L21" s="68">
        <v>55</v>
      </c>
      <c r="M21" s="66" t="s">
        <v>79</v>
      </c>
      <c r="N21" s="68">
        <v>42</v>
      </c>
      <c r="R21" s="47">
        <f>0.103472222222222 + "00:20:00"</f>
        <v>0.11736111111111089</v>
      </c>
    </row>
    <row r="22" spans="7:18" ht="15.75" x14ac:dyDescent="0.25">
      <c r="G22" s="61" t="s">
        <v>88</v>
      </c>
      <c r="J22" s="50">
        <v>13</v>
      </c>
      <c r="L22" s="68">
        <v>40</v>
      </c>
      <c r="M22" s="66" t="s">
        <v>80</v>
      </c>
      <c r="N22" s="68">
        <v>62</v>
      </c>
    </row>
    <row r="23" spans="7:18" ht="16.5" thickBot="1" x14ac:dyDescent="0.3">
      <c r="G23" s="61" t="s">
        <v>73</v>
      </c>
      <c r="L23" s="68">
        <v>50</v>
      </c>
      <c r="M23" s="66" t="s">
        <v>81</v>
      </c>
      <c r="N23" s="68">
        <v>51</v>
      </c>
    </row>
    <row r="24" spans="7:18" ht="24.75" thickBot="1" x14ac:dyDescent="0.3">
      <c r="G24" s="61" t="s">
        <v>86</v>
      </c>
      <c r="J24" s="48" t="s">
        <v>53</v>
      </c>
      <c r="L24" s="68">
        <v>41</v>
      </c>
      <c r="M24" s="66" t="s">
        <v>82</v>
      </c>
      <c r="N24" s="68">
        <v>61</v>
      </c>
    </row>
    <row r="25" spans="7:18" ht="15.75" x14ac:dyDescent="0.25">
      <c r="G25" s="61" t="s">
        <v>87</v>
      </c>
      <c r="L25" s="68">
        <v>61</v>
      </c>
      <c r="M25" s="66" t="s">
        <v>83</v>
      </c>
      <c r="N25" s="68">
        <v>47</v>
      </c>
    </row>
    <row r="26" spans="7:18" ht="16.5" thickBot="1" x14ac:dyDescent="0.3">
      <c r="G26" s="62" t="s">
        <v>74</v>
      </c>
      <c r="J26" s="51">
        <v>2</v>
      </c>
      <c r="L26" s="68">
        <v>60</v>
      </c>
      <c r="M26" s="66" t="s">
        <v>84</v>
      </c>
      <c r="N26" s="68">
        <v>48</v>
      </c>
    </row>
    <row r="27" spans="7:18" ht="16.5" thickBot="1" x14ac:dyDescent="0.3">
      <c r="J27" s="51">
        <v>4</v>
      </c>
      <c r="L27" s="68">
        <v>51</v>
      </c>
      <c r="M27" s="66" t="s">
        <v>85</v>
      </c>
      <c r="N27" s="68">
        <v>65</v>
      </c>
    </row>
    <row r="28" spans="7:18" ht="15.75" x14ac:dyDescent="0.25">
      <c r="G28" s="63" t="s">
        <v>68</v>
      </c>
      <c r="J28" s="51">
        <v>6</v>
      </c>
      <c r="L28" s="67"/>
      <c r="M28" s="70">
        <v>4.7916666666666663E-2</v>
      </c>
      <c r="N28" s="67">
        <v>0</v>
      </c>
    </row>
    <row r="29" spans="7:18" ht="15.75" x14ac:dyDescent="0.25">
      <c r="G29" s="64" t="s">
        <v>72</v>
      </c>
      <c r="J29" s="51">
        <v>8</v>
      </c>
      <c r="L29" s="68">
        <v>62</v>
      </c>
      <c r="M29" s="66" t="s">
        <v>78</v>
      </c>
      <c r="N29" s="68">
        <v>36</v>
      </c>
    </row>
    <row r="30" spans="7:18" ht="15.75" x14ac:dyDescent="0.25">
      <c r="G30" s="64" t="s">
        <v>89</v>
      </c>
      <c r="J30" s="51">
        <v>10</v>
      </c>
      <c r="L30" s="68">
        <v>61</v>
      </c>
      <c r="M30" s="66" t="s">
        <v>79</v>
      </c>
      <c r="N30" s="68">
        <v>41</v>
      </c>
    </row>
    <row r="31" spans="7:18" ht="15.75" x14ac:dyDescent="0.25">
      <c r="G31" s="64" t="s">
        <v>91</v>
      </c>
      <c r="J31" s="51">
        <v>12</v>
      </c>
      <c r="L31" s="68">
        <v>50</v>
      </c>
      <c r="M31" s="66" t="s">
        <v>80</v>
      </c>
      <c r="N31" s="68">
        <v>58</v>
      </c>
    </row>
    <row r="32" spans="7:18" ht="15.75" x14ac:dyDescent="0.25">
      <c r="G32" s="64" t="s">
        <v>90</v>
      </c>
      <c r="J32" s="51">
        <v>15</v>
      </c>
      <c r="L32" s="68">
        <v>49</v>
      </c>
      <c r="M32" s="66" t="s">
        <v>81</v>
      </c>
      <c r="N32" s="68">
        <v>50</v>
      </c>
    </row>
    <row r="33" spans="7:14" ht="16.5" thickBot="1" x14ac:dyDescent="0.3">
      <c r="G33" s="64" t="s">
        <v>77</v>
      </c>
      <c r="L33" s="68">
        <v>43</v>
      </c>
      <c r="M33" s="66" t="s">
        <v>82</v>
      </c>
      <c r="N33" s="68">
        <v>45</v>
      </c>
    </row>
    <row r="34" spans="7:14" ht="24.75" thickBot="1" x14ac:dyDescent="0.3">
      <c r="G34" s="65" t="s">
        <v>93</v>
      </c>
      <c r="J34" s="48" t="s">
        <v>53</v>
      </c>
      <c r="L34" s="68">
        <v>68</v>
      </c>
      <c r="M34" s="66" t="s">
        <v>83</v>
      </c>
      <c r="N34" s="68">
        <v>32</v>
      </c>
    </row>
    <row r="35" spans="7:14" x14ac:dyDescent="0.25">
      <c r="L35" s="68">
        <v>45</v>
      </c>
      <c r="M35" s="66" t="s">
        <v>84</v>
      </c>
      <c r="N35" s="68">
        <v>52</v>
      </c>
    </row>
    <row r="36" spans="7:14" ht="15.75" x14ac:dyDescent="0.25">
      <c r="J36" s="52">
        <v>4</v>
      </c>
      <c r="L36" s="68"/>
      <c r="M36" s="66" t="s">
        <v>85</v>
      </c>
      <c r="N36" s="68"/>
    </row>
    <row r="37" spans="7:14" ht="15.75" x14ac:dyDescent="0.25">
      <c r="J37" s="52">
        <v>2</v>
      </c>
      <c r="L37" s="67"/>
      <c r="M37" s="70">
        <v>4.7916666666666663E-2</v>
      </c>
      <c r="N37" s="67">
        <v>0</v>
      </c>
    </row>
    <row r="38" spans="7:14" ht="15.75" x14ac:dyDescent="0.25">
      <c r="J38" s="52">
        <v>8</v>
      </c>
      <c r="L38" s="68">
        <v>51</v>
      </c>
      <c r="M38" s="66" t="s">
        <v>78</v>
      </c>
      <c r="N38" s="68">
        <v>50</v>
      </c>
    </row>
    <row r="39" spans="7:14" ht="15.75" x14ac:dyDescent="0.25">
      <c r="J39" s="52">
        <v>6</v>
      </c>
      <c r="L39" s="68">
        <v>56</v>
      </c>
      <c r="M39" s="66" t="s">
        <v>79</v>
      </c>
      <c r="N39" s="68">
        <v>34</v>
      </c>
    </row>
    <row r="40" spans="7:14" ht="15.75" x14ac:dyDescent="0.25">
      <c r="J40" s="52">
        <v>12</v>
      </c>
      <c r="L40" s="68">
        <v>63</v>
      </c>
      <c r="M40" s="66" t="s">
        <v>80</v>
      </c>
      <c r="N40" s="68">
        <v>47</v>
      </c>
    </row>
    <row r="41" spans="7:14" ht="15.75" x14ac:dyDescent="0.25">
      <c r="J41" s="52">
        <v>10</v>
      </c>
      <c r="L41" s="68">
        <v>35</v>
      </c>
      <c r="M41" s="66" t="s">
        <v>81</v>
      </c>
      <c r="N41" s="68">
        <v>60</v>
      </c>
    </row>
    <row r="42" spans="7:14" ht="15.75" x14ac:dyDescent="0.25">
      <c r="J42" s="52">
        <v>15</v>
      </c>
      <c r="L42" s="68">
        <v>52</v>
      </c>
      <c r="M42" s="66" t="s">
        <v>82</v>
      </c>
      <c r="N42" s="68">
        <v>50</v>
      </c>
    </row>
    <row r="43" spans="7:14" x14ac:dyDescent="0.25">
      <c r="L43" s="68">
        <v>62</v>
      </c>
      <c r="M43" s="66" t="s">
        <v>83</v>
      </c>
      <c r="N43" s="68">
        <v>38</v>
      </c>
    </row>
    <row r="44" spans="7:14" x14ac:dyDescent="0.25">
      <c r="L44" s="68">
        <v>47</v>
      </c>
      <c r="M44" s="66" t="s">
        <v>84</v>
      </c>
      <c r="N44" s="68">
        <v>65</v>
      </c>
    </row>
    <row r="45" spans="7:14" x14ac:dyDescent="0.25">
      <c r="L45" s="68">
        <v>51</v>
      </c>
      <c r="M45" s="66" t="s">
        <v>85</v>
      </c>
      <c r="N45" s="68">
        <v>59</v>
      </c>
    </row>
    <row r="46" spans="7:14" x14ac:dyDescent="0.25">
      <c r="L46" s="67"/>
      <c r="M46" s="70">
        <v>4.7916666666666663E-2</v>
      </c>
      <c r="N46" s="67">
        <v>0</v>
      </c>
    </row>
    <row r="47" spans="7:14" x14ac:dyDescent="0.25">
      <c r="L47" s="68">
        <v>70</v>
      </c>
      <c r="M47" s="66" t="s">
        <v>78</v>
      </c>
      <c r="N47" s="68">
        <v>36</v>
      </c>
    </row>
    <row r="48" spans="7:14" x14ac:dyDescent="0.25">
      <c r="L48" s="68">
        <v>30</v>
      </c>
      <c r="M48" s="66" t="s">
        <v>79</v>
      </c>
      <c r="N48" s="68">
        <v>63</v>
      </c>
    </row>
    <row r="49" spans="12:14" x14ac:dyDescent="0.25">
      <c r="L49" s="68">
        <v>44</v>
      </c>
      <c r="M49" s="66" t="s">
        <v>80</v>
      </c>
      <c r="N49" s="68">
        <v>58</v>
      </c>
    </row>
    <row r="50" spans="12:14" x14ac:dyDescent="0.25">
      <c r="L50" s="68">
        <v>42</v>
      </c>
      <c r="M50" s="66" t="s">
        <v>81</v>
      </c>
      <c r="N50" s="68">
        <v>59</v>
      </c>
    </row>
    <row r="51" spans="12:14" x14ac:dyDescent="0.25">
      <c r="L51" s="68">
        <v>63</v>
      </c>
      <c r="M51" s="66" t="s">
        <v>82</v>
      </c>
      <c r="N51" s="68">
        <v>35</v>
      </c>
    </row>
    <row r="52" spans="12:14" x14ac:dyDescent="0.25">
      <c r="L52" s="68">
        <v>44</v>
      </c>
      <c r="M52" s="66" t="s">
        <v>83</v>
      </c>
      <c r="N52" s="68">
        <v>63</v>
      </c>
    </row>
    <row r="53" spans="12:14" x14ac:dyDescent="0.25">
      <c r="L53" s="68">
        <v>51</v>
      </c>
      <c r="M53" s="66" t="s">
        <v>84</v>
      </c>
      <c r="N53" s="68">
        <v>58</v>
      </c>
    </row>
    <row r="54" spans="12:14" x14ac:dyDescent="0.25">
      <c r="L54" s="68"/>
      <c r="M54" s="66" t="s">
        <v>85</v>
      </c>
      <c r="N54" s="68"/>
    </row>
    <row r="55" spans="12:14" x14ac:dyDescent="0.25">
      <c r="L55" s="67"/>
      <c r="M55" s="70">
        <v>4.7916666666666663E-2</v>
      </c>
      <c r="N55" s="67">
        <v>0</v>
      </c>
    </row>
    <row r="56" spans="12:14" x14ac:dyDescent="0.25">
      <c r="L56" s="68">
        <v>47</v>
      </c>
      <c r="M56" s="66" t="s">
        <v>78</v>
      </c>
      <c r="N56" s="68">
        <v>50</v>
      </c>
    </row>
    <row r="57" spans="12:14" x14ac:dyDescent="0.25">
      <c r="L57" s="68">
        <v>67</v>
      </c>
      <c r="M57" s="66" t="s">
        <v>79</v>
      </c>
      <c r="N57" s="68">
        <v>33</v>
      </c>
    </row>
    <row r="58" spans="12:14" x14ac:dyDescent="0.25">
      <c r="L58" s="68">
        <v>24</v>
      </c>
      <c r="M58" s="66" t="s">
        <v>80</v>
      </c>
      <c r="N58" s="68">
        <v>81</v>
      </c>
    </row>
    <row r="59" spans="12:14" x14ac:dyDescent="0.25">
      <c r="L59" s="68">
        <v>56</v>
      </c>
      <c r="M59" s="66" t="s">
        <v>81</v>
      </c>
      <c r="N59" s="68">
        <v>45</v>
      </c>
    </row>
    <row r="60" spans="12:14" x14ac:dyDescent="0.25">
      <c r="L60" s="68">
        <v>57</v>
      </c>
      <c r="M60" s="66" t="s">
        <v>82</v>
      </c>
      <c r="N60" s="68">
        <v>44</v>
      </c>
    </row>
    <row r="61" spans="12:14" x14ac:dyDescent="0.25">
      <c r="L61" s="68">
        <v>53</v>
      </c>
      <c r="M61" s="66" t="s">
        <v>83</v>
      </c>
      <c r="N61" s="68">
        <v>32</v>
      </c>
    </row>
    <row r="62" spans="12:14" x14ac:dyDescent="0.25">
      <c r="L62" s="68">
        <v>70</v>
      </c>
      <c r="M62" s="66" t="s">
        <v>84</v>
      </c>
      <c r="N62" s="68">
        <v>42</v>
      </c>
    </row>
    <row r="63" spans="12:14" x14ac:dyDescent="0.25">
      <c r="L63" s="68">
        <v>55</v>
      </c>
      <c r="M63" s="66" t="s">
        <v>85</v>
      </c>
      <c r="N63" s="68">
        <v>52</v>
      </c>
    </row>
    <row r="64" spans="12:14" x14ac:dyDescent="0.25">
      <c r="L64" s="67"/>
      <c r="M64" s="70">
        <v>4.7916666666666663E-2</v>
      </c>
      <c r="N64" s="67">
        <v>0</v>
      </c>
    </row>
    <row r="65" spans="12:14" x14ac:dyDescent="0.25">
      <c r="L65" s="68">
        <v>55</v>
      </c>
      <c r="M65" s="66" t="s">
        <v>78</v>
      </c>
      <c r="N65" s="68">
        <v>58</v>
      </c>
    </row>
    <row r="66" spans="12:14" x14ac:dyDescent="0.25">
      <c r="L66" s="68">
        <v>43</v>
      </c>
      <c r="M66" s="66" t="s">
        <v>79</v>
      </c>
      <c r="N66" s="68">
        <v>55</v>
      </c>
    </row>
    <row r="67" spans="12:14" x14ac:dyDescent="0.25">
      <c r="L67" s="68">
        <v>54</v>
      </c>
      <c r="M67" s="66" t="s">
        <v>80</v>
      </c>
      <c r="N67" s="68">
        <v>53</v>
      </c>
    </row>
    <row r="68" spans="12:14" x14ac:dyDescent="0.25">
      <c r="L68" s="68">
        <v>57</v>
      </c>
      <c r="M68" s="66" t="s">
        <v>81</v>
      </c>
      <c r="N68" s="68">
        <v>34</v>
      </c>
    </row>
    <row r="69" spans="12:14" x14ac:dyDescent="0.25">
      <c r="L69" s="68">
        <v>65</v>
      </c>
      <c r="M69" s="66" t="s">
        <v>82</v>
      </c>
      <c r="N69" s="68">
        <v>40</v>
      </c>
    </row>
    <row r="70" spans="12:14" x14ac:dyDescent="0.25">
      <c r="L70" s="68">
        <v>69</v>
      </c>
      <c r="M70" s="66" t="s">
        <v>83</v>
      </c>
      <c r="N70" s="68">
        <v>28</v>
      </c>
    </row>
    <row r="71" spans="12:14" x14ac:dyDescent="0.25">
      <c r="L71" s="68">
        <v>43</v>
      </c>
      <c r="M71" s="66" t="s">
        <v>84</v>
      </c>
      <c r="N71" s="68">
        <v>45</v>
      </c>
    </row>
    <row r="72" spans="12:14" x14ac:dyDescent="0.25">
      <c r="L72" s="68"/>
      <c r="M72" s="66" t="s">
        <v>85</v>
      </c>
      <c r="N72" s="68"/>
    </row>
    <row r="73" spans="12:14" x14ac:dyDescent="0.25">
      <c r="L73" s="67"/>
      <c r="M73" s="70">
        <v>4.7916666666666663E-2</v>
      </c>
      <c r="N73" s="67">
        <v>0</v>
      </c>
    </row>
    <row r="74" spans="12:14" x14ac:dyDescent="0.25">
      <c r="L74" s="68">
        <v>58</v>
      </c>
      <c r="M74" s="66" t="s">
        <v>78</v>
      </c>
      <c r="N74" s="68">
        <v>38</v>
      </c>
    </row>
    <row r="75" spans="12:14" x14ac:dyDescent="0.25">
      <c r="L75" s="68">
        <v>57</v>
      </c>
      <c r="M75" s="66" t="s">
        <v>79</v>
      </c>
      <c r="N75" s="68">
        <v>46</v>
      </c>
    </row>
    <row r="76" spans="12:14" x14ac:dyDescent="0.25">
      <c r="L76" s="68">
        <v>51</v>
      </c>
      <c r="M76" s="66" t="s">
        <v>80</v>
      </c>
      <c r="N76" s="68">
        <v>57</v>
      </c>
    </row>
    <row r="77" spans="12:14" x14ac:dyDescent="0.25">
      <c r="L77" s="68">
        <v>31</v>
      </c>
      <c r="M77" s="66" t="s">
        <v>81</v>
      </c>
      <c r="N77" s="68">
        <v>60</v>
      </c>
    </row>
    <row r="78" spans="12:14" x14ac:dyDescent="0.25">
      <c r="L78" s="68">
        <v>47</v>
      </c>
      <c r="M78" s="66" t="s">
        <v>82</v>
      </c>
      <c r="N78" s="68">
        <v>54</v>
      </c>
    </row>
    <row r="79" spans="12:14" x14ac:dyDescent="0.25">
      <c r="L79" s="71">
        <v>60</v>
      </c>
      <c r="M79" s="66" t="s">
        <v>83</v>
      </c>
      <c r="N79" s="71">
        <v>35</v>
      </c>
    </row>
    <row r="80" spans="12:14" x14ac:dyDescent="0.25">
      <c r="L80" s="68">
        <v>59</v>
      </c>
      <c r="M80" s="66" t="s">
        <v>84</v>
      </c>
      <c r="N80" s="68">
        <v>46</v>
      </c>
    </row>
    <row r="81" spans="12:14" x14ac:dyDescent="0.25">
      <c r="L81" s="68">
        <v>63</v>
      </c>
      <c r="M81" s="66" t="s">
        <v>85</v>
      </c>
      <c r="N81" s="68">
        <v>40</v>
      </c>
    </row>
    <row r="82" spans="12:14" x14ac:dyDescent="0.25">
      <c r="L82" s="67"/>
      <c r="M82" s="70">
        <v>4.7916666666666663E-2</v>
      </c>
      <c r="N82" s="67">
        <v>0</v>
      </c>
    </row>
    <row r="83" spans="12:14" x14ac:dyDescent="0.25">
      <c r="L83" s="68">
        <v>32</v>
      </c>
      <c r="M83" s="66" t="s">
        <v>78</v>
      </c>
      <c r="N83" s="68">
        <v>71</v>
      </c>
    </row>
    <row r="84" spans="12:14" x14ac:dyDescent="0.25">
      <c r="L84" s="68">
        <v>56</v>
      </c>
      <c r="M84" s="66" t="s">
        <v>79</v>
      </c>
      <c r="N84" s="68">
        <v>41</v>
      </c>
    </row>
    <row r="85" spans="12:14" x14ac:dyDescent="0.25">
      <c r="L85" s="68">
        <v>61</v>
      </c>
      <c r="M85" s="66" t="s">
        <v>80</v>
      </c>
      <c r="N85" s="68">
        <v>42</v>
      </c>
    </row>
    <row r="86" spans="12:14" x14ac:dyDescent="0.25">
      <c r="L86" s="68">
        <v>54</v>
      </c>
      <c r="M86" s="66" t="s">
        <v>81</v>
      </c>
      <c r="N86" s="68">
        <v>47</v>
      </c>
    </row>
    <row r="87" spans="12:14" x14ac:dyDescent="0.25">
      <c r="L87" s="68">
        <v>67</v>
      </c>
      <c r="M87" s="66" t="s">
        <v>82</v>
      </c>
      <c r="N87" s="68">
        <v>37</v>
      </c>
    </row>
    <row r="88" spans="12:14" x14ac:dyDescent="0.25">
      <c r="L88" s="68">
        <v>67</v>
      </c>
      <c r="M88" s="66" t="s">
        <v>83</v>
      </c>
      <c r="N88" s="68">
        <v>29</v>
      </c>
    </row>
    <row r="89" spans="12:14" x14ac:dyDescent="0.25">
      <c r="L89" s="68">
        <v>58</v>
      </c>
      <c r="M89" s="66" t="s">
        <v>84</v>
      </c>
      <c r="N89" s="68">
        <v>42</v>
      </c>
    </row>
    <row r="90" spans="12:14" x14ac:dyDescent="0.25">
      <c r="L90" s="68"/>
      <c r="M90" s="66" t="s">
        <v>85</v>
      </c>
      <c r="N90" s="68"/>
    </row>
    <row r="91" spans="12:14" x14ac:dyDescent="0.25">
      <c r="L91" s="67"/>
      <c r="M91" s="70">
        <v>4.7916666666666663E-2</v>
      </c>
      <c r="N91" s="67">
        <v>0</v>
      </c>
    </row>
    <row r="92" spans="12:14" x14ac:dyDescent="0.25">
      <c r="L92" s="68">
        <v>39</v>
      </c>
      <c r="M92" s="66" t="s">
        <v>78</v>
      </c>
      <c r="N92" s="68">
        <v>63</v>
      </c>
    </row>
    <row r="93" spans="12:14" x14ac:dyDescent="0.25">
      <c r="L93" s="68">
        <v>53</v>
      </c>
      <c r="M93" s="66" t="s">
        <v>79</v>
      </c>
      <c r="N93" s="68">
        <v>39</v>
      </c>
    </row>
    <row r="94" spans="12:14" x14ac:dyDescent="0.25">
      <c r="L94" s="68">
        <v>51</v>
      </c>
      <c r="M94" s="66" t="s">
        <v>80</v>
      </c>
      <c r="N94" s="68">
        <v>63</v>
      </c>
    </row>
    <row r="95" spans="12:14" x14ac:dyDescent="0.25">
      <c r="L95" s="68">
        <v>62</v>
      </c>
      <c r="M95" s="66" t="s">
        <v>81</v>
      </c>
      <c r="N95" s="68">
        <v>32</v>
      </c>
    </row>
    <row r="96" spans="12:14" x14ac:dyDescent="0.25">
      <c r="L96" s="68">
        <v>55</v>
      </c>
      <c r="M96" s="66" t="s">
        <v>82</v>
      </c>
      <c r="N96" s="68">
        <v>46</v>
      </c>
    </row>
    <row r="97" spans="12:14" x14ac:dyDescent="0.25">
      <c r="L97" s="68">
        <v>59</v>
      </c>
      <c r="M97" s="66" t="s">
        <v>83</v>
      </c>
      <c r="N97" s="68">
        <v>47</v>
      </c>
    </row>
    <row r="98" spans="12:14" x14ac:dyDescent="0.25">
      <c r="L98" s="68">
        <v>71</v>
      </c>
      <c r="M98" s="66" t="s">
        <v>84</v>
      </c>
      <c r="N98" s="68">
        <v>44</v>
      </c>
    </row>
    <row r="99" spans="12:14" x14ac:dyDescent="0.25">
      <c r="L99" s="68">
        <v>58</v>
      </c>
      <c r="M99" s="66" t="s">
        <v>85</v>
      </c>
      <c r="N99" s="68">
        <v>50</v>
      </c>
    </row>
    <row r="100" spans="12:14" x14ac:dyDescent="0.25">
      <c r="L100" s="67"/>
      <c r="M100" s="70">
        <v>4.7916666666666663E-2</v>
      </c>
      <c r="N100" s="67">
        <v>0</v>
      </c>
    </row>
    <row r="101" spans="12:14" x14ac:dyDescent="0.25">
      <c r="L101" s="68">
        <v>72</v>
      </c>
      <c r="M101" s="66" t="s">
        <v>78</v>
      </c>
      <c r="N101" s="68">
        <v>27</v>
      </c>
    </row>
    <row r="102" spans="12:14" x14ac:dyDescent="0.25">
      <c r="L102" s="68">
        <v>41</v>
      </c>
      <c r="M102" s="66" t="s">
        <v>79</v>
      </c>
      <c r="N102" s="68">
        <v>52</v>
      </c>
    </row>
    <row r="103" spans="12:14" x14ac:dyDescent="0.25">
      <c r="L103" s="68">
        <v>71</v>
      </c>
      <c r="M103" s="66" t="s">
        <v>80</v>
      </c>
      <c r="N103" s="68">
        <v>31</v>
      </c>
    </row>
    <row r="104" spans="12:14" x14ac:dyDescent="0.25">
      <c r="L104" s="68">
        <v>54</v>
      </c>
      <c r="M104" s="66" t="s">
        <v>81</v>
      </c>
      <c r="N104" s="68">
        <v>47</v>
      </c>
    </row>
    <row r="105" spans="12:14" x14ac:dyDescent="0.25">
      <c r="L105" s="68">
        <v>60</v>
      </c>
      <c r="M105" s="66" t="s">
        <v>82</v>
      </c>
      <c r="N105" s="68">
        <v>40</v>
      </c>
    </row>
    <row r="106" spans="12:14" x14ac:dyDescent="0.25">
      <c r="L106" s="68">
        <v>67</v>
      </c>
      <c r="M106" s="66" t="s">
        <v>83</v>
      </c>
      <c r="N106" s="68">
        <v>35</v>
      </c>
    </row>
    <row r="107" spans="12:14" x14ac:dyDescent="0.25">
      <c r="L107" s="68">
        <v>55</v>
      </c>
      <c r="M107" s="66" t="s">
        <v>84</v>
      </c>
      <c r="N107" s="68">
        <v>48</v>
      </c>
    </row>
    <row r="108" spans="12:14" x14ac:dyDescent="0.25">
      <c r="L108" s="68"/>
      <c r="M108" s="66" t="s">
        <v>85</v>
      </c>
      <c r="N108" s="68"/>
    </row>
    <row r="109" spans="12:14" x14ac:dyDescent="0.25">
      <c r="L109" s="67"/>
      <c r="M109" s="70">
        <v>4.7916666666666663E-2</v>
      </c>
      <c r="N109" s="67">
        <v>0</v>
      </c>
    </row>
    <row r="110" spans="12:14" x14ac:dyDescent="0.25">
      <c r="L110" s="68">
        <v>49</v>
      </c>
      <c r="M110" s="66" t="s">
        <v>78</v>
      </c>
      <c r="N110" s="68">
        <v>50</v>
      </c>
    </row>
    <row r="111" spans="12:14" x14ac:dyDescent="0.25">
      <c r="L111" s="68">
        <v>42</v>
      </c>
      <c r="M111" s="66" t="s">
        <v>79</v>
      </c>
      <c r="N111" s="68">
        <v>57</v>
      </c>
    </row>
    <row r="112" spans="12:14" x14ac:dyDescent="0.25">
      <c r="L112" s="68">
        <v>56</v>
      </c>
      <c r="M112" s="66" t="s">
        <v>80</v>
      </c>
      <c r="N112" s="68">
        <v>43</v>
      </c>
    </row>
    <row r="113" spans="12:14" x14ac:dyDescent="0.25">
      <c r="L113" s="68">
        <v>51</v>
      </c>
      <c r="M113" s="66" t="s">
        <v>81</v>
      </c>
      <c r="N113" s="68">
        <v>53</v>
      </c>
    </row>
    <row r="114" spans="12:14" x14ac:dyDescent="0.25">
      <c r="L114" s="68">
        <v>51</v>
      </c>
      <c r="M114" s="66" t="s">
        <v>82</v>
      </c>
      <c r="N114" s="68">
        <v>45</v>
      </c>
    </row>
    <row r="115" spans="12:14" x14ac:dyDescent="0.25">
      <c r="L115" s="68">
        <v>57</v>
      </c>
      <c r="M115" s="66" t="s">
        <v>83</v>
      </c>
      <c r="N115" s="68">
        <v>37</v>
      </c>
    </row>
    <row r="116" spans="12:14" x14ac:dyDescent="0.25">
      <c r="L116" s="68">
        <v>76</v>
      </c>
      <c r="M116" s="66" t="s">
        <v>84</v>
      </c>
      <c r="N116" s="68">
        <v>36</v>
      </c>
    </row>
    <row r="117" spans="12:14" x14ac:dyDescent="0.25">
      <c r="L117" s="68">
        <v>60</v>
      </c>
      <c r="M117" s="66" t="s">
        <v>85</v>
      </c>
      <c r="N117" s="68">
        <v>48</v>
      </c>
    </row>
    <row r="118" spans="12:14" x14ac:dyDescent="0.25">
      <c r="L118" s="67"/>
      <c r="M118" s="70">
        <v>4.7916666666666663E-2</v>
      </c>
      <c r="N118" s="67">
        <v>0</v>
      </c>
    </row>
    <row r="119" spans="12:14" x14ac:dyDescent="0.25">
      <c r="L119" s="68">
        <v>62</v>
      </c>
      <c r="M119" s="66" t="s">
        <v>78</v>
      </c>
      <c r="N119" s="68">
        <v>31</v>
      </c>
    </row>
    <row r="120" spans="12:14" x14ac:dyDescent="0.25">
      <c r="L120" s="68">
        <v>51</v>
      </c>
      <c r="M120" s="66" t="s">
        <v>79</v>
      </c>
      <c r="N120" s="68">
        <v>48</v>
      </c>
    </row>
    <row r="121" spans="12:14" x14ac:dyDescent="0.25">
      <c r="L121" s="68">
        <v>64</v>
      </c>
      <c r="M121" s="66" t="s">
        <v>80</v>
      </c>
      <c r="N121" s="68">
        <v>35</v>
      </c>
    </row>
    <row r="122" spans="12:14" x14ac:dyDescent="0.25">
      <c r="L122" s="68">
        <v>72</v>
      </c>
      <c r="M122" s="66" t="s">
        <v>81</v>
      </c>
      <c r="N122" s="68">
        <v>30</v>
      </c>
    </row>
    <row r="123" spans="12:14" x14ac:dyDescent="0.25">
      <c r="L123" s="68">
        <v>60</v>
      </c>
      <c r="M123" s="66" t="s">
        <v>82</v>
      </c>
      <c r="N123" s="68">
        <v>32</v>
      </c>
    </row>
    <row r="124" spans="12:14" x14ac:dyDescent="0.25">
      <c r="L124" s="68">
        <v>61</v>
      </c>
      <c r="M124" s="66" t="s">
        <v>83</v>
      </c>
      <c r="N124" s="68">
        <v>47</v>
      </c>
    </row>
    <row r="125" spans="12:14" x14ac:dyDescent="0.25">
      <c r="L125" s="68">
        <v>65</v>
      </c>
      <c r="M125" s="66" t="s">
        <v>84</v>
      </c>
      <c r="N125" s="68">
        <v>25</v>
      </c>
    </row>
    <row r="126" spans="12:14" x14ac:dyDescent="0.25">
      <c r="L126" s="68"/>
      <c r="M126" s="66" t="s">
        <v>85</v>
      </c>
      <c r="N126" s="68"/>
    </row>
    <row r="127" spans="12:14" x14ac:dyDescent="0.25">
      <c r="L127" s="67"/>
      <c r="M127" s="70">
        <f>0.0479166666666667 + "00:20:00"</f>
        <v>6.1805555555555586E-2</v>
      </c>
      <c r="N127" s="67"/>
    </row>
    <row r="136" spans="13:13" x14ac:dyDescent="0.25">
      <c r="M136" s="47">
        <f>0.0618055555555556 + "00:20:00"</f>
        <v>7.5694444444444481E-2</v>
      </c>
    </row>
    <row r="145" spans="13:13" x14ac:dyDescent="0.25">
      <c r="M145" s="47">
        <f>0.0756944444444445 + "00:20:00"</f>
        <v>8.9583333333333376E-2</v>
      </c>
    </row>
    <row r="154" spans="13:13" x14ac:dyDescent="0.25">
      <c r="M154" s="47">
        <f>0.0895833333333334 + "00:20:00"</f>
        <v>0.1034722222222223</v>
      </c>
    </row>
    <row r="163" spans="13:13" x14ac:dyDescent="0.25">
      <c r="M163" s="47">
        <f>0.103472222222222 + "00:20:00"</f>
        <v>0.11736111111111089</v>
      </c>
    </row>
    <row r="172" spans="13:13" x14ac:dyDescent="0.25">
      <c r="M172" s="47">
        <f>0.117361111111111 + "00:20:00"</f>
        <v>0.13124999999999989</v>
      </c>
    </row>
    <row r="181" spans="13:13" x14ac:dyDescent="0.25">
      <c r="M181" s="47">
        <f>0.13125 + "00:20:00"</f>
        <v>0.1451388888888889</v>
      </c>
    </row>
    <row r="190" spans="13:13" x14ac:dyDescent="0.25">
      <c r="M190" s="47">
        <f>0.145138888888889 + "00:20:00"</f>
        <v>0.15902777777777791</v>
      </c>
    </row>
    <row r="199" spans="13:13" x14ac:dyDescent="0.25">
      <c r="M199" s="47">
        <f>0.159027777777778 + "00:20:00"</f>
        <v>0.17291666666666689</v>
      </c>
    </row>
    <row r="208" spans="13:13" x14ac:dyDescent="0.25">
      <c r="M208" s="47">
        <f>0.172916666666667 + "00:20:00"</f>
        <v>0.18680555555555589</v>
      </c>
    </row>
    <row r="217" spans="13:13" x14ac:dyDescent="0.25">
      <c r="M217" s="47">
        <f>0.186805555555556 + "00:20:00"</f>
        <v>0.2006944444444449</v>
      </c>
    </row>
    <row r="226" spans="13:13" x14ac:dyDescent="0.25">
      <c r="M226" s="47">
        <f>0.200694444444445 + "00:20:00"</f>
        <v>0.2145833333333339</v>
      </c>
    </row>
    <row r="235" spans="13:13" x14ac:dyDescent="0.25">
      <c r="M235" s="47">
        <f>0.214583333333334 + "00:20:00"</f>
        <v>0.22847222222222288</v>
      </c>
    </row>
    <row r="244" spans="13:13" x14ac:dyDescent="0.25">
      <c r="M244" s="47">
        <f>0.228472222222223 + "00:20:00"</f>
        <v>0.24236111111111189</v>
      </c>
    </row>
    <row r="253" spans="13:13" x14ac:dyDescent="0.25">
      <c r="M253" s="47">
        <f>0.242361111111112 + "00:20:00"</f>
        <v>0.25625000000000087</v>
      </c>
    </row>
    <row r="262" spans="13:13" x14ac:dyDescent="0.25">
      <c r="M262" s="47">
        <f>0.256250000000001 + "00:20:00"</f>
        <v>0.27013888888888987</v>
      </c>
    </row>
    <row r="271" spans="13:13" x14ac:dyDescent="0.25">
      <c r="M271" s="47">
        <f>0.27013888888889 + "00:20:00"</f>
        <v>0.28402777777777888</v>
      </c>
    </row>
    <row r="280" spans="13:13" x14ac:dyDescent="0.25">
      <c r="M280" s="47">
        <f>0.284027777777779 + "00:20:00"</f>
        <v>0.29791666666666788</v>
      </c>
    </row>
    <row r="289" spans="13:13" x14ac:dyDescent="0.25">
      <c r="M289" s="47">
        <f>0.297916666666668 + "00:20:00"</f>
        <v>0.31180555555555689</v>
      </c>
    </row>
    <row r="298" spans="13:13" x14ac:dyDescent="0.25">
      <c r="M298" s="47">
        <f>0.311805555555557 + "00:20:00"</f>
        <v>0.3256944444444459</v>
      </c>
    </row>
    <row r="307" spans="13:13" x14ac:dyDescent="0.25">
      <c r="M307" s="47">
        <f>0.325694444444446 + "00:20:00"</f>
        <v>0.3395833333333349</v>
      </c>
    </row>
    <row r="316" spans="13:13" x14ac:dyDescent="0.25">
      <c r="M316" s="47">
        <f>0.339583333333335 + "00:20:00"</f>
        <v>0.35347222222222391</v>
      </c>
    </row>
    <row r="325" spans="13:13" x14ac:dyDescent="0.25">
      <c r="M325" s="47">
        <f>0.353472222222224 + "00:20:00"</f>
        <v>0.36736111111111291</v>
      </c>
    </row>
    <row r="334" spans="13:13" x14ac:dyDescent="0.25">
      <c r="M334" s="47">
        <f>0.367361111111113 + "00:20:00"</f>
        <v>0.38125000000000192</v>
      </c>
    </row>
    <row r="343" spans="13:13" x14ac:dyDescent="0.25">
      <c r="M343" s="47">
        <f>0.381250000000002 + "00:20:00"</f>
        <v>0.39513888888889087</v>
      </c>
    </row>
    <row r="352" spans="13:13" x14ac:dyDescent="0.25">
      <c r="M352" s="47">
        <f>0.395138888888891 + "00:20:00"</f>
        <v>0.40902777777777988</v>
      </c>
    </row>
    <row r="361" spans="13:13" x14ac:dyDescent="0.25">
      <c r="M361" s="47">
        <f>0.40902777777778 + "00:20:00"</f>
        <v>0.42291666666666888</v>
      </c>
    </row>
    <row r="370" spans="13:13" x14ac:dyDescent="0.25">
      <c r="M370" s="47">
        <f>0.422916666666669 + "00:20:00"</f>
        <v>0.43680555555555789</v>
      </c>
    </row>
    <row r="379" spans="13:13" x14ac:dyDescent="0.25">
      <c r="M379" s="47">
        <f>0.436805555555558 + "00:20:00"</f>
        <v>0.4506944444444469</v>
      </c>
    </row>
    <row r="388" spans="13:13" x14ac:dyDescent="0.25">
      <c r="M388" s="47">
        <f>0.450694444444447 + "00:20:00"</f>
        <v>0.4645833333333359</v>
      </c>
    </row>
    <row r="397" spans="13:13" x14ac:dyDescent="0.25">
      <c r="M397" s="47">
        <f>0.464583333333336 + "00:20:00"</f>
        <v>0.47847222222222491</v>
      </c>
    </row>
    <row r="406" spans="13:13" x14ac:dyDescent="0.25">
      <c r="M406" s="47">
        <f>0.478472222222225 + "00:20:00"</f>
        <v>0.49236111111111391</v>
      </c>
    </row>
    <row r="415" spans="13:13" x14ac:dyDescent="0.25">
      <c r="M415" s="47">
        <f>0.492361111111114 + "00:20:00"</f>
        <v>0.50625000000000286</v>
      </c>
    </row>
    <row r="424" spans="13:13" x14ac:dyDescent="0.25">
      <c r="M424" s="47">
        <f>0.506250000000003 + "00:20:00"</f>
        <v>0.52013888888889181</v>
      </c>
    </row>
    <row r="433" spans="13:13" x14ac:dyDescent="0.25">
      <c r="M433" s="47">
        <f>0.520138888888892 + "00:20:00"</f>
        <v>0.53402777777778088</v>
      </c>
    </row>
    <row r="442" spans="13:13" x14ac:dyDescent="0.25">
      <c r="M442" s="47">
        <f>0.534027777777781 + "00:20:00"</f>
        <v>0.54791666666666983</v>
      </c>
    </row>
    <row r="451" spans="13:13" x14ac:dyDescent="0.25">
      <c r="M451" s="47">
        <f>0.54791666666667 + "00:20:00"</f>
        <v>0.56180555555555889</v>
      </c>
    </row>
    <row r="460" spans="13:13" x14ac:dyDescent="0.25">
      <c r="M460" s="47">
        <f>0.561805555555559 + "00:20:00"</f>
        <v>0.57569444444444784</v>
      </c>
    </row>
    <row r="469" spans="13:13" x14ac:dyDescent="0.25">
      <c r="M469" s="47">
        <f>0.575694444444448 + "00:20:00"</f>
        <v>0.58958333333333679</v>
      </c>
    </row>
    <row r="478" spans="13:13" x14ac:dyDescent="0.25">
      <c r="M478" s="47">
        <f>0.589583333333337 + "00:20:00"</f>
        <v>0.60347222222222585</v>
      </c>
    </row>
    <row r="487" spans="13:13" x14ac:dyDescent="0.25">
      <c r="M487" s="47">
        <f>0.603472222222226 + "00:20:00"</f>
        <v>0.6173611111111148</v>
      </c>
    </row>
    <row r="496" spans="13:13" x14ac:dyDescent="0.25">
      <c r="M496" s="47">
        <f>0.617361111111115 + "00:20:00"</f>
        <v>0.63125000000000386</v>
      </c>
    </row>
    <row r="505" spans="13:13" x14ac:dyDescent="0.25">
      <c r="M505" s="47">
        <f>0.631250000000004 + "00:20:00"</f>
        <v>0.64513888888889281</v>
      </c>
    </row>
    <row r="514" spans="13:13" x14ac:dyDescent="0.25">
      <c r="M514" s="47">
        <f>0.645138888888893 + "00:20:00"</f>
        <v>0.65902777777778188</v>
      </c>
    </row>
    <row r="523" spans="13:13" x14ac:dyDescent="0.25">
      <c r="M523" s="47">
        <f>0.659027777777782 + "00:20:00"</f>
        <v>0.67291666666667083</v>
      </c>
    </row>
    <row r="532" spans="13:13" x14ac:dyDescent="0.25">
      <c r="M532" s="47">
        <f>0.672916666666671 + "00:20:00"</f>
        <v>0.68680555555555989</v>
      </c>
    </row>
    <row r="541" spans="13:13" x14ac:dyDescent="0.25">
      <c r="M541" s="47">
        <f>0.68680555555556 + "00:20:00"</f>
        <v>0.70069444444444884</v>
      </c>
    </row>
    <row r="550" spans="13:13" x14ac:dyDescent="0.25">
      <c r="M550" s="47">
        <f>0.700694444444449 + "00:20:00"</f>
        <v>0.71458333333333779</v>
      </c>
    </row>
    <row r="559" spans="13:13" x14ac:dyDescent="0.25">
      <c r="M559" s="47">
        <f>0.714583333333338 + "00:20:00"</f>
        <v>0.72847222222222685</v>
      </c>
    </row>
    <row r="568" spans="13:13" x14ac:dyDescent="0.25">
      <c r="M568" s="47">
        <f>0.728472222222227 + "00:20:00"</f>
        <v>0.7423611111111158</v>
      </c>
    </row>
    <row r="577" spans="13:13" x14ac:dyDescent="0.25">
      <c r="M577" s="47">
        <f>0.742361111111116 + "00:20:00"</f>
        <v>0.75625000000000486</v>
      </c>
    </row>
    <row r="586" spans="13:13" x14ac:dyDescent="0.25">
      <c r="M586" s="47">
        <f>0.756250000000005 + "00:20:00"</f>
        <v>0.77013888888889381</v>
      </c>
    </row>
    <row r="595" spans="13:13" x14ac:dyDescent="0.25">
      <c r="M595" s="47">
        <f>0.770138888888894 + "00:20:00"</f>
        <v>0.78402777777778287</v>
      </c>
    </row>
    <row r="604" spans="13:13" x14ac:dyDescent="0.25">
      <c r="M604" s="47">
        <f>0.784027777777783 + "00:20:00"</f>
        <v>0.79791666666667183</v>
      </c>
    </row>
    <row r="613" spans="13:13" x14ac:dyDescent="0.25">
      <c r="M613" s="47">
        <f>0.797916666666672 + "00:20:00"</f>
        <v>0.81180555555556089</v>
      </c>
    </row>
    <row r="622" spans="13:13" x14ac:dyDescent="0.25">
      <c r="M622" s="47">
        <f>0.811805555555561 + "00:20:00"</f>
        <v>0.82569444444444984</v>
      </c>
    </row>
    <row r="631" spans="13:13" x14ac:dyDescent="0.25">
      <c r="M631" s="47">
        <f>0.82569444444445 + "00:20:00"</f>
        <v>0.83958333333333879</v>
      </c>
    </row>
    <row r="640" spans="13:13" x14ac:dyDescent="0.25">
      <c r="M640" s="47">
        <f>0.839583333333339 + "00:20:00"</f>
        <v>0.85347222222222785</v>
      </c>
    </row>
    <row r="649" spans="13:13" x14ac:dyDescent="0.25">
      <c r="M649" s="47">
        <f>0.853472222222228 + "00:20:00"</f>
        <v>0.8673611111111168</v>
      </c>
    </row>
    <row r="658" spans="13:13" x14ac:dyDescent="0.25">
      <c r="M658" s="47">
        <f>0.867361111111117 + "00:20:00"</f>
        <v>0.88125000000000586</v>
      </c>
    </row>
    <row r="667" spans="13:13" x14ac:dyDescent="0.25">
      <c r="M667" s="47">
        <f>0.881250000000006 + "00:20:00"</f>
        <v>0.89513888888889481</v>
      </c>
    </row>
    <row r="676" spans="13:13" x14ac:dyDescent="0.25">
      <c r="M676" s="47">
        <f>0.895138888888895 + "00:20:00"</f>
        <v>0.90902777777778387</v>
      </c>
    </row>
    <row r="685" spans="13:13" x14ac:dyDescent="0.25">
      <c r="M685" s="47">
        <f>0.909027777777784 + "00:20:00"</f>
        <v>0.92291666666667282</v>
      </c>
    </row>
    <row r="694" spans="13:13" x14ac:dyDescent="0.25">
      <c r="M694" s="47">
        <f>0.922916666666673 + "00:20:00"</f>
        <v>0.93680555555556189</v>
      </c>
    </row>
    <row r="703" spans="13:13" x14ac:dyDescent="0.25">
      <c r="M703" s="47">
        <f>0.936805555555562 + "00:20:00"</f>
        <v>0.95069444444445084</v>
      </c>
    </row>
    <row r="712" spans="13:13" x14ac:dyDescent="0.25">
      <c r="M712" s="47">
        <f>0.950694444444451 + "00:20:00"</f>
        <v>0.96458333333333979</v>
      </c>
    </row>
    <row r="721" spans="13:13" x14ac:dyDescent="0.25">
      <c r="M721" s="47">
        <f>0.96458333333334 + "00:20:00"</f>
        <v>0.97847222222222885</v>
      </c>
    </row>
    <row r="730" spans="13:13" x14ac:dyDescent="0.25">
      <c r="M730" s="47">
        <f>0.978472222222229 + "00:20:00"</f>
        <v>0.9923611111111178</v>
      </c>
    </row>
    <row r="739" spans="13:13" x14ac:dyDescent="0.25">
      <c r="M739" s="47">
        <f>0.992361111111118 + "00:20:00"</f>
        <v>1.006250000000007</v>
      </c>
    </row>
    <row r="748" spans="13:13" x14ac:dyDescent="0.25">
      <c r="M748" s="47">
        <f>1.00625000000001 + "00:20:00"</f>
        <v>1.0201388888888989</v>
      </c>
    </row>
    <row r="757" spans="13:13" x14ac:dyDescent="0.25">
      <c r="M757" s="47">
        <f>1.0201388888889 + "00:20:00"</f>
        <v>1.0340277777777889</v>
      </c>
    </row>
    <row r="766" spans="13:13" x14ac:dyDescent="0.25">
      <c r="M766" s="47">
        <f>1.03402777777779 + "00:20:00"</f>
        <v>1.0479166666666788</v>
      </c>
    </row>
    <row r="775" spans="13:13" x14ac:dyDescent="0.25">
      <c r="M775" s="47">
        <f>1.04791666666668 + "00:20:00"</f>
        <v>1.0618055555555688</v>
      </c>
    </row>
    <row r="784" spans="13:13" x14ac:dyDescent="0.25">
      <c r="M784" s="47">
        <f>1.06180555555557 + "00:20:00"</f>
        <v>1.0756944444444589</v>
      </c>
    </row>
    <row r="793" spans="13:13" x14ac:dyDescent="0.25">
      <c r="M793" s="47">
        <f>1.07569444444446 + "00:20:00"</f>
        <v>1.0895833333333489</v>
      </c>
    </row>
    <row r="802" spans="13:13" x14ac:dyDescent="0.25">
      <c r="M802" s="47">
        <f>1.08958333333335 + "00:20:00"</f>
        <v>1.1034722222222388</v>
      </c>
    </row>
    <row r="811" spans="13:13" x14ac:dyDescent="0.25">
      <c r="M811" s="47">
        <f>1.10347222222224 + "00:20:00"</f>
        <v>1.1173611111111288</v>
      </c>
    </row>
    <row r="820" spans="13:13" x14ac:dyDescent="0.25">
      <c r="M820" s="47">
        <f>1.11736111111113 + "00:20:00"</f>
        <v>1.1312500000000187</v>
      </c>
    </row>
    <row r="829" spans="13:13" x14ac:dyDescent="0.25">
      <c r="M829" s="47">
        <f>1.13125000000002 + "00:20:00"</f>
        <v>1.1451388888889089</v>
      </c>
    </row>
    <row r="838" spans="13:13" x14ac:dyDescent="0.25">
      <c r="M838" s="47">
        <f>1.14513888888891 + "00:20:00"</f>
        <v>1.1590277777777989</v>
      </c>
    </row>
    <row r="847" spans="13:13" x14ac:dyDescent="0.25">
      <c r="M847" s="47">
        <f>1.1590277777778 + "00:20:00"</f>
        <v>1.1729166666666888</v>
      </c>
    </row>
    <row r="856" spans="13:13" x14ac:dyDescent="0.25">
      <c r="M856" s="47">
        <f>1.17291666666669 + "00:20:00"</f>
        <v>1.1868055555555788</v>
      </c>
    </row>
    <row r="865" spans="13:13" x14ac:dyDescent="0.25">
      <c r="M865" s="47">
        <f>1.18680555555558 + "00:20:00"</f>
        <v>1.2006944444444689</v>
      </c>
    </row>
    <row r="874" spans="13:13" x14ac:dyDescent="0.25">
      <c r="M874" s="47">
        <f>1.20069444444447 + "00:20:00"</f>
        <v>1.2145833333333589</v>
      </c>
    </row>
  </sheetData>
  <sheetProtection selectLockedCells="1"/>
  <conditionalFormatting sqref="L2">
    <cfRule type="expression" dxfId="1655" priority="483">
      <formula>$B2&lt;$D2</formula>
    </cfRule>
    <cfRule type="expression" dxfId="1654" priority="484">
      <formula>$B2&gt;$D2</formula>
    </cfRule>
  </conditionalFormatting>
  <conditionalFormatting sqref="N2">
    <cfRule type="expression" dxfId="1653" priority="481">
      <formula>$B2&gt;$D2</formula>
    </cfRule>
    <cfRule type="expression" dxfId="1652" priority="482">
      <formula>$B2&lt;$D2</formula>
    </cfRule>
  </conditionalFormatting>
  <conditionalFormatting sqref="L3">
    <cfRule type="expression" dxfId="1651" priority="479">
      <formula>$B3&lt;$D3</formula>
    </cfRule>
    <cfRule type="expression" dxfId="1650" priority="480">
      <formula>$B3&gt;$D3</formula>
    </cfRule>
  </conditionalFormatting>
  <conditionalFormatting sqref="N3">
    <cfRule type="expression" dxfId="1649" priority="477">
      <formula>$B3&gt;$D3</formula>
    </cfRule>
    <cfRule type="expression" dxfId="1648" priority="478">
      <formula>$B3&lt;$D3</formula>
    </cfRule>
  </conditionalFormatting>
  <conditionalFormatting sqref="L4">
    <cfRule type="expression" dxfId="1647" priority="475">
      <formula>$B4&lt;$D4</formula>
    </cfRule>
    <cfRule type="expression" dxfId="1646" priority="476">
      <formula>$B4&gt;$D4</formula>
    </cfRule>
  </conditionalFormatting>
  <conditionalFormatting sqref="N4">
    <cfRule type="expression" dxfId="1645" priority="473">
      <formula>$B4&gt;$D4</formula>
    </cfRule>
    <cfRule type="expression" dxfId="1644" priority="474">
      <formula>$B4&lt;$D4</formula>
    </cfRule>
  </conditionalFormatting>
  <conditionalFormatting sqref="L5">
    <cfRule type="expression" dxfId="1643" priority="471">
      <formula>$B5&lt;$D5</formula>
    </cfRule>
    <cfRule type="expression" dxfId="1642" priority="472">
      <formula>$B5&gt;$D5</formula>
    </cfRule>
  </conditionalFormatting>
  <conditionalFormatting sqref="N5">
    <cfRule type="expression" dxfId="1641" priority="469">
      <formula>$B5&gt;$D5</formula>
    </cfRule>
    <cfRule type="expression" dxfId="1640" priority="470">
      <formula>$B5&lt;$D5</formula>
    </cfRule>
  </conditionalFormatting>
  <conditionalFormatting sqref="L6">
    <cfRule type="expression" dxfId="1639" priority="467">
      <formula>$B6&lt;$D6</formula>
    </cfRule>
    <cfRule type="expression" dxfId="1638" priority="468">
      <formula>$B6&gt;$D6</formula>
    </cfRule>
  </conditionalFormatting>
  <conditionalFormatting sqref="N6">
    <cfRule type="expression" dxfId="1637" priority="465">
      <formula>$B6&gt;$D6</formula>
    </cfRule>
    <cfRule type="expression" dxfId="1636" priority="466">
      <formula>$B6&lt;$D6</formula>
    </cfRule>
  </conditionalFormatting>
  <conditionalFormatting sqref="L7">
    <cfRule type="expression" dxfId="1635" priority="463">
      <formula>$B7&lt;$D7</formula>
    </cfRule>
    <cfRule type="expression" dxfId="1634" priority="464">
      <formula>$B7&gt;$D7</formula>
    </cfRule>
  </conditionalFormatting>
  <conditionalFormatting sqref="N7">
    <cfRule type="expression" dxfId="1633" priority="461">
      <formula>$B7&gt;$D7</formula>
    </cfRule>
    <cfRule type="expression" dxfId="1632" priority="462">
      <formula>$B7&lt;$D7</formula>
    </cfRule>
  </conditionalFormatting>
  <conditionalFormatting sqref="L8">
    <cfRule type="expression" dxfId="1631" priority="459">
      <formula>$B8&lt;$D8</formula>
    </cfRule>
    <cfRule type="expression" dxfId="1630" priority="460">
      <formula>$B8&gt;$D8</formula>
    </cfRule>
  </conditionalFormatting>
  <conditionalFormatting sqref="N8">
    <cfRule type="expression" dxfId="1629" priority="457">
      <formula>$B8&gt;$D8</formula>
    </cfRule>
    <cfRule type="expression" dxfId="1628" priority="458">
      <formula>$B8&lt;$D8</formula>
    </cfRule>
  </conditionalFormatting>
  <conditionalFormatting sqref="L9">
    <cfRule type="expression" dxfId="1627" priority="455">
      <formula>$B9&lt;$D9</formula>
    </cfRule>
    <cfRule type="expression" dxfId="1626" priority="456">
      <formula>$B9&gt;$D9</formula>
    </cfRule>
  </conditionalFormatting>
  <conditionalFormatting sqref="N9">
    <cfRule type="expression" dxfId="1625" priority="453">
      <formula>$B9&gt;$D9</formula>
    </cfRule>
    <cfRule type="expression" dxfId="1624" priority="454">
      <formula>$B9&lt;$D9</formula>
    </cfRule>
  </conditionalFormatting>
  <conditionalFormatting sqref="L11">
    <cfRule type="expression" dxfId="1623" priority="451">
      <formula>$B11&lt;$D11</formula>
    </cfRule>
    <cfRule type="expression" dxfId="1622" priority="452">
      <formula>$B11&gt;$D11</formula>
    </cfRule>
  </conditionalFormatting>
  <conditionalFormatting sqref="N11">
    <cfRule type="expression" dxfId="1621" priority="449">
      <formula>$B11&gt;$D11</formula>
    </cfRule>
    <cfRule type="expression" dxfId="1620" priority="450">
      <formula>$B11&lt;$D11</formula>
    </cfRule>
  </conditionalFormatting>
  <conditionalFormatting sqref="L12">
    <cfRule type="expression" dxfId="1619" priority="447">
      <formula>$B12&lt;$D12</formula>
    </cfRule>
    <cfRule type="expression" dxfId="1618" priority="448">
      <formula>$B12&gt;$D12</formula>
    </cfRule>
  </conditionalFormatting>
  <conditionalFormatting sqref="N12">
    <cfRule type="expression" dxfId="1617" priority="445">
      <formula>$B12&gt;$D12</formula>
    </cfRule>
    <cfRule type="expression" dxfId="1616" priority="446">
      <formula>$B12&lt;$D12</formula>
    </cfRule>
  </conditionalFormatting>
  <conditionalFormatting sqref="L13">
    <cfRule type="expression" dxfId="1615" priority="444">
      <formula>$B13&gt;$D13</formula>
    </cfRule>
  </conditionalFormatting>
  <conditionalFormatting sqref="L13">
    <cfRule type="expression" dxfId="1614" priority="443">
      <formula>$B13&lt;$D13</formula>
    </cfRule>
  </conditionalFormatting>
  <conditionalFormatting sqref="N13">
    <cfRule type="expression" dxfId="1613" priority="442">
      <formula>$B13&lt;$D13</formula>
    </cfRule>
  </conditionalFormatting>
  <conditionalFormatting sqref="N13">
    <cfRule type="expression" dxfId="1612" priority="441">
      <formula>$B13&gt;$D13</formula>
    </cfRule>
  </conditionalFormatting>
  <conditionalFormatting sqref="L14">
    <cfRule type="expression" dxfId="1611" priority="440">
      <formula>$B14&gt;$D14</formula>
    </cfRule>
  </conditionalFormatting>
  <conditionalFormatting sqref="L14">
    <cfRule type="expression" dxfId="1610" priority="439">
      <formula>$B14&lt;$D14</formula>
    </cfRule>
  </conditionalFormatting>
  <conditionalFormatting sqref="N14">
    <cfRule type="expression" dxfId="1609" priority="438">
      <formula>$B14&lt;$D14</formula>
    </cfRule>
  </conditionalFormatting>
  <conditionalFormatting sqref="N14">
    <cfRule type="expression" dxfId="1608" priority="437">
      <formula>$B14&gt;$D14</formula>
    </cfRule>
  </conditionalFormatting>
  <conditionalFormatting sqref="L15">
    <cfRule type="expression" dxfId="1607" priority="436">
      <formula>$B15&gt;$D15</formula>
    </cfRule>
  </conditionalFormatting>
  <conditionalFormatting sqref="L15">
    <cfRule type="expression" dxfId="1606" priority="435">
      <formula>$B15&lt;$D15</formula>
    </cfRule>
  </conditionalFormatting>
  <conditionalFormatting sqref="N15">
    <cfRule type="expression" dxfId="1605" priority="434">
      <formula>$B15&lt;$D15</formula>
    </cfRule>
  </conditionalFormatting>
  <conditionalFormatting sqref="N15">
    <cfRule type="expression" dxfId="1604" priority="433">
      <formula>$B15&gt;$D15</formula>
    </cfRule>
  </conditionalFormatting>
  <conditionalFormatting sqref="L16">
    <cfRule type="expression" dxfId="1603" priority="432">
      <formula>$B16&gt;$D16</formula>
    </cfRule>
  </conditionalFormatting>
  <conditionalFormatting sqref="L16">
    <cfRule type="expression" dxfId="1602" priority="431">
      <formula>$B16&lt;$D16</formula>
    </cfRule>
  </conditionalFormatting>
  <conditionalFormatting sqref="N16">
    <cfRule type="expression" dxfId="1601" priority="430">
      <formula>$B16&lt;$D16</formula>
    </cfRule>
  </conditionalFormatting>
  <conditionalFormatting sqref="N16">
    <cfRule type="expression" dxfId="1600" priority="429">
      <formula>$B16&gt;$D16</formula>
    </cfRule>
  </conditionalFormatting>
  <conditionalFormatting sqref="L17">
    <cfRule type="expression" dxfId="1599" priority="428">
      <formula>$B17&gt;$D17</formula>
    </cfRule>
  </conditionalFormatting>
  <conditionalFormatting sqref="L17">
    <cfRule type="expression" dxfId="1598" priority="427">
      <formula>$B17&lt;$D17</formula>
    </cfRule>
  </conditionalFormatting>
  <conditionalFormatting sqref="N17">
    <cfRule type="expression" dxfId="1597" priority="426">
      <formula>$B17&lt;$D17</formula>
    </cfRule>
  </conditionalFormatting>
  <conditionalFormatting sqref="N17">
    <cfRule type="expression" dxfId="1596" priority="425">
      <formula>$B17&gt;$D17</formula>
    </cfRule>
  </conditionalFormatting>
  <conditionalFormatting sqref="L18">
    <cfRule type="expression" dxfId="1595" priority="424">
      <formula>$B18&gt;$D18</formula>
    </cfRule>
  </conditionalFormatting>
  <conditionalFormatting sqref="L18">
    <cfRule type="expression" dxfId="1594" priority="423">
      <formula>$B18&lt;$D18</formula>
    </cfRule>
  </conditionalFormatting>
  <conditionalFormatting sqref="N18">
    <cfRule type="expression" dxfId="1593" priority="422">
      <formula>$B18&lt;$D18</formula>
    </cfRule>
  </conditionalFormatting>
  <conditionalFormatting sqref="N18">
    <cfRule type="expression" dxfId="1592" priority="421">
      <formula>$B18&gt;$D18</formula>
    </cfRule>
  </conditionalFormatting>
  <conditionalFormatting sqref="L20">
    <cfRule type="expression" dxfId="1591" priority="420">
      <formula>$B20&gt;$D20</formula>
    </cfRule>
  </conditionalFormatting>
  <conditionalFormatting sqref="L20">
    <cfRule type="expression" dxfId="1590" priority="419">
      <formula>$B20&lt;$D20</formula>
    </cfRule>
  </conditionalFormatting>
  <conditionalFormatting sqref="N20">
    <cfRule type="expression" dxfId="1589" priority="418">
      <formula>$B20&lt;$D20</formula>
    </cfRule>
  </conditionalFormatting>
  <conditionalFormatting sqref="N20">
    <cfRule type="expression" dxfId="1588" priority="417">
      <formula>$B20&gt;$D20</formula>
    </cfRule>
  </conditionalFormatting>
  <conditionalFormatting sqref="L21">
    <cfRule type="expression" dxfId="1587" priority="416">
      <formula>$B21&gt;$D21</formula>
    </cfRule>
  </conditionalFormatting>
  <conditionalFormatting sqref="L21">
    <cfRule type="expression" dxfId="1586" priority="415">
      <formula>$B21&lt;$D21</formula>
    </cfRule>
  </conditionalFormatting>
  <conditionalFormatting sqref="N21">
    <cfRule type="expression" dxfId="1585" priority="414">
      <formula>$B21&lt;$D21</formula>
    </cfRule>
  </conditionalFormatting>
  <conditionalFormatting sqref="N21">
    <cfRule type="expression" dxfId="1584" priority="413">
      <formula>$B21&gt;$D21</formula>
    </cfRule>
  </conditionalFormatting>
  <conditionalFormatting sqref="L22">
    <cfRule type="expression" dxfId="1583" priority="412">
      <formula>$B22&gt;$D22</formula>
    </cfRule>
  </conditionalFormatting>
  <conditionalFormatting sqref="L22">
    <cfRule type="expression" dxfId="1582" priority="411">
      <formula>$B22&lt;$D22</formula>
    </cfRule>
  </conditionalFormatting>
  <conditionalFormatting sqref="N22">
    <cfRule type="expression" dxfId="1581" priority="410">
      <formula>$B22&lt;$D22</formula>
    </cfRule>
  </conditionalFormatting>
  <conditionalFormatting sqref="N22">
    <cfRule type="expression" dxfId="1580" priority="409">
      <formula>$B22&gt;$D22</formula>
    </cfRule>
  </conditionalFormatting>
  <conditionalFormatting sqref="L23">
    <cfRule type="expression" dxfId="1579" priority="408">
      <formula>$B23&gt;$D23</formula>
    </cfRule>
  </conditionalFormatting>
  <conditionalFormatting sqref="L23">
    <cfRule type="expression" dxfId="1578" priority="407">
      <formula>$B23&lt;$D23</formula>
    </cfRule>
  </conditionalFormatting>
  <conditionalFormatting sqref="N23">
    <cfRule type="expression" dxfId="1577" priority="406">
      <formula>$B23&lt;$D23</formula>
    </cfRule>
  </conditionalFormatting>
  <conditionalFormatting sqref="N23">
    <cfRule type="expression" dxfId="1576" priority="405">
      <formula>$B23&gt;$D23</formula>
    </cfRule>
  </conditionalFormatting>
  <conditionalFormatting sqref="L24">
    <cfRule type="expression" dxfId="1575" priority="404">
      <formula>$B24&gt;$D24</formula>
    </cfRule>
  </conditionalFormatting>
  <conditionalFormatting sqref="L24">
    <cfRule type="expression" dxfId="1574" priority="403">
      <formula>$B24&lt;$D24</formula>
    </cfRule>
  </conditionalFormatting>
  <conditionalFormatting sqref="N24">
    <cfRule type="expression" dxfId="1573" priority="402">
      <formula>$B24&lt;$D24</formula>
    </cfRule>
  </conditionalFormatting>
  <conditionalFormatting sqref="N24">
    <cfRule type="expression" dxfId="1572" priority="401">
      <formula>$B24&gt;$D24</formula>
    </cfRule>
  </conditionalFormatting>
  <conditionalFormatting sqref="L25">
    <cfRule type="expression" dxfId="1571" priority="400">
      <formula>$B25&gt;$D25</formula>
    </cfRule>
  </conditionalFormatting>
  <conditionalFormatting sqref="L25">
    <cfRule type="expression" dxfId="1570" priority="399">
      <formula>$B25&lt;$D25</formula>
    </cfRule>
  </conditionalFormatting>
  <conditionalFormatting sqref="N25">
    <cfRule type="expression" dxfId="1569" priority="398">
      <formula>$B25&lt;$D25</formula>
    </cfRule>
  </conditionalFormatting>
  <conditionalFormatting sqref="N25">
    <cfRule type="expression" dxfId="1568" priority="397">
      <formula>$B25&gt;$D25</formula>
    </cfRule>
  </conditionalFormatting>
  <conditionalFormatting sqref="L26">
    <cfRule type="expression" dxfId="1567" priority="396">
      <formula>$B26&gt;$D26</formula>
    </cfRule>
  </conditionalFormatting>
  <conditionalFormatting sqref="L26">
    <cfRule type="expression" dxfId="1566" priority="395">
      <formula>$B26&lt;$D26</formula>
    </cfRule>
  </conditionalFormatting>
  <conditionalFormatting sqref="N26">
    <cfRule type="expression" dxfId="1565" priority="394">
      <formula>$B26&lt;$D26</formula>
    </cfRule>
  </conditionalFormatting>
  <conditionalFormatting sqref="N26">
    <cfRule type="expression" dxfId="1564" priority="393">
      <formula>$B26&gt;$D26</formula>
    </cfRule>
  </conditionalFormatting>
  <conditionalFormatting sqref="L27">
    <cfRule type="expression" dxfId="1563" priority="392">
      <formula>$B27&gt;$D27</formula>
    </cfRule>
  </conditionalFormatting>
  <conditionalFormatting sqref="L27">
    <cfRule type="expression" dxfId="1562" priority="391">
      <formula>$B27&lt;$D27</formula>
    </cfRule>
  </conditionalFormatting>
  <conditionalFormatting sqref="N27">
    <cfRule type="expression" dxfId="1561" priority="390">
      <formula>$B27&lt;$D27</formula>
    </cfRule>
  </conditionalFormatting>
  <conditionalFormatting sqref="N27">
    <cfRule type="expression" dxfId="1560" priority="389">
      <formula>$B27&gt;$D27</formula>
    </cfRule>
  </conditionalFormatting>
  <conditionalFormatting sqref="L29">
    <cfRule type="expression" dxfId="1559" priority="388">
      <formula>$B29&gt;$D29</formula>
    </cfRule>
  </conditionalFormatting>
  <conditionalFormatting sqref="L29">
    <cfRule type="expression" dxfId="1558" priority="387">
      <formula>$B29&lt;$D29</formula>
    </cfRule>
  </conditionalFormatting>
  <conditionalFormatting sqref="N29">
    <cfRule type="expression" dxfId="1557" priority="386">
      <formula>$B29&lt;$D29</formula>
    </cfRule>
  </conditionalFormatting>
  <conditionalFormatting sqref="N29">
    <cfRule type="expression" dxfId="1556" priority="385">
      <formula>$B29&gt;$D29</formula>
    </cfRule>
  </conditionalFormatting>
  <conditionalFormatting sqref="L30">
    <cfRule type="expression" dxfId="1555" priority="384">
      <formula>$B30&gt;$D30</formula>
    </cfRule>
  </conditionalFormatting>
  <conditionalFormatting sqref="L30">
    <cfRule type="expression" dxfId="1554" priority="383">
      <formula>$B30&lt;$D30</formula>
    </cfRule>
  </conditionalFormatting>
  <conditionalFormatting sqref="N30">
    <cfRule type="expression" dxfId="1553" priority="382">
      <formula>$B30&lt;$D30</formula>
    </cfRule>
  </conditionalFormatting>
  <conditionalFormatting sqref="N30">
    <cfRule type="expression" dxfId="1552" priority="381">
      <formula>$B30&gt;$D30</formula>
    </cfRule>
  </conditionalFormatting>
  <conditionalFormatting sqref="L31">
    <cfRule type="expression" dxfId="1551" priority="380">
      <formula>$B31&gt;$D31</formula>
    </cfRule>
  </conditionalFormatting>
  <conditionalFormatting sqref="L31">
    <cfRule type="expression" dxfId="1550" priority="379">
      <formula>$B31&lt;$D31</formula>
    </cfRule>
  </conditionalFormatting>
  <conditionalFormatting sqref="N31">
    <cfRule type="expression" dxfId="1549" priority="378">
      <formula>$B31&lt;$D31</formula>
    </cfRule>
  </conditionalFormatting>
  <conditionalFormatting sqref="N31">
    <cfRule type="expression" dxfId="1548" priority="377">
      <formula>$B31&gt;$D31</formula>
    </cfRule>
  </conditionalFormatting>
  <conditionalFormatting sqref="L32">
    <cfRule type="expression" dxfId="1547" priority="376">
      <formula>$B32&gt;$D32</formula>
    </cfRule>
  </conditionalFormatting>
  <conditionalFormatting sqref="L32">
    <cfRule type="expression" dxfId="1546" priority="375">
      <formula>$B32&lt;$D32</formula>
    </cfRule>
  </conditionalFormatting>
  <conditionalFormatting sqref="N32">
    <cfRule type="expression" dxfId="1545" priority="374">
      <formula>$B32&lt;$D32</formula>
    </cfRule>
  </conditionalFormatting>
  <conditionalFormatting sqref="N32">
    <cfRule type="expression" dxfId="1544" priority="373">
      <formula>$B32&gt;$D32</formula>
    </cfRule>
  </conditionalFormatting>
  <conditionalFormatting sqref="L33">
    <cfRule type="expression" dxfId="1543" priority="372">
      <formula>$B33&gt;$D33</formula>
    </cfRule>
  </conditionalFormatting>
  <conditionalFormatting sqref="L33">
    <cfRule type="expression" dxfId="1542" priority="371">
      <formula>$B33&lt;$D33</formula>
    </cfRule>
  </conditionalFormatting>
  <conditionalFormatting sqref="N33">
    <cfRule type="expression" dxfId="1541" priority="370">
      <formula>$B33&lt;$D33</formula>
    </cfRule>
  </conditionalFormatting>
  <conditionalFormatting sqref="N33">
    <cfRule type="expression" dxfId="1540" priority="369">
      <formula>$B33&gt;$D33</formula>
    </cfRule>
  </conditionalFormatting>
  <conditionalFormatting sqref="L34">
    <cfRule type="expression" dxfId="1539" priority="368">
      <formula>$B34&gt;$D34</formula>
    </cfRule>
  </conditionalFormatting>
  <conditionalFormatting sqref="L34">
    <cfRule type="expression" dxfId="1538" priority="367">
      <formula>$B34&lt;$D34</formula>
    </cfRule>
  </conditionalFormatting>
  <conditionalFormatting sqref="N34">
    <cfRule type="expression" dxfId="1537" priority="366">
      <formula>$B34&lt;$D34</formula>
    </cfRule>
  </conditionalFormatting>
  <conditionalFormatting sqref="N34">
    <cfRule type="expression" dxfId="1536" priority="365">
      <formula>$B34&gt;$D34</formula>
    </cfRule>
  </conditionalFormatting>
  <conditionalFormatting sqref="L35">
    <cfRule type="expression" dxfId="1535" priority="364">
      <formula>$B35&gt;$D35</formula>
    </cfRule>
  </conditionalFormatting>
  <conditionalFormatting sqref="L35">
    <cfRule type="expression" dxfId="1534" priority="363">
      <formula>$B35&lt;$D35</formula>
    </cfRule>
  </conditionalFormatting>
  <conditionalFormatting sqref="N35">
    <cfRule type="expression" dxfId="1533" priority="362">
      <formula>$B35&lt;$D35</formula>
    </cfRule>
  </conditionalFormatting>
  <conditionalFormatting sqref="N35">
    <cfRule type="expression" dxfId="1532" priority="361">
      <formula>$B35&gt;$D35</formula>
    </cfRule>
  </conditionalFormatting>
  <conditionalFormatting sqref="L36">
    <cfRule type="expression" dxfId="1531" priority="360">
      <formula>$B36&gt;$D36</formula>
    </cfRule>
  </conditionalFormatting>
  <conditionalFormatting sqref="L36">
    <cfRule type="expression" dxfId="1530" priority="359">
      <formula>$B36&lt;$D36</formula>
    </cfRule>
  </conditionalFormatting>
  <conditionalFormatting sqref="N36">
    <cfRule type="expression" dxfId="1529" priority="358">
      <formula>$B36&lt;$D36</formula>
    </cfRule>
  </conditionalFormatting>
  <conditionalFormatting sqref="N36">
    <cfRule type="expression" dxfId="1528" priority="357">
      <formula>$B36&gt;$D36</formula>
    </cfRule>
  </conditionalFormatting>
  <conditionalFormatting sqref="L38">
    <cfRule type="expression" dxfId="1527" priority="356">
      <formula>$B38&gt;$D38</formula>
    </cfRule>
  </conditionalFormatting>
  <conditionalFormatting sqref="L38">
    <cfRule type="expression" dxfId="1526" priority="355">
      <formula>$B38&lt;$D38</formula>
    </cfRule>
  </conditionalFormatting>
  <conditionalFormatting sqref="N38">
    <cfRule type="expression" dxfId="1525" priority="354">
      <formula>$B38&lt;$D38</formula>
    </cfRule>
  </conditionalFormatting>
  <conditionalFormatting sqref="N38">
    <cfRule type="expression" dxfId="1524" priority="353">
      <formula>$B38&gt;$D38</formula>
    </cfRule>
  </conditionalFormatting>
  <conditionalFormatting sqref="L39">
    <cfRule type="expression" dxfId="1523" priority="352">
      <formula>$B39&gt;$D39</formula>
    </cfRule>
  </conditionalFormatting>
  <conditionalFormatting sqref="L39">
    <cfRule type="expression" dxfId="1522" priority="351">
      <formula>$B39&lt;$D39</formula>
    </cfRule>
  </conditionalFormatting>
  <conditionalFormatting sqref="N39">
    <cfRule type="expression" dxfId="1521" priority="350">
      <formula>$B39&lt;$D39</formula>
    </cfRule>
  </conditionalFormatting>
  <conditionalFormatting sqref="N39">
    <cfRule type="expression" dxfId="1520" priority="349">
      <formula>$B39&gt;$D39</formula>
    </cfRule>
  </conditionalFormatting>
  <conditionalFormatting sqref="L40">
    <cfRule type="expression" dxfId="1519" priority="348">
      <formula>$B40&gt;$D40</formula>
    </cfRule>
  </conditionalFormatting>
  <conditionalFormatting sqref="L40">
    <cfRule type="expression" dxfId="1518" priority="347">
      <formula>$B40&lt;$D40</formula>
    </cfRule>
  </conditionalFormatting>
  <conditionalFormatting sqref="N40">
    <cfRule type="expression" dxfId="1517" priority="346">
      <formula>$B40&lt;$D40</formula>
    </cfRule>
  </conditionalFormatting>
  <conditionalFormatting sqref="N40">
    <cfRule type="expression" dxfId="1516" priority="345">
      <formula>$B40&gt;$D40</formula>
    </cfRule>
  </conditionalFormatting>
  <conditionalFormatting sqref="L41">
    <cfRule type="expression" dxfId="1515" priority="344">
      <formula>$B41&gt;$D41</formula>
    </cfRule>
  </conditionalFormatting>
  <conditionalFormatting sqref="L41">
    <cfRule type="expression" dxfId="1514" priority="343">
      <formula>$B41&lt;$D41</formula>
    </cfRule>
  </conditionalFormatting>
  <conditionalFormatting sqref="N41">
    <cfRule type="expression" dxfId="1513" priority="342">
      <formula>$B41&lt;$D41</formula>
    </cfRule>
  </conditionalFormatting>
  <conditionalFormatting sqref="N41">
    <cfRule type="expression" dxfId="1512" priority="341">
      <formula>$B41&gt;$D41</formula>
    </cfRule>
  </conditionalFormatting>
  <conditionalFormatting sqref="L42">
    <cfRule type="expression" dxfId="1511" priority="340">
      <formula>$B42&gt;$D42</formula>
    </cfRule>
  </conditionalFormatting>
  <conditionalFormatting sqref="L42">
    <cfRule type="expression" dxfId="1510" priority="339">
      <formula>$B42&lt;$D42</formula>
    </cfRule>
  </conditionalFormatting>
  <conditionalFormatting sqref="N42">
    <cfRule type="expression" dxfId="1509" priority="338">
      <formula>$B42&lt;$D42</formula>
    </cfRule>
  </conditionalFormatting>
  <conditionalFormatting sqref="N42">
    <cfRule type="expression" dxfId="1508" priority="337">
      <formula>$B42&gt;$D42</formula>
    </cfRule>
  </conditionalFormatting>
  <conditionalFormatting sqref="L43">
    <cfRule type="expression" dxfId="1507" priority="336">
      <formula>$B43&gt;$D43</formula>
    </cfRule>
  </conditionalFormatting>
  <conditionalFormatting sqref="L43">
    <cfRule type="expression" dxfId="1506" priority="335">
      <formula>$B43&lt;$D43</formula>
    </cfRule>
  </conditionalFormatting>
  <conditionalFormatting sqref="N43">
    <cfRule type="expression" dxfId="1505" priority="334">
      <formula>$B43&lt;$D43</formula>
    </cfRule>
  </conditionalFormatting>
  <conditionalFormatting sqref="N43">
    <cfRule type="expression" dxfId="1504" priority="333">
      <formula>$B43&gt;$D43</formula>
    </cfRule>
  </conditionalFormatting>
  <conditionalFormatting sqref="L44">
    <cfRule type="expression" dxfId="1503" priority="332">
      <formula>$B44&gt;$D44</formula>
    </cfRule>
  </conditionalFormatting>
  <conditionalFormatting sqref="L44">
    <cfRule type="expression" dxfId="1502" priority="331">
      <formula>$B44&lt;$D44</formula>
    </cfRule>
  </conditionalFormatting>
  <conditionalFormatting sqref="N44">
    <cfRule type="expression" dxfId="1501" priority="330">
      <formula>$B44&lt;$D44</formula>
    </cfRule>
  </conditionalFormatting>
  <conditionalFormatting sqref="N44">
    <cfRule type="expression" dxfId="1500" priority="329">
      <formula>$B44&gt;$D44</formula>
    </cfRule>
  </conditionalFormatting>
  <conditionalFormatting sqref="L45">
    <cfRule type="expression" dxfId="1499" priority="328">
      <formula>$B45&gt;$D45</formula>
    </cfRule>
  </conditionalFormatting>
  <conditionalFormatting sqref="L45">
    <cfRule type="expression" dxfId="1498" priority="327">
      <formula>$B45&lt;$D45</formula>
    </cfRule>
  </conditionalFormatting>
  <conditionalFormatting sqref="N45">
    <cfRule type="expression" dxfId="1497" priority="326">
      <formula>$B45&lt;$D45</formula>
    </cfRule>
  </conditionalFormatting>
  <conditionalFormatting sqref="N45">
    <cfRule type="expression" dxfId="1496" priority="325">
      <formula>$B45&gt;$D45</formula>
    </cfRule>
  </conditionalFormatting>
  <conditionalFormatting sqref="L47">
    <cfRule type="expression" dxfId="1495" priority="324">
      <formula>$B47&gt;$D47</formula>
    </cfRule>
  </conditionalFormatting>
  <conditionalFormatting sqref="L47">
    <cfRule type="expression" dxfId="1494" priority="323">
      <formula>$B47&lt;$D47</formula>
    </cfRule>
  </conditionalFormatting>
  <conditionalFormatting sqref="N47">
    <cfRule type="expression" dxfId="1493" priority="322">
      <formula>$B47&lt;$D47</formula>
    </cfRule>
  </conditionalFormatting>
  <conditionalFormatting sqref="N47">
    <cfRule type="expression" dxfId="1492" priority="321">
      <formula>$B47&gt;$D47</formula>
    </cfRule>
  </conditionalFormatting>
  <conditionalFormatting sqref="L48">
    <cfRule type="expression" dxfId="1491" priority="320">
      <formula>$B48&gt;$D48</formula>
    </cfRule>
  </conditionalFormatting>
  <conditionalFormatting sqref="L48">
    <cfRule type="expression" dxfId="1490" priority="319">
      <formula>$B48&lt;$D48</formula>
    </cfRule>
  </conditionalFormatting>
  <conditionalFormatting sqref="N48">
    <cfRule type="expression" dxfId="1489" priority="318">
      <formula>$B48&lt;$D48</formula>
    </cfRule>
  </conditionalFormatting>
  <conditionalFormatting sqref="N48">
    <cfRule type="expression" dxfId="1488" priority="317">
      <formula>$B48&gt;$D48</formula>
    </cfRule>
  </conditionalFormatting>
  <conditionalFormatting sqref="L49">
    <cfRule type="expression" dxfId="1487" priority="316">
      <formula>$B49&gt;$D49</formula>
    </cfRule>
  </conditionalFormatting>
  <conditionalFormatting sqref="L49">
    <cfRule type="expression" dxfId="1486" priority="315">
      <formula>$B49&lt;$D49</formula>
    </cfRule>
  </conditionalFormatting>
  <conditionalFormatting sqref="N49">
    <cfRule type="expression" dxfId="1485" priority="314">
      <formula>$B49&lt;$D49</formula>
    </cfRule>
  </conditionalFormatting>
  <conditionalFormatting sqref="N49">
    <cfRule type="expression" dxfId="1484" priority="313">
      <formula>$B49&gt;$D49</formula>
    </cfRule>
  </conditionalFormatting>
  <conditionalFormatting sqref="L50">
    <cfRule type="expression" dxfId="1483" priority="312">
      <formula>$B50&gt;$D50</formula>
    </cfRule>
  </conditionalFormatting>
  <conditionalFormatting sqref="L50">
    <cfRule type="expression" dxfId="1482" priority="311">
      <formula>$B50&lt;$D50</formula>
    </cfRule>
  </conditionalFormatting>
  <conditionalFormatting sqref="N50">
    <cfRule type="expression" dxfId="1481" priority="310">
      <formula>$B50&lt;$D50</formula>
    </cfRule>
  </conditionalFormatting>
  <conditionalFormatting sqref="N50">
    <cfRule type="expression" dxfId="1480" priority="309">
      <formula>$B50&gt;$D50</formula>
    </cfRule>
  </conditionalFormatting>
  <conditionalFormatting sqref="L51">
    <cfRule type="expression" dxfId="1479" priority="308">
      <formula>$B51&gt;$D51</formula>
    </cfRule>
  </conditionalFormatting>
  <conditionalFormatting sqref="L51">
    <cfRule type="expression" dxfId="1478" priority="307">
      <formula>$B51&lt;$D51</formula>
    </cfRule>
  </conditionalFormatting>
  <conditionalFormatting sqref="N51">
    <cfRule type="expression" dxfId="1477" priority="306">
      <formula>$B51&lt;$D51</formula>
    </cfRule>
  </conditionalFormatting>
  <conditionalFormatting sqref="N51">
    <cfRule type="expression" dxfId="1476" priority="305">
      <formula>$B51&gt;$D51</formula>
    </cfRule>
  </conditionalFormatting>
  <conditionalFormatting sqref="L52">
    <cfRule type="expression" dxfId="1475" priority="304">
      <formula>$B52&gt;$D52</formula>
    </cfRule>
  </conditionalFormatting>
  <conditionalFormatting sqref="L52">
    <cfRule type="expression" dxfId="1474" priority="303">
      <formula>$B52&lt;$D52</formula>
    </cfRule>
  </conditionalFormatting>
  <conditionalFormatting sqref="N52">
    <cfRule type="expression" dxfId="1473" priority="302">
      <formula>$B52&lt;$D52</formula>
    </cfRule>
  </conditionalFormatting>
  <conditionalFormatting sqref="N52">
    <cfRule type="expression" dxfId="1472" priority="301">
      <formula>$B52&gt;$D52</formula>
    </cfRule>
  </conditionalFormatting>
  <conditionalFormatting sqref="L53">
    <cfRule type="expression" dxfId="1471" priority="300">
      <formula>$B53&gt;$D53</formula>
    </cfRule>
  </conditionalFormatting>
  <conditionalFormatting sqref="L53">
    <cfRule type="expression" dxfId="1470" priority="299">
      <formula>$B53&lt;$D53</formula>
    </cfRule>
  </conditionalFormatting>
  <conditionalFormatting sqref="N53">
    <cfRule type="expression" dxfId="1469" priority="298">
      <formula>$B53&lt;$D53</formula>
    </cfRule>
  </conditionalFormatting>
  <conditionalFormatting sqref="N53">
    <cfRule type="expression" dxfId="1468" priority="297">
      <formula>$B53&gt;$D53</formula>
    </cfRule>
  </conditionalFormatting>
  <conditionalFormatting sqref="L54">
    <cfRule type="expression" dxfId="1467" priority="296">
      <formula>$B54&gt;$D54</formula>
    </cfRule>
  </conditionalFormatting>
  <conditionalFormatting sqref="L54">
    <cfRule type="expression" dxfId="1466" priority="295">
      <formula>$B54&lt;$D54</formula>
    </cfRule>
  </conditionalFormatting>
  <conditionalFormatting sqref="N54">
    <cfRule type="expression" dxfId="1465" priority="294">
      <formula>$B54&lt;$D54</formula>
    </cfRule>
  </conditionalFormatting>
  <conditionalFormatting sqref="N54">
    <cfRule type="expression" dxfId="1464" priority="293">
      <formula>$B54&gt;$D54</formula>
    </cfRule>
  </conditionalFormatting>
  <conditionalFormatting sqref="L56">
    <cfRule type="expression" dxfId="1463" priority="292">
      <formula>$B56&gt;$D56</formula>
    </cfRule>
  </conditionalFormatting>
  <conditionalFormatting sqref="L56">
    <cfRule type="expression" dxfId="1462" priority="291">
      <formula>$B56&lt;$D56</formula>
    </cfRule>
  </conditionalFormatting>
  <conditionalFormatting sqref="N56">
    <cfRule type="expression" dxfId="1461" priority="290">
      <formula>$B56&lt;$D56</formula>
    </cfRule>
  </conditionalFormatting>
  <conditionalFormatting sqref="N56">
    <cfRule type="expression" dxfId="1460" priority="289">
      <formula>$B56&gt;$D56</formula>
    </cfRule>
  </conditionalFormatting>
  <conditionalFormatting sqref="L57">
    <cfRule type="expression" dxfId="1459" priority="288">
      <formula>$B57&gt;$D57</formula>
    </cfRule>
  </conditionalFormatting>
  <conditionalFormatting sqref="L57">
    <cfRule type="expression" dxfId="1458" priority="287">
      <formula>$B57&lt;$D57</formula>
    </cfRule>
  </conditionalFormatting>
  <conditionalFormatting sqref="N57">
    <cfRule type="expression" dxfId="1457" priority="286">
      <formula>$B57&lt;$D57</formula>
    </cfRule>
  </conditionalFormatting>
  <conditionalFormatting sqref="N57">
    <cfRule type="expression" dxfId="1456" priority="285">
      <formula>$B57&gt;$D57</formula>
    </cfRule>
  </conditionalFormatting>
  <conditionalFormatting sqref="L58">
    <cfRule type="expression" dxfId="1455" priority="284">
      <formula>$B58&gt;$D58</formula>
    </cfRule>
  </conditionalFormatting>
  <conditionalFormatting sqref="L58">
    <cfRule type="expression" dxfId="1454" priority="283">
      <formula>$B58&lt;$D58</formula>
    </cfRule>
  </conditionalFormatting>
  <conditionalFormatting sqref="N58">
    <cfRule type="expression" dxfId="1453" priority="282">
      <formula>$B58&lt;$D58</formula>
    </cfRule>
  </conditionalFormatting>
  <conditionalFormatting sqref="N58">
    <cfRule type="expression" dxfId="1452" priority="281">
      <formula>$B58&gt;$D58</formula>
    </cfRule>
  </conditionalFormatting>
  <conditionalFormatting sqref="L59">
    <cfRule type="expression" dxfId="1451" priority="280">
      <formula>$B59&gt;$D59</formula>
    </cfRule>
  </conditionalFormatting>
  <conditionalFormatting sqref="L59">
    <cfRule type="expression" dxfId="1450" priority="279">
      <formula>$B59&lt;$D59</formula>
    </cfRule>
  </conditionalFormatting>
  <conditionalFormatting sqref="N59">
    <cfRule type="expression" dxfId="1449" priority="278">
      <formula>$B59&lt;$D59</formula>
    </cfRule>
  </conditionalFormatting>
  <conditionalFormatting sqref="N59">
    <cfRule type="expression" dxfId="1448" priority="277">
      <formula>$B59&gt;$D59</formula>
    </cfRule>
  </conditionalFormatting>
  <conditionalFormatting sqref="L60">
    <cfRule type="expression" dxfId="1447" priority="276">
      <formula>$B60&gt;$D60</formula>
    </cfRule>
  </conditionalFormatting>
  <conditionalFormatting sqref="L60">
    <cfRule type="expression" dxfId="1446" priority="275">
      <formula>$B60&lt;$D60</formula>
    </cfRule>
  </conditionalFormatting>
  <conditionalFormatting sqref="N60">
    <cfRule type="expression" dxfId="1445" priority="274">
      <formula>$B60&lt;$D60</formula>
    </cfRule>
  </conditionalFormatting>
  <conditionalFormatting sqref="N60">
    <cfRule type="expression" dxfId="1444" priority="273">
      <formula>$B60&gt;$D60</formula>
    </cfRule>
  </conditionalFormatting>
  <conditionalFormatting sqref="L61">
    <cfRule type="expression" dxfId="1443" priority="272">
      <formula>$B61&gt;$D61</formula>
    </cfRule>
  </conditionalFormatting>
  <conditionalFormatting sqref="L61">
    <cfRule type="expression" dxfId="1442" priority="271">
      <formula>$B61&lt;$D61</formula>
    </cfRule>
  </conditionalFormatting>
  <conditionalFormatting sqref="N61">
    <cfRule type="expression" dxfId="1441" priority="270">
      <formula>$B61&lt;$D61</formula>
    </cfRule>
  </conditionalFormatting>
  <conditionalFormatting sqref="N61">
    <cfRule type="expression" dxfId="1440" priority="269">
      <formula>$B61&gt;$D61</formula>
    </cfRule>
  </conditionalFormatting>
  <conditionalFormatting sqref="L62">
    <cfRule type="expression" dxfId="1439" priority="268">
      <formula>$B62&gt;$D62</formula>
    </cfRule>
  </conditionalFormatting>
  <conditionalFormatting sqref="L62">
    <cfRule type="expression" dxfId="1438" priority="267">
      <formula>$B62&lt;$D62</formula>
    </cfRule>
  </conditionalFormatting>
  <conditionalFormatting sqref="N62">
    <cfRule type="expression" dxfId="1437" priority="266">
      <formula>$B62&lt;$D62</formula>
    </cfRule>
  </conditionalFormatting>
  <conditionalFormatting sqref="N62">
    <cfRule type="expression" dxfId="1436" priority="265">
      <formula>$B62&gt;$D62</formula>
    </cfRule>
  </conditionalFormatting>
  <conditionalFormatting sqref="L63">
    <cfRule type="expression" dxfId="1435" priority="264">
      <formula>$B63&gt;$D63</formula>
    </cfRule>
  </conditionalFormatting>
  <conditionalFormatting sqref="L63">
    <cfRule type="expression" dxfId="1434" priority="263">
      <formula>$B63&lt;$D63</formula>
    </cfRule>
  </conditionalFormatting>
  <conditionalFormatting sqref="N63">
    <cfRule type="expression" dxfId="1433" priority="262">
      <formula>$B63&lt;$D63</formula>
    </cfRule>
  </conditionalFormatting>
  <conditionalFormatting sqref="N63">
    <cfRule type="expression" dxfId="1432" priority="261">
      <formula>$B63&gt;$D63</formula>
    </cfRule>
  </conditionalFormatting>
  <conditionalFormatting sqref="L65">
    <cfRule type="expression" dxfId="1431" priority="260">
      <formula>$B65&gt;$D65</formula>
    </cfRule>
  </conditionalFormatting>
  <conditionalFormatting sqref="L65">
    <cfRule type="expression" dxfId="1430" priority="259">
      <formula>$B65&lt;$D65</formula>
    </cfRule>
  </conditionalFormatting>
  <conditionalFormatting sqref="N65">
    <cfRule type="expression" dxfId="1429" priority="258">
      <formula>$B65&lt;$D65</formula>
    </cfRule>
  </conditionalFormatting>
  <conditionalFormatting sqref="N65">
    <cfRule type="expression" dxfId="1428" priority="257">
      <formula>$B65&gt;$D65</formula>
    </cfRule>
  </conditionalFormatting>
  <conditionalFormatting sqref="L66">
    <cfRule type="expression" dxfId="1427" priority="256">
      <formula>$B66&gt;$D66</formula>
    </cfRule>
  </conditionalFormatting>
  <conditionalFormatting sqref="L66">
    <cfRule type="expression" dxfId="1426" priority="255">
      <formula>$B66&lt;$D66</formula>
    </cfRule>
  </conditionalFormatting>
  <conditionalFormatting sqref="N66">
    <cfRule type="expression" dxfId="1425" priority="254">
      <formula>$B66&lt;$D66</formula>
    </cfRule>
  </conditionalFormatting>
  <conditionalFormatting sqref="N66">
    <cfRule type="expression" dxfId="1424" priority="253">
      <formula>$B66&gt;$D66</formula>
    </cfRule>
  </conditionalFormatting>
  <conditionalFormatting sqref="L67">
    <cfRule type="expression" dxfId="1423" priority="252">
      <formula>$B67&gt;$D67</formula>
    </cfRule>
  </conditionalFormatting>
  <conditionalFormatting sqref="L67">
    <cfRule type="expression" dxfId="1422" priority="251">
      <formula>$B67&lt;$D67</formula>
    </cfRule>
  </conditionalFormatting>
  <conditionalFormatting sqref="N67">
    <cfRule type="expression" dxfId="1421" priority="250">
      <formula>$B67&lt;$D67</formula>
    </cfRule>
  </conditionalFormatting>
  <conditionalFormatting sqref="N67">
    <cfRule type="expression" dxfId="1420" priority="249">
      <formula>$B67&gt;$D67</formula>
    </cfRule>
  </conditionalFormatting>
  <conditionalFormatting sqref="L68">
    <cfRule type="expression" dxfId="1419" priority="248">
      <formula>$B68&gt;$D68</formula>
    </cfRule>
  </conditionalFormatting>
  <conditionalFormatting sqref="L68">
    <cfRule type="expression" dxfId="1418" priority="247">
      <formula>$B68&lt;$D68</formula>
    </cfRule>
  </conditionalFormatting>
  <conditionalFormatting sqref="N68">
    <cfRule type="expression" dxfId="1417" priority="246">
      <formula>$B68&lt;$D68</formula>
    </cfRule>
  </conditionalFormatting>
  <conditionalFormatting sqref="N68">
    <cfRule type="expression" dxfId="1416" priority="245">
      <formula>$B68&gt;$D68</formula>
    </cfRule>
  </conditionalFormatting>
  <conditionalFormatting sqref="L69">
    <cfRule type="expression" dxfId="1415" priority="244">
      <formula>$B69&gt;$D69</formula>
    </cfRule>
  </conditionalFormatting>
  <conditionalFormatting sqref="L69">
    <cfRule type="expression" dxfId="1414" priority="243">
      <formula>$B69&lt;$D69</formula>
    </cfRule>
  </conditionalFormatting>
  <conditionalFormatting sqref="N69">
    <cfRule type="expression" dxfId="1413" priority="242">
      <formula>$B69&lt;$D69</formula>
    </cfRule>
  </conditionalFormatting>
  <conditionalFormatting sqref="N69">
    <cfRule type="expression" dxfId="1412" priority="241">
      <formula>$B69&gt;$D69</formula>
    </cfRule>
  </conditionalFormatting>
  <conditionalFormatting sqref="L70">
    <cfRule type="expression" dxfId="1411" priority="240">
      <formula>$B70&gt;$D70</formula>
    </cfRule>
  </conditionalFormatting>
  <conditionalFormatting sqref="L70">
    <cfRule type="expression" dxfId="1410" priority="239">
      <formula>$B70&lt;$D70</formula>
    </cfRule>
  </conditionalFormatting>
  <conditionalFormatting sqref="N70">
    <cfRule type="expression" dxfId="1409" priority="238">
      <formula>$B70&lt;$D70</formula>
    </cfRule>
  </conditionalFormatting>
  <conditionalFormatting sqref="N70">
    <cfRule type="expression" dxfId="1408" priority="237">
      <formula>$B70&gt;$D70</formula>
    </cfRule>
  </conditionalFormatting>
  <conditionalFormatting sqref="L71">
    <cfRule type="expression" dxfId="1407" priority="236">
      <formula>$B71&gt;$D71</formula>
    </cfRule>
  </conditionalFormatting>
  <conditionalFormatting sqref="L71">
    <cfRule type="expression" dxfId="1406" priority="235">
      <formula>$B71&lt;$D71</formula>
    </cfRule>
  </conditionalFormatting>
  <conditionalFormatting sqref="N71">
    <cfRule type="expression" dxfId="1405" priority="234">
      <formula>$B71&lt;$D71</formula>
    </cfRule>
  </conditionalFormatting>
  <conditionalFormatting sqref="N71">
    <cfRule type="expression" dxfId="1404" priority="233">
      <formula>$B71&gt;$D71</formula>
    </cfRule>
  </conditionalFormatting>
  <conditionalFormatting sqref="L72">
    <cfRule type="expression" dxfId="1403" priority="232">
      <formula>$B72&gt;$D72</formula>
    </cfRule>
  </conditionalFormatting>
  <conditionalFormatting sqref="L72">
    <cfRule type="expression" dxfId="1402" priority="231">
      <formula>$B72&lt;$D72</formula>
    </cfRule>
  </conditionalFormatting>
  <conditionalFormatting sqref="N72">
    <cfRule type="expression" dxfId="1401" priority="230">
      <formula>$B72&lt;$D72</formula>
    </cfRule>
  </conditionalFormatting>
  <conditionalFormatting sqref="N72">
    <cfRule type="expression" dxfId="1400" priority="229">
      <formula>$B72&gt;$D72</formula>
    </cfRule>
  </conditionalFormatting>
  <conditionalFormatting sqref="L74">
    <cfRule type="expression" dxfId="1399" priority="228">
      <formula>$B74&gt;$D74</formula>
    </cfRule>
  </conditionalFormatting>
  <conditionalFormatting sqref="L74">
    <cfRule type="expression" dxfId="1398" priority="227">
      <formula>$B74&lt;$D74</formula>
    </cfRule>
  </conditionalFormatting>
  <conditionalFormatting sqref="N74">
    <cfRule type="expression" dxfId="1397" priority="226">
      <formula>$B74&lt;$D74</formula>
    </cfRule>
  </conditionalFormatting>
  <conditionalFormatting sqref="N74">
    <cfRule type="expression" dxfId="1396" priority="225">
      <formula>$B74&gt;$D74</formula>
    </cfRule>
  </conditionalFormatting>
  <conditionalFormatting sqref="L75">
    <cfRule type="expression" dxfId="1395" priority="224">
      <formula>$B75&gt;$D75</formula>
    </cfRule>
  </conditionalFormatting>
  <conditionalFormatting sqref="L75">
    <cfRule type="expression" dxfId="1394" priority="223">
      <formula>$B75&lt;$D75</formula>
    </cfRule>
  </conditionalFormatting>
  <conditionalFormatting sqref="N75">
    <cfRule type="expression" dxfId="1393" priority="222">
      <formula>$B75&lt;$D75</formula>
    </cfRule>
  </conditionalFormatting>
  <conditionalFormatting sqref="N75">
    <cfRule type="expression" dxfId="1392" priority="221">
      <formula>$B75&gt;$D75</formula>
    </cfRule>
  </conditionalFormatting>
  <conditionalFormatting sqref="L76">
    <cfRule type="expression" dxfId="1391" priority="220">
      <formula>$B76&gt;$D76</formula>
    </cfRule>
  </conditionalFormatting>
  <conditionalFormatting sqref="L76">
    <cfRule type="expression" dxfId="1390" priority="219">
      <formula>$B76&lt;$D76</formula>
    </cfRule>
  </conditionalFormatting>
  <conditionalFormatting sqref="N76">
    <cfRule type="expression" dxfId="1389" priority="218">
      <formula>$B76&lt;$D76</formula>
    </cfRule>
  </conditionalFormatting>
  <conditionalFormatting sqref="N76">
    <cfRule type="expression" dxfId="1388" priority="217">
      <formula>$B76&gt;$D76</formula>
    </cfRule>
  </conditionalFormatting>
  <conditionalFormatting sqref="L77">
    <cfRule type="expression" dxfId="1387" priority="216">
      <formula>$B77&gt;$D77</formula>
    </cfRule>
  </conditionalFormatting>
  <conditionalFormatting sqref="L77">
    <cfRule type="expression" dxfId="1386" priority="215">
      <formula>$B77&lt;$D77</formula>
    </cfRule>
  </conditionalFormatting>
  <conditionalFormatting sqref="N77">
    <cfRule type="expression" dxfId="1385" priority="214">
      <formula>$B77&lt;$D77</formula>
    </cfRule>
  </conditionalFormatting>
  <conditionalFormatting sqref="N77">
    <cfRule type="expression" dxfId="1384" priority="213">
      <formula>$B77&gt;$D77</formula>
    </cfRule>
  </conditionalFormatting>
  <conditionalFormatting sqref="L78">
    <cfRule type="expression" dxfId="1383" priority="212">
      <formula>$B78&gt;$D78</formula>
    </cfRule>
  </conditionalFormatting>
  <conditionalFormatting sqref="L78">
    <cfRule type="expression" dxfId="1382" priority="211">
      <formula>$B78&lt;$D78</formula>
    </cfRule>
  </conditionalFormatting>
  <conditionalFormatting sqref="N78">
    <cfRule type="expression" dxfId="1381" priority="210">
      <formula>$B78&lt;$D78</formula>
    </cfRule>
  </conditionalFormatting>
  <conditionalFormatting sqref="N78">
    <cfRule type="expression" dxfId="1380" priority="209">
      <formula>$B78&gt;$D78</formula>
    </cfRule>
  </conditionalFormatting>
  <conditionalFormatting sqref="L79">
    <cfRule type="expression" dxfId="1379" priority="208">
      <formula>$B79&gt;$D79</formula>
    </cfRule>
  </conditionalFormatting>
  <conditionalFormatting sqref="L79">
    <cfRule type="expression" dxfId="1378" priority="207">
      <formula>$B79&lt;$D79</formula>
    </cfRule>
  </conditionalFormatting>
  <conditionalFormatting sqref="N79">
    <cfRule type="expression" dxfId="1377" priority="206">
      <formula>$B79&lt;$D79</formula>
    </cfRule>
  </conditionalFormatting>
  <conditionalFormatting sqref="N79">
    <cfRule type="expression" dxfId="1376" priority="205">
      <formula>$B79&gt;$D79</formula>
    </cfRule>
  </conditionalFormatting>
  <conditionalFormatting sqref="L80">
    <cfRule type="expression" dxfId="1375" priority="204">
      <formula>$B80&gt;$D80</formula>
    </cfRule>
  </conditionalFormatting>
  <conditionalFormatting sqref="L80">
    <cfRule type="expression" dxfId="1374" priority="203">
      <formula>$B80&lt;$D80</formula>
    </cfRule>
  </conditionalFormatting>
  <conditionalFormatting sqref="N80">
    <cfRule type="expression" dxfId="1373" priority="202">
      <formula>$B80&lt;$D80</formula>
    </cfRule>
  </conditionalFormatting>
  <conditionalFormatting sqref="N80">
    <cfRule type="expression" dxfId="1372" priority="201">
      <formula>$B80&gt;$D80</formula>
    </cfRule>
  </conditionalFormatting>
  <conditionalFormatting sqref="L81">
    <cfRule type="expression" dxfId="1371" priority="200">
      <formula>$B81&gt;$D81</formula>
    </cfRule>
  </conditionalFormatting>
  <conditionalFormatting sqref="L81">
    <cfRule type="expression" dxfId="1370" priority="199">
      <formula>$B81&lt;$D81</formula>
    </cfRule>
  </conditionalFormatting>
  <conditionalFormatting sqref="N81">
    <cfRule type="expression" dxfId="1369" priority="198">
      <formula>$B81&lt;$D81</formula>
    </cfRule>
  </conditionalFormatting>
  <conditionalFormatting sqref="N81">
    <cfRule type="expression" dxfId="1368" priority="197">
      <formula>$B81&gt;$D81</formula>
    </cfRule>
  </conditionalFormatting>
  <conditionalFormatting sqref="L83">
    <cfRule type="expression" dxfId="1367" priority="196">
      <formula>$B83&gt;$D83</formula>
    </cfRule>
  </conditionalFormatting>
  <conditionalFormatting sqref="L83">
    <cfRule type="expression" dxfId="1366" priority="195">
      <formula>$B83&lt;$D83</formula>
    </cfRule>
  </conditionalFormatting>
  <conditionalFormatting sqref="N83">
    <cfRule type="expression" dxfId="1365" priority="194">
      <formula>$B83&lt;$D83</formula>
    </cfRule>
  </conditionalFormatting>
  <conditionalFormatting sqref="N83">
    <cfRule type="expression" dxfId="1364" priority="193">
      <formula>$B83&gt;$D83</formula>
    </cfRule>
  </conditionalFormatting>
  <conditionalFormatting sqref="L84">
    <cfRule type="expression" dxfId="1363" priority="192">
      <formula>$B84&gt;$D84</formula>
    </cfRule>
  </conditionalFormatting>
  <conditionalFormatting sqref="L84">
    <cfRule type="expression" dxfId="1362" priority="191">
      <formula>$B84&lt;$D84</formula>
    </cfRule>
  </conditionalFormatting>
  <conditionalFormatting sqref="N84">
    <cfRule type="expression" dxfId="1361" priority="190">
      <formula>$B84&lt;$D84</formula>
    </cfRule>
  </conditionalFormatting>
  <conditionalFormatting sqref="N84">
    <cfRule type="expression" dxfId="1360" priority="189">
      <formula>$B84&gt;$D84</formula>
    </cfRule>
  </conditionalFormatting>
  <conditionalFormatting sqref="L85">
    <cfRule type="expression" dxfId="1359" priority="188">
      <formula>$B85&gt;$D85</formula>
    </cfRule>
  </conditionalFormatting>
  <conditionalFormatting sqref="L85">
    <cfRule type="expression" dxfId="1358" priority="187">
      <formula>$B85&lt;$D85</formula>
    </cfRule>
  </conditionalFormatting>
  <conditionalFormatting sqref="N85">
    <cfRule type="expression" dxfId="1357" priority="186">
      <formula>$B85&lt;$D85</formula>
    </cfRule>
  </conditionalFormatting>
  <conditionalFormatting sqref="N85">
    <cfRule type="expression" dxfId="1356" priority="185">
      <formula>$B85&gt;$D85</formula>
    </cfRule>
  </conditionalFormatting>
  <conditionalFormatting sqref="L86">
    <cfRule type="expression" dxfId="1355" priority="184">
      <formula>$B86&gt;$D86</formula>
    </cfRule>
  </conditionalFormatting>
  <conditionalFormatting sqref="L86">
    <cfRule type="expression" dxfId="1354" priority="183">
      <formula>$B86&lt;$D86</formula>
    </cfRule>
  </conditionalFormatting>
  <conditionalFormatting sqref="N86">
    <cfRule type="expression" dxfId="1353" priority="182">
      <formula>$B86&lt;$D86</formula>
    </cfRule>
  </conditionalFormatting>
  <conditionalFormatting sqref="N86">
    <cfRule type="expression" dxfId="1352" priority="181">
      <formula>$B86&gt;$D86</formula>
    </cfRule>
  </conditionalFormatting>
  <conditionalFormatting sqref="L87">
    <cfRule type="expression" dxfId="1351" priority="180">
      <formula>$B87&gt;$D87</formula>
    </cfRule>
  </conditionalFormatting>
  <conditionalFormatting sqref="L87">
    <cfRule type="expression" dxfId="1350" priority="179">
      <formula>$B87&lt;$D87</formula>
    </cfRule>
  </conditionalFormatting>
  <conditionalFormatting sqref="N87">
    <cfRule type="expression" dxfId="1349" priority="178">
      <formula>$B87&lt;$D87</formula>
    </cfRule>
  </conditionalFormatting>
  <conditionalFormatting sqref="N87">
    <cfRule type="expression" dxfId="1348" priority="177">
      <formula>$B87&gt;$D87</formula>
    </cfRule>
  </conditionalFormatting>
  <conditionalFormatting sqref="L88">
    <cfRule type="expression" dxfId="1347" priority="176">
      <formula>$B88&gt;$D88</formula>
    </cfRule>
  </conditionalFormatting>
  <conditionalFormatting sqref="L88">
    <cfRule type="expression" dxfId="1346" priority="175">
      <formula>$B88&lt;$D88</formula>
    </cfRule>
  </conditionalFormatting>
  <conditionalFormatting sqref="N88">
    <cfRule type="expression" dxfId="1345" priority="174">
      <formula>$B88&lt;$D88</formula>
    </cfRule>
  </conditionalFormatting>
  <conditionalFormatting sqref="N88">
    <cfRule type="expression" dxfId="1344" priority="173">
      <formula>$B88&gt;$D88</formula>
    </cfRule>
  </conditionalFormatting>
  <conditionalFormatting sqref="L89">
    <cfRule type="expression" dxfId="1343" priority="172">
      <formula>$B89&gt;$D89</formula>
    </cfRule>
  </conditionalFormatting>
  <conditionalFormatting sqref="L89">
    <cfRule type="expression" dxfId="1342" priority="171">
      <formula>$B89&lt;$D89</formula>
    </cfRule>
  </conditionalFormatting>
  <conditionalFormatting sqref="N89">
    <cfRule type="expression" dxfId="1341" priority="170">
      <formula>$B89&lt;$D89</formula>
    </cfRule>
  </conditionalFormatting>
  <conditionalFormatting sqref="N89">
    <cfRule type="expression" dxfId="1340" priority="169">
      <formula>$B89&gt;$D89</formula>
    </cfRule>
  </conditionalFormatting>
  <conditionalFormatting sqref="L90">
    <cfRule type="expression" dxfId="1339" priority="168">
      <formula>$B90&gt;$D90</formula>
    </cfRule>
  </conditionalFormatting>
  <conditionalFormatting sqref="L90">
    <cfRule type="expression" dxfId="1338" priority="167">
      <formula>$B90&lt;$D90</formula>
    </cfRule>
  </conditionalFormatting>
  <conditionalFormatting sqref="N90">
    <cfRule type="expression" dxfId="1337" priority="166">
      <formula>$B90&lt;$D90</formula>
    </cfRule>
  </conditionalFormatting>
  <conditionalFormatting sqref="N90">
    <cfRule type="expression" dxfId="1336" priority="165">
      <formula>$B90&gt;$D90</formula>
    </cfRule>
  </conditionalFormatting>
  <conditionalFormatting sqref="L92">
    <cfRule type="expression" dxfId="1335" priority="164">
      <formula>$B92&gt;$D92</formula>
    </cfRule>
  </conditionalFormatting>
  <conditionalFormatting sqref="L92">
    <cfRule type="expression" dxfId="1334" priority="163">
      <formula>$B92&lt;$D92</formula>
    </cfRule>
  </conditionalFormatting>
  <conditionalFormatting sqref="N92">
    <cfRule type="expression" dxfId="1333" priority="162">
      <formula>$B92&lt;$D92</formula>
    </cfRule>
  </conditionalFormatting>
  <conditionalFormatting sqref="N92">
    <cfRule type="expression" dxfId="1332" priority="161">
      <formula>$B92&gt;$D92</formula>
    </cfRule>
  </conditionalFormatting>
  <conditionalFormatting sqref="L93">
    <cfRule type="expression" dxfId="1331" priority="160">
      <formula>$B93&gt;$D93</formula>
    </cfRule>
  </conditionalFormatting>
  <conditionalFormatting sqref="L93">
    <cfRule type="expression" dxfId="1330" priority="159">
      <formula>$B93&lt;$D93</formula>
    </cfRule>
  </conditionalFormatting>
  <conditionalFormatting sqref="N93">
    <cfRule type="expression" dxfId="1329" priority="158">
      <formula>$B93&lt;$D93</formula>
    </cfRule>
  </conditionalFormatting>
  <conditionalFormatting sqref="N93">
    <cfRule type="expression" dxfId="1328" priority="157">
      <formula>$B93&gt;$D93</formula>
    </cfRule>
  </conditionalFormatting>
  <conditionalFormatting sqref="L94">
    <cfRule type="expression" dxfId="1327" priority="156">
      <formula>$B94&gt;$D94</formula>
    </cfRule>
  </conditionalFormatting>
  <conditionalFormatting sqref="L94">
    <cfRule type="expression" dxfId="1326" priority="155">
      <formula>$B94&lt;$D94</formula>
    </cfRule>
  </conditionalFormatting>
  <conditionalFormatting sqref="N94">
    <cfRule type="expression" dxfId="1325" priority="154">
      <formula>$B94&lt;$D94</formula>
    </cfRule>
  </conditionalFormatting>
  <conditionalFormatting sqref="N94">
    <cfRule type="expression" dxfId="1324" priority="153">
      <formula>$B94&gt;$D94</formula>
    </cfRule>
  </conditionalFormatting>
  <conditionalFormatting sqref="L95">
    <cfRule type="expression" dxfId="1323" priority="152">
      <formula>$B95&gt;$D95</formula>
    </cfRule>
  </conditionalFormatting>
  <conditionalFormatting sqref="L95">
    <cfRule type="expression" dxfId="1322" priority="151">
      <formula>$B95&lt;$D95</formula>
    </cfRule>
  </conditionalFormatting>
  <conditionalFormatting sqref="N95">
    <cfRule type="expression" dxfId="1321" priority="150">
      <formula>$B95&lt;$D95</formula>
    </cfRule>
  </conditionalFormatting>
  <conditionalFormatting sqref="N95">
    <cfRule type="expression" dxfId="1320" priority="149">
      <formula>$B95&gt;$D95</formula>
    </cfRule>
  </conditionalFormatting>
  <conditionalFormatting sqref="L96">
    <cfRule type="expression" dxfId="1319" priority="148">
      <formula>$B96&gt;$D96</formula>
    </cfRule>
  </conditionalFormatting>
  <conditionalFormatting sqref="L96">
    <cfRule type="expression" dxfId="1318" priority="147">
      <formula>$B96&lt;$D96</formula>
    </cfRule>
  </conditionalFormatting>
  <conditionalFormatting sqref="N96">
    <cfRule type="expression" dxfId="1317" priority="146">
      <formula>$B96&lt;$D96</formula>
    </cfRule>
  </conditionalFormatting>
  <conditionalFormatting sqref="N96">
    <cfRule type="expression" dxfId="1316" priority="145">
      <formula>$B96&gt;$D96</formula>
    </cfRule>
  </conditionalFormatting>
  <conditionalFormatting sqref="L97">
    <cfRule type="expression" dxfId="1315" priority="144">
      <formula>$B97&gt;$D97</formula>
    </cfRule>
  </conditionalFormatting>
  <conditionalFormatting sqref="L97">
    <cfRule type="expression" dxfId="1314" priority="143">
      <formula>$B97&lt;$D97</formula>
    </cfRule>
  </conditionalFormatting>
  <conditionalFormatting sqref="N97">
    <cfRule type="expression" dxfId="1313" priority="142">
      <formula>$B97&lt;$D97</formula>
    </cfRule>
  </conditionalFormatting>
  <conditionalFormatting sqref="N97">
    <cfRule type="expression" dxfId="1312" priority="141">
      <formula>$B97&gt;$D97</formula>
    </cfRule>
  </conditionalFormatting>
  <conditionalFormatting sqref="L98">
    <cfRule type="expression" dxfId="1311" priority="140">
      <formula>$B98&gt;$D98</formula>
    </cfRule>
  </conditionalFormatting>
  <conditionalFormatting sqref="L98">
    <cfRule type="expression" dxfId="1310" priority="139">
      <formula>$B98&lt;$D98</formula>
    </cfRule>
  </conditionalFormatting>
  <conditionalFormatting sqref="N98">
    <cfRule type="expression" dxfId="1309" priority="138">
      <formula>$B98&lt;$D98</formula>
    </cfRule>
  </conditionalFormatting>
  <conditionalFormatting sqref="N98">
    <cfRule type="expression" dxfId="1308" priority="137">
      <formula>$B98&gt;$D98</formula>
    </cfRule>
  </conditionalFormatting>
  <conditionalFormatting sqref="L99">
    <cfRule type="expression" dxfId="1307" priority="136">
      <formula>$B99&gt;$D99</formula>
    </cfRule>
  </conditionalFormatting>
  <conditionalFormatting sqref="L99">
    <cfRule type="expression" dxfId="1306" priority="135">
      <formula>$B99&lt;$D99</formula>
    </cfRule>
  </conditionalFormatting>
  <conditionalFormatting sqref="N99">
    <cfRule type="expression" dxfId="1305" priority="134">
      <formula>$B99&lt;$D99</formula>
    </cfRule>
  </conditionalFormatting>
  <conditionalFormatting sqref="N99">
    <cfRule type="expression" dxfId="1304" priority="133">
      <formula>$B99&gt;$D99</formula>
    </cfRule>
  </conditionalFormatting>
  <conditionalFormatting sqref="L101">
    <cfRule type="expression" dxfId="1303" priority="132">
      <formula>$B101&gt;$D101</formula>
    </cfRule>
  </conditionalFormatting>
  <conditionalFormatting sqref="L101">
    <cfRule type="expression" dxfId="1302" priority="131">
      <formula>$B101&lt;$D101</formula>
    </cfRule>
  </conditionalFormatting>
  <conditionalFormatting sqref="N101">
    <cfRule type="expression" dxfId="1301" priority="130">
      <formula>$B101&lt;$D101</formula>
    </cfRule>
  </conditionalFormatting>
  <conditionalFormatting sqref="N101">
    <cfRule type="expression" dxfId="1300" priority="129">
      <formula>$B101&gt;$D101</formula>
    </cfRule>
  </conditionalFormatting>
  <conditionalFormatting sqref="L102">
    <cfRule type="expression" dxfId="1299" priority="128">
      <formula>$B102&gt;$D102</formula>
    </cfRule>
  </conditionalFormatting>
  <conditionalFormatting sqref="L102">
    <cfRule type="expression" dxfId="1298" priority="127">
      <formula>$B102&lt;$D102</formula>
    </cfRule>
  </conditionalFormatting>
  <conditionalFormatting sqref="N102">
    <cfRule type="expression" dxfId="1297" priority="126">
      <formula>$B102&lt;$D102</formula>
    </cfRule>
  </conditionalFormatting>
  <conditionalFormatting sqref="N102">
    <cfRule type="expression" dxfId="1296" priority="125">
      <formula>$B102&gt;$D102</formula>
    </cfRule>
  </conditionalFormatting>
  <conditionalFormatting sqref="L103">
    <cfRule type="expression" dxfId="1295" priority="124">
      <formula>$B103&gt;$D103</formula>
    </cfRule>
  </conditionalFormatting>
  <conditionalFormatting sqref="L103">
    <cfRule type="expression" dxfId="1294" priority="123">
      <formula>$B103&lt;$D103</formula>
    </cfRule>
  </conditionalFormatting>
  <conditionalFormatting sqref="N103">
    <cfRule type="expression" dxfId="1293" priority="122">
      <formula>$B103&lt;$D103</formula>
    </cfRule>
  </conditionalFormatting>
  <conditionalFormatting sqref="N103">
    <cfRule type="expression" dxfId="1292" priority="121">
      <formula>$B103&gt;$D103</formula>
    </cfRule>
  </conditionalFormatting>
  <conditionalFormatting sqref="L104">
    <cfRule type="expression" dxfId="1291" priority="120">
      <formula>$B104&gt;$D104</formula>
    </cfRule>
  </conditionalFormatting>
  <conditionalFormatting sqref="L104">
    <cfRule type="expression" dxfId="1290" priority="119">
      <formula>$B104&lt;$D104</formula>
    </cfRule>
  </conditionalFormatting>
  <conditionalFormatting sqref="N104">
    <cfRule type="expression" dxfId="1289" priority="118">
      <formula>$B104&lt;$D104</formula>
    </cfRule>
  </conditionalFormatting>
  <conditionalFormatting sqref="N104">
    <cfRule type="expression" dxfId="1288" priority="117">
      <formula>$B104&gt;$D104</formula>
    </cfRule>
  </conditionalFormatting>
  <conditionalFormatting sqref="L105">
    <cfRule type="expression" dxfId="1287" priority="116">
      <formula>$B105&gt;$D105</formula>
    </cfRule>
  </conditionalFormatting>
  <conditionalFormatting sqref="L105">
    <cfRule type="expression" dxfId="1286" priority="115">
      <formula>$B105&lt;$D105</formula>
    </cfRule>
  </conditionalFormatting>
  <conditionalFormatting sqref="N105">
    <cfRule type="expression" dxfId="1285" priority="114">
      <formula>$B105&lt;$D105</formula>
    </cfRule>
  </conditionalFormatting>
  <conditionalFormatting sqref="N105">
    <cfRule type="expression" dxfId="1284" priority="113">
      <formula>$B105&gt;$D105</formula>
    </cfRule>
  </conditionalFormatting>
  <conditionalFormatting sqref="L106">
    <cfRule type="expression" dxfId="1283" priority="112">
      <formula>$B106&gt;$D106</formula>
    </cfRule>
  </conditionalFormatting>
  <conditionalFormatting sqref="L106">
    <cfRule type="expression" dxfId="1282" priority="111">
      <formula>$B106&lt;$D106</formula>
    </cfRule>
  </conditionalFormatting>
  <conditionalFormatting sqref="N106">
    <cfRule type="expression" dxfId="1281" priority="110">
      <formula>$B106&lt;$D106</formula>
    </cfRule>
  </conditionalFormatting>
  <conditionalFormatting sqref="N106">
    <cfRule type="expression" dxfId="1280" priority="109">
      <formula>$B106&gt;$D106</formula>
    </cfRule>
  </conditionalFormatting>
  <conditionalFormatting sqref="L107">
    <cfRule type="expression" dxfId="1279" priority="108">
      <formula>$B107&gt;$D107</formula>
    </cfRule>
  </conditionalFormatting>
  <conditionalFormatting sqref="L107">
    <cfRule type="expression" dxfId="1278" priority="107">
      <formula>$B107&lt;$D107</formula>
    </cfRule>
  </conditionalFormatting>
  <conditionalFormatting sqref="N107">
    <cfRule type="expression" dxfId="1277" priority="106">
      <formula>$B107&lt;$D107</formula>
    </cfRule>
  </conditionalFormatting>
  <conditionalFormatting sqref="N107">
    <cfRule type="expression" dxfId="1276" priority="105">
      <formula>$B107&gt;$D107</formula>
    </cfRule>
  </conditionalFormatting>
  <conditionalFormatting sqref="L108">
    <cfRule type="expression" dxfId="1275" priority="104">
      <formula>$B108&gt;$D108</formula>
    </cfRule>
  </conditionalFormatting>
  <conditionalFormatting sqref="L108">
    <cfRule type="expression" dxfId="1274" priority="103">
      <formula>$B108&lt;$D108</formula>
    </cfRule>
  </conditionalFormatting>
  <conditionalFormatting sqref="N108">
    <cfRule type="expression" dxfId="1273" priority="102">
      <formula>$B108&lt;$D108</formula>
    </cfRule>
  </conditionalFormatting>
  <conditionalFormatting sqref="N108">
    <cfRule type="expression" dxfId="1272" priority="101">
      <formula>$B108&gt;$D108</formula>
    </cfRule>
  </conditionalFormatting>
  <conditionalFormatting sqref="L110">
    <cfRule type="expression" dxfId="1271" priority="100">
      <formula>$B110&gt;$D110</formula>
    </cfRule>
  </conditionalFormatting>
  <conditionalFormatting sqref="L110">
    <cfRule type="expression" dxfId="1270" priority="99">
      <formula>$B110&lt;$D110</formula>
    </cfRule>
  </conditionalFormatting>
  <conditionalFormatting sqref="N110">
    <cfRule type="expression" dxfId="1269" priority="98">
      <formula>$B110&lt;$D110</formula>
    </cfRule>
  </conditionalFormatting>
  <conditionalFormatting sqref="N110">
    <cfRule type="expression" dxfId="1268" priority="97">
      <formula>$B110&gt;$D110</formula>
    </cfRule>
  </conditionalFormatting>
  <conditionalFormatting sqref="L111">
    <cfRule type="expression" dxfId="1267" priority="96">
      <formula>$B111&gt;$D111</formula>
    </cfRule>
  </conditionalFormatting>
  <conditionalFormatting sqref="L111">
    <cfRule type="expression" dxfId="1266" priority="95">
      <formula>$B111&lt;$D111</formula>
    </cfRule>
  </conditionalFormatting>
  <conditionalFormatting sqref="N111">
    <cfRule type="expression" dxfId="1265" priority="94">
      <formula>$B111&lt;$D111</formula>
    </cfRule>
  </conditionalFormatting>
  <conditionalFormatting sqref="N111">
    <cfRule type="expression" dxfId="1264" priority="93">
      <formula>$B111&gt;$D111</formula>
    </cfRule>
  </conditionalFormatting>
  <conditionalFormatting sqref="L112">
    <cfRule type="expression" dxfId="1263" priority="92">
      <formula>$B112&gt;$D112</formula>
    </cfRule>
  </conditionalFormatting>
  <conditionalFormatting sqref="L112">
    <cfRule type="expression" dxfId="1262" priority="91">
      <formula>$B112&lt;$D112</formula>
    </cfRule>
  </conditionalFormatting>
  <conditionalFormatting sqref="N112">
    <cfRule type="expression" dxfId="1261" priority="90">
      <formula>$B112&lt;$D112</formula>
    </cfRule>
  </conditionalFormatting>
  <conditionalFormatting sqref="N112">
    <cfRule type="expression" dxfId="1260" priority="89">
      <formula>$B112&gt;$D112</formula>
    </cfRule>
  </conditionalFormatting>
  <conditionalFormatting sqref="L113">
    <cfRule type="expression" dxfId="1259" priority="88">
      <formula>$B113&gt;$D113</formula>
    </cfRule>
  </conditionalFormatting>
  <conditionalFormatting sqref="L113">
    <cfRule type="expression" dxfId="1258" priority="87">
      <formula>$B113&lt;$D113</formula>
    </cfRule>
  </conditionalFormatting>
  <conditionalFormatting sqref="N113">
    <cfRule type="expression" dxfId="1257" priority="86">
      <formula>$B113&lt;$D113</formula>
    </cfRule>
  </conditionalFormatting>
  <conditionalFormatting sqref="N113">
    <cfRule type="expression" dxfId="1256" priority="85">
      <formula>$B113&gt;$D113</formula>
    </cfRule>
  </conditionalFormatting>
  <conditionalFormatting sqref="L114">
    <cfRule type="expression" dxfId="1255" priority="84">
      <formula>$B114&gt;$D114</formula>
    </cfRule>
  </conditionalFormatting>
  <conditionalFormatting sqref="L114">
    <cfRule type="expression" dxfId="1254" priority="83">
      <formula>$B114&lt;$D114</formula>
    </cfRule>
  </conditionalFormatting>
  <conditionalFormatting sqref="N114">
    <cfRule type="expression" dxfId="1253" priority="82">
      <formula>$B114&lt;$D114</formula>
    </cfRule>
  </conditionalFormatting>
  <conditionalFormatting sqref="N114">
    <cfRule type="expression" dxfId="1252" priority="81">
      <formula>$B114&gt;$D114</formula>
    </cfRule>
  </conditionalFormatting>
  <conditionalFormatting sqref="L115">
    <cfRule type="expression" dxfId="1251" priority="80">
      <formula>$B115&gt;$D115</formula>
    </cfRule>
  </conditionalFormatting>
  <conditionalFormatting sqref="L115">
    <cfRule type="expression" dxfId="1250" priority="79">
      <formula>$B115&lt;$D115</formula>
    </cfRule>
  </conditionalFormatting>
  <conditionalFormatting sqref="N115">
    <cfRule type="expression" dxfId="1249" priority="78">
      <formula>$B115&lt;$D115</formula>
    </cfRule>
  </conditionalFormatting>
  <conditionalFormatting sqref="N115">
    <cfRule type="expression" dxfId="1248" priority="77">
      <formula>$B115&gt;$D115</formula>
    </cfRule>
  </conditionalFormatting>
  <conditionalFormatting sqref="L116">
    <cfRule type="expression" dxfId="1247" priority="76">
      <formula>$B116&gt;$D116</formula>
    </cfRule>
  </conditionalFormatting>
  <conditionalFormatting sqref="L116">
    <cfRule type="expression" dxfId="1246" priority="75">
      <formula>$B116&lt;$D116</formula>
    </cfRule>
  </conditionalFormatting>
  <conditionalFormatting sqref="N116">
    <cfRule type="expression" dxfId="1245" priority="74">
      <formula>$B116&lt;$D116</formula>
    </cfRule>
  </conditionalFormatting>
  <conditionalFormatting sqref="N116">
    <cfRule type="expression" dxfId="1244" priority="73">
      <formula>$B116&gt;$D116</formula>
    </cfRule>
  </conditionalFormatting>
  <conditionalFormatting sqref="L117">
    <cfRule type="expression" dxfId="1243" priority="72">
      <formula>$B117&gt;$D117</formula>
    </cfRule>
  </conditionalFormatting>
  <conditionalFormatting sqref="L117">
    <cfRule type="expression" dxfId="1242" priority="71">
      <formula>$B117&lt;$D117</formula>
    </cfRule>
  </conditionalFormatting>
  <conditionalFormatting sqref="N117">
    <cfRule type="expression" dxfId="1241" priority="70">
      <formula>$B117&lt;$D117</formula>
    </cfRule>
  </conditionalFormatting>
  <conditionalFormatting sqref="N117">
    <cfRule type="expression" dxfId="1240" priority="69">
      <formula>$B117&gt;$D117</formula>
    </cfRule>
  </conditionalFormatting>
  <conditionalFormatting sqref="L119">
    <cfRule type="expression" dxfId="1239" priority="68">
      <formula>$B119&gt;$D119</formula>
    </cfRule>
  </conditionalFormatting>
  <conditionalFormatting sqref="L119">
    <cfRule type="expression" dxfId="1238" priority="67">
      <formula>$B119&lt;$D119</formula>
    </cfRule>
  </conditionalFormatting>
  <conditionalFormatting sqref="N119">
    <cfRule type="expression" dxfId="1237" priority="66">
      <formula>$B119&lt;$D119</formula>
    </cfRule>
  </conditionalFormatting>
  <conditionalFormatting sqref="N119">
    <cfRule type="expression" dxfId="1236" priority="65">
      <formula>$B119&gt;$D119</formula>
    </cfRule>
  </conditionalFormatting>
  <conditionalFormatting sqref="L120">
    <cfRule type="expression" dxfId="1235" priority="64">
      <formula>$B120&gt;$D120</formula>
    </cfRule>
  </conditionalFormatting>
  <conditionalFormatting sqref="L120">
    <cfRule type="expression" dxfId="1234" priority="63">
      <formula>$B120&lt;$D120</formula>
    </cfRule>
  </conditionalFormatting>
  <conditionalFormatting sqref="N120">
    <cfRule type="expression" dxfId="1233" priority="62">
      <formula>$B120&lt;$D120</formula>
    </cfRule>
  </conditionalFormatting>
  <conditionalFormatting sqref="N120">
    <cfRule type="expression" dxfId="1232" priority="61">
      <formula>$B120&gt;$D120</formula>
    </cfRule>
  </conditionalFormatting>
  <conditionalFormatting sqref="L121">
    <cfRule type="expression" dxfId="1231" priority="60">
      <formula>$B121&gt;$D121</formula>
    </cfRule>
  </conditionalFormatting>
  <conditionalFormatting sqref="L121">
    <cfRule type="expression" dxfId="1230" priority="59">
      <formula>$B121&lt;$D121</formula>
    </cfRule>
  </conditionalFormatting>
  <conditionalFormatting sqref="N121">
    <cfRule type="expression" dxfId="1229" priority="58">
      <formula>$B121&lt;$D121</formula>
    </cfRule>
  </conditionalFormatting>
  <conditionalFormatting sqref="N121">
    <cfRule type="expression" dxfId="1228" priority="57">
      <formula>$B121&gt;$D121</formula>
    </cfRule>
  </conditionalFormatting>
  <conditionalFormatting sqref="L122">
    <cfRule type="expression" dxfId="1227" priority="56">
      <formula>$B122&gt;$D122</formula>
    </cfRule>
  </conditionalFormatting>
  <conditionalFormatting sqref="L122">
    <cfRule type="expression" dxfId="1226" priority="55">
      <formula>$B122&lt;$D122</formula>
    </cfRule>
  </conditionalFormatting>
  <conditionalFormatting sqref="N122">
    <cfRule type="expression" dxfId="1225" priority="54">
      <formula>$B122&lt;$D122</formula>
    </cfRule>
  </conditionalFormatting>
  <conditionalFormatting sqref="N122">
    <cfRule type="expression" dxfId="1224" priority="53">
      <formula>$B122&gt;$D122</formula>
    </cfRule>
  </conditionalFormatting>
  <conditionalFormatting sqref="L123">
    <cfRule type="expression" dxfId="1223" priority="52">
      <formula>$B123&gt;$D123</formula>
    </cfRule>
  </conditionalFormatting>
  <conditionalFormatting sqref="L123">
    <cfRule type="expression" dxfId="1222" priority="51">
      <formula>$B123&lt;$D123</formula>
    </cfRule>
  </conditionalFormatting>
  <conditionalFormatting sqref="N123">
    <cfRule type="expression" dxfId="1221" priority="50">
      <formula>$B123&lt;$D123</formula>
    </cfRule>
  </conditionalFormatting>
  <conditionalFormatting sqref="N123">
    <cfRule type="expression" dxfId="1220" priority="49">
      <formula>$B123&gt;$D123</formula>
    </cfRule>
  </conditionalFormatting>
  <conditionalFormatting sqref="L124">
    <cfRule type="expression" dxfId="1219" priority="48">
      <formula>$B124&gt;$D124</formula>
    </cfRule>
  </conditionalFormatting>
  <conditionalFormatting sqref="L124">
    <cfRule type="expression" dxfId="1218" priority="47">
      <formula>$B124&lt;$D124</formula>
    </cfRule>
  </conditionalFormatting>
  <conditionalFormatting sqref="N124">
    <cfRule type="expression" dxfId="1217" priority="46">
      <formula>$B124&lt;$D124</formula>
    </cfRule>
  </conditionalFormatting>
  <conditionalFormatting sqref="N124">
    <cfRule type="expression" dxfId="1216" priority="45">
      <formula>$B124&gt;$D124</formula>
    </cfRule>
  </conditionalFormatting>
  <conditionalFormatting sqref="L125">
    <cfRule type="expression" dxfId="1215" priority="44">
      <formula>$B125&gt;$D125</formula>
    </cfRule>
  </conditionalFormatting>
  <conditionalFormatting sqref="L125">
    <cfRule type="expression" dxfId="1214" priority="43">
      <formula>$B125&lt;$D125</formula>
    </cfRule>
  </conditionalFormatting>
  <conditionalFormatting sqref="N125">
    <cfRule type="expression" dxfId="1213" priority="42">
      <formula>$B125&lt;$D125</formula>
    </cfRule>
  </conditionalFormatting>
  <conditionalFormatting sqref="N125">
    <cfRule type="expression" dxfId="1212" priority="41">
      <formula>$B125&gt;$D125</formula>
    </cfRule>
  </conditionalFormatting>
  <conditionalFormatting sqref="L126">
    <cfRule type="expression" dxfId="1211" priority="40">
      <formula>$B126&gt;$D126</formula>
    </cfRule>
  </conditionalFormatting>
  <conditionalFormatting sqref="L126">
    <cfRule type="expression" dxfId="1210" priority="39">
      <formula>$B126&lt;$D126</formula>
    </cfRule>
  </conditionalFormatting>
  <conditionalFormatting sqref="N126">
    <cfRule type="expression" dxfId="1209" priority="38">
      <formula>$B126&lt;$D126</formula>
    </cfRule>
  </conditionalFormatting>
  <conditionalFormatting sqref="N126">
    <cfRule type="expression" dxfId="1208" priority="37">
      <formula>$B126&gt;$D126</formula>
    </cfRule>
  </conditionalFormatting>
  <conditionalFormatting sqref="Q2">
    <cfRule type="expression" dxfId="1207" priority="35">
      <formula>$C2&lt;$E2</formula>
    </cfRule>
    <cfRule type="expression" dxfId="1206" priority="36">
      <formula>$C2&gt;$E2</formula>
    </cfRule>
  </conditionalFormatting>
  <conditionalFormatting sqref="S2">
    <cfRule type="expression" dxfId="1205" priority="33">
      <formula>$C2&gt;$E2</formula>
    </cfRule>
    <cfRule type="expression" dxfId="1204" priority="34">
      <formula>$C2&lt;$E2</formula>
    </cfRule>
  </conditionalFormatting>
  <conditionalFormatting sqref="Q3">
    <cfRule type="expression" dxfId="1203" priority="31">
      <formula>$C3&lt;$E3</formula>
    </cfRule>
    <cfRule type="expression" dxfId="1202" priority="32">
      <formula>$C3&gt;$E3</formula>
    </cfRule>
  </conditionalFormatting>
  <conditionalFormatting sqref="S3">
    <cfRule type="expression" dxfId="1201" priority="29">
      <formula>$C3&gt;$E3</formula>
    </cfRule>
    <cfRule type="expression" dxfId="1200" priority="30">
      <formula>$C3&lt;$E3</formula>
    </cfRule>
  </conditionalFormatting>
  <conditionalFormatting sqref="Q4">
    <cfRule type="expression" dxfId="1199" priority="27">
      <formula>$C4&lt;$E4</formula>
    </cfRule>
    <cfRule type="expression" dxfId="1198" priority="28">
      <formula>$C4&gt;$E4</formula>
    </cfRule>
  </conditionalFormatting>
  <conditionalFormatting sqref="S4">
    <cfRule type="expression" dxfId="1197" priority="25">
      <formula>$C4&gt;$E4</formula>
    </cfRule>
    <cfRule type="expression" dxfId="1196" priority="26">
      <formula>$C4&lt;$E4</formula>
    </cfRule>
  </conditionalFormatting>
  <conditionalFormatting sqref="Q6">
    <cfRule type="expression" dxfId="1195" priority="23">
      <formula>$C6&lt;$E6</formula>
    </cfRule>
    <cfRule type="expression" dxfId="1194" priority="24">
      <formula>$C6&gt;$E6</formula>
    </cfRule>
  </conditionalFormatting>
  <conditionalFormatting sqref="S6">
    <cfRule type="expression" dxfId="1193" priority="21">
      <formula>$C6&gt;$E6</formula>
    </cfRule>
    <cfRule type="expression" dxfId="1192" priority="22">
      <formula>$C6&lt;$E6</formula>
    </cfRule>
  </conditionalFormatting>
  <conditionalFormatting sqref="Q7">
    <cfRule type="expression" dxfId="1191" priority="19">
      <formula>$C7&lt;$E7</formula>
    </cfRule>
    <cfRule type="expression" dxfId="1190" priority="20">
      <formula>$C7&gt;$E7</formula>
    </cfRule>
  </conditionalFormatting>
  <conditionalFormatting sqref="S7">
    <cfRule type="expression" dxfId="1189" priority="17">
      <formula>$C7&gt;$E7</formula>
    </cfRule>
    <cfRule type="expression" dxfId="1188" priority="18">
      <formula>$C7&lt;$E7</formula>
    </cfRule>
  </conditionalFormatting>
  <conditionalFormatting sqref="Q8">
    <cfRule type="expression" dxfId="1187" priority="15">
      <formula>$C8&lt;$E8</formula>
    </cfRule>
    <cfRule type="expression" dxfId="1186" priority="16">
      <formula>$C8&gt;$E8</formula>
    </cfRule>
  </conditionalFormatting>
  <conditionalFormatting sqref="S8">
    <cfRule type="expression" dxfId="1185" priority="13">
      <formula>$C8&gt;$E8</formula>
    </cfRule>
    <cfRule type="expression" dxfId="1184" priority="14">
      <formula>$C8&lt;$E8</formula>
    </cfRule>
  </conditionalFormatting>
  <conditionalFormatting sqref="Q10">
    <cfRule type="expression" dxfId="1183" priority="11">
      <formula>$C10&lt;$E10</formula>
    </cfRule>
    <cfRule type="expression" dxfId="1182" priority="12">
      <formula>$C10&gt;$E10</formula>
    </cfRule>
  </conditionalFormatting>
  <conditionalFormatting sqref="S10">
    <cfRule type="expression" dxfId="1181" priority="9">
      <formula>$C10&gt;$E10</formula>
    </cfRule>
    <cfRule type="expression" dxfId="1180" priority="10">
      <formula>$C10&lt;$E10</formula>
    </cfRule>
  </conditionalFormatting>
  <conditionalFormatting sqref="Q11">
    <cfRule type="expression" dxfId="1179" priority="7">
      <formula>$C11&lt;$E11</formula>
    </cfRule>
    <cfRule type="expression" dxfId="1178" priority="8">
      <formula>$C11&gt;$E11</formula>
    </cfRule>
  </conditionalFormatting>
  <conditionalFormatting sqref="S11">
    <cfRule type="expression" dxfId="1177" priority="5">
      <formula>$C11&gt;$E11</formula>
    </cfRule>
    <cfRule type="expression" dxfId="1176" priority="6">
      <formula>$C11&lt;$E11</formula>
    </cfRule>
  </conditionalFormatting>
  <conditionalFormatting sqref="Q12">
    <cfRule type="expression" dxfId="1175" priority="3">
      <formula>$C12&lt;$E12</formula>
    </cfRule>
    <cfRule type="expression" dxfId="1174" priority="4">
      <formula>$C12&gt;$E12</formula>
    </cfRule>
  </conditionalFormatting>
  <conditionalFormatting sqref="S12">
    <cfRule type="expression" dxfId="1173" priority="1">
      <formula>$C12&gt;$E12</formula>
    </cfRule>
    <cfRule type="expression" dxfId="1172" priority="2">
      <formula>$C12&lt;$E12</formula>
    </cfRule>
  </conditionalFormatting>
  <dataValidations count="3">
    <dataValidation type="whole" allowBlank="1" showErrorMessage="1" errorTitle="ATTENTION" error="NOMBRE ENTIER UNIQUEMENT_x000a_COMPRIS ENTRE --&gt; 1 ET 16" sqref="J1:J1048576" xr:uid="{6E472A6E-16B4-4268-9B3E-3EB0B0581429}">
      <formula1>1</formula1>
      <formula2>16</formula2>
    </dataValidation>
    <dataValidation type="whole" operator="greaterThanOrEqual" allowBlank="1" showErrorMessage="1" errorTitle="ATTENTION" error="NOMBRE ENTIER UNIQUEMENT_x000a_MINIMUM --&gt; 0" sqref="L1:L1048576 N1:N1048576 Q1:Q1048576 S1:S1048576" xr:uid="{DFE09634-BB4A-47EF-A3BD-73A31E6FB1C6}">
      <formula1>0</formula1>
    </dataValidation>
    <dataValidation allowBlank="1" showInputMessage="1" sqref="C1:D11 C13:D14" xr:uid="{BED1EB9F-FEA4-4871-94A6-9866BDAF7B15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1D2CB-4F94-4C56-9C22-06E679205368}">
  <sheetPr codeName="Feuil30"/>
  <dimension ref="B1:C81"/>
  <sheetViews>
    <sheetView workbookViewId="0">
      <selection activeCell="G2" sqref="G2"/>
    </sheetView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3"/>
      <c r="C1" s="74" t="s">
        <v>98</v>
      </c>
    </row>
    <row r="2" spans="2:3" ht="15.75" x14ac:dyDescent="0.25">
      <c r="B2" s="148" t="s">
        <v>99</v>
      </c>
      <c r="C2" s="54" t="s">
        <v>44</v>
      </c>
    </row>
    <row r="3" spans="2:3" ht="15.75" x14ac:dyDescent="0.25">
      <c r="B3" s="149"/>
      <c r="C3" s="55" t="s">
        <v>45</v>
      </c>
    </row>
    <row r="4" spans="2:3" ht="15.75" x14ac:dyDescent="0.25">
      <c r="B4" s="149"/>
      <c r="C4" s="55" t="s">
        <v>46</v>
      </c>
    </row>
    <row r="5" spans="2:3" ht="15.75" x14ac:dyDescent="0.25">
      <c r="B5" s="149"/>
      <c r="C5" s="55" t="s">
        <v>100</v>
      </c>
    </row>
    <row r="6" spans="2:3" ht="16.5" thickBot="1" x14ac:dyDescent="0.3">
      <c r="B6" s="150"/>
      <c r="C6" s="56" t="s">
        <v>101</v>
      </c>
    </row>
    <row r="7" spans="2:3" ht="15.75" thickBot="1" x14ac:dyDescent="0.3">
      <c r="B7" s="73"/>
      <c r="C7" s="74" t="s">
        <v>98</v>
      </c>
    </row>
    <row r="8" spans="2:3" ht="15.75" x14ac:dyDescent="0.25">
      <c r="B8" s="151" t="s">
        <v>102</v>
      </c>
      <c r="C8" s="57" t="s">
        <v>47</v>
      </c>
    </row>
    <row r="9" spans="2:3" ht="15.75" x14ac:dyDescent="0.25">
      <c r="B9" s="152"/>
      <c r="C9" s="58" t="s">
        <v>48</v>
      </c>
    </row>
    <row r="10" spans="2:3" ht="15.75" x14ac:dyDescent="0.25">
      <c r="B10" s="152"/>
      <c r="C10" s="58" t="s">
        <v>49</v>
      </c>
    </row>
    <row r="11" spans="2:3" ht="15.75" x14ac:dyDescent="0.25">
      <c r="B11" s="152"/>
      <c r="C11" s="58" t="s">
        <v>103</v>
      </c>
    </row>
    <row r="12" spans="2:3" ht="16.5" thickBot="1" x14ac:dyDescent="0.3">
      <c r="B12" s="153"/>
      <c r="C12" s="59" t="s">
        <v>104</v>
      </c>
    </row>
    <row r="13" spans="2:3" ht="15.75" thickBot="1" x14ac:dyDescent="0.3">
      <c r="B13" s="73"/>
      <c r="C13" s="74" t="s">
        <v>98</v>
      </c>
    </row>
    <row r="14" spans="2:3" ht="15.75" x14ac:dyDescent="0.25">
      <c r="B14" s="154" t="s">
        <v>105</v>
      </c>
      <c r="C14" s="60" t="s">
        <v>106</v>
      </c>
    </row>
    <row r="15" spans="2:3" ht="15.75" x14ac:dyDescent="0.25">
      <c r="B15" s="155"/>
      <c r="C15" s="61" t="s">
        <v>107</v>
      </c>
    </row>
    <row r="16" spans="2:3" ht="15.75" x14ac:dyDescent="0.25">
      <c r="B16" s="155"/>
      <c r="C16" s="61" t="s">
        <v>108</v>
      </c>
    </row>
    <row r="17" spans="2:3" ht="15.75" x14ac:dyDescent="0.25">
      <c r="B17" s="155"/>
      <c r="C17" s="61" t="s">
        <v>109</v>
      </c>
    </row>
    <row r="18" spans="2:3" ht="16.5" thickBot="1" x14ac:dyDescent="0.3">
      <c r="B18" s="156"/>
      <c r="C18" s="62" t="s">
        <v>110</v>
      </c>
    </row>
    <row r="19" spans="2:3" ht="15.75" thickBot="1" x14ac:dyDescent="0.3">
      <c r="B19" s="73"/>
      <c r="C19" s="74" t="s">
        <v>98</v>
      </c>
    </row>
    <row r="20" spans="2:3" ht="15.75" x14ac:dyDescent="0.25">
      <c r="B20" s="157" t="s">
        <v>111</v>
      </c>
      <c r="C20" s="63" t="s">
        <v>112</v>
      </c>
    </row>
    <row r="21" spans="2:3" ht="15.75" x14ac:dyDescent="0.25">
      <c r="B21" s="158"/>
      <c r="C21" s="64" t="s">
        <v>113</v>
      </c>
    </row>
    <row r="22" spans="2:3" ht="15.75" x14ac:dyDescent="0.25">
      <c r="B22" s="158"/>
      <c r="C22" s="64" t="s">
        <v>114</v>
      </c>
    </row>
    <row r="23" spans="2:3" ht="15.75" x14ac:dyDescent="0.25">
      <c r="B23" s="158"/>
      <c r="C23" s="64" t="s">
        <v>115</v>
      </c>
    </row>
    <row r="24" spans="2:3" ht="16.5" thickBot="1" x14ac:dyDescent="0.3">
      <c r="B24" s="159"/>
      <c r="C24" s="65" t="s">
        <v>116</v>
      </c>
    </row>
    <row r="25" spans="2:3" ht="15.75" thickBot="1" x14ac:dyDescent="0.3">
      <c r="B25" s="73"/>
      <c r="C25" s="74" t="s">
        <v>98</v>
      </c>
    </row>
    <row r="26" spans="2:3" ht="15.75" x14ac:dyDescent="0.25">
      <c r="B26" s="160" t="s">
        <v>117</v>
      </c>
      <c r="C26" s="75" t="s">
        <v>118</v>
      </c>
    </row>
    <row r="27" spans="2:3" ht="15.75" x14ac:dyDescent="0.25">
      <c r="B27" s="161"/>
      <c r="C27" s="76" t="s">
        <v>119</v>
      </c>
    </row>
    <row r="28" spans="2:3" ht="15.75" x14ac:dyDescent="0.25">
      <c r="B28" s="161"/>
      <c r="C28" s="76" t="s">
        <v>120</v>
      </c>
    </row>
    <row r="29" spans="2:3" ht="15.75" x14ac:dyDescent="0.25">
      <c r="B29" s="161"/>
      <c r="C29" s="76" t="s">
        <v>121</v>
      </c>
    </row>
    <row r="30" spans="2:3" ht="16.5" thickBot="1" x14ac:dyDescent="0.3">
      <c r="B30" s="162"/>
      <c r="C30" s="77" t="s">
        <v>122</v>
      </c>
    </row>
    <row r="31" spans="2:3" ht="15.75" thickBot="1" x14ac:dyDescent="0.3">
      <c r="B31" s="73"/>
      <c r="C31" s="74" t="s">
        <v>98</v>
      </c>
    </row>
    <row r="32" spans="2:3" ht="15.75" x14ac:dyDescent="0.25">
      <c r="B32" s="148" t="s">
        <v>123</v>
      </c>
      <c r="C32" s="54" t="s">
        <v>124</v>
      </c>
    </row>
    <row r="33" spans="2:3" ht="15.75" x14ac:dyDescent="0.25">
      <c r="B33" s="149"/>
      <c r="C33" s="55" t="s">
        <v>125</v>
      </c>
    </row>
    <row r="34" spans="2:3" ht="15.75" x14ac:dyDescent="0.25">
      <c r="B34" s="149"/>
      <c r="C34" s="55" t="s">
        <v>126</v>
      </c>
    </row>
    <row r="35" spans="2:3" ht="15.75" x14ac:dyDescent="0.25">
      <c r="B35" s="149"/>
      <c r="C35" s="55" t="s">
        <v>127</v>
      </c>
    </row>
    <row r="36" spans="2:3" ht="16.5" thickBot="1" x14ac:dyDescent="0.3">
      <c r="B36" s="150"/>
      <c r="C36" s="56" t="s">
        <v>128</v>
      </c>
    </row>
    <row r="37" spans="2:3" ht="15.75" thickBot="1" x14ac:dyDescent="0.3">
      <c r="B37" s="73"/>
      <c r="C37" s="74" t="s">
        <v>98</v>
      </c>
    </row>
    <row r="38" spans="2:3" ht="15.75" x14ac:dyDescent="0.25">
      <c r="B38" s="151" t="s">
        <v>129</v>
      </c>
      <c r="C38" s="57" t="s">
        <v>130</v>
      </c>
    </row>
    <row r="39" spans="2:3" ht="15.75" x14ac:dyDescent="0.25">
      <c r="B39" s="152"/>
      <c r="C39" s="58" t="s">
        <v>131</v>
      </c>
    </row>
    <row r="40" spans="2:3" ht="15.75" x14ac:dyDescent="0.25">
      <c r="B40" s="152"/>
      <c r="C40" s="58" t="s">
        <v>132</v>
      </c>
    </row>
    <row r="41" spans="2:3" ht="15.75" x14ac:dyDescent="0.25">
      <c r="B41" s="152"/>
      <c r="C41" s="58" t="s">
        <v>133</v>
      </c>
    </row>
    <row r="42" spans="2:3" ht="16.5" thickBot="1" x14ac:dyDescent="0.3">
      <c r="B42" s="153"/>
      <c r="C42" s="59" t="s">
        <v>134</v>
      </c>
    </row>
    <row r="43" spans="2:3" ht="15.75" thickBot="1" x14ac:dyDescent="0.3">
      <c r="B43" s="73"/>
      <c r="C43" s="74" t="s">
        <v>135</v>
      </c>
    </row>
    <row r="44" spans="2:3" ht="15.75" x14ac:dyDescent="0.25">
      <c r="B44" s="154" t="s">
        <v>136</v>
      </c>
      <c r="C44" s="60" t="s">
        <v>137</v>
      </c>
    </row>
    <row r="45" spans="2:3" ht="15.75" x14ac:dyDescent="0.25">
      <c r="B45" s="155"/>
      <c r="C45" s="61" t="s">
        <v>138</v>
      </c>
    </row>
    <row r="46" spans="2:3" ht="15.75" x14ac:dyDescent="0.25">
      <c r="B46" s="155"/>
      <c r="C46" s="61" t="s">
        <v>139</v>
      </c>
    </row>
    <row r="47" spans="2:3" ht="15.75" x14ac:dyDescent="0.25">
      <c r="B47" s="155"/>
      <c r="C47" s="61" t="s">
        <v>140</v>
      </c>
    </row>
    <row r="48" spans="2:3" ht="16.5" thickBot="1" x14ac:dyDescent="0.3">
      <c r="B48" s="156"/>
      <c r="C48" s="62" t="s">
        <v>141</v>
      </c>
    </row>
    <row r="49" spans="2:3" ht="15.75" thickBot="1" x14ac:dyDescent="0.3">
      <c r="B49" s="73"/>
      <c r="C49" s="74" t="s">
        <v>135</v>
      </c>
    </row>
    <row r="50" spans="2:3" ht="15.75" x14ac:dyDescent="0.25">
      <c r="B50" s="157" t="s">
        <v>142</v>
      </c>
      <c r="C50" s="63" t="s">
        <v>143</v>
      </c>
    </row>
    <row r="51" spans="2:3" ht="15.75" x14ac:dyDescent="0.25">
      <c r="B51" s="158"/>
      <c r="C51" s="64" t="s">
        <v>144</v>
      </c>
    </row>
    <row r="52" spans="2:3" ht="15.75" x14ac:dyDescent="0.25">
      <c r="B52" s="158"/>
      <c r="C52" s="64" t="s">
        <v>145</v>
      </c>
    </row>
    <row r="53" spans="2:3" ht="15.75" x14ac:dyDescent="0.25">
      <c r="B53" s="158"/>
      <c r="C53" s="64" t="s">
        <v>146</v>
      </c>
    </row>
    <row r="54" spans="2:3" ht="16.5" thickBot="1" x14ac:dyDescent="0.3">
      <c r="B54" s="159"/>
      <c r="C54" s="65" t="s">
        <v>147</v>
      </c>
    </row>
    <row r="55" spans="2:3" ht="15.75" thickBot="1" x14ac:dyDescent="0.3">
      <c r="B55" s="73"/>
      <c r="C55" s="74" t="s">
        <v>135</v>
      </c>
    </row>
    <row r="56" spans="2:3" ht="15.75" x14ac:dyDescent="0.25">
      <c r="B56" s="160" t="s">
        <v>148</v>
      </c>
      <c r="C56" s="75" t="s">
        <v>149</v>
      </c>
    </row>
    <row r="57" spans="2:3" ht="15.75" x14ac:dyDescent="0.25">
      <c r="B57" s="161"/>
      <c r="C57" s="76" t="s">
        <v>150</v>
      </c>
    </row>
    <row r="58" spans="2:3" ht="15.75" x14ac:dyDescent="0.25">
      <c r="B58" s="161"/>
      <c r="C58" s="76" t="s">
        <v>151</v>
      </c>
    </row>
    <row r="59" spans="2:3" ht="15.75" x14ac:dyDescent="0.25">
      <c r="B59" s="161"/>
      <c r="C59" s="76" t="s">
        <v>152</v>
      </c>
    </row>
    <row r="60" spans="2:3" ht="16.5" thickBot="1" x14ac:dyDescent="0.3">
      <c r="B60" s="162"/>
      <c r="C60" s="77" t="s">
        <v>153</v>
      </c>
    </row>
    <row r="61" spans="2:3" ht="15.75" thickBot="1" x14ac:dyDescent="0.3">
      <c r="B61" s="73"/>
      <c r="C61" s="74" t="s">
        <v>154</v>
      </c>
    </row>
    <row r="62" spans="2:3" ht="15.75" x14ac:dyDescent="0.25">
      <c r="B62" s="166" t="s">
        <v>155</v>
      </c>
      <c r="C62" s="54" t="s">
        <v>156</v>
      </c>
    </row>
    <row r="63" spans="2:3" ht="15.75" x14ac:dyDescent="0.25">
      <c r="B63" s="167"/>
      <c r="C63" s="55" t="s">
        <v>157</v>
      </c>
    </row>
    <row r="64" spans="2:3" ht="15.75" x14ac:dyDescent="0.25">
      <c r="B64" s="167"/>
      <c r="C64" s="55" t="s">
        <v>158</v>
      </c>
    </row>
    <row r="65" spans="2:3" ht="15.75" x14ac:dyDescent="0.25">
      <c r="B65" s="167"/>
      <c r="C65" s="55" t="s">
        <v>159</v>
      </c>
    </row>
    <row r="66" spans="2:3" ht="15.75" x14ac:dyDescent="0.25">
      <c r="B66" s="167"/>
      <c r="C66" s="55" t="s">
        <v>160</v>
      </c>
    </row>
    <row r="67" spans="2:3" ht="15.75" x14ac:dyDescent="0.25">
      <c r="B67" s="167"/>
      <c r="C67" s="55" t="s">
        <v>161</v>
      </c>
    </row>
    <row r="68" spans="2:3" ht="16.5" thickBot="1" x14ac:dyDescent="0.3">
      <c r="B68" s="168"/>
      <c r="C68" s="56" t="s">
        <v>162</v>
      </c>
    </row>
    <row r="69" spans="2:3" ht="15.75" thickBot="1" x14ac:dyDescent="0.3">
      <c r="B69" s="73"/>
      <c r="C69" s="74" t="s">
        <v>154</v>
      </c>
    </row>
    <row r="70" spans="2:3" ht="15.75" x14ac:dyDescent="0.25">
      <c r="B70" s="169" t="s">
        <v>163</v>
      </c>
      <c r="C70" s="57" t="s">
        <v>164</v>
      </c>
    </row>
    <row r="71" spans="2:3" ht="15.75" x14ac:dyDescent="0.25">
      <c r="B71" s="170"/>
      <c r="C71" s="58" t="s">
        <v>165</v>
      </c>
    </row>
    <row r="72" spans="2:3" ht="15.75" x14ac:dyDescent="0.25">
      <c r="B72" s="170"/>
      <c r="C72" s="58" t="s">
        <v>166</v>
      </c>
    </row>
    <row r="73" spans="2:3" ht="15.75" x14ac:dyDescent="0.25">
      <c r="B73" s="170"/>
      <c r="C73" s="58" t="s">
        <v>167</v>
      </c>
    </row>
    <row r="74" spans="2:3" ht="15.75" x14ac:dyDescent="0.25">
      <c r="B74" s="170"/>
      <c r="C74" s="58" t="s">
        <v>168</v>
      </c>
    </row>
    <row r="75" spans="2:3" ht="16.5" thickBot="1" x14ac:dyDescent="0.3">
      <c r="B75" s="171"/>
      <c r="C75" s="59" t="s">
        <v>169</v>
      </c>
    </row>
    <row r="76" spans="2:3" ht="15.75" thickBot="1" x14ac:dyDescent="0.3">
      <c r="B76" s="93"/>
      <c r="C76" s="94" t="s">
        <v>170</v>
      </c>
    </row>
    <row r="77" spans="2:3" ht="15.75" customHeight="1" x14ac:dyDescent="0.25">
      <c r="B77" s="163" t="s">
        <v>171</v>
      </c>
      <c r="C77" s="95" t="s">
        <v>172</v>
      </c>
    </row>
    <row r="78" spans="2:3" ht="15.75" customHeight="1" x14ac:dyDescent="0.25">
      <c r="B78" s="164"/>
      <c r="C78" s="96" t="s">
        <v>173</v>
      </c>
    </row>
    <row r="79" spans="2:3" ht="15.75" customHeight="1" x14ac:dyDescent="0.25">
      <c r="B79" s="164"/>
      <c r="C79" s="96" t="s">
        <v>174</v>
      </c>
    </row>
    <row r="80" spans="2:3" ht="15.75" customHeight="1" x14ac:dyDescent="0.25">
      <c r="B80" s="164"/>
      <c r="C80" s="96" t="s">
        <v>175</v>
      </c>
    </row>
    <row r="81" spans="2:3" ht="16.5" customHeight="1" thickBot="1" x14ac:dyDescent="0.3">
      <c r="B81" s="165"/>
      <c r="C81" s="97" t="s">
        <v>176</v>
      </c>
    </row>
  </sheetData>
  <mergeCells count="13">
    <mergeCell ref="B77:B81"/>
    <mergeCell ref="B38:B42"/>
    <mergeCell ref="B44:B48"/>
    <mergeCell ref="B50:B54"/>
    <mergeCell ref="B56:B60"/>
    <mergeCell ref="B62:B68"/>
    <mergeCell ref="B70:B75"/>
    <mergeCell ref="B32:B36"/>
    <mergeCell ref="B2:B6"/>
    <mergeCell ref="B8:B12"/>
    <mergeCell ref="B14:B18"/>
    <mergeCell ref="B20:B24"/>
    <mergeCell ref="B26:B30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4PPinscript">
              <controlPr defaultSize="0" print="0" autoFill="0" autoPict="0" macro="[0]!'copyimage &quot;B2:C81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03F72-5DD8-44A9-86C0-654BF352F7F5}">
  <sheetPr codeName="Feuil14"/>
  <dimension ref="B1:C11"/>
  <sheetViews>
    <sheetView workbookViewId="0"/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4"/>
      <c r="C1" s="74" t="s">
        <v>170</v>
      </c>
    </row>
    <row r="2" spans="2:3" ht="15.75" x14ac:dyDescent="0.25">
      <c r="B2" s="172" t="s">
        <v>171</v>
      </c>
      <c r="C2" s="60" t="s">
        <v>172</v>
      </c>
    </row>
    <row r="3" spans="2:3" ht="15.75" x14ac:dyDescent="0.25">
      <c r="B3" s="173"/>
      <c r="C3" s="61" t="s">
        <v>173</v>
      </c>
    </row>
    <row r="4" spans="2:3" ht="15.75" x14ac:dyDescent="0.25">
      <c r="B4" s="173"/>
      <c r="C4" s="61" t="s">
        <v>174</v>
      </c>
    </row>
    <row r="5" spans="2:3" ht="15.75" x14ac:dyDescent="0.25">
      <c r="B5" s="173"/>
      <c r="C5" s="61" t="s">
        <v>175</v>
      </c>
    </row>
    <row r="6" spans="2:3" ht="15.75" x14ac:dyDescent="0.25">
      <c r="B6" s="173"/>
      <c r="C6" s="61" t="s">
        <v>176</v>
      </c>
    </row>
    <row r="7" spans="2:3" ht="15.75" x14ac:dyDescent="0.25">
      <c r="B7" s="173"/>
      <c r="C7" s="61" t="s">
        <v>177</v>
      </c>
    </row>
    <row r="8" spans="2:3" ht="15.75" x14ac:dyDescent="0.25">
      <c r="B8" s="173"/>
      <c r="C8" s="61" t="s">
        <v>178</v>
      </c>
    </row>
    <row r="9" spans="2:3" ht="15.75" x14ac:dyDescent="0.25">
      <c r="B9" s="173"/>
      <c r="C9" s="61" t="s">
        <v>179</v>
      </c>
    </row>
    <row r="10" spans="2:3" ht="15.75" x14ac:dyDescent="0.25">
      <c r="B10" s="173"/>
      <c r="C10" s="61" t="s">
        <v>180</v>
      </c>
    </row>
    <row r="11" spans="2:3" ht="16.5" thickBot="1" x14ac:dyDescent="0.3">
      <c r="B11" s="174"/>
      <c r="C11" s="62" t="s">
        <v>181</v>
      </c>
    </row>
  </sheetData>
  <mergeCells count="1">
    <mergeCell ref="B2:B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4PPinscript">
              <controlPr defaultSize="0" print="0" autoFill="0" autoPict="0" macro="[0]!'copyimage &quot;B2:C11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890BB-E50E-4F64-8AA9-2EB0EBDD3F47}">
  <sheetPr codeName="Feuil31"/>
  <dimension ref="A1:G1451"/>
  <sheetViews>
    <sheetView topLeftCell="B1" workbookViewId="0">
      <selection activeCell="F5" sqref="F5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22.85546875" style="47" customWidth="1"/>
    <col min="5" max="5" width="6" style="69" customWidth="1"/>
    <col min="6" max="6" width="43.5703125" style="47" customWidth="1"/>
    <col min="7" max="7" width="6" style="47" hidden="1" customWidth="1"/>
    <col min="8" max="16384" width="11.42578125" style="47"/>
  </cols>
  <sheetData>
    <row r="1" spans="1:7" x14ac:dyDescent="0.25">
      <c r="A1" s="78"/>
      <c r="B1" s="78"/>
      <c r="C1" s="67"/>
      <c r="D1" s="72">
        <v>0.39583333333333331</v>
      </c>
      <c r="E1" s="67"/>
      <c r="F1" s="78"/>
      <c r="G1" s="78"/>
    </row>
    <row r="2" spans="1:7" x14ac:dyDescent="0.25">
      <c r="A2" s="79" t="s">
        <v>44</v>
      </c>
      <c r="B2" s="79" t="str">
        <f>INSCRIPTS!C2</f>
        <v>1A</v>
      </c>
      <c r="C2" s="71"/>
      <c r="D2" s="66" t="s">
        <v>186</v>
      </c>
      <c r="E2" s="71"/>
      <c r="F2" s="79" t="str">
        <f>INSCRIPTS!C3</f>
        <v>2A</v>
      </c>
      <c r="G2" s="79" t="s">
        <v>45</v>
      </c>
    </row>
    <row r="3" spans="1:7" x14ac:dyDescent="0.25">
      <c r="A3" s="79" t="s">
        <v>46</v>
      </c>
      <c r="B3" s="79" t="str">
        <f>INSCRIPTS!C4</f>
        <v>3A</v>
      </c>
      <c r="C3" s="71"/>
      <c r="D3" s="66" t="s">
        <v>187</v>
      </c>
      <c r="E3" s="71"/>
      <c r="F3" s="79" t="str">
        <f>INSCRIPTS!C5</f>
        <v>4A</v>
      </c>
      <c r="G3" s="79" t="s">
        <v>100</v>
      </c>
    </row>
    <row r="4" spans="1:7" x14ac:dyDescent="0.25">
      <c r="A4" s="80" t="s">
        <v>47</v>
      </c>
      <c r="B4" s="80" t="str">
        <f>INSCRIPTS!C8</f>
        <v>1B</v>
      </c>
      <c r="C4" s="71"/>
      <c r="D4" s="66" t="s">
        <v>188</v>
      </c>
      <c r="E4" s="71"/>
      <c r="F4" s="80" t="str">
        <f>INSCRIPTS!C9</f>
        <v>2B</v>
      </c>
      <c r="G4" s="80" t="s">
        <v>48</v>
      </c>
    </row>
    <row r="5" spans="1:7" x14ac:dyDescent="0.25">
      <c r="A5" s="80" t="s">
        <v>49</v>
      </c>
      <c r="B5" s="80" t="str">
        <f>INSCRIPTS!C10</f>
        <v>3B</v>
      </c>
      <c r="C5" s="71"/>
      <c r="D5" s="66" t="s">
        <v>189</v>
      </c>
      <c r="E5" s="71"/>
      <c r="F5" s="80" t="str">
        <f>INSCRIPTS!C11</f>
        <v>4B</v>
      </c>
      <c r="G5" s="80" t="s">
        <v>103</v>
      </c>
    </row>
    <row r="6" spans="1:7" x14ac:dyDescent="0.25">
      <c r="A6" s="81" t="s">
        <v>106</v>
      </c>
      <c r="B6" s="81" t="str">
        <f>INSCRIPTS!C14</f>
        <v>1C</v>
      </c>
      <c r="C6" s="71"/>
      <c r="D6" s="66" t="s">
        <v>190</v>
      </c>
      <c r="E6" s="71"/>
      <c r="F6" s="81" t="str">
        <f>INSCRIPTS!C15</f>
        <v>2C</v>
      </c>
      <c r="G6" s="81" t="s">
        <v>107</v>
      </c>
    </row>
    <row r="7" spans="1:7" x14ac:dyDescent="0.25">
      <c r="A7" s="81" t="s">
        <v>108</v>
      </c>
      <c r="B7" s="81" t="str">
        <f>INSCRIPTS!C16</f>
        <v>3C</v>
      </c>
      <c r="C7" s="71"/>
      <c r="D7" s="66" t="s">
        <v>191</v>
      </c>
      <c r="E7" s="71"/>
      <c r="F7" s="81" t="str">
        <f>INSCRIPTS!C17</f>
        <v>4C</v>
      </c>
      <c r="G7" s="81" t="s">
        <v>109</v>
      </c>
    </row>
    <row r="8" spans="1:7" x14ac:dyDescent="0.25">
      <c r="A8" s="82" t="s">
        <v>112</v>
      </c>
      <c r="B8" s="82" t="str">
        <f>INSCRIPTS!C20</f>
        <v>1D</v>
      </c>
      <c r="C8" s="71"/>
      <c r="D8" s="66" t="s">
        <v>192</v>
      </c>
      <c r="E8" s="71"/>
      <c r="F8" s="82" t="str">
        <f>INSCRIPTS!C21</f>
        <v>2D</v>
      </c>
      <c r="G8" s="82" t="s">
        <v>113</v>
      </c>
    </row>
    <row r="9" spans="1:7" x14ac:dyDescent="0.25">
      <c r="A9" s="82" t="s">
        <v>114</v>
      </c>
      <c r="B9" s="82" t="str">
        <f>INSCRIPTS!C22</f>
        <v>3D</v>
      </c>
      <c r="C9" s="71"/>
      <c r="D9" s="66" t="s">
        <v>193</v>
      </c>
      <c r="E9" s="71"/>
      <c r="F9" s="82" t="str">
        <f>INSCRIPTS!C23</f>
        <v>4D</v>
      </c>
      <c r="G9" s="82" t="s">
        <v>115</v>
      </c>
    </row>
    <row r="10" spans="1:7" x14ac:dyDescent="0.25">
      <c r="A10" s="83" t="s">
        <v>118</v>
      </c>
      <c r="B10" s="83" t="str">
        <f>INSCRIPTS!C26</f>
        <v>1E</v>
      </c>
      <c r="C10" s="71"/>
      <c r="D10" s="66" t="s">
        <v>194</v>
      </c>
      <c r="E10" s="71"/>
      <c r="F10" s="83" t="str">
        <f>INSCRIPTS!C27</f>
        <v>2E</v>
      </c>
      <c r="G10" s="83" t="s">
        <v>119</v>
      </c>
    </row>
    <row r="11" spans="1:7" x14ac:dyDescent="0.25">
      <c r="A11" s="78"/>
      <c r="B11" s="78"/>
      <c r="C11" s="67"/>
      <c r="D11" s="72">
        <f>0.395833333333333 + "00:12:00"</f>
        <v>0.40416666666666634</v>
      </c>
      <c r="E11" s="67"/>
      <c r="F11" s="78"/>
      <c r="G11" s="78"/>
    </row>
    <row r="12" spans="1:7" x14ac:dyDescent="0.25">
      <c r="A12" s="83" t="s">
        <v>120</v>
      </c>
      <c r="B12" s="83" t="str">
        <f>INSCRIPTS!C28</f>
        <v>3E</v>
      </c>
      <c r="C12" s="71"/>
      <c r="D12" s="66" t="s">
        <v>186</v>
      </c>
      <c r="E12" s="71"/>
      <c r="F12" s="83" t="str">
        <f>INSCRIPTS!C29</f>
        <v>4E</v>
      </c>
      <c r="G12" s="83" t="s">
        <v>121</v>
      </c>
    </row>
    <row r="13" spans="1:7" x14ac:dyDescent="0.25">
      <c r="A13" s="79" t="s">
        <v>124</v>
      </c>
      <c r="B13" s="79" t="str">
        <f>INSCRIPTS!C32</f>
        <v>1F</v>
      </c>
      <c r="C13" s="71"/>
      <c r="D13" s="66" t="s">
        <v>187</v>
      </c>
      <c r="E13" s="71"/>
      <c r="F13" s="79" t="str">
        <f>INSCRIPTS!C33</f>
        <v>2F</v>
      </c>
      <c r="G13" s="79" t="s">
        <v>125</v>
      </c>
    </row>
    <row r="14" spans="1:7" x14ac:dyDescent="0.25">
      <c r="A14" s="79" t="s">
        <v>126</v>
      </c>
      <c r="B14" s="79" t="str">
        <f>INSCRIPTS!C34</f>
        <v>3F</v>
      </c>
      <c r="C14" s="71"/>
      <c r="D14" s="66" t="s">
        <v>188</v>
      </c>
      <c r="E14" s="71"/>
      <c r="F14" s="79" t="str">
        <f>INSCRIPTS!C35</f>
        <v>4F</v>
      </c>
      <c r="G14" s="79" t="s">
        <v>127</v>
      </c>
    </row>
    <row r="15" spans="1:7" x14ac:dyDescent="0.25">
      <c r="A15" s="80" t="s">
        <v>130</v>
      </c>
      <c r="B15" s="80" t="str">
        <f>INSCRIPTS!C38</f>
        <v>1G</v>
      </c>
      <c r="C15" s="71"/>
      <c r="D15" s="66" t="s">
        <v>189</v>
      </c>
      <c r="E15" s="71"/>
      <c r="F15" s="80" t="str">
        <f>INSCRIPTS!C39</f>
        <v>2G</v>
      </c>
      <c r="G15" s="80" t="s">
        <v>131</v>
      </c>
    </row>
    <row r="16" spans="1:7" x14ac:dyDescent="0.25">
      <c r="A16" s="80" t="s">
        <v>132</v>
      </c>
      <c r="B16" s="80" t="str">
        <f>INSCRIPTS!C40</f>
        <v>3G</v>
      </c>
      <c r="C16" s="71"/>
      <c r="D16" s="66" t="s">
        <v>190</v>
      </c>
      <c r="E16" s="71"/>
      <c r="F16" s="80" t="str">
        <f>INSCRIPTS!C41</f>
        <v>4G</v>
      </c>
      <c r="G16" s="80" t="s">
        <v>133</v>
      </c>
    </row>
    <row r="17" spans="1:7" x14ac:dyDescent="0.25">
      <c r="A17" s="81" t="s">
        <v>137</v>
      </c>
      <c r="B17" s="81" t="str">
        <f>INSCRIPTS!C44</f>
        <v>1H</v>
      </c>
      <c r="C17" s="71"/>
      <c r="D17" s="66" t="s">
        <v>195</v>
      </c>
      <c r="E17" s="71"/>
      <c r="F17" s="81" t="str">
        <f>INSCRIPTS!C45</f>
        <v>2H</v>
      </c>
      <c r="G17" s="81" t="s">
        <v>138</v>
      </c>
    </row>
    <row r="18" spans="1:7" x14ac:dyDescent="0.25">
      <c r="A18" s="81" t="s">
        <v>139</v>
      </c>
      <c r="B18" s="81" t="str">
        <f>INSCRIPTS!C46</f>
        <v>3H</v>
      </c>
      <c r="C18" s="71"/>
      <c r="D18" s="66" t="s">
        <v>196</v>
      </c>
      <c r="E18" s="71"/>
      <c r="F18" s="81" t="str">
        <f>INSCRIPTS!C47</f>
        <v>4H</v>
      </c>
      <c r="G18" s="81" t="s">
        <v>140</v>
      </c>
    </row>
    <row r="19" spans="1:7" x14ac:dyDescent="0.25">
      <c r="A19" s="82" t="s">
        <v>143</v>
      </c>
      <c r="B19" s="82" t="str">
        <f>INSCRIPTS!C50</f>
        <v>1I</v>
      </c>
      <c r="C19" s="71"/>
      <c r="D19" s="66" t="s">
        <v>197</v>
      </c>
      <c r="E19" s="71"/>
      <c r="F19" s="82" t="str">
        <f>INSCRIPTS!C51</f>
        <v>2I</v>
      </c>
      <c r="G19" s="82" t="s">
        <v>144</v>
      </c>
    </row>
    <row r="20" spans="1:7" x14ac:dyDescent="0.25">
      <c r="A20" s="82" t="s">
        <v>145</v>
      </c>
      <c r="B20" s="82" t="str">
        <f>INSCRIPTS!C52</f>
        <v>3I</v>
      </c>
      <c r="C20" s="71"/>
      <c r="D20" s="66" t="s">
        <v>198</v>
      </c>
      <c r="E20" s="71"/>
      <c r="F20" s="82" t="str">
        <f>INSCRIPTS!C53</f>
        <v>4I</v>
      </c>
      <c r="G20" s="82" t="s">
        <v>146</v>
      </c>
    </row>
    <row r="21" spans="1:7" x14ac:dyDescent="0.25">
      <c r="A21" s="78"/>
      <c r="B21" s="78"/>
      <c r="C21" s="67"/>
      <c r="D21" s="72">
        <f>0.404166666666666 + "00:12:00"</f>
        <v>0.41249999999999937</v>
      </c>
      <c r="E21" s="67"/>
      <c r="F21" s="78"/>
      <c r="G21" s="78"/>
    </row>
    <row r="22" spans="1:7" x14ac:dyDescent="0.25">
      <c r="A22" s="83" t="s">
        <v>149</v>
      </c>
      <c r="B22" s="83" t="str">
        <f>INSCRIPTS!C56</f>
        <v>1J</v>
      </c>
      <c r="C22" s="71"/>
      <c r="D22" s="66" t="s">
        <v>199</v>
      </c>
      <c r="E22" s="71"/>
      <c r="F22" s="83" t="str">
        <f>INSCRIPTS!C57</f>
        <v>2J</v>
      </c>
      <c r="G22" s="83" t="s">
        <v>150</v>
      </c>
    </row>
    <row r="23" spans="1:7" x14ac:dyDescent="0.25">
      <c r="A23" s="83" t="s">
        <v>151</v>
      </c>
      <c r="B23" s="83" t="str">
        <f>INSCRIPTS!C58</f>
        <v>3J</v>
      </c>
      <c r="C23" s="71"/>
      <c r="D23" s="66" t="s">
        <v>200</v>
      </c>
      <c r="E23" s="71"/>
      <c r="F23" s="83" t="str">
        <f>INSCRIPTS!C59</f>
        <v>4J</v>
      </c>
      <c r="G23" s="83" t="s">
        <v>152</v>
      </c>
    </row>
    <row r="24" spans="1:7" x14ac:dyDescent="0.25">
      <c r="A24" s="79" t="s">
        <v>156</v>
      </c>
      <c r="B24" s="79" t="str">
        <f>INSCRIPTS!C62</f>
        <v>1K</v>
      </c>
      <c r="C24" s="71"/>
      <c r="D24" s="66" t="s">
        <v>201</v>
      </c>
      <c r="E24" s="71"/>
      <c r="F24" s="79" t="str">
        <f>INSCRIPTS!C63</f>
        <v>2K</v>
      </c>
      <c r="G24" s="79" t="s">
        <v>157</v>
      </c>
    </row>
    <row r="25" spans="1:7" x14ac:dyDescent="0.25">
      <c r="A25" s="79" t="s">
        <v>158</v>
      </c>
      <c r="B25" s="79" t="str">
        <f>INSCRIPTS!C64</f>
        <v>3K</v>
      </c>
      <c r="C25" s="71"/>
      <c r="D25" s="66" t="s">
        <v>202</v>
      </c>
      <c r="E25" s="71"/>
      <c r="F25" s="79" t="str">
        <f>INSCRIPTS!C65</f>
        <v>4K</v>
      </c>
      <c r="G25" s="79" t="s">
        <v>159</v>
      </c>
    </row>
    <row r="26" spans="1:7" x14ac:dyDescent="0.25">
      <c r="A26" s="79" t="s">
        <v>160</v>
      </c>
      <c r="B26" s="79" t="str">
        <f>INSCRIPTS!C66</f>
        <v>5K</v>
      </c>
      <c r="C26" s="71"/>
      <c r="D26" s="66" t="s">
        <v>203</v>
      </c>
      <c r="E26" s="71"/>
      <c r="F26" s="79" t="str">
        <f>INSCRIPTS!C67</f>
        <v>6K</v>
      </c>
      <c r="G26" s="79" t="s">
        <v>161</v>
      </c>
    </row>
    <row r="27" spans="1:7" x14ac:dyDescent="0.25">
      <c r="A27" s="80" t="s">
        <v>164</v>
      </c>
      <c r="B27" s="80" t="str">
        <f>INSCRIPTS!C70</f>
        <v>1L</v>
      </c>
      <c r="C27" s="71"/>
      <c r="D27" s="66" t="s">
        <v>204</v>
      </c>
      <c r="E27" s="71"/>
      <c r="F27" s="80" t="str">
        <f>INSCRIPTS!C71</f>
        <v>2L</v>
      </c>
      <c r="G27" s="80" t="s">
        <v>165</v>
      </c>
    </row>
    <row r="28" spans="1:7" x14ac:dyDescent="0.25">
      <c r="A28" s="80" t="s">
        <v>166</v>
      </c>
      <c r="B28" s="80" t="str">
        <f>INSCRIPTS!C72</f>
        <v>3L</v>
      </c>
      <c r="C28" s="71"/>
      <c r="D28" s="66" t="s">
        <v>205</v>
      </c>
      <c r="E28" s="71"/>
      <c r="F28" s="80" t="str">
        <f>INSCRIPTS!C73</f>
        <v>4L</v>
      </c>
      <c r="G28" s="80" t="s">
        <v>167</v>
      </c>
    </row>
    <row r="29" spans="1:7" x14ac:dyDescent="0.25">
      <c r="A29" s="80" t="s">
        <v>168</v>
      </c>
      <c r="B29" s="80" t="str">
        <f>INSCRIPTS!C74</f>
        <v>5L</v>
      </c>
      <c r="C29" s="71"/>
      <c r="D29" s="66" t="s">
        <v>206</v>
      </c>
      <c r="E29" s="71"/>
      <c r="F29" s="80" t="str">
        <f>INSCRIPTS!C75</f>
        <v>6L</v>
      </c>
      <c r="G29" s="80" t="s">
        <v>169</v>
      </c>
    </row>
    <row r="30" spans="1:7" x14ac:dyDescent="0.25">
      <c r="A30" s="81" t="s">
        <v>172</v>
      </c>
      <c r="B30" s="81" t="str">
        <f>MATCHS_M!$B$2&amp; " &amp; " &amp; MATCHS_M!$B$3</f>
        <v>1M &amp; 7M</v>
      </c>
      <c r="C30" s="71"/>
      <c r="D30" s="66" t="s">
        <v>207</v>
      </c>
      <c r="E30" s="71"/>
      <c r="F30" s="81" t="str">
        <f>MATCHS_M!$F$2&amp; " &amp; " &amp; MATCHS_M!$F$3</f>
        <v>2M &amp; 8M</v>
      </c>
      <c r="G30" s="81" t="s">
        <v>173</v>
      </c>
    </row>
    <row r="31" spans="1:7" x14ac:dyDescent="0.25">
      <c r="A31" s="78"/>
      <c r="B31" s="78"/>
      <c r="C31" s="67"/>
      <c r="D31" s="72">
        <f>0.412499999999999 + "00:12:00"</f>
        <v>0.42083333333333234</v>
      </c>
      <c r="E31" s="67"/>
      <c r="F31" s="78"/>
      <c r="G31" s="78"/>
    </row>
    <row r="32" spans="1:7" x14ac:dyDescent="0.25">
      <c r="A32" s="81" t="s">
        <v>174</v>
      </c>
      <c r="B32" s="81" t="str">
        <f>MATCHS_M!$B$4 &amp; " &amp; " &amp; MATCHS_M!$B$5</f>
        <v>4M &amp; 3M</v>
      </c>
      <c r="C32" s="71"/>
      <c r="D32" s="66" t="s">
        <v>208</v>
      </c>
      <c r="E32" s="71"/>
      <c r="F32" s="81" t="str">
        <f>MATCHS_M!$F$4 &amp; " &amp; " &amp; MATCHS_M!$F$5</f>
        <v>5M &amp; 6M</v>
      </c>
      <c r="G32" s="81" t="s">
        <v>175</v>
      </c>
    </row>
    <row r="33" spans="1:7" x14ac:dyDescent="0.25">
      <c r="A33" s="79" t="s">
        <v>44</v>
      </c>
      <c r="B33" s="79" t="str">
        <f>INSCRIPTS!C2</f>
        <v>1A</v>
      </c>
      <c r="C33" s="71"/>
      <c r="D33" s="66" t="s">
        <v>187</v>
      </c>
      <c r="E33" s="71"/>
      <c r="F33" s="79" t="str">
        <f>INSCRIPTS!C4</f>
        <v>3A</v>
      </c>
      <c r="G33" s="79" t="s">
        <v>46</v>
      </c>
    </row>
    <row r="34" spans="1:7" x14ac:dyDescent="0.25">
      <c r="A34" s="79" t="s">
        <v>45</v>
      </c>
      <c r="B34" s="79" t="str">
        <f>INSCRIPTS!C3</f>
        <v>2A</v>
      </c>
      <c r="C34" s="71"/>
      <c r="D34" s="66" t="s">
        <v>188</v>
      </c>
      <c r="E34" s="71"/>
      <c r="F34" s="79" t="str">
        <f>INSCRIPTS!C6</f>
        <v>5A</v>
      </c>
      <c r="G34" s="79" t="s">
        <v>101</v>
      </c>
    </row>
    <row r="35" spans="1:7" x14ac:dyDescent="0.25">
      <c r="A35" s="80" t="s">
        <v>47</v>
      </c>
      <c r="B35" s="80" t="str">
        <f>INSCRIPTS!C8</f>
        <v>1B</v>
      </c>
      <c r="C35" s="71"/>
      <c r="D35" s="66" t="s">
        <v>189</v>
      </c>
      <c r="E35" s="71"/>
      <c r="F35" s="80" t="str">
        <f>INSCRIPTS!C10</f>
        <v>3B</v>
      </c>
      <c r="G35" s="80" t="s">
        <v>49</v>
      </c>
    </row>
    <row r="36" spans="1:7" x14ac:dyDescent="0.25">
      <c r="A36" s="80" t="s">
        <v>48</v>
      </c>
      <c r="B36" s="80" t="str">
        <f>INSCRIPTS!C9</f>
        <v>2B</v>
      </c>
      <c r="C36" s="71"/>
      <c r="D36" s="66" t="s">
        <v>190</v>
      </c>
      <c r="E36" s="71"/>
      <c r="F36" s="80" t="str">
        <f>INSCRIPTS!C12</f>
        <v>5B</v>
      </c>
      <c r="G36" s="80" t="s">
        <v>104</v>
      </c>
    </row>
    <row r="37" spans="1:7" x14ac:dyDescent="0.25">
      <c r="A37" s="81" t="s">
        <v>106</v>
      </c>
      <c r="B37" s="81" t="str">
        <f>INSCRIPTS!C14</f>
        <v>1C</v>
      </c>
      <c r="C37" s="71"/>
      <c r="D37" s="66" t="s">
        <v>191</v>
      </c>
      <c r="E37" s="71"/>
      <c r="F37" s="81" t="str">
        <f>INSCRIPTS!C16</f>
        <v>3C</v>
      </c>
      <c r="G37" s="81" t="s">
        <v>108</v>
      </c>
    </row>
    <row r="38" spans="1:7" x14ac:dyDescent="0.25">
      <c r="A38" s="81" t="s">
        <v>107</v>
      </c>
      <c r="B38" s="81" t="str">
        <f>INSCRIPTS!C15</f>
        <v>2C</v>
      </c>
      <c r="C38" s="71"/>
      <c r="D38" s="66" t="s">
        <v>192</v>
      </c>
      <c r="E38" s="71"/>
      <c r="F38" s="81" t="str">
        <f>INSCRIPTS!C18</f>
        <v>5C</v>
      </c>
      <c r="G38" s="81" t="s">
        <v>110</v>
      </c>
    </row>
    <row r="39" spans="1:7" x14ac:dyDescent="0.25">
      <c r="A39" s="82" t="s">
        <v>112</v>
      </c>
      <c r="B39" s="82" t="str">
        <f>INSCRIPTS!C20</f>
        <v>1D</v>
      </c>
      <c r="C39" s="71"/>
      <c r="D39" s="66" t="s">
        <v>193</v>
      </c>
      <c r="E39" s="71"/>
      <c r="F39" s="82" t="str">
        <f>INSCRIPTS!C22</f>
        <v>3D</v>
      </c>
      <c r="G39" s="82" t="s">
        <v>114</v>
      </c>
    </row>
    <row r="40" spans="1:7" x14ac:dyDescent="0.25">
      <c r="A40" s="82" t="s">
        <v>113</v>
      </c>
      <c r="B40" s="82" t="str">
        <f>INSCRIPTS!C21</f>
        <v>2D</v>
      </c>
      <c r="C40" s="71"/>
      <c r="D40" s="66" t="s">
        <v>194</v>
      </c>
      <c r="E40" s="71"/>
      <c r="F40" s="82" t="str">
        <f>INSCRIPTS!C24</f>
        <v>5D</v>
      </c>
      <c r="G40" s="82" t="s">
        <v>116</v>
      </c>
    </row>
    <row r="41" spans="1:7" x14ac:dyDescent="0.25">
      <c r="A41" s="78"/>
      <c r="B41" s="78"/>
      <c r="C41" s="67"/>
      <c r="D41" s="72">
        <f>0.420833333333332 + "00:12:00"</f>
        <v>0.42916666666666536</v>
      </c>
      <c r="E41" s="67"/>
      <c r="F41" s="78"/>
      <c r="G41" s="78"/>
    </row>
    <row r="42" spans="1:7" x14ac:dyDescent="0.25">
      <c r="A42" s="83" t="s">
        <v>118</v>
      </c>
      <c r="B42" s="83" t="str">
        <f>INSCRIPTS!C26</f>
        <v>1E</v>
      </c>
      <c r="C42" s="71"/>
      <c r="D42" s="66" t="s">
        <v>186</v>
      </c>
      <c r="E42" s="71"/>
      <c r="F42" s="83" t="str">
        <f>INSCRIPTS!C28</f>
        <v>3E</v>
      </c>
      <c r="G42" s="83" t="s">
        <v>120</v>
      </c>
    </row>
    <row r="43" spans="1:7" x14ac:dyDescent="0.25">
      <c r="A43" s="83" t="s">
        <v>119</v>
      </c>
      <c r="B43" s="83" t="str">
        <f>INSCRIPTS!C27</f>
        <v>2E</v>
      </c>
      <c r="C43" s="71"/>
      <c r="D43" s="66" t="s">
        <v>187</v>
      </c>
      <c r="E43" s="71"/>
      <c r="F43" s="83" t="str">
        <f>INSCRIPTS!C30</f>
        <v>5E</v>
      </c>
      <c r="G43" s="83" t="s">
        <v>122</v>
      </c>
    </row>
    <row r="44" spans="1:7" x14ac:dyDescent="0.25">
      <c r="A44" s="79" t="s">
        <v>124</v>
      </c>
      <c r="B44" s="79" t="str">
        <f>INSCRIPTS!C32</f>
        <v>1F</v>
      </c>
      <c r="C44" s="71"/>
      <c r="D44" s="66" t="s">
        <v>188</v>
      </c>
      <c r="E44" s="71"/>
      <c r="F44" s="79" t="str">
        <f>INSCRIPTS!C34</f>
        <v>3F</v>
      </c>
      <c r="G44" s="79" t="s">
        <v>126</v>
      </c>
    </row>
    <row r="45" spans="1:7" x14ac:dyDescent="0.25">
      <c r="A45" s="79" t="s">
        <v>125</v>
      </c>
      <c r="B45" s="79" t="str">
        <f>INSCRIPTS!C33</f>
        <v>2F</v>
      </c>
      <c r="C45" s="71"/>
      <c r="D45" s="66" t="s">
        <v>189</v>
      </c>
      <c r="E45" s="71"/>
      <c r="F45" s="79" t="str">
        <f>INSCRIPTS!C36</f>
        <v>5F</v>
      </c>
      <c r="G45" s="79" t="s">
        <v>128</v>
      </c>
    </row>
    <row r="46" spans="1:7" x14ac:dyDescent="0.25">
      <c r="A46" s="80" t="s">
        <v>130</v>
      </c>
      <c r="B46" s="80" t="str">
        <f>INSCRIPTS!C38</f>
        <v>1G</v>
      </c>
      <c r="C46" s="71"/>
      <c r="D46" s="66" t="s">
        <v>190</v>
      </c>
      <c r="E46" s="71"/>
      <c r="F46" s="80" t="str">
        <f>INSCRIPTS!C40</f>
        <v>3G</v>
      </c>
      <c r="G46" s="80" t="s">
        <v>132</v>
      </c>
    </row>
    <row r="47" spans="1:7" x14ac:dyDescent="0.25">
      <c r="A47" s="80" t="s">
        <v>131</v>
      </c>
      <c r="B47" s="80" t="str">
        <f>INSCRIPTS!C39</f>
        <v>2G</v>
      </c>
      <c r="C47" s="71"/>
      <c r="D47" s="66" t="s">
        <v>191</v>
      </c>
      <c r="E47" s="71"/>
      <c r="F47" s="80" t="str">
        <f>INSCRIPTS!C42</f>
        <v>5G</v>
      </c>
      <c r="G47" s="80" t="s">
        <v>134</v>
      </c>
    </row>
    <row r="48" spans="1:7" x14ac:dyDescent="0.25">
      <c r="A48" s="81" t="s">
        <v>137</v>
      </c>
      <c r="B48" s="81" t="str">
        <f>INSCRIPTS!C44</f>
        <v>1H</v>
      </c>
      <c r="C48" s="71"/>
      <c r="D48" s="66" t="s">
        <v>196</v>
      </c>
      <c r="E48" s="71"/>
      <c r="F48" s="81" t="str">
        <f>INSCRIPTS!C46</f>
        <v>3H</v>
      </c>
      <c r="G48" s="81" t="s">
        <v>139</v>
      </c>
    </row>
    <row r="49" spans="1:7" x14ac:dyDescent="0.25">
      <c r="A49" s="81" t="s">
        <v>138</v>
      </c>
      <c r="B49" s="81" t="str">
        <f>INSCRIPTS!C45</f>
        <v>2H</v>
      </c>
      <c r="C49" s="71"/>
      <c r="D49" s="66" t="s">
        <v>197</v>
      </c>
      <c r="E49" s="71"/>
      <c r="F49" s="81" t="str">
        <f>INSCRIPTS!C48</f>
        <v>5H</v>
      </c>
      <c r="G49" s="81" t="s">
        <v>141</v>
      </c>
    </row>
    <row r="50" spans="1:7" x14ac:dyDescent="0.25">
      <c r="A50" s="82" t="s">
        <v>143</v>
      </c>
      <c r="B50" s="82" t="str">
        <f>INSCRIPTS!C50</f>
        <v>1I</v>
      </c>
      <c r="C50" s="71"/>
      <c r="D50" s="66" t="s">
        <v>198</v>
      </c>
      <c r="E50" s="71"/>
      <c r="F50" s="82" t="str">
        <f>INSCRIPTS!C52</f>
        <v>3I</v>
      </c>
      <c r="G50" s="82" t="s">
        <v>145</v>
      </c>
    </row>
    <row r="51" spans="1:7" x14ac:dyDescent="0.25">
      <c r="A51" s="78"/>
      <c r="B51" s="78"/>
      <c r="C51" s="67"/>
      <c r="D51" s="72">
        <f>0.429166666666665 + "00:12:00"</f>
        <v>0.43749999999999833</v>
      </c>
      <c r="E51" s="67"/>
      <c r="F51" s="78"/>
      <c r="G51" s="78"/>
    </row>
    <row r="52" spans="1:7" x14ac:dyDescent="0.25">
      <c r="A52" s="82" t="s">
        <v>144</v>
      </c>
      <c r="B52" s="82" t="str">
        <f>INSCRIPTS!C51</f>
        <v>2I</v>
      </c>
      <c r="C52" s="71"/>
      <c r="D52" s="66" t="s">
        <v>199</v>
      </c>
      <c r="E52" s="71"/>
      <c r="F52" s="82" t="str">
        <f>INSCRIPTS!C54</f>
        <v>5I</v>
      </c>
      <c r="G52" s="82" t="s">
        <v>147</v>
      </c>
    </row>
    <row r="53" spans="1:7" x14ac:dyDescent="0.25">
      <c r="A53" s="83" t="s">
        <v>149</v>
      </c>
      <c r="B53" s="83" t="str">
        <f>INSCRIPTS!C56</f>
        <v>1J</v>
      </c>
      <c r="C53" s="71"/>
      <c r="D53" s="66" t="s">
        <v>200</v>
      </c>
      <c r="E53" s="71"/>
      <c r="F53" s="83" t="str">
        <f>INSCRIPTS!C58</f>
        <v>3J</v>
      </c>
      <c r="G53" s="83" t="s">
        <v>151</v>
      </c>
    </row>
    <row r="54" spans="1:7" x14ac:dyDescent="0.25">
      <c r="A54" s="83" t="s">
        <v>150</v>
      </c>
      <c r="B54" s="83" t="str">
        <f>INSCRIPTS!C57</f>
        <v>2J</v>
      </c>
      <c r="C54" s="71"/>
      <c r="D54" s="66" t="s">
        <v>209</v>
      </c>
      <c r="E54" s="71"/>
      <c r="F54" s="83" t="str">
        <f>INSCRIPTS!C60</f>
        <v>5J</v>
      </c>
      <c r="G54" s="83" t="s">
        <v>153</v>
      </c>
    </row>
    <row r="55" spans="1:7" x14ac:dyDescent="0.25">
      <c r="A55" s="79" t="s">
        <v>156</v>
      </c>
      <c r="B55" s="79" t="str">
        <f>INSCRIPTS!C62</f>
        <v>1K</v>
      </c>
      <c r="C55" s="71"/>
      <c r="D55" s="66" t="s">
        <v>202</v>
      </c>
      <c r="E55" s="71"/>
      <c r="F55" s="79" t="str">
        <f>INSCRIPTS!C64</f>
        <v>3K</v>
      </c>
      <c r="G55" s="79" t="s">
        <v>158</v>
      </c>
    </row>
    <row r="56" spans="1:7" x14ac:dyDescent="0.25">
      <c r="A56" s="79" t="s">
        <v>160</v>
      </c>
      <c r="B56" s="79" t="str">
        <f>INSCRIPTS!C66</f>
        <v>5K</v>
      </c>
      <c r="C56" s="71"/>
      <c r="D56" s="66" t="s">
        <v>203</v>
      </c>
      <c r="E56" s="71"/>
      <c r="F56" s="79" t="str">
        <f>INSCRIPTS!C65</f>
        <v>4K</v>
      </c>
      <c r="G56" s="79" t="s">
        <v>159</v>
      </c>
    </row>
    <row r="57" spans="1:7" x14ac:dyDescent="0.25">
      <c r="A57" s="79" t="s">
        <v>161</v>
      </c>
      <c r="B57" s="79" t="str">
        <f>INSCRIPTS!C67</f>
        <v>6K</v>
      </c>
      <c r="C57" s="71"/>
      <c r="D57" s="66" t="s">
        <v>204</v>
      </c>
      <c r="E57" s="71"/>
      <c r="F57" s="79" t="str">
        <f>INSCRIPTS!C68</f>
        <v>7K</v>
      </c>
      <c r="G57" s="79" t="s">
        <v>162</v>
      </c>
    </row>
    <row r="58" spans="1:7" x14ac:dyDescent="0.25">
      <c r="A58" s="80" t="s">
        <v>164</v>
      </c>
      <c r="B58" s="80" t="str">
        <f>INSCRIPTS!C70</f>
        <v>1L</v>
      </c>
      <c r="C58" s="71"/>
      <c r="D58" s="66" t="s">
        <v>205</v>
      </c>
      <c r="E58" s="71"/>
      <c r="F58" s="80" t="str">
        <f>INSCRIPTS!C72</f>
        <v>3L</v>
      </c>
      <c r="G58" s="80" t="s">
        <v>166</v>
      </c>
    </row>
    <row r="59" spans="1:7" x14ac:dyDescent="0.25">
      <c r="A59" s="80" t="s">
        <v>165</v>
      </c>
      <c r="B59" s="80" t="str">
        <f>INSCRIPTS!C71</f>
        <v>2L</v>
      </c>
      <c r="C59" s="71"/>
      <c r="D59" s="66" t="s">
        <v>206</v>
      </c>
      <c r="E59" s="71"/>
      <c r="F59" s="80" t="str">
        <f>INSCRIPTS!C74</f>
        <v>5L</v>
      </c>
      <c r="G59" s="80" t="s">
        <v>168</v>
      </c>
    </row>
    <row r="60" spans="1:7" x14ac:dyDescent="0.25">
      <c r="A60" s="80" t="s">
        <v>167</v>
      </c>
      <c r="B60" s="80" t="str">
        <f>INSCRIPTS!C73</f>
        <v>4L</v>
      </c>
      <c r="C60" s="71"/>
      <c r="D60" s="66" t="s">
        <v>210</v>
      </c>
      <c r="E60" s="71"/>
      <c r="F60" s="80" t="str">
        <f>INSCRIPTS!C75</f>
        <v>6L</v>
      </c>
      <c r="G60" s="80" t="s">
        <v>169</v>
      </c>
    </row>
    <row r="61" spans="1:7" x14ac:dyDescent="0.25">
      <c r="A61" s="78"/>
      <c r="B61" s="78"/>
      <c r="C61" s="67"/>
      <c r="D61" s="72">
        <f>0.437499999999998 + "00:12:00"</f>
        <v>0.44583333333333136</v>
      </c>
      <c r="E61" s="67"/>
      <c r="F61" s="78"/>
      <c r="G61" s="78"/>
    </row>
    <row r="62" spans="1:7" x14ac:dyDescent="0.25">
      <c r="A62" s="81" t="s">
        <v>172</v>
      </c>
      <c r="B62" s="81" t="str">
        <f>MATCHS_M!$B$7 &amp; " &amp; " &amp; MATCHS_M!$B$8</f>
        <v>2M &amp; 8M</v>
      </c>
      <c r="C62" s="71"/>
      <c r="D62" s="66" t="s">
        <v>208</v>
      </c>
      <c r="E62" s="71"/>
      <c r="F62" s="81" t="str">
        <f>MATCHS_M!$F$7 &amp; " &amp; " &amp; MATCHS_M!$F$8</f>
        <v>7M &amp; 3M</v>
      </c>
      <c r="G62" s="81" t="s">
        <v>174</v>
      </c>
    </row>
    <row r="63" spans="1:7" x14ac:dyDescent="0.25">
      <c r="A63" s="81" t="s">
        <v>173</v>
      </c>
      <c r="B63" s="81" t="str">
        <f>MATCHS_M!$B$9 &amp; " &amp; " &amp; MATCHS_M!$B$10</f>
        <v>4M &amp; 10M</v>
      </c>
      <c r="C63" s="71"/>
      <c r="D63" s="66" t="s">
        <v>211</v>
      </c>
      <c r="E63" s="71"/>
      <c r="F63" s="81" t="str">
        <f>MATCHS_M!$F$9 &amp; " &amp; " &amp; MATCHS_M!$F$10</f>
        <v>9M &amp; 5M</v>
      </c>
      <c r="G63" s="81" t="s">
        <v>176</v>
      </c>
    </row>
    <row r="64" spans="1:7" x14ac:dyDescent="0.25">
      <c r="A64" s="79" t="s">
        <v>44</v>
      </c>
      <c r="B64" s="79" t="str">
        <f>INSCRIPTS!C2</f>
        <v>1A</v>
      </c>
      <c r="C64" s="71"/>
      <c r="D64" s="66" t="s">
        <v>188</v>
      </c>
      <c r="E64" s="71"/>
      <c r="F64" s="79" t="str">
        <f>INSCRIPTS!C5</f>
        <v>4A</v>
      </c>
      <c r="G64" s="79" t="s">
        <v>100</v>
      </c>
    </row>
    <row r="65" spans="1:7" x14ac:dyDescent="0.25">
      <c r="A65" s="79" t="s">
        <v>46</v>
      </c>
      <c r="B65" s="79" t="str">
        <f>INSCRIPTS!C4</f>
        <v>3A</v>
      </c>
      <c r="C65" s="71"/>
      <c r="D65" s="66" t="s">
        <v>189</v>
      </c>
      <c r="E65" s="71"/>
      <c r="F65" s="79" t="str">
        <f>INSCRIPTS!C6</f>
        <v>5A</v>
      </c>
      <c r="G65" s="79" t="s">
        <v>101</v>
      </c>
    </row>
    <row r="66" spans="1:7" x14ac:dyDescent="0.25">
      <c r="A66" s="80" t="s">
        <v>47</v>
      </c>
      <c r="B66" s="80" t="str">
        <f>INSCRIPTS!C8</f>
        <v>1B</v>
      </c>
      <c r="C66" s="71"/>
      <c r="D66" s="66" t="s">
        <v>190</v>
      </c>
      <c r="E66" s="71"/>
      <c r="F66" s="80" t="str">
        <f>INSCRIPTS!C11</f>
        <v>4B</v>
      </c>
      <c r="G66" s="80" t="s">
        <v>103</v>
      </c>
    </row>
    <row r="67" spans="1:7" x14ac:dyDescent="0.25">
      <c r="A67" s="80" t="s">
        <v>49</v>
      </c>
      <c r="B67" s="80" t="str">
        <f>INSCRIPTS!C10</f>
        <v>3B</v>
      </c>
      <c r="C67" s="71"/>
      <c r="D67" s="66" t="s">
        <v>191</v>
      </c>
      <c r="E67" s="71"/>
      <c r="F67" s="80" t="str">
        <f>INSCRIPTS!C12</f>
        <v>5B</v>
      </c>
      <c r="G67" s="80" t="s">
        <v>104</v>
      </c>
    </row>
    <row r="68" spans="1:7" x14ac:dyDescent="0.25">
      <c r="A68" s="81" t="s">
        <v>106</v>
      </c>
      <c r="B68" s="81" t="str">
        <f>INSCRIPTS!C14</f>
        <v>1C</v>
      </c>
      <c r="C68" s="71"/>
      <c r="D68" s="66" t="s">
        <v>192</v>
      </c>
      <c r="E68" s="71"/>
      <c r="F68" s="81" t="str">
        <f>INSCRIPTS!C17</f>
        <v>4C</v>
      </c>
      <c r="G68" s="81" t="s">
        <v>109</v>
      </c>
    </row>
    <row r="69" spans="1:7" x14ac:dyDescent="0.25">
      <c r="A69" s="81" t="s">
        <v>108</v>
      </c>
      <c r="B69" s="81" t="str">
        <f>INSCRIPTS!C16</f>
        <v>3C</v>
      </c>
      <c r="C69" s="71"/>
      <c r="D69" s="66" t="s">
        <v>193</v>
      </c>
      <c r="E69" s="71"/>
      <c r="F69" s="81" t="str">
        <f>INSCRIPTS!C18</f>
        <v>5C</v>
      </c>
      <c r="G69" s="81" t="s">
        <v>110</v>
      </c>
    </row>
    <row r="70" spans="1:7" x14ac:dyDescent="0.25">
      <c r="A70" s="82" t="s">
        <v>112</v>
      </c>
      <c r="B70" s="82" t="str">
        <f>INSCRIPTS!C20</f>
        <v>1D</v>
      </c>
      <c r="C70" s="71"/>
      <c r="D70" s="66" t="s">
        <v>194</v>
      </c>
      <c r="E70" s="71"/>
      <c r="F70" s="82" t="str">
        <f>INSCRIPTS!C23</f>
        <v>4D</v>
      </c>
      <c r="G70" s="82" t="s">
        <v>115</v>
      </c>
    </row>
    <row r="71" spans="1:7" x14ac:dyDescent="0.25">
      <c r="A71" s="78"/>
      <c r="B71" s="78"/>
      <c r="C71" s="67"/>
      <c r="D71" s="72">
        <f>0.445833333333331 + "00:12:00"</f>
        <v>0.45416666666666433</v>
      </c>
      <c r="E71" s="67"/>
      <c r="F71" s="78"/>
      <c r="G71" s="78"/>
    </row>
    <row r="72" spans="1:7" x14ac:dyDescent="0.25">
      <c r="A72" s="82" t="s">
        <v>114</v>
      </c>
      <c r="B72" s="82" t="str">
        <f>INSCRIPTS!C22</f>
        <v>3D</v>
      </c>
      <c r="C72" s="71"/>
      <c r="D72" s="66" t="s">
        <v>186</v>
      </c>
      <c r="E72" s="71"/>
      <c r="F72" s="82" t="str">
        <f>INSCRIPTS!C24</f>
        <v>5D</v>
      </c>
      <c r="G72" s="82" t="s">
        <v>116</v>
      </c>
    </row>
    <row r="73" spans="1:7" x14ac:dyDescent="0.25">
      <c r="A73" s="83" t="s">
        <v>118</v>
      </c>
      <c r="B73" s="83" t="str">
        <f>INSCRIPTS!C26</f>
        <v>1E</v>
      </c>
      <c r="C73" s="71"/>
      <c r="D73" s="66" t="s">
        <v>187</v>
      </c>
      <c r="E73" s="71"/>
      <c r="F73" s="83" t="str">
        <f>INSCRIPTS!C29</f>
        <v>4E</v>
      </c>
      <c r="G73" s="83" t="s">
        <v>121</v>
      </c>
    </row>
    <row r="74" spans="1:7" x14ac:dyDescent="0.25">
      <c r="A74" s="83" t="s">
        <v>120</v>
      </c>
      <c r="B74" s="83" t="str">
        <f>INSCRIPTS!C28</f>
        <v>3E</v>
      </c>
      <c r="C74" s="71"/>
      <c r="D74" s="66" t="s">
        <v>188</v>
      </c>
      <c r="E74" s="71"/>
      <c r="F74" s="83" t="str">
        <f>INSCRIPTS!C30</f>
        <v>5E</v>
      </c>
      <c r="G74" s="83" t="s">
        <v>122</v>
      </c>
    </row>
    <row r="75" spans="1:7" x14ac:dyDescent="0.25">
      <c r="A75" s="79" t="s">
        <v>124</v>
      </c>
      <c r="B75" s="79" t="str">
        <f>INSCRIPTS!C32</f>
        <v>1F</v>
      </c>
      <c r="C75" s="71"/>
      <c r="D75" s="66" t="s">
        <v>189</v>
      </c>
      <c r="E75" s="71"/>
      <c r="F75" s="79" t="str">
        <f>INSCRIPTS!C35</f>
        <v>4F</v>
      </c>
      <c r="G75" s="79" t="s">
        <v>127</v>
      </c>
    </row>
    <row r="76" spans="1:7" x14ac:dyDescent="0.25">
      <c r="A76" s="79" t="s">
        <v>126</v>
      </c>
      <c r="B76" s="79" t="str">
        <f>INSCRIPTS!C34</f>
        <v>3F</v>
      </c>
      <c r="C76" s="71"/>
      <c r="D76" s="66" t="s">
        <v>190</v>
      </c>
      <c r="E76" s="71"/>
      <c r="F76" s="79" t="str">
        <f>INSCRIPTS!C36</f>
        <v>5F</v>
      </c>
      <c r="G76" s="79" t="s">
        <v>128</v>
      </c>
    </row>
    <row r="77" spans="1:7" x14ac:dyDescent="0.25">
      <c r="A77" s="80" t="s">
        <v>130</v>
      </c>
      <c r="B77" s="80" t="str">
        <f>INSCRIPTS!C38</f>
        <v>1G</v>
      </c>
      <c r="C77" s="71"/>
      <c r="D77" s="66" t="s">
        <v>191</v>
      </c>
      <c r="E77" s="71"/>
      <c r="F77" s="80" t="str">
        <f>INSCRIPTS!C41</f>
        <v>4G</v>
      </c>
      <c r="G77" s="80" t="s">
        <v>133</v>
      </c>
    </row>
    <row r="78" spans="1:7" x14ac:dyDescent="0.25">
      <c r="A78" s="80" t="s">
        <v>132</v>
      </c>
      <c r="B78" s="80" t="str">
        <f>INSCRIPTS!C40</f>
        <v>3G</v>
      </c>
      <c r="C78" s="71"/>
      <c r="D78" s="66" t="s">
        <v>192</v>
      </c>
      <c r="E78" s="71"/>
      <c r="F78" s="80" t="str">
        <f>INSCRIPTS!C42</f>
        <v>5G</v>
      </c>
      <c r="G78" s="80" t="s">
        <v>134</v>
      </c>
    </row>
    <row r="79" spans="1:7" x14ac:dyDescent="0.25">
      <c r="A79" s="81" t="s">
        <v>137</v>
      </c>
      <c r="B79" s="81" t="str">
        <f>INSCRIPTS!C44</f>
        <v>1H</v>
      </c>
      <c r="C79" s="71"/>
      <c r="D79" s="66" t="s">
        <v>197</v>
      </c>
      <c r="E79" s="71"/>
      <c r="F79" s="81" t="str">
        <f>INSCRIPTS!C47</f>
        <v>4H</v>
      </c>
      <c r="G79" s="81" t="s">
        <v>140</v>
      </c>
    </row>
    <row r="80" spans="1:7" x14ac:dyDescent="0.25">
      <c r="A80" s="81" t="s">
        <v>139</v>
      </c>
      <c r="B80" s="81" t="str">
        <f>INSCRIPTS!C46</f>
        <v>3H</v>
      </c>
      <c r="C80" s="71"/>
      <c r="D80" s="66" t="s">
        <v>198</v>
      </c>
      <c r="E80" s="71"/>
      <c r="F80" s="81" t="str">
        <f>INSCRIPTS!C48</f>
        <v>5H</v>
      </c>
      <c r="G80" s="81" t="s">
        <v>141</v>
      </c>
    </row>
    <row r="81" spans="1:7" x14ac:dyDescent="0.25">
      <c r="A81" s="78"/>
      <c r="B81" s="78"/>
      <c r="C81" s="67"/>
      <c r="D81" s="72">
        <f>0.454166666666664 + "00:12:00"</f>
        <v>0.46249999999999736</v>
      </c>
      <c r="E81" s="67"/>
      <c r="F81" s="78"/>
      <c r="G81" s="78"/>
    </row>
    <row r="82" spans="1:7" x14ac:dyDescent="0.25">
      <c r="A82" s="82" t="s">
        <v>143</v>
      </c>
      <c r="B82" s="82" t="str">
        <f>INSCRIPTS!C50</f>
        <v>1I</v>
      </c>
      <c r="C82" s="71"/>
      <c r="D82" s="66" t="s">
        <v>199</v>
      </c>
      <c r="E82" s="71"/>
      <c r="F82" s="82" t="str">
        <f>INSCRIPTS!C53</f>
        <v>4I</v>
      </c>
      <c r="G82" s="82" t="s">
        <v>146</v>
      </c>
    </row>
    <row r="83" spans="1:7" x14ac:dyDescent="0.25">
      <c r="A83" s="82" t="s">
        <v>145</v>
      </c>
      <c r="B83" s="82" t="str">
        <f>INSCRIPTS!C52</f>
        <v>3I</v>
      </c>
      <c r="C83" s="71"/>
      <c r="D83" s="66" t="s">
        <v>200</v>
      </c>
      <c r="E83" s="71"/>
      <c r="F83" s="82" t="str">
        <f>INSCRIPTS!C54</f>
        <v>5I</v>
      </c>
      <c r="G83" s="82" t="s">
        <v>147</v>
      </c>
    </row>
    <row r="84" spans="1:7" x14ac:dyDescent="0.25">
      <c r="A84" s="83" t="s">
        <v>149</v>
      </c>
      <c r="B84" s="83" t="str">
        <f>INSCRIPTS!C56</f>
        <v>1J</v>
      </c>
      <c r="C84" s="71"/>
      <c r="D84" s="66" t="s">
        <v>209</v>
      </c>
      <c r="E84" s="71"/>
      <c r="F84" s="83" t="str">
        <f>INSCRIPTS!C59</f>
        <v>4J</v>
      </c>
      <c r="G84" s="83" t="s">
        <v>152</v>
      </c>
    </row>
    <row r="85" spans="1:7" x14ac:dyDescent="0.25">
      <c r="A85" s="83" t="s">
        <v>151</v>
      </c>
      <c r="B85" s="83" t="str">
        <f>INSCRIPTS!C58</f>
        <v>3J</v>
      </c>
      <c r="C85" s="71"/>
      <c r="D85" s="66" t="s">
        <v>212</v>
      </c>
      <c r="E85" s="71"/>
      <c r="F85" s="83" t="str">
        <f>INSCRIPTS!C60</f>
        <v>5J</v>
      </c>
      <c r="G85" s="83" t="s">
        <v>153</v>
      </c>
    </row>
    <row r="86" spans="1:7" x14ac:dyDescent="0.25">
      <c r="A86" s="79" t="s">
        <v>156</v>
      </c>
      <c r="B86" s="79" t="str">
        <f>INSCRIPTS!C62</f>
        <v>1K</v>
      </c>
      <c r="C86" s="71"/>
      <c r="D86" s="66" t="s">
        <v>203</v>
      </c>
      <c r="E86" s="71"/>
      <c r="F86" s="79" t="str">
        <f>INSCRIPTS!C65</f>
        <v>4K</v>
      </c>
      <c r="G86" s="79" t="s">
        <v>159</v>
      </c>
    </row>
    <row r="87" spans="1:7" x14ac:dyDescent="0.25">
      <c r="A87" s="79" t="s">
        <v>157</v>
      </c>
      <c r="B87" s="79" t="str">
        <f>INSCRIPTS!C63</f>
        <v>2K</v>
      </c>
      <c r="C87" s="71"/>
      <c r="D87" s="66" t="s">
        <v>204</v>
      </c>
      <c r="E87" s="71"/>
      <c r="F87" s="79" t="str">
        <f>INSCRIPTS!C66</f>
        <v>5K</v>
      </c>
      <c r="G87" s="79" t="s">
        <v>160</v>
      </c>
    </row>
    <row r="88" spans="1:7" x14ac:dyDescent="0.25">
      <c r="A88" s="79" t="s">
        <v>162</v>
      </c>
      <c r="B88" s="79" t="str">
        <f>INSCRIPTS!C68</f>
        <v>7K</v>
      </c>
      <c r="C88" s="71"/>
      <c r="D88" s="66" t="s">
        <v>205</v>
      </c>
      <c r="E88" s="71"/>
      <c r="F88" s="79" t="str">
        <f>INSCRIPTS!C64</f>
        <v>3K</v>
      </c>
      <c r="G88" s="79" t="s">
        <v>158</v>
      </c>
    </row>
    <row r="89" spans="1:7" x14ac:dyDescent="0.25">
      <c r="A89" s="80" t="s">
        <v>164</v>
      </c>
      <c r="B89" s="80" t="str">
        <f>INSCRIPTS!C70</f>
        <v>1L</v>
      </c>
      <c r="C89" s="71"/>
      <c r="D89" s="66" t="s">
        <v>206</v>
      </c>
      <c r="E89" s="71"/>
      <c r="F89" s="80" t="str">
        <f>INSCRIPTS!C75</f>
        <v>6L</v>
      </c>
      <c r="G89" s="80" t="s">
        <v>169</v>
      </c>
    </row>
    <row r="90" spans="1:7" x14ac:dyDescent="0.25">
      <c r="A90" s="80" t="s">
        <v>165</v>
      </c>
      <c r="B90" s="80" t="str">
        <f>INSCRIPTS!C71</f>
        <v>2L</v>
      </c>
      <c r="C90" s="71"/>
      <c r="D90" s="66" t="s">
        <v>210</v>
      </c>
      <c r="E90" s="71"/>
      <c r="F90" s="80" t="str">
        <f>INSCRIPTS!C72</f>
        <v>3L</v>
      </c>
      <c r="G90" s="80" t="s">
        <v>166</v>
      </c>
    </row>
    <row r="91" spans="1:7" x14ac:dyDescent="0.25">
      <c r="A91" s="78"/>
      <c r="B91" s="78"/>
      <c r="C91" s="67"/>
      <c r="D91" s="72">
        <f>0.462499999999997 + "00:12:00"</f>
        <v>0.47083333333333038</v>
      </c>
      <c r="E91" s="67"/>
      <c r="F91" s="78"/>
      <c r="G91" s="78"/>
    </row>
    <row r="92" spans="1:7" x14ac:dyDescent="0.25">
      <c r="A92" s="80" t="s">
        <v>167</v>
      </c>
      <c r="B92" s="80" t="str">
        <f>INSCRIPTS!C73</f>
        <v>4L</v>
      </c>
      <c r="C92" s="71"/>
      <c r="D92" s="66" t="s">
        <v>213</v>
      </c>
      <c r="E92" s="71"/>
      <c r="F92" s="80" t="str">
        <f>INSCRIPTS!C74</f>
        <v>5L</v>
      </c>
      <c r="G92" s="80" t="s">
        <v>168</v>
      </c>
    </row>
    <row r="93" spans="1:7" x14ac:dyDescent="0.25">
      <c r="A93" s="81" t="s">
        <v>172</v>
      </c>
      <c r="B93" s="81" t="str">
        <f>MATCHS_M!$B$12 &amp; " &amp; " &amp; MATCHS_M!$B$13</f>
        <v>10M &amp; 4M</v>
      </c>
      <c r="C93" s="71"/>
      <c r="D93" s="66" t="s">
        <v>211</v>
      </c>
      <c r="E93" s="71"/>
      <c r="F93" s="81" t="str">
        <f>MATCHS_M!$F$12 &amp; " &amp; " &amp; MATCHS_M!$F$13</f>
        <v>1M &amp; 7M</v>
      </c>
      <c r="G93" s="81" t="s">
        <v>175</v>
      </c>
    </row>
    <row r="94" spans="1:7" x14ac:dyDescent="0.25">
      <c r="A94" s="81" t="s">
        <v>174</v>
      </c>
      <c r="B94" s="81" t="str">
        <f>MATCHS_M!$B$14 &amp; " &amp; " &amp; MATCHS_M!$B$15</f>
        <v>8M &amp; 6M</v>
      </c>
      <c r="C94" s="71"/>
      <c r="D94" s="66" t="s">
        <v>214</v>
      </c>
      <c r="E94" s="71"/>
      <c r="F94" s="81" t="str">
        <f>MATCHS_M!$F$14 &amp; " &amp; " &amp; MATCHS_M!$F$15</f>
        <v>5M &amp; 9M</v>
      </c>
      <c r="G94" s="81" t="s">
        <v>176</v>
      </c>
    </row>
    <row r="95" spans="1:7" x14ac:dyDescent="0.25">
      <c r="A95" s="79" t="s">
        <v>44</v>
      </c>
      <c r="B95" s="79" t="str">
        <f>INSCRIPTS!C2</f>
        <v>1A</v>
      </c>
      <c r="C95" s="71"/>
      <c r="D95" s="66" t="s">
        <v>189</v>
      </c>
      <c r="E95" s="71"/>
      <c r="F95" s="79" t="str">
        <f>INSCRIPTS!C6</f>
        <v>5A</v>
      </c>
      <c r="G95" s="79" t="s">
        <v>101</v>
      </c>
    </row>
    <row r="96" spans="1:7" x14ac:dyDescent="0.25">
      <c r="A96" s="79" t="s">
        <v>45</v>
      </c>
      <c r="B96" s="79" t="str">
        <f>INSCRIPTS!C3</f>
        <v>2A</v>
      </c>
      <c r="C96" s="71"/>
      <c r="D96" s="66" t="s">
        <v>190</v>
      </c>
      <c r="E96" s="71"/>
      <c r="F96" s="79" t="str">
        <f>INSCRIPTS!C5</f>
        <v>4A</v>
      </c>
      <c r="G96" s="79" t="s">
        <v>100</v>
      </c>
    </row>
    <row r="97" spans="1:7" x14ac:dyDescent="0.25">
      <c r="A97" s="80" t="s">
        <v>47</v>
      </c>
      <c r="B97" s="80" t="str">
        <f>INSCRIPTS!C8</f>
        <v>1B</v>
      </c>
      <c r="C97" s="71"/>
      <c r="D97" s="66" t="s">
        <v>191</v>
      </c>
      <c r="E97" s="71"/>
      <c r="F97" s="80" t="str">
        <f>INSCRIPTS!C12</f>
        <v>5B</v>
      </c>
      <c r="G97" s="80" t="s">
        <v>104</v>
      </c>
    </row>
    <row r="98" spans="1:7" x14ac:dyDescent="0.25">
      <c r="A98" s="80" t="s">
        <v>48</v>
      </c>
      <c r="B98" s="80" t="str">
        <f>INSCRIPTS!C9</f>
        <v>2B</v>
      </c>
      <c r="C98" s="71"/>
      <c r="D98" s="66" t="s">
        <v>192</v>
      </c>
      <c r="E98" s="71"/>
      <c r="F98" s="80" t="str">
        <f>INSCRIPTS!C11</f>
        <v>4B</v>
      </c>
      <c r="G98" s="80" t="s">
        <v>103</v>
      </c>
    </row>
    <row r="99" spans="1:7" x14ac:dyDescent="0.25">
      <c r="A99" s="81" t="s">
        <v>106</v>
      </c>
      <c r="B99" s="81" t="str">
        <f>INSCRIPTS!C14</f>
        <v>1C</v>
      </c>
      <c r="C99" s="71"/>
      <c r="D99" s="66" t="s">
        <v>193</v>
      </c>
      <c r="E99" s="71"/>
      <c r="F99" s="81" t="str">
        <f>INSCRIPTS!C18</f>
        <v>5C</v>
      </c>
      <c r="G99" s="81" t="s">
        <v>110</v>
      </c>
    </row>
    <row r="100" spans="1:7" x14ac:dyDescent="0.25">
      <c r="A100" s="81" t="s">
        <v>107</v>
      </c>
      <c r="B100" s="81" t="str">
        <f>INSCRIPTS!C15</f>
        <v>2C</v>
      </c>
      <c r="C100" s="71"/>
      <c r="D100" s="66" t="s">
        <v>194</v>
      </c>
      <c r="E100" s="71"/>
      <c r="F100" s="81" t="str">
        <f>INSCRIPTS!C17</f>
        <v>4C</v>
      </c>
      <c r="G100" s="81" t="s">
        <v>109</v>
      </c>
    </row>
    <row r="101" spans="1:7" x14ac:dyDescent="0.25">
      <c r="A101" s="78"/>
      <c r="B101" s="78"/>
      <c r="C101" s="67"/>
      <c r="D101" s="72">
        <f>0.47083333333333 + "00:12:00"</f>
        <v>0.47916666666666335</v>
      </c>
      <c r="E101" s="67"/>
      <c r="F101" s="78"/>
      <c r="G101" s="78"/>
    </row>
    <row r="102" spans="1:7" x14ac:dyDescent="0.25">
      <c r="A102" s="82" t="s">
        <v>112</v>
      </c>
      <c r="B102" s="82" t="str">
        <f>INSCRIPTS!C20</f>
        <v>1D</v>
      </c>
      <c r="C102" s="71"/>
      <c r="D102" s="66" t="s">
        <v>186</v>
      </c>
      <c r="E102" s="71"/>
      <c r="F102" s="82" t="str">
        <f>INSCRIPTS!C24</f>
        <v>5D</v>
      </c>
      <c r="G102" s="82" t="s">
        <v>116</v>
      </c>
    </row>
    <row r="103" spans="1:7" x14ac:dyDescent="0.25">
      <c r="A103" s="82" t="s">
        <v>113</v>
      </c>
      <c r="B103" s="82" t="str">
        <f>INSCRIPTS!C21</f>
        <v>2D</v>
      </c>
      <c r="C103" s="71"/>
      <c r="D103" s="66" t="s">
        <v>187</v>
      </c>
      <c r="E103" s="71"/>
      <c r="F103" s="82" t="str">
        <f>INSCRIPTS!C23</f>
        <v>4D</v>
      </c>
      <c r="G103" s="82" t="s">
        <v>115</v>
      </c>
    </row>
    <row r="104" spans="1:7" x14ac:dyDescent="0.25">
      <c r="A104" s="83" t="s">
        <v>118</v>
      </c>
      <c r="B104" s="83" t="str">
        <f>INSCRIPTS!C26</f>
        <v>1E</v>
      </c>
      <c r="C104" s="71"/>
      <c r="D104" s="66" t="s">
        <v>188</v>
      </c>
      <c r="E104" s="71"/>
      <c r="F104" s="83" t="str">
        <f>INSCRIPTS!C30</f>
        <v>5E</v>
      </c>
      <c r="G104" s="83" t="s">
        <v>122</v>
      </c>
    </row>
    <row r="105" spans="1:7" x14ac:dyDescent="0.25">
      <c r="A105" s="83" t="s">
        <v>119</v>
      </c>
      <c r="B105" s="83" t="str">
        <f>INSCRIPTS!C27</f>
        <v>2E</v>
      </c>
      <c r="C105" s="71"/>
      <c r="D105" s="66" t="s">
        <v>189</v>
      </c>
      <c r="E105" s="71"/>
      <c r="F105" s="83" t="str">
        <f>INSCRIPTS!C29</f>
        <v>4E</v>
      </c>
      <c r="G105" s="83" t="s">
        <v>121</v>
      </c>
    </row>
    <row r="106" spans="1:7" x14ac:dyDescent="0.25">
      <c r="A106" s="79" t="s">
        <v>124</v>
      </c>
      <c r="B106" s="79" t="str">
        <f>INSCRIPTS!C32</f>
        <v>1F</v>
      </c>
      <c r="C106" s="71"/>
      <c r="D106" s="66" t="s">
        <v>190</v>
      </c>
      <c r="E106" s="71"/>
      <c r="F106" s="79" t="str">
        <f>INSCRIPTS!C36</f>
        <v>5F</v>
      </c>
      <c r="G106" s="79" t="s">
        <v>128</v>
      </c>
    </row>
    <row r="107" spans="1:7" x14ac:dyDescent="0.25">
      <c r="A107" s="79" t="s">
        <v>125</v>
      </c>
      <c r="B107" s="79" t="str">
        <f>INSCRIPTS!C33</f>
        <v>2F</v>
      </c>
      <c r="C107" s="71"/>
      <c r="D107" s="66" t="s">
        <v>191</v>
      </c>
      <c r="E107" s="71"/>
      <c r="F107" s="79" t="str">
        <f>INSCRIPTS!C35</f>
        <v>4F</v>
      </c>
      <c r="G107" s="79" t="s">
        <v>127</v>
      </c>
    </row>
    <row r="108" spans="1:7" x14ac:dyDescent="0.25">
      <c r="A108" s="80" t="s">
        <v>130</v>
      </c>
      <c r="B108" s="80" t="str">
        <f>INSCRIPTS!C38</f>
        <v>1G</v>
      </c>
      <c r="C108" s="71"/>
      <c r="D108" s="66" t="s">
        <v>192</v>
      </c>
      <c r="E108" s="71"/>
      <c r="F108" s="80" t="str">
        <f>INSCRIPTS!C42</f>
        <v>5G</v>
      </c>
      <c r="G108" s="80" t="s">
        <v>134</v>
      </c>
    </row>
    <row r="109" spans="1:7" x14ac:dyDescent="0.25">
      <c r="A109" s="80" t="s">
        <v>131</v>
      </c>
      <c r="B109" s="80" t="str">
        <f>INSCRIPTS!C39</f>
        <v>2G</v>
      </c>
      <c r="C109" s="71"/>
      <c r="D109" s="66" t="s">
        <v>193</v>
      </c>
      <c r="E109" s="71"/>
      <c r="F109" s="80" t="str">
        <f>INSCRIPTS!C41</f>
        <v>4G</v>
      </c>
      <c r="G109" s="80" t="s">
        <v>133</v>
      </c>
    </row>
    <row r="110" spans="1:7" x14ac:dyDescent="0.25">
      <c r="A110" s="81" t="s">
        <v>137</v>
      </c>
      <c r="B110" s="81" t="str">
        <f>INSCRIPTS!C44</f>
        <v>1H</v>
      </c>
      <c r="C110" s="71"/>
      <c r="D110" s="66" t="s">
        <v>198</v>
      </c>
      <c r="E110" s="71"/>
      <c r="F110" s="81" t="str">
        <f>INSCRIPTS!C48</f>
        <v>5H</v>
      </c>
      <c r="G110" s="81" t="s">
        <v>141</v>
      </c>
    </row>
    <row r="111" spans="1:7" x14ac:dyDescent="0.25">
      <c r="A111" s="78"/>
      <c r="B111" s="78"/>
      <c r="C111" s="67"/>
      <c r="D111" s="72">
        <f>0.479166666666663 + "00:12:00"</f>
        <v>0.48749999999999638</v>
      </c>
      <c r="E111" s="67"/>
      <c r="F111" s="78"/>
      <c r="G111" s="78"/>
    </row>
    <row r="112" spans="1:7" x14ac:dyDescent="0.25">
      <c r="A112" s="81" t="s">
        <v>138</v>
      </c>
      <c r="B112" s="81" t="str">
        <f>INSCRIPTS!C45</f>
        <v>2H</v>
      </c>
      <c r="C112" s="71"/>
      <c r="D112" s="66" t="s">
        <v>199</v>
      </c>
      <c r="E112" s="71"/>
      <c r="F112" s="81" t="str">
        <f>INSCRIPTS!C47</f>
        <v>4H</v>
      </c>
      <c r="G112" s="81" t="s">
        <v>140</v>
      </c>
    </row>
    <row r="113" spans="1:7" x14ac:dyDescent="0.25">
      <c r="A113" s="82" t="s">
        <v>143</v>
      </c>
      <c r="B113" s="82" t="str">
        <f>INSCRIPTS!C50</f>
        <v>1I</v>
      </c>
      <c r="C113" s="71"/>
      <c r="D113" s="66" t="s">
        <v>200</v>
      </c>
      <c r="E113" s="71"/>
      <c r="F113" s="82" t="str">
        <f>INSCRIPTS!C54</f>
        <v>5I</v>
      </c>
      <c r="G113" s="82" t="s">
        <v>147</v>
      </c>
    </row>
    <row r="114" spans="1:7" x14ac:dyDescent="0.25">
      <c r="A114" s="82" t="s">
        <v>144</v>
      </c>
      <c r="B114" s="82" t="str">
        <f>INSCRIPTS!C51</f>
        <v>2I</v>
      </c>
      <c r="C114" s="71"/>
      <c r="D114" s="66" t="s">
        <v>209</v>
      </c>
      <c r="E114" s="71"/>
      <c r="F114" s="82" t="str">
        <f>INSCRIPTS!C53</f>
        <v>4I</v>
      </c>
      <c r="G114" s="82" t="s">
        <v>146</v>
      </c>
    </row>
    <row r="115" spans="1:7" x14ac:dyDescent="0.25">
      <c r="A115" s="83" t="s">
        <v>149</v>
      </c>
      <c r="B115" s="83" t="str">
        <f>INSCRIPTS!C56</f>
        <v>1J</v>
      </c>
      <c r="C115" s="71"/>
      <c r="D115" s="66" t="s">
        <v>212</v>
      </c>
      <c r="E115" s="71"/>
      <c r="F115" s="83" t="str">
        <f>INSCRIPTS!C60</f>
        <v>5J</v>
      </c>
      <c r="G115" s="83" t="s">
        <v>153</v>
      </c>
    </row>
    <row r="116" spans="1:7" x14ac:dyDescent="0.25">
      <c r="A116" s="83" t="s">
        <v>150</v>
      </c>
      <c r="B116" s="83" t="str">
        <f>INSCRIPTS!C57</f>
        <v>2J</v>
      </c>
      <c r="C116" s="71"/>
      <c r="D116" s="66" t="s">
        <v>215</v>
      </c>
      <c r="E116" s="71"/>
      <c r="F116" s="83" t="str">
        <f>INSCRIPTS!C59</f>
        <v>4J</v>
      </c>
      <c r="G116" s="83" t="s">
        <v>152</v>
      </c>
    </row>
    <row r="117" spans="1:7" x14ac:dyDescent="0.25">
      <c r="A117" s="79" t="s">
        <v>156</v>
      </c>
      <c r="B117" s="79" t="str">
        <f>INSCRIPTS!C62</f>
        <v>1K</v>
      </c>
      <c r="C117" s="71"/>
      <c r="D117" s="66" t="s">
        <v>204</v>
      </c>
      <c r="E117" s="71"/>
      <c r="F117" s="79" t="str">
        <f>INSCRIPTS!C66</f>
        <v>5K</v>
      </c>
      <c r="G117" s="79" t="s">
        <v>160</v>
      </c>
    </row>
    <row r="118" spans="1:7" x14ac:dyDescent="0.25">
      <c r="A118" s="79" t="s">
        <v>161</v>
      </c>
      <c r="B118" s="79" t="str">
        <f>INSCRIPTS!C67</f>
        <v>6K</v>
      </c>
      <c r="C118" s="71"/>
      <c r="D118" s="66" t="s">
        <v>205</v>
      </c>
      <c r="E118" s="71"/>
      <c r="F118" s="79" t="str">
        <f>INSCRIPTS!C64</f>
        <v>3K</v>
      </c>
      <c r="G118" s="79" t="s">
        <v>158</v>
      </c>
    </row>
    <row r="119" spans="1:7" x14ac:dyDescent="0.25">
      <c r="A119" s="79" t="s">
        <v>157</v>
      </c>
      <c r="B119" s="79" t="str">
        <f>INSCRIPTS!C63</f>
        <v>2K</v>
      </c>
      <c r="C119" s="71"/>
      <c r="D119" s="66" t="s">
        <v>206</v>
      </c>
      <c r="E119" s="71"/>
      <c r="F119" s="79" t="str">
        <f>INSCRIPTS!C68</f>
        <v>7K</v>
      </c>
      <c r="G119" s="79" t="s">
        <v>162</v>
      </c>
    </row>
    <row r="120" spans="1:7" x14ac:dyDescent="0.25">
      <c r="A120" s="80" t="s">
        <v>164</v>
      </c>
      <c r="B120" s="80" t="str">
        <f>INSCRIPTS!C70</f>
        <v>1L</v>
      </c>
      <c r="C120" s="71"/>
      <c r="D120" s="66" t="s">
        <v>210</v>
      </c>
      <c r="E120" s="71"/>
      <c r="F120" s="80" t="str">
        <f>INSCRIPTS!C73</f>
        <v>4L</v>
      </c>
      <c r="G120" s="80" t="s">
        <v>167</v>
      </c>
    </row>
    <row r="121" spans="1:7" x14ac:dyDescent="0.25">
      <c r="A121" s="78"/>
      <c r="B121" s="78"/>
      <c r="C121" s="67"/>
      <c r="D121" s="72">
        <f>0.487499999999996 + "00:12:00"</f>
        <v>0.49583333333332935</v>
      </c>
      <c r="E121" s="67"/>
      <c r="F121" s="78"/>
      <c r="G121" s="78"/>
    </row>
    <row r="122" spans="1:7" x14ac:dyDescent="0.25">
      <c r="A122" s="80" t="s">
        <v>165</v>
      </c>
      <c r="B122" s="80" t="str">
        <f>INSCRIPTS!C71</f>
        <v>2L</v>
      </c>
      <c r="C122" s="71"/>
      <c r="D122" s="66" t="s">
        <v>213</v>
      </c>
      <c r="E122" s="71"/>
      <c r="F122" s="80" t="str">
        <f>INSCRIPTS!C75</f>
        <v>6L</v>
      </c>
      <c r="G122" s="80" t="s">
        <v>169</v>
      </c>
    </row>
    <row r="123" spans="1:7" x14ac:dyDescent="0.25">
      <c r="A123" s="80" t="s">
        <v>166</v>
      </c>
      <c r="B123" s="80" t="str">
        <f>INSCRIPTS!C72</f>
        <v>3L</v>
      </c>
      <c r="C123" s="71"/>
      <c r="D123" s="66" t="s">
        <v>216</v>
      </c>
      <c r="E123" s="71"/>
      <c r="F123" s="80" t="str">
        <f>INSCRIPTS!C74</f>
        <v>5L</v>
      </c>
      <c r="G123" s="80" t="s">
        <v>168</v>
      </c>
    </row>
    <row r="124" spans="1:7" x14ac:dyDescent="0.25">
      <c r="A124" s="81" t="s">
        <v>172</v>
      </c>
      <c r="B124" s="81" t="str">
        <f>MATCHS_M!$B$17 &amp; " &amp; " &amp; MATCHS_M!$B$18</f>
        <v>5M &amp; 3M</v>
      </c>
      <c r="C124" s="71"/>
      <c r="D124" s="66" t="s">
        <v>214</v>
      </c>
      <c r="E124" s="71"/>
      <c r="F124" s="81" t="str">
        <f>MATCHS_M!$F$17 &amp; " &amp; " &amp; MATCHS_M!$F$18</f>
        <v>1M &amp; 4M</v>
      </c>
      <c r="G124" s="81" t="s">
        <v>176</v>
      </c>
    </row>
    <row r="125" spans="1:7" x14ac:dyDescent="0.25">
      <c r="A125" s="81" t="s">
        <v>173</v>
      </c>
      <c r="B125" s="81" t="str">
        <f>MATCHS_M!$B$19 &amp; " &amp; " &amp; MATCHS_M!$B$20</f>
        <v>9M &amp; 6M</v>
      </c>
      <c r="C125" s="71"/>
      <c r="D125" s="66" t="s">
        <v>217</v>
      </c>
      <c r="E125" s="71"/>
      <c r="F125" s="81" t="str">
        <f>MATCHS_M!$F$19 &amp; " &amp; " &amp; MATCHS_M!$F$20</f>
        <v>10M &amp; 2M</v>
      </c>
      <c r="G125" s="81" t="s">
        <v>175</v>
      </c>
    </row>
    <row r="126" spans="1:7" x14ac:dyDescent="0.25">
      <c r="A126" s="79" t="s">
        <v>45</v>
      </c>
      <c r="B126" s="79" t="str">
        <f>INSCRIPTS!C3</f>
        <v>2A</v>
      </c>
      <c r="C126" s="71"/>
      <c r="D126" s="66" t="s">
        <v>190</v>
      </c>
      <c r="E126" s="71"/>
      <c r="F126" s="79" t="str">
        <f>INSCRIPTS!C4</f>
        <v>3A</v>
      </c>
      <c r="G126" s="79" t="s">
        <v>46</v>
      </c>
    </row>
    <row r="127" spans="1:7" x14ac:dyDescent="0.25">
      <c r="A127" s="79" t="s">
        <v>100</v>
      </c>
      <c r="B127" s="79" t="str">
        <f>INSCRIPTS!C5</f>
        <v>4A</v>
      </c>
      <c r="C127" s="71"/>
      <c r="D127" s="66" t="s">
        <v>191</v>
      </c>
      <c r="E127" s="71"/>
      <c r="F127" s="79" t="str">
        <f>INSCRIPTS!C6</f>
        <v>5A</v>
      </c>
      <c r="G127" s="79" t="s">
        <v>101</v>
      </c>
    </row>
    <row r="128" spans="1:7" x14ac:dyDescent="0.25">
      <c r="A128" s="80" t="s">
        <v>48</v>
      </c>
      <c r="B128" s="80" t="str">
        <f>INSCRIPTS!C9</f>
        <v>2B</v>
      </c>
      <c r="C128" s="71"/>
      <c r="D128" s="66" t="s">
        <v>192</v>
      </c>
      <c r="E128" s="71"/>
      <c r="F128" s="80" t="str">
        <f>INSCRIPTS!C10</f>
        <v>3B</v>
      </c>
      <c r="G128" s="80" t="s">
        <v>49</v>
      </c>
    </row>
    <row r="129" spans="1:7" x14ac:dyDescent="0.25">
      <c r="A129" s="80" t="s">
        <v>103</v>
      </c>
      <c r="B129" s="80" t="str">
        <f>INSCRIPTS!C11</f>
        <v>4B</v>
      </c>
      <c r="C129" s="71"/>
      <c r="D129" s="66" t="s">
        <v>193</v>
      </c>
      <c r="E129" s="71"/>
      <c r="F129" s="80" t="str">
        <f>INSCRIPTS!C12</f>
        <v>5B</v>
      </c>
      <c r="G129" s="80" t="s">
        <v>104</v>
      </c>
    </row>
    <row r="130" spans="1:7" x14ac:dyDescent="0.25">
      <c r="A130" s="81" t="s">
        <v>107</v>
      </c>
      <c r="B130" s="81" t="str">
        <f>INSCRIPTS!C15</f>
        <v>2C</v>
      </c>
      <c r="C130" s="71"/>
      <c r="D130" s="66" t="s">
        <v>194</v>
      </c>
      <c r="E130" s="71"/>
      <c r="F130" s="81" t="str">
        <f>INSCRIPTS!C16</f>
        <v>3C</v>
      </c>
      <c r="G130" s="81" t="s">
        <v>108</v>
      </c>
    </row>
    <row r="131" spans="1:7" x14ac:dyDescent="0.25">
      <c r="A131" s="78"/>
      <c r="B131" s="78"/>
      <c r="C131" s="67"/>
      <c r="D131" s="72">
        <f>0.495833333333329 + "00:12:00"</f>
        <v>0.50416666666666232</v>
      </c>
      <c r="E131" s="67"/>
      <c r="F131" s="78"/>
      <c r="G131" s="78"/>
    </row>
    <row r="132" spans="1:7" x14ac:dyDescent="0.25">
      <c r="A132" s="81" t="s">
        <v>109</v>
      </c>
      <c r="B132" s="81" t="str">
        <f>INSCRIPTS!C17</f>
        <v>4C</v>
      </c>
      <c r="C132" s="71"/>
      <c r="D132" s="66" t="s">
        <v>186</v>
      </c>
      <c r="E132" s="71"/>
      <c r="F132" s="81" t="str">
        <f>INSCRIPTS!C18</f>
        <v>5C</v>
      </c>
      <c r="G132" s="81" t="s">
        <v>110</v>
      </c>
    </row>
    <row r="133" spans="1:7" x14ac:dyDescent="0.25">
      <c r="A133" s="82" t="s">
        <v>113</v>
      </c>
      <c r="B133" s="82" t="str">
        <f>INSCRIPTS!C21</f>
        <v>2D</v>
      </c>
      <c r="C133" s="71"/>
      <c r="D133" s="66" t="s">
        <v>187</v>
      </c>
      <c r="E133" s="71"/>
      <c r="F133" s="82" t="str">
        <f>INSCRIPTS!C22</f>
        <v>3D</v>
      </c>
      <c r="G133" s="82" t="s">
        <v>114</v>
      </c>
    </row>
    <row r="134" spans="1:7" x14ac:dyDescent="0.25">
      <c r="A134" s="82" t="s">
        <v>115</v>
      </c>
      <c r="B134" s="82" t="str">
        <f>INSCRIPTS!C23</f>
        <v>4D</v>
      </c>
      <c r="C134" s="71"/>
      <c r="D134" s="66" t="s">
        <v>188</v>
      </c>
      <c r="E134" s="71"/>
      <c r="F134" s="82" t="str">
        <f>INSCRIPTS!C24</f>
        <v>5D</v>
      </c>
      <c r="G134" s="82" t="s">
        <v>116</v>
      </c>
    </row>
    <row r="135" spans="1:7" x14ac:dyDescent="0.25">
      <c r="A135" s="83" t="s">
        <v>119</v>
      </c>
      <c r="B135" s="83" t="str">
        <f>INSCRIPTS!C27</f>
        <v>2E</v>
      </c>
      <c r="C135" s="71"/>
      <c r="D135" s="66" t="s">
        <v>189</v>
      </c>
      <c r="E135" s="71"/>
      <c r="F135" s="83" t="str">
        <f>INSCRIPTS!C28</f>
        <v>3E</v>
      </c>
      <c r="G135" s="83" t="s">
        <v>120</v>
      </c>
    </row>
    <row r="136" spans="1:7" x14ac:dyDescent="0.25">
      <c r="A136" s="83" t="s">
        <v>121</v>
      </c>
      <c r="B136" s="83" t="str">
        <f>INSCRIPTS!C29</f>
        <v>4E</v>
      </c>
      <c r="C136" s="71"/>
      <c r="D136" s="66" t="s">
        <v>190</v>
      </c>
      <c r="E136" s="71"/>
      <c r="F136" s="83" t="str">
        <f>INSCRIPTS!C30</f>
        <v>5E</v>
      </c>
      <c r="G136" s="83" t="s">
        <v>122</v>
      </c>
    </row>
    <row r="137" spans="1:7" x14ac:dyDescent="0.25">
      <c r="A137" s="79" t="s">
        <v>125</v>
      </c>
      <c r="B137" s="79" t="str">
        <f>INSCRIPTS!C33</f>
        <v>2F</v>
      </c>
      <c r="C137" s="71"/>
      <c r="D137" s="66" t="s">
        <v>191</v>
      </c>
      <c r="E137" s="71"/>
      <c r="F137" s="79" t="str">
        <f>INSCRIPTS!C34</f>
        <v>3F</v>
      </c>
      <c r="G137" s="79" t="s">
        <v>126</v>
      </c>
    </row>
    <row r="138" spans="1:7" x14ac:dyDescent="0.25">
      <c r="A138" s="79" t="s">
        <v>127</v>
      </c>
      <c r="B138" s="79" t="str">
        <f>INSCRIPTS!C35</f>
        <v>4F</v>
      </c>
      <c r="C138" s="71"/>
      <c r="D138" s="66" t="s">
        <v>192</v>
      </c>
      <c r="E138" s="71"/>
      <c r="F138" s="79" t="str">
        <f>INSCRIPTS!C36</f>
        <v>5F</v>
      </c>
      <c r="G138" s="79" t="s">
        <v>128</v>
      </c>
    </row>
    <row r="139" spans="1:7" x14ac:dyDescent="0.25">
      <c r="A139" s="80" t="s">
        <v>131</v>
      </c>
      <c r="B139" s="80" t="str">
        <f>INSCRIPTS!C39</f>
        <v>2G</v>
      </c>
      <c r="C139" s="71"/>
      <c r="D139" s="66" t="s">
        <v>193</v>
      </c>
      <c r="E139" s="71"/>
      <c r="F139" s="80" t="str">
        <f>INSCRIPTS!C40</f>
        <v>3G</v>
      </c>
      <c r="G139" s="80" t="s">
        <v>132</v>
      </c>
    </row>
    <row r="140" spans="1:7" x14ac:dyDescent="0.25">
      <c r="A140" s="80" t="s">
        <v>133</v>
      </c>
      <c r="B140" s="80" t="str">
        <f>INSCRIPTS!C41</f>
        <v>4G</v>
      </c>
      <c r="C140" s="71"/>
      <c r="D140" s="66" t="s">
        <v>194</v>
      </c>
      <c r="E140" s="71"/>
      <c r="F140" s="80" t="str">
        <f>INSCRIPTS!C42</f>
        <v>5G</v>
      </c>
      <c r="G140" s="80" t="s">
        <v>134</v>
      </c>
    </row>
    <row r="141" spans="1:7" x14ac:dyDescent="0.25">
      <c r="A141" s="78"/>
      <c r="B141" s="78"/>
      <c r="C141" s="67"/>
      <c r="D141" s="72">
        <f>0.504166666666662 + "00:12:00"</f>
        <v>0.51249999999999529</v>
      </c>
      <c r="E141" s="67"/>
      <c r="F141" s="78"/>
      <c r="G141" s="78"/>
    </row>
    <row r="142" spans="1:7" x14ac:dyDescent="0.25">
      <c r="A142" s="81" t="s">
        <v>138</v>
      </c>
      <c r="B142" s="81" t="str">
        <f>INSCRIPTS!C45</f>
        <v>2H</v>
      </c>
      <c r="C142" s="71"/>
      <c r="D142" s="66" t="s">
        <v>199</v>
      </c>
      <c r="E142" s="71"/>
      <c r="F142" s="81" t="str">
        <f>INSCRIPTS!C46</f>
        <v>3H</v>
      </c>
      <c r="G142" s="81" t="s">
        <v>139</v>
      </c>
    </row>
    <row r="143" spans="1:7" x14ac:dyDescent="0.25">
      <c r="A143" s="81" t="s">
        <v>140</v>
      </c>
      <c r="B143" s="81" t="str">
        <f>INSCRIPTS!C47</f>
        <v>4H</v>
      </c>
      <c r="C143" s="71"/>
      <c r="D143" s="66" t="s">
        <v>200</v>
      </c>
      <c r="E143" s="71"/>
      <c r="F143" s="81" t="str">
        <f>INSCRIPTS!C48</f>
        <v>5H</v>
      </c>
      <c r="G143" s="81" t="s">
        <v>141</v>
      </c>
    </row>
    <row r="144" spans="1:7" x14ac:dyDescent="0.25">
      <c r="A144" s="82" t="s">
        <v>144</v>
      </c>
      <c r="B144" s="82" t="str">
        <f>INSCRIPTS!C51</f>
        <v>2I</v>
      </c>
      <c r="C144" s="71"/>
      <c r="D144" s="66" t="s">
        <v>209</v>
      </c>
      <c r="E144" s="71"/>
      <c r="F144" s="82" t="str">
        <f>INSCRIPTS!C52</f>
        <v>3I</v>
      </c>
      <c r="G144" s="82" t="s">
        <v>145</v>
      </c>
    </row>
    <row r="145" spans="1:7" x14ac:dyDescent="0.25">
      <c r="A145" s="82" t="s">
        <v>146</v>
      </c>
      <c r="B145" s="82" t="str">
        <f>INSCRIPTS!C53</f>
        <v>4I</v>
      </c>
      <c r="C145" s="71"/>
      <c r="D145" s="66" t="s">
        <v>212</v>
      </c>
      <c r="E145" s="71"/>
      <c r="F145" s="82" t="str">
        <f>INSCRIPTS!C54</f>
        <v>5I</v>
      </c>
      <c r="G145" s="82" t="s">
        <v>147</v>
      </c>
    </row>
    <row r="146" spans="1:7" x14ac:dyDescent="0.25">
      <c r="A146" s="83" t="s">
        <v>150</v>
      </c>
      <c r="B146" s="83" t="str">
        <f>INSCRIPTS!C57</f>
        <v>2J</v>
      </c>
      <c r="C146" s="71"/>
      <c r="D146" s="66" t="s">
        <v>215</v>
      </c>
      <c r="E146" s="71"/>
      <c r="F146" s="83" t="str">
        <f>INSCRIPTS!C58</f>
        <v>3J</v>
      </c>
      <c r="G146" s="83" t="s">
        <v>151</v>
      </c>
    </row>
    <row r="147" spans="1:7" x14ac:dyDescent="0.25">
      <c r="A147" s="83" t="s">
        <v>152</v>
      </c>
      <c r="B147" s="83" t="str">
        <f>INSCRIPTS!C59</f>
        <v>4J</v>
      </c>
      <c r="C147" s="71"/>
      <c r="D147" s="66" t="s">
        <v>195</v>
      </c>
      <c r="E147" s="71"/>
      <c r="F147" s="83" t="str">
        <f>INSCRIPTS!C60</f>
        <v>5J</v>
      </c>
      <c r="G147" s="83" t="s">
        <v>153</v>
      </c>
    </row>
    <row r="148" spans="1:7" x14ac:dyDescent="0.25">
      <c r="A148" s="79" t="s">
        <v>158</v>
      </c>
      <c r="B148" s="79" t="str">
        <f>INSCRIPTS!C64</f>
        <v>3K</v>
      </c>
      <c r="C148" s="71"/>
      <c r="D148" s="66" t="s">
        <v>205</v>
      </c>
      <c r="E148" s="71"/>
      <c r="F148" s="79" t="str">
        <f>INSCRIPTS!C66</f>
        <v>5K</v>
      </c>
      <c r="G148" s="79" t="s">
        <v>160</v>
      </c>
    </row>
    <row r="149" spans="1:7" x14ac:dyDescent="0.25">
      <c r="A149" s="79" t="s">
        <v>157</v>
      </c>
      <c r="B149" s="79" t="str">
        <f>INSCRIPTS!C63</f>
        <v>2K</v>
      </c>
      <c r="C149" s="71"/>
      <c r="D149" s="66" t="s">
        <v>206</v>
      </c>
      <c r="E149" s="71"/>
      <c r="F149" s="79" t="str">
        <f>INSCRIPTS!C67</f>
        <v>6K</v>
      </c>
      <c r="G149" s="79" t="s">
        <v>161</v>
      </c>
    </row>
    <row r="150" spans="1:7" x14ac:dyDescent="0.25">
      <c r="A150" s="79" t="s">
        <v>159</v>
      </c>
      <c r="B150" s="79" t="str">
        <f>INSCRIPTS!C65</f>
        <v>4K</v>
      </c>
      <c r="C150" s="71"/>
      <c r="D150" s="66" t="s">
        <v>210</v>
      </c>
      <c r="E150" s="71"/>
      <c r="F150" s="79" t="str">
        <f>INSCRIPTS!C68</f>
        <v>7K</v>
      </c>
      <c r="G150" s="79" t="s">
        <v>162</v>
      </c>
    </row>
    <row r="151" spans="1:7" x14ac:dyDescent="0.25">
      <c r="A151" s="78"/>
      <c r="B151" s="78"/>
      <c r="C151" s="67"/>
      <c r="D151" s="72">
        <f>0.512499999999995 + "00:12:00"</f>
        <v>0.52083333333332826</v>
      </c>
      <c r="E151" s="67"/>
      <c r="F151" s="78"/>
      <c r="G151" s="78"/>
    </row>
    <row r="152" spans="1:7" x14ac:dyDescent="0.25">
      <c r="A152" s="80" t="s">
        <v>164</v>
      </c>
      <c r="B152" s="80" t="str">
        <f>INSCRIPTS!C70</f>
        <v>1L</v>
      </c>
      <c r="C152" s="71"/>
      <c r="D152" s="66" t="s">
        <v>213</v>
      </c>
      <c r="E152" s="71"/>
      <c r="F152" s="80" t="str">
        <f>INSCRIPTS!C74</f>
        <v>5L</v>
      </c>
      <c r="G152" s="80" t="s">
        <v>168</v>
      </c>
    </row>
    <row r="153" spans="1:7" x14ac:dyDescent="0.25">
      <c r="A153" s="80" t="s">
        <v>165</v>
      </c>
      <c r="B153" s="80" t="str">
        <f>INSCRIPTS!C71</f>
        <v>2L</v>
      </c>
      <c r="C153" s="71"/>
      <c r="D153" s="66" t="s">
        <v>216</v>
      </c>
      <c r="E153" s="71"/>
      <c r="F153" s="80" t="str">
        <f>INSCRIPTS!C73</f>
        <v>4L</v>
      </c>
      <c r="G153" s="80" t="s">
        <v>167</v>
      </c>
    </row>
    <row r="154" spans="1:7" x14ac:dyDescent="0.25">
      <c r="A154" s="80" t="s">
        <v>166</v>
      </c>
      <c r="B154" s="80" t="str">
        <f>INSCRIPTS!C72</f>
        <v>3L</v>
      </c>
      <c r="C154" s="71"/>
      <c r="D154" s="66" t="s">
        <v>201</v>
      </c>
      <c r="E154" s="71"/>
      <c r="F154" s="80" t="str">
        <f>INSCRIPTS!C75</f>
        <v>6L</v>
      </c>
      <c r="G154" s="80" t="s">
        <v>169</v>
      </c>
    </row>
    <row r="155" spans="1:7" x14ac:dyDescent="0.25">
      <c r="A155" s="81" t="s">
        <v>173</v>
      </c>
      <c r="B155" s="81" t="str">
        <f>MATCHS_M!$B$22 &amp; " &amp; " &amp; MATCHS_M!$B$23</f>
        <v>1M &amp; 9M</v>
      </c>
      <c r="C155" s="71"/>
      <c r="D155" s="66" t="s">
        <v>217</v>
      </c>
      <c r="E155" s="71"/>
      <c r="F155" s="81" t="str">
        <f>MATCHS_M!$F$22 &amp; " &amp; " &amp; MATCHS_M!$F$23</f>
        <v>8M &amp; 2M</v>
      </c>
      <c r="G155" s="81" t="s">
        <v>174</v>
      </c>
    </row>
    <row r="156" spans="1:7" x14ac:dyDescent="0.25">
      <c r="A156" s="81" t="s">
        <v>175</v>
      </c>
      <c r="B156" s="81" t="str">
        <f>MATCHS_M!$B$24 &amp; " &amp; " &amp; MATCHS_M!$B$25</f>
        <v>3M &amp; 6M</v>
      </c>
      <c r="C156" s="71"/>
      <c r="D156" s="66" t="s">
        <v>218</v>
      </c>
      <c r="E156" s="71"/>
      <c r="F156" s="81" t="str">
        <f>MATCHS_M!$F$24 &amp; " &amp; " &amp; MATCHS_M!$F$25</f>
        <v>10M &amp; 7M</v>
      </c>
      <c r="G156" s="81" t="s">
        <v>176</v>
      </c>
    </row>
    <row r="157" spans="1:7" x14ac:dyDescent="0.25">
      <c r="A157" s="79" t="s">
        <v>156</v>
      </c>
      <c r="B157" s="79" t="str">
        <f>INSCRIPTS!C62</f>
        <v>1K</v>
      </c>
      <c r="C157" s="71"/>
      <c r="D157" s="66" t="s">
        <v>204</v>
      </c>
      <c r="E157" s="71"/>
      <c r="F157" s="79" t="str">
        <f>INSCRIPTS!C67</f>
        <v>6K</v>
      </c>
      <c r="G157" s="79" t="s">
        <v>161</v>
      </c>
    </row>
    <row r="158" spans="1:7" x14ac:dyDescent="0.25">
      <c r="A158" s="79" t="s">
        <v>157</v>
      </c>
      <c r="B158" s="79" t="str">
        <f>INSCRIPTS!C63</f>
        <v>2K</v>
      </c>
      <c r="C158" s="71"/>
      <c r="D158" s="66" t="s">
        <v>205</v>
      </c>
      <c r="E158" s="71"/>
      <c r="F158" s="79" t="str">
        <f>INSCRIPTS!C65</f>
        <v>4K</v>
      </c>
      <c r="G158" s="79" t="s">
        <v>159</v>
      </c>
    </row>
    <row r="159" spans="1:7" x14ac:dyDescent="0.25">
      <c r="A159" s="79" t="s">
        <v>160</v>
      </c>
      <c r="B159" s="79" t="str">
        <f>INSCRIPTS!C66</f>
        <v>5K</v>
      </c>
      <c r="C159" s="71"/>
      <c r="D159" s="66" t="s">
        <v>206</v>
      </c>
      <c r="E159" s="71"/>
      <c r="F159" s="79" t="str">
        <f>INSCRIPTS!C68</f>
        <v>7K</v>
      </c>
      <c r="G159" s="79" t="s">
        <v>162</v>
      </c>
    </row>
    <row r="160" spans="1:7" x14ac:dyDescent="0.25">
      <c r="A160" s="66" t="s">
        <v>219</v>
      </c>
      <c r="B160" s="66" t="s">
        <v>219</v>
      </c>
      <c r="C160" s="71"/>
      <c r="D160" s="66" t="s">
        <v>220</v>
      </c>
      <c r="E160" s="71"/>
      <c r="F160" s="66" t="s">
        <v>219</v>
      </c>
      <c r="G160" s="66" t="s">
        <v>219</v>
      </c>
    </row>
    <row r="161" spans="1:7" x14ac:dyDescent="0.25">
      <c r="A161" s="78"/>
      <c r="B161" s="78"/>
      <c r="C161" s="67"/>
      <c r="D161" s="72">
        <v>0.57291666666666663</v>
      </c>
      <c r="E161" s="67">
        <v>1</v>
      </c>
      <c r="F161" s="78"/>
      <c r="G161" s="78"/>
    </row>
    <row r="162" spans="1:7" x14ac:dyDescent="0.25">
      <c r="A162" s="79" t="s">
        <v>156</v>
      </c>
      <c r="B162" s="79" t="str">
        <f>INSCRIPTS!C62</f>
        <v>1K</v>
      </c>
      <c r="C162" s="71"/>
      <c r="D162" s="66" t="s">
        <v>213</v>
      </c>
      <c r="E162" s="71"/>
      <c r="F162" s="79" t="str">
        <f>INSCRIPTS!C68</f>
        <v>7K</v>
      </c>
      <c r="G162" s="79" t="s">
        <v>162</v>
      </c>
    </row>
    <row r="163" spans="1:7" x14ac:dyDescent="0.25">
      <c r="A163" s="79" t="s">
        <v>157</v>
      </c>
      <c r="B163" s="79" t="str">
        <f>INSCRIPTS!C63</f>
        <v>2K</v>
      </c>
      <c r="C163" s="71"/>
      <c r="D163" s="66" t="s">
        <v>216</v>
      </c>
      <c r="E163" s="71"/>
      <c r="F163" s="79" t="str">
        <f>INSCRIPTS!C64</f>
        <v>3K</v>
      </c>
      <c r="G163" s="79" t="s">
        <v>158</v>
      </c>
    </row>
    <row r="164" spans="1:7" x14ac:dyDescent="0.25">
      <c r="A164" s="79" t="s">
        <v>159</v>
      </c>
      <c r="B164" s="79" t="str">
        <f>INSCRIPTS!C65</f>
        <v>4K</v>
      </c>
      <c r="C164" s="71"/>
      <c r="D164" s="66" t="s">
        <v>201</v>
      </c>
      <c r="E164" s="71"/>
      <c r="F164" s="79" t="str">
        <f>INSCRIPTS!C67</f>
        <v>6K</v>
      </c>
      <c r="G164" s="79" t="s">
        <v>161</v>
      </c>
    </row>
    <row r="165" spans="1:7" x14ac:dyDescent="0.25">
      <c r="A165" s="66"/>
      <c r="B165" s="81" t="str">
        <f>MATCHS_14!B2&amp; " &amp; " &amp; MATCHS_14!B3</f>
        <v>1M &amp; 12M</v>
      </c>
      <c r="C165" s="71"/>
      <c r="D165" s="66" t="s">
        <v>217</v>
      </c>
      <c r="E165" s="71"/>
      <c r="F165" s="81" t="str">
        <f>MATCHS_14!F2&amp; " &amp; " &amp; MATCHS_14!F3</f>
        <v>11M &amp; 10M</v>
      </c>
      <c r="G165" s="66"/>
    </row>
    <row r="166" spans="1:7" x14ac:dyDescent="0.25">
      <c r="A166" s="66"/>
      <c r="B166" s="81" t="str">
        <f>MATCHS_14!B4&amp; " &amp; " &amp; MATCHS_14!B5</f>
        <v>13M &amp; 14M</v>
      </c>
      <c r="C166" s="71"/>
      <c r="D166" s="66" t="s">
        <v>218</v>
      </c>
      <c r="E166" s="71"/>
      <c r="F166" s="81" t="str">
        <f>MATCHS_14!F4&amp; " &amp; " &amp; MATCHS_14!F5</f>
        <v>9M &amp; 8M</v>
      </c>
      <c r="G166" s="66"/>
    </row>
    <row r="167" spans="1:7" x14ac:dyDescent="0.25">
      <c r="A167" s="66"/>
      <c r="B167" s="81" t="str">
        <f>MATCHS_14!B6&amp; " &amp; " &amp; MATCHS_14!B7</f>
        <v>2M &amp; 3M</v>
      </c>
      <c r="C167" s="71"/>
      <c r="D167" s="66" t="s">
        <v>310</v>
      </c>
      <c r="E167" s="71"/>
      <c r="F167" s="81" t="str">
        <f>MATCHS_14!F6&amp; " &amp; " &amp; MATCHS_14!F7</f>
        <v>7M &amp; 6M</v>
      </c>
      <c r="G167" s="66"/>
    </row>
    <row r="168" spans="1:7" x14ac:dyDescent="0.25">
      <c r="A168" s="66"/>
      <c r="B168" s="66" t="s">
        <v>219</v>
      </c>
      <c r="C168" s="71"/>
      <c r="D168" s="66" t="s">
        <v>221</v>
      </c>
      <c r="E168" s="71"/>
      <c r="F168" s="66" t="s">
        <v>219</v>
      </c>
      <c r="G168" s="66"/>
    </row>
    <row r="169" spans="1:7" x14ac:dyDescent="0.25">
      <c r="A169" s="66"/>
      <c r="B169" s="66" t="s">
        <v>219</v>
      </c>
      <c r="C169" s="71"/>
      <c r="D169" s="66" t="s">
        <v>222</v>
      </c>
      <c r="E169" s="71"/>
      <c r="F169" s="66" t="s">
        <v>219</v>
      </c>
      <c r="G169" s="66"/>
    </row>
    <row r="170" spans="1:7" x14ac:dyDescent="0.25">
      <c r="A170" s="66"/>
      <c r="B170" s="66" t="s">
        <v>219</v>
      </c>
      <c r="C170" s="71"/>
      <c r="D170" s="66" t="s">
        <v>220</v>
      </c>
      <c r="E170" s="71"/>
      <c r="F170" s="66" t="s">
        <v>219</v>
      </c>
      <c r="G170" s="66"/>
    </row>
    <row r="171" spans="1:7" x14ac:dyDescent="0.25">
      <c r="A171" s="78"/>
      <c r="B171" s="78"/>
      <c r="C171" s="67"/>
      <c r="D171" s="72">
        <f>0.572916666666667 + "00:12:00"</f>
        <v>0.58125000000000027</v>
      </c>
      <c r="E171" s="67"/>
      <c r="F171" s="78"/>
      <c r="G171" s="78"/>
    </row>
    <row r="181" spans="4:4" x14ac:dyDescent="0.25">
      <c r="D181" s="47">
        <f>0.552083333333339 + "00:15:00"</f>
        <v>0.56250000000000566</v>
      </c>
    </row>
    <row r="191" spans="4:4" x14ac:dyDescent="0.25">
      <c r="D191" s="47">
        <f>0.562500000000006 + "00:15:00"</f>
        <v>0.57291666666667262</v>
      </c>
    </row>
    <row r="201" spans="4:4" x14ac:dyDescent="0.25">
      <c r="D201" s="47">
        <f>0.572916666666673 + "00:15:00"</f>
        <v>0.58333333333333959</v>
      </c>
    </row>
    <row r="211" spans="4:4" x14ac:dyDescent="0.25">
      <c r="D211" s="47">
        <f>0.58333333333334 + "00:15:00"</f>
        <v>0.59375000000000666</v>
      </c>
    </row>
    <row r="221" spans="4:4" x14ac:dyDescent="0.25">
      <c r="D221" s="47">
        <f>0.593750000000007 + "00:15:00"</f>
        <v>0.60416666666667362</v>
      </c>
    </row>
    <row r="231" spans="4:4" x14ac:dyDescent="0.25">
      <c r="D231" s="47">
        <f>0.604166666666674 + "00:15:00"</f>
        <v>0.61458333333334059</v>
      </c>
    </row>
    <row r="241" spans="4:4" x14ac:dyDescent="0.25">
      <c r="D241" s="47">
        <f>0.614583333333341 + "00:15:00"</f>
        <v>0.62500000000000766</v>
      </c>
    </row>
    <row r="251" spans="4:4" x14ac:dyDescent="0.25">
      <c r="D251" s="47">
        <f>0.625000000000008 + "00:15:00"</f>
        <v>0.63541666666667462</v>
      </c>
    </row>
    <row r="261" spans="4:4" x14ac:dyDescent="0.25">
      <c r="D261" s="47">
        <f>0.635416666666675 + "00:15:00"</f>
        <v>0.64583333333334159</v>
      </c>
    </row>
    <row r="271" spans="4:4" x14ac:dyDescent="0.25">
      <c r="D271" s="47">
        <f>0.645833333333342 + "00:15:00"</f>
        <v>0.65625000000000866</v>
      </c>
    </row>
    <row r="281" spans="4:4" x14ac:dyDescent="0.25">
      <c r="D281" s="47">
        <f>0.656250000000009 + "00:15:00"</f>
        <v>0.66666666666667562</v>
      </c>
    </row>
    <row r="291" spans="4:4" x14ac:dyDescent="0.25">
      <c r="D291" s="47">
        <f>0.666666666666676 + "00:15:00"</f>
        <v>0.67708333333334259</v>
      </c>
    </row>
    <row r="301" spans="4:4" x14ac:dyDescent="0.25">
      <c r="D301" s="47">
        <f>0.677083333333343 + "00:15:00"</f>
        <v>0.68750000000000966</v>
      </c>
    </row>
    <row r="311" spans="4:4" x14ac:dyDescent="0.25">
      <c r="D311" s="47">
        <f>0.68750000000001 + "00:15:00"</f>
        <v>0.69791666666667662</v>
      </c>
    </row>
    <row r="321" spans="4:4" x14ac:dyDescent="0.25">
      <c r="D321" s="47">
        <f>0.697916666666677 + "00:15:00"</f>
        <v>0.70833333333334358</v>
      </c>
    </row>
    <row r="331" spans="4:4" x14ac:dyDescent="0.25">
      <c r="D331" s="47">
        <f>0.708333333333344 + "00:15:00"</f>
        <v>0.71875000000001066</v>
      </c>
    </row>
    <row r="341" spans="4:4" x14ac:dyDescent="0.25">
      <c r="D341" s="47">
        <f>0.718750000000011 + "00:15:00"</f>
        <v>0.72916666666667762</v>
      </c>
    </row>
    <row r="351" spans="4:4" x14ac:dyDescent="0.25">
      <c r="D351" s="47">
        <f>0.729166666666678 + "00:15:00"</f>
        <v>0.73958333333334458</v>
      </c>
    </row>
    <row r="361" spans="4:4" x14ac:dyDescent="0.25">
      <c r="D361" s="47">
        <f>0.739583333333345 + "00:15:00"</f>
        <v>0.75000000000001166</v>
      </c>
    </row>
    <row r="371" spans="4:4" x14ac:dyDescent="0.25">
      <c r="D371" s="47">
        <f>0.750000000000012 + "00:15:00"</f>
        <v>0.76041666666667862</v>
      </c>
    </row>
    <row r="381" spans="4:4" x14ac:dyDescent="0.25">
      <c r="D381" s="47">
        <f>0.760416666666679 + "00:15:00"</f>
        <v>0.77083333333334558</v>
      </c>
    </row>
    <row r="391" spans="4:4" x14ac:dyDescent="0.25">
      <c r="D391" s="47">
        <f>0.770833333333346 + "00:15:00"</f>
        <v>0.78125000000001266</v>
      </c>
    </row>
    <row r="401" spans="4:4" x14ac:dyDescent="0.25">
      <c r="D401" s="47">
        <f>0.781250000000013 + "00:15:00"</f>
        <v>0.79166666666667962</v>
      </c>
    </row>
    <row r="411" spans="4:4" x14ac:dyDescent="0.25">
      <c r="D411" s="47">
        <f>0.79166666666668 + "00:15:00"</f>
        <v>0.80208333333334658</v>
      </c>
    </row>
    <row r="421" spans="4:4" x14ac:dyDescent="0.25">
      <c r="D421" s="47">
        <f>0.802083333333347 + "00:15:00"</f>
        <v>0.81250000000001366</v>
      </c>
    </row>
    <row r="431" spans="4:4" x14ac:dyDescent="0.25">
      <c r="D431" s="47">
        <f>0.812500000000014 + "00:15:00"</f>
        <v>0.82291666666668062</v>
      </c>
    </row>
    <row r="441" spans="4:4" x14ac:dyDescent="0.25">
      <c r="D441" s="47">
        <f>0.822916666666681 + "00:15:00"</f>
        <v>0.83333333333334758</v>
      </c>
    </row>
    <row r="451" spans="4:4" x14ac:dyDescent="0.25">
      <c r="D451" s="47">
        <f>0.833333333333348 + "00:15:00"</f>
        <v>0.84375000000001465</v>
      </c>
    </row>
    <row r="461" spans="4:4" x14ac:dyDescent="0.25">
      <c r="D461" s="47">
        <f>0.843750000000015 + "00:15:00"</f>
        <v>0.85416666666668162</v>
      </c>
    </row>
    <row r="471" spans="4:4" x14ac:dyDescent="0.25">
      <c r="D471" s="47">
        <f>0.854166666666682 + "00:15:00"</f>
        <v>0.86458333333334858</v>
      </c>
    </row>
    <row r="481" spans="4:4" x14ac:dyDescent="0.25">
      <c r="D481" s="47">
        <f>0.864583333333349 + "00:15:00"</f>
        <v>0.87500000000001565</v>
      </c>
    </row>
    <row r="491" spans="4:4" x14ac:dyDescent="0.25">
      <c r="D491" s="47">
        <f>0.875000000000016 + "00:15:00"</f>
        <v>0.88541666666668262</v>
      </c>
    </row>
    <row r="501" spans="4:4" x14ac:dyDescent="0.25">
      <c r="D501" s="47">
        <f>0.885416666666683 + "00:15:00"</f>
        <v>0.89583333333334958</v>
      </c>
    </row>
    <row r="511" spans="4:4" x14ac:dyDescent="0.25">
      <c r="D511" s="47">
        <f>0.89583333333335 + "00:15:00"</f>
        <v>0.90625000000001665</v>
      </c>
    </row>
    <row r="521" spans="4:4" x14ac:dyDescent="0.25">
      <c r="D521" s="47">
        <f>0.906250000000017 + "00:15:00"</f>
        <v>0.91666666666668362</v>
      </c>
    </row>
    <row r="531" spans="4:4" x14ac:dyDescent="0.25">
      <c r="D531" s="47">
        <f>0.916666666666684 + "00:15:00"</f>
        <v>0.92708333333335058</v>
      </c>
    </row>
    <row r="541" spans="4:4" x14ac:dyDescent="0.25">
      <c r="D541" s="47">
        <f>0.927083333333351 + "00:15:00"</f>
        <v>0.93750000000001765</v>
      </c>
    </row>
    <row r="551" spans="4:4" x14ac:dyDescent="0.25">
      <c r="D551" s="47">
        <f>0.937500000000018 + "00:15:00"</f>
        <v>0.94791666666668462</v>
      </c>
    </row>
    <row r="561" spans="4:4" x14ac:dyDescent="0.25">
      <c r="D561" s="47">
        <f>0.947916666666685 + "00:15:00"</f>
        <v>0.95833333333335158</v>
      </c>
    </row>
    <row r="571" spans="4:4" x14ac:dyDescent="0.25">
      <c r="D571" s="47">
        <f>0.958333333333352 + "00:15:00"</f>
        <v>0.96875000000001865</v>
      </c>
    </row>
    <row r="581" spans="4:4" x14ac:dyDescent="0.25">
      <c r="D581" s="47">
        <f>0.968750000000019 + "00:15:00"</f>
        <v>0.97916666666668561</v>
      </c>
    </row>
    <row r="591" spans="4:4" x14ac:dyDescent="0.25">
      <c r="D591" s="47">
        <f>0.979166666666686 + "00:15:00"</f>
        <v>0.98958333333335258</v>
      </c>
    </row>
    <row r="601" spans="4:4" x14ac:dyDescent="0.25">
      <c r="D601" s="47">
        <f>0.989583333333353 + "00:15:00"</f>
        <v>1.0000000000000198</v>
      </c>
    </row>
    <row r="611" spans="4:4" x14ac:dyDescent="0.25">
      <c r="D611" s="47">
        <f>1.00000000000002 + "00:15:00"</f>
        <v>1.0104166666666867</v>
      </c>
    </row>
    <row r="621" spans="4:4" x14ac:dyDescent="0.25">
      <c r="D621" s="47">
        <f>1.01041666666669 + "00:15:00"</f>
        <v>1.0208333333333568</v>
      </c>
    </row>
    <row r="631" spans="4:4" x14ac:dyDescent="0.25">
      <c r="D631" s="47">
        <f>1.02083333333336 + "00:15:00"</f>
        <v>1.0312500000000266</v>
      </c>
    </row>
    <row r="641" spans="4:4" x14ac:dyDescent="0.25">
      <c r="D641" s="47">
        <f>1.03125000000003 + "00:15:00"</f>
        <v>1.0416666666666967</v>
      </c>
    </row>
    <row r="651" spans="4:4" x14ac:dyDescent="0.25">
      <c r="D651" s="47">
        <f>1.0416666666667 + "00:15:00"</f>
        <v>1.0520833333333668</v>
      </c>
    </row>
    <row r="661" spans="4:4" x14ac:dyDescent="0.25">
      <c r="D661" s="47">
        <f>1.05208333333337 + "00:15:00"</f>
        <v>1.0625000000000366</v>
      </c>
    </row>
    <row r="671" spans="4:4" x14ac:dyDescent="0.25">
      <c r="D671" s="47">
        <f>1.06250000000004 + "00:15:00"</f>
        <v>1.0729166666667067</v>
      </c>
    </row>
    <row r="681" spans="4:4" x14ac:dyDescent="0.25">
      <c r="D681" s="47">
        <f>1.07291666666671 + "00:15:00"</f>
        <v>1.0833333333333768</v>
      </c>
    </row>
    <row r="691" spans="4:4" x14ac:dyDescent="0.25">
      <c r="D691" s="47">
        <f>1.08333333333338 + "00:15:00"</f>
        <v>1.0937500000000469</v>
      </c>
    </row>
    <row r="701" spans="4:4" x14ac:dyDescent="0.25">
      <c r="D701" s="47">
        <f>1.09375000000005 + "00:15:00"</f>
        <v>1.1041666666667167</v>
      </c>
    </row>
    <row r="711" spans="4:4" x14ac:dyDescent="0.25">
      <c r="D711" s="47">
        <f>1.10416666666672 + "00:15:00"</f>
        <v>1.1145833333333868</v>
      </c>
    </row>
    <row r="721" spans="4:4" x14ac:dyDescent="0.25">
      <c r="D721" s="47">
        <f>1.11458333333339 + "00:15:00"</f>
        <v>1.1250000000000568</v>
      </c>
    </row>
    <row r="731" spans="4:4" x14ac:dyDescent="0.25">
      <c r="D731" s="47">
        <f>1.12500000000006 + "00:15:00"</f>
        <v>1.1354166666667267</v>
      </c>
    </row>
    <row r="741" spans="4:4" x14ac:dyDescent="0.25">
      <c r="D741" s="47">
        <f>1.13541666666673 + "00:15:00"</f>
        <v>1.1458333333333968</v>
      </c>
    </row>
    <row r="751" spans="4:4" x14ac:dyDescent="0.25">
      <c r="D751" s="47">
        <f>1.1458333333334 + "00:15:00"</f>
        <v>1.1562500000000668</v>
      </c>
    </row>
    <row r="761" spans="4:4" x14ac:dyDescent="0.25">
      <c r="D761" s="47">
        <f>1.15625000000007 + "00:15:00"</f>
        <v>1.1666666666667367</v>
      </c>
    </row>
    <row r="771" spans="4:4" x14ac:dyDescent="0.25">
      <c r="D771" s="47">
        <f>1.16666666666674 + "00:15:00"</f>
        <v>1.1770833333334068</v>
      </c>
    </row>
    <row r="781" spans="4:4" x14ac:dyDescent="0.25">
      <c r="D781" s="47">
        <f>1.17708333333341 + "00:15:00"</f>
        <v>1.1875000000000768</v>
      </c>
    </row>
    <row r="791" spans="4:4" x14ac:dyDescent="0.25">
      <c r="D791" s="47">
        <f>1.18750000000008 + "00:15:00"</f>
        <v>1.1979166666667467</v>
      </c>
    </row>
    <row r="801" spans="4:4" x14ac:dyDescent="0.25">
      <c r="D801" s="47">
        <f>1.19791666666675 + "00:15:00"</f>
        <v>1.2083333333334167</v>
      </c>
    </row>
    <row r="811" spans="4:4" x14ac:dyDescent="0.25">
      <c r="D811" s="47">
        <f>1.20833333333342 + "00:15:00"</f>
        <v>1.2187500000000868</v>
      </c>
    </row>
    <row r="821" spans="4:4" x14ac:dyDescent="0.25">
      <c r="D821" s="47">
        <f>1.21875000000009 + "00:15:00"</f>
        <v>1.2291666666667567</v>
      </c>
    </row>
    <row r="831" spans="4:4" x14ac:dyDescent="0.25">
      <c r="D831" s="47">
        <f>1.22916666666676 + "00:15:00"</f>
        <v>1.2395833333334267</v>
      </c>
    </row>
    <row r="841" spans="4:4" x14ac:dyDescent="0.25">
      <c r="D841" s="47">
        <f>1.23958333333343 + "00:15:00"</f>
        <v>1.2500000000000968</v>
      </c>
    </row>
    <row r="851" spans="4:4" x14ac:dyDescent="0.25">
      <c r="D851" s="47">
        <f>1.2500000000001 + "00:15:00"</f>
        <v>1.2604166666667667</v>
      </c>
    </row>
    <row r="861" spans="4:4" x14ac:dyDescent="0.25">
      <c r="D861" s="47">
        <f>1.26041666666677 + "00:15:00"</f>
        <v>1.2708333333334367</v>
      </c>
    </row>
    <row r="871" spans="4:4" x14ac:dyDescent="0.25">
      <c r="D871" s="47">
        <f>1.27083333333344 + "00:15:00"</f>
        <v>1.2812500000001068</v>
      </c>
    </row>
    <row r="881" spans="4:4" x14ac:dyDescent="0.25">
      <c r="D881" s="47">
        <f>1.28125000000011 + "00:15:00"</f>
        <v>1.2916666666667767</v>
      </c>
    </row>
    <row r="891" spans="4:4" x14ac:dyDescent="0.25">
      <c r="D891" s="47">
        <f>1.29166666666678 + "00:15:00"</f>
        <v>1.3020833333334467</v>
      </c>
    </row>
    <row r="901" spans="4:4" x14ac:dyDescent="0.25">
      <c r="D901" s="47">
        <f>1.30208333333345 + "00:15:00"</f>
        <v>1.3125000000001168</v>
      </c>
    </row>
    <row r="911" spans="4:4" x14ac:dyDescent="0.25">
      <c r="D911" s="47">
        <f>1.31250000000012 + "00:15:00"</f>
        <v>1.3229166666667866</v>
      </c>
    </row>
    <row r="921" spans="4:4" x14ac:dyDescent="0.25">
      <c r="D921" s="47">
        <f>1.32291666666679 + "00:15:00"</f>
        <v>1.3333333333334567</v>
      </c>
    </row>
    <row r="931" spans="4:4" x14ac:dyDescent="0.25">
      <c r="D931" s="47">
        <f>1.33333333333346 + "00:15:00"</f>
        <v>1.3437500000001268</v>
      </c>
    </row>
    <row r="941" spans="4:4" x14ac:dyDescent="0.25">
      <c r="D941" s="47">
        <f>1.34375000000013 + "00:15:00"</f>
        <v>1.3541666666667966</v>
      </c>
    </row>
    <row r="951" spans="4:4" x14ac:dyDescent="0.25">
      <c r="D951" s="47">
        <f>1.3541666666668 + "00:15:00"</f>
        <v>1.3645833333334667</v>
      </c>
    </row>
    <row r="961" spans="4:4" x14ac:dyDescent="0.25">
      <c r="D961" s="47">
        <f>1.36458333333347 + "00:15:00"</f>
        <v>1.3750000000001368</v>
      </c>
    </row>
    <row r="971" spans="4:4" x14ac:dyDescent="0.25">
      <c r="D971" s="47">
        <f>1.37500000000014 + "00:15:00"</f>
        <v>1.3854166666668069</v>
      </c>
    </row>
    <row r="981" spans="4:4" x14ac:dyDescent="0.25">
      <c r="D981" s="47">
        <f>1.38541666666681 + "00:15:00"</f>
        <v>1.3958333333334767</v>
      </c>
    </row>
    <row r="991" spans="4:4" x14ac:dyDescent="0.25">
      <c r="D991" s="47">
        <f>1.39583333333348 + "00:15:00"</f>
        <v>1.4062500000001468</v>
      </c>
    </row>
    <row r="1001" spans="4:4" x14ac:dyDescent="0.25">
      <c r="D1001" s="47">
        <f>1.40625000000015 + "00:15:00"</f>
        <v>1.4166666666668168</v>
      </c>
    </row>
    <row r="1011" spans="4:4" x14ac:dyDescent="0.25">
      <c r="D1011" s="47">
        <f>1.41666666666682 + "00:15:00"</f>
        <v>1.4270833333334867</v>
      </c>
    </row>
    <row r="1021" spans="4:4" x14ac:dyDescent="0.25">
      <c r="D1021" s="47">
        <f>1.42708333333349 + "00:15:00"</f>
        <v>1.4375000000001568</v>
      </c>
    </row>
    <row r="1031" spans="4:4" x14ac:dyDescent="0.25">
      <c r="D1031" s="47">
        <f>1.43750000000016 + "00:15:00"</f>
        <v>1.4479166666668268</v>
      </c>
    </row>
    <row r="1041" spans="4:4" x14ac:dyDescent="0.25">
      <c r="D1041" s="47">
        <f>1.44791666666683 + "00:15:00"</f>
        <v>1.4583333333334967</v>
      </c>
    </row>
    <row r="1051" spans="4:4" x14ac:dyDescent="0.25">
      <c r="D1051" s="47">
        <f>1.4583333333335 + "00:15:00"</f>
        <v>1.4687500000001668</v>
      </c>
    </row>
    <row r="1061" spans="4:4" x14ac:dyDescent="0.25">
      <c r="D1061" s="47">
        <f>1.46875000000017 + "00:15:00"</f>
        <v>1.4791666666668368</v>
      </c>
    </row>
    <row r="1071" spans="4:4" x14ac:dyDescent="0.25">
      <c r="D1071" s="47">
        <f>1.47916666666684 + "00:15:00"</f>
        <v>1.4895833333335067</v>
      </c>
    </row>
    <row r="1081" spans="4:4" x14ac:dyDescent="0.25">
      <c r="D1081" s="47">
        <f>1.48958333333351 + "00:15:00"</f>
        <v>1.5000000000001767</v>
      </c>
    </row>
    <row r="1091" spans="4:4" x14ac:dyDescent="0.25">
      <c r="D1091" s="47">
        <f>1.50000000000018 + "00:15:00"</f>
        <v>1.5104166666668468</v>
      </c>
    </row>
    <row r="1101" spans="4:4" x14ac:dyDescent="0.25">
      <c r="D1101" s="47">
        <f>1.51041666666685 + "00:15:00"</f>
        <v>1.5208333333335167</v>
      </c>
    </row>
    <row r="1111" spans="4:4" x14ac:dyDescent="0.25">
      <c r="D1111" s="47">
        <f>1.52083333333352 + "00:15:00"</f>
        <v>1.5312500000001867</v>
      </c>
    </row>
    <row r="1121" spans="4:4" x14ac:dyDescent="0.25">
      <c r="D1121" s="47">
        <f>1.53125000000019 + "00:15:00"</f>
        <v>1.5416666666668568</v>
      </c>
    </row>
    <row r="1131" spans="4:4" x14ac:dyDescent="0.25">
      <c r="D1131" s="47">
        <f>1.54166666666686 + "00:15:00"</f>
        <v>1.5520833333335267</v>
      </c>
    </row>
    <row r="1141" spans="4:4" x14ac:dyDescent="0.25">
      <c r="D1141" s="47">
        <f>1.55208333333353 + "00:15:00"</f>
        <v>1.5625000000001967</v>
      </c>
    </row>
    <row r="1151" spans="4:4" x14ac:dyDescent="0.25">
      <c r="D1151" s="47">
        <f>1.5625000000002 + "00:15:00"</f>
        <v>1.5729166666668668</v>
      </c>
    </row>
    <row r="1161" spans="4:4" x14ac:dyDescent="0.25">
      <c r="D1161" s="47">
        <f>1.57291666666687 + "00:15:00"</f>
        <v>1.5833333333335367</v>
      </c>
    </row>
    <row r="1171" spans="4:4" x14ac:dyDescent="0.25">
      <c r="D1171" s="47">
        <f>1.58333333333354 + "00:15:00"</f>
        <v>1.5937500000002067</v>
      </c>
    </row>
    <row r="1181" spans="4:4" x14ac:dyDescent="0.25">
      <c r="D1181" s="47">
        <f>1.59375000000021 + "00:15:00"</f>
        <v>1.6041666666668768</v>
      </c>
    </row>
    <row r="1191" spans="4:4" x14ac:dyDescent="0.25">
      <c r="D1191" s="47">
        <f>1.60416666666688 + "00:15:00"</f>
        <v>1.6145833333335466</v>
      </c>
    </row>
    <row r="1201" spans="4:4" x14ac:dyDescent="0.25">
      <c r="D1201" s="47">
        <f>1.61458333333355 + "00:15:00"</f>
        <v>1.6250000000002167</v>
      </c>
    </row>
    <row r="1211" spans="4:4" x14ac:dyDescent="0.25">
      <c r="D1211" s="47">
        <f>1.62500000000022 + "00:15:00"</f>
        <v>1.6354166666668868</v>
      </c>
    </row>
    <row r="1221" spans="4:4" x14ac:dyDescent="0.25">
      <c r="D1221" s="47">
        <f>1.63541666666689 + "00:15:00"</f>
        <v>1.6458333333335566</v>
      </c>
    </row>
    <row r="1231" spans="4:4" x14ac:dyDescent="0.25">
      <c r="D1231" s="47">
        <f>1.64583333333356 + "00:15:00"</f>
        <v>1.6562500000002267</v>
      </c>
    </row>
    <row r="1241" spans="4:4" x14ac:dyDescent="0.25">
      <c r="D1241" s="47">
        <f>1.65625000000023 + "00:15:00"</f>
        <v>1.6666666666668968</v>
      </c>
    </row>
    <row r="1251" spans="4:4" x14ac:dyDescent="0.25">
      <c r="D1251" s="47">
        <f>1.6666666666669 + "00:15:00"</f>
        <v>1.6770833333335669</v>
      </c>
    </row>
    <row r="1261" spans="4:4" x14ac:dyDescent="0.25">
      <c r="D1261" s="47">
        <f>1.67708333333357 + "00:15:00"</f>
        <v>1.6875000000002367</v>
      </c>
    </row>
    <row r="1271" spans="4:4" x14ac:dyDescent="0.25">
      <c r="D1271" s="47">
        <f>1.68750000000024 + "00:15:00"</f>
        <v>1.6979166666669068</v>
      </c>
    </row>
    <row r="1281" spans="4:4" x14ac:dyDescent="0.25">
      <c r="D1281" s="47">
        <f>1.69791666666691 + "00:15:00"</f>
        <v>1.7083333333335768</v>
      </c>
    </row>
    <row r="1291" spans="4:4" x14ac:dyDescent="0.25">
      <c r="D1291" s="47">
        <f>1.70833333333358 + "00:15:00"</f>
        <v>1.7187500000002467</v>
      </c>
    </row>
    <row r="1301" spans="4:4" x14ac:dyDescent="0.25">
      <c r="D1301" s="47">
        <f>1.71875000000025 + "00:15:00"</f>
        <v>1.7291666666669168</v>
      </c>
    </row>
    <row r="1311" spans="4:4" x14ac:dyDescent="0.25">
      <c r="D1311" s="47">
        <f>1.72916666666692 + "00:15:00"</f>
        <v>1.7395833333335868</v>
      </c>
    </row>
    <row r="1321" spans="4:4" x14ac:dyDescent="0.25">
      <c r="D1321" s="47">
        <f>1.73958333333359 + "00:15:00"</f>
        <v>1.7500000000002567</v>
      </c>
    </row>
    <row r="1331" spans="4:4" x14ac:dyDescent="0.25">
      <c r="D1331" s="47">
        <f>1.75000000000026 + "00:15:00"</f>
        <v>1.7604166666669268</v>
      </c>
    </row>
    <row r="1341" spans="4:4" x14ac:dyDescent="0.25">
      <c r="D1341" s="47">
        <f>1.76041666666693 + "00:15:00"</f>
        <v>1.7708333333335968</v>
      </c>
    </row>
    <row r="1351" spans="4:4" x14ac:dyDescent="0.25">
      <c r="D1351" s="47">
        <f>1.7708333333336 + "00:15:00"</f>
        <v>1.7812500000002667</v>
      </c>
    </row>
    <row r="1361" spans="4:4" x14ac:dyDescent="0.25">
      <c r="D1361" s="47">
        <f>1.78125000000027 + "00:15:00"</f>
        <v>1.7916666666669367</v>
      </c>
    </row>
    <row r="1371" spans="4:4" x14ac:dyDescent="0.25">
      <c r="D1371" s="47">
        <f>1.79166666666694 + "00:15:00"</f>
        <v>1.8020833333336068</v>
      </c>
    </row>
    <row r="1381" spans="4:4" x14ac:dyDescent="0.25">
      <c r="D1381" s="47">
        <f>1.80208333333361 + "00:15:00"</f>
        <v>1.8125000000002767</v>
      </c>
    </row>
    <row r="1391" spans="4:4" x14ac:dyDescent="0.25">
      <c r="D1391" s="47">
        <f>1.81250000000028 + "00:15:00"</f>
        <v>1.8229166666669467</v>
      </c>
    </row>
    <row r="1401" spans="4:4" x14ac:dyDescent="0.25">
      <c r="D1401" s="47">
        <f>1.82291666666695 + "00:15:00"</f>
        <v>1.8333333333336168</v>
      </c>
    </row>
    <row r="1411" spans="4:4" x14ac:dyDescent="0.25">
      <c r="D1411" s="47">
        <f>1.83333333333362 + "00:15:00"</f>
        <v>1.8437500000002867</v>
      </c>
    </row>
    <row r="1421" spans="4:4" x14ac:dyDescent="0.25">
      <c r="D1421" s="47">
        <f>1.84375000000029 + "00:15:00"</f>
        <v>1.8541666666669567</v>
      </c>
    </row>
    <row r="1431" spans="4:4" x14ac:dyDescent="0.25">
      <c r="D1431" s="47">
        <f>1.85416666666696 + "00:15:00"</f>
        <v>1.8645833333336268</v>
      </c>
    </row>
    <row r="1441" spans="4:4" x14ac:dyDescent="0.25">
      <c r="D1441" s="47">
        <f>1.86458333333363 + "00:15:00"</f>
        <v>1.8750000000002967</v>
      </c>
    </row>
    <row r="1451" spans="4:4" x14ac:dyDescent="0.25">
      <c r="D1451" s="47">
        <f>1.8750000000003 + "00:15:00"</f>
        <v>1.8854166666669667</v>
      </c>
    </row>
  </sheetData>
  <conditionalFormatting sqref="C2">
    <cfRule type="expression" dxfId="1171" priority="611">
      <formula>$C2&lt;$E2</formula>
    </cfRule>
    <cfRule type="expression" dxfId="1170" priority="612">
      <formula>$C2&gt;$E2</formula>
    </cfRule>
  </conditionalFormatting>
  <conditionalFormatting sqref="E2">
    <cfRule type="expression" dxfId="1169" priority="609">
      <formula>$C2&gt;$E2</formula>
    </cfRule>
    <cfRule type="expression" dxfId="1168" priority="610">
      <formula>$C2&lt;$E2</formula>
    </cfRule>
  </conditionalFormatting>
  <conditionalFormatting sqref="C3">
    <cfRule type="expression" dxfId="1167" priority="607">
      <formula>$C3&lt;$E3</formula>
    </cfRule>
    <cfRule type="expression" dxfId="1166" priority="608">
      <formula>$C3&gt;$E3</formula>
    </cfRule>
  </conditionalFormatting>
  <conditionalFormatting sqref="E3">
    <cfRule type="expression" dxfId="1165" priority="605">
      <formula>$C3&gt;$E3</formula>
    </cfRule>
    <cfRule type="expression" dxfId="1164" priority="606">
      <formula>$C3&lt;$E3</formula>
    </cfRule>
  </conditionalFormatting>
  <conditionalFormatting sqref="C4">
    <cfRule type="expression" dxfId="1163" priority="603">
      <formula>$C4&lt;$E4</formula>
    </cfRule>
    <cfRule type="expression" dxfId="1162" priority="604">
      <formula>$C4&gt;$E4</formula>
    </cfRule>
  </conditionalFormatting>
  <conditionalFormatting sqref="E4">
    <cfRule type="expression" dxfId="1161" priority="601">
      <formula>$C4&gt;$E4</formula>
    </cfRule>
    <cfRule type="expression" dxfId="1160" priority="602">
      <formula>$C4&lt;$E4</formula>
    </cfRule>
  </conditionalFormatting>
  <conditionalFormatting sqref="C5">
    <cfRule type="expression" dxfId="1159" priority="599">
      <formula>$C5&lt;$E5</formula>
    </cfRule>
    <cfRule type="expression" dxfId="1158" priority="600">
      <formula>$C5&gt;$E5</formula>
    </cfRule>
  </conditionalFormatting>
  <conditionalFormatting sqref="E5">
    <cfRule type="expression" dxfId="1157" priority="597">
      <formula>$C5&gt;$E5</formula>
    </cfRule>
    <cfRule type="expression" dxfId="1156" priority="598">
      <formula>$C5&lt;$E5</formula>
    </cfRule>
  </conditionalFormatting>
  <conditionalFormatting sqref="C6">
    <cfRule type="expression" dxfId="1155" priority="595">
      <formula>$C6&lt;$E6</formula>
    </cfRule>
    <cfRule type="expression" dxfId="1154" priority="596">
      <formula>$C6&gt;$E6</formula>
    </cfRule>
  </conditionalFormatting>
  <conditionalFormatting sqref="E6">
    <cfRule type="expression" dxfId="1153" priority="593">
      <formula>$C6&gt;$E6</formula>
    </cfRule>
    <cfRule type="expression" dxfId="1152" priority="594">
      <formula>$C6&lt;$E6</formula>
    </cfRule>
  </conditionalFormatting>
  <conditionalFormatting sqref="C7">
    <cfRule type="expression" dxfId="1151" priority="591">
      <formula>$C7&lt;$E7</formula>
    </cfRule>
    <cfRule type="expression" dxfId="1150" priority="592">
      <formula>$C7&gt;$E7</formula>
    </cfRule>
  </conditionalFormatting>
  <conditionalFormatting sqref="E7">
    <cfRule type="expression" dxfId="1149" priority="589">
      <formula>$C7&gt;$E7</formula>
    </cfRule>
    <cfRule type="expression" dxfId="1148" priority="590">
      <formula>$C7&lt;$E7</formula>
    </cfRule>
  </conditionalFormatting>
  <conditionalFormatting sqref="C8">
    <cfRule type="expression" dxfId="1147" priority="587">
      <formula>$C8&lt;$E8</formula>
    </cfRule>
    <cfRule type="expression" dxfId="1146" priority="588">
      <formula>$C8&gt;$E8</formula>
    </cfRule>
  </conditionalFormatting>
  <conditionalFormatting sqref="E8">
    <cfRule type="expression" dxfId="1145" priority="585">
      <formula>$C8&gt;$E8</formula>
    </cfRule>
    <cfRule type="expression" dxfId="1144" priority="586">
      <formula>$C8&lt;$E8</formula>
    </cfRule>
  </conditionalFormatting>
  <conditionalFormatting sqref="C9">
    <cfRule type="expression" dxfId="1143" priority="583">
      <formula>$C9&lt;$E9</formula>
    </cfRule>
    <cfRule type="expression" dxfId="1142" priority="584">
      <formula>$C9&gt;$E9</formula>
    </cfRule>
  </conditionalFormatting>
  <conditionalFormatting sqref="E9">
    <cfRule type="expression" dxfId="1141" priority="581">
      <formula>$C9&gt;$E9</formula>
    </cfRule>
    <cfRule type="expression" dxfId="1140" priority="582">
      <formula>$C9&lt;$E9</formula>
    </cfRule>
  </conditionalFormatting>
  <conditionalFormatting sqref="C10">
    <cfRule type="expression" dxfId="1139" priority="579">
      <formula>$C10&lt;$E10</formula>
    </cfRule>
    <cfRule type="expression" dxfId="1138" priority="580">
      <formula>$C10&gt;$E10</formula>
    </cfRule>
  </conditionalFormatting>
  <conditionalFormatting sqref="E10">
    <cfRule type="expression" dxfId="1137" priority="577">
      <formula>$C10&gt;$E10</formula>
    </cfRule>
    <cfRule type="expression" dxfId="1136" priority="578">
      <formula>$C10&lt;$E10</formula>
    </cfRule>
  </conditionalFormatting>
  <conditionalFormatting sqref="C12">
    <cfRule type="expression" dxfId="1135" priority="575">
      <formula>$C12&lt;$E12</formula>
    </cfRule>
    <cfRule type="expression" dxfId="1134" priority="576">
      <formula>$C12&gt;$E12</formula>
    </cfRule>
  </conditionalFormatting>
  <conditionalFormatting sqref="E12">
    <cfRule type="expression" dxfId="1133" priority="573">
      <formula>$C12&gt;$E12</formula>
    </cfRule>
    <cfRule type="expression" dxfId="1132" priority="574">
      <formula>$C12&lt;$E12</formula>
    </cfRule>
  </conditionalFormatting>
  <conditionalFormatting sqref="C13">
    <cfRule type="expression" dxfId="1131" priority="572">
      <formula>$C13&gt;$E13</formula>
    </cfRule>
  </conditionalFormatting>
  <conditionalFormatting sqref="C13">
    <cfRule type="expression" dxfId="1130" priority="571">
      <formula>$C13&lt;$E13</formula>
    </cfRule>
  </conditionalFormatting>
  <conditionalFormatting sqref="E13">
    <cfRule type="expression" dxfId="1129" priority="570">
      <formula>$C13&lt;$E13</formula>
    </cfRule>
  </conditionalFormatting>
  <conditionalFormatting sqref="E13">
    <cfRule type="expression" dxfId="1128" priority="569">
      <formula>$C13&gt;$E13</formula>
    </cfRule>
  </conditionalFormatting>
  <conditionalFormatting sqref="C14">
    <cfRule type="expression" dxfId="1127" priority="568">
      <formula>$C14&gt;$E14</formula>
    </cfRule>
  </conditionalFormatting>
  <conditionalFormatting sqref="C14">
    <cfRule type="expression" dxfId="1126" priority="567">
      <formula>$C14&lt;$E14</formula>
    </cfRule>
  </conditionalFormatting>
  <conditionalFormatting sqref="E14">
    <cfRule type="expression" dxfId="1125" priority="566">
      <formula>$C14&lt;$E14</formula>
    </cfRule>
  </conditionalFormatting>
  <conditionalFormatting sqref="E14">
    <cfRule type="expression" dxfId="1124" priority="565">
      <formula>$C14&gt;$E14</formula>
    </cfRule>
  </conditionalFormatting>
  <conditionalFormatting sqref="C15">
    <cfRule type="expression" dxfId="1123" priority="564">
      <formula>$C15&gt;$E15</formula>
    </cfRule>
  </conditionalFormatting>
  <conditionalFormatting sqref="C15">
    <cfRule type="expression" dxfId="1122" priority="563">
      <formula>$C15&lt;$E15</formula>
    </cfRule>
  </conditionalFormatting>
  <conditionalFormatting sqref="E15">
    <cfRule type="expression" dxfId="1121" priority="562">
      <formula>$C15&lt;$E15</formula>
    </cfRule>
  </conditionalFormatting>
  <conditionalFormatting sqref="E15">
    <cfRule type="expression" dxfId="1120" priority="561">
      <formula>$C15&gt;$E15</formula>
    </cfRule>
  </conditionalFormatting>
  <conditionalFormatting sqref="C16">
    <cfRule type="expression" dxfId="1119" priority="560">
      <formula>$C16&gt;$E16</formula>
    </cfRule>
  </conditionalFormatting>
  <conditionalFormatting sqref="C16">
    <cfRule type="expression" dxfId="1118" priority="559">
      <formula>$C16&lt;$E16</formula>
    </cfRule>
  </conditionalFormatting>
  <conditionalFormatting sqref="E16">
    <cfRule type="expression" dxfId="1117" priority="558">
      <formula>$C16&lt;$E16</formula>
    </cfRule>
  </conditionalFormatting>
  <conditionalFormatting sqref="E16">
    <cfRule type="expression" dxfId="1116" priority="557">
      <formula>$C16&gt;$E16</formula>
    </cfRule>
  </conditionalFormatting>
  <conditionalFormatting sqref="C17">
    <cfRule type="expression" dxfId="1115" priority="556">
      <formula>$C17&gt;$E17</formula>
    </cfRule>
  </conditionalFormatting>
  <conditionalFormatting sqref="C17">
    <cfRule type="expression" dxfId="1114" priority="555">
      <formula>$C17&lt;$E17</formula>
    </cfRule>
  </conditionalFormatting>
  <conditionalFormatting sqref="E17">
    <cfRule type="expression" dxfId="1113" priority="554">
      <formula>$C17&lt;$E17</formula>
    </cfRule>
  </conditionalFormatting>
  <conditionalFormatting sqref="E17">
    <cfRule type="expression" dxfId="1112" priority="553">
      <formula>$C17&gt;$E17</formula>
    </cfRule>
  </conditionalFormatting>
  <conditionalFormatting sqref="C18">
    <cfRule type="expression" dxfId="1111" priority="552">
      <formula>$C18&gt;$E18</formula>
    </cfRule>
  </conditionalFormatting>
  <conditionalFormatting sqref="C18">
    <cfRule type="expression" dxfId="1110" priority="551">
      <formula>$C18&lt;$E18</formula>
    </cfRule>
  </conditionalFormatting>
  <conditionalFormatting sqref="E18">
    <cfRule type="expression" dxfId="1109" priority="550">
      <formula>$C18&lt;$E18</formula>
    </cfRule>
  </conditionalFormatting>
  <conditionalFormatting sqref="E18">
    <cfRule type="expression" dxfId="1108" priority="549">
      <formula>$C18&gt;$E18</formula>
    </cfRule>
  </conditionalFormatting>
  <conditionalFormatting sqref="C19">
    <cfRule type="expression" dxfId="1107" priority="548">
      <formula>$C19&gt;$E19</formula>
    </cfRule>
  </conditionalFormatting>
  <conditionalFormatting sqref="C19">
    <cfRule type="expression" dxfId="1106" priority="547">
      <formula>$C19&lt;$E19</formula>
    </cfRule>
  </conditionalFormatting>
  <conditionalFormatting sqref="E19">
    <cfRule type="expression" dxfId="1105" priority="546">
      <formula>$C19&lt;$E19</formula>
    </cfRule>
  </conditionalFormatting>
  <conditionalFormatting sqref="E19">
    <cfRule type="expression" dxfId="1104" priority="545">
      <formula>$C19&gt;$E19</formula>
    </cfRule>
  </conditionalFormatting>
  <conditionalFormatting sqref="C20">
    <cfRule type="expression" dxfId="1103" priority="544">
      <formula>$C20&gt;$E20</formula>
    </cfRule>
  </conditionalFormatting>
  <conditionalFormatting sqref="C20">
    <cfRule type="expression" dxfId="1102" priority="543">
      <formula>$C20&lt;$E20</formula>
    </cfRule>
  </conditionalFormatting>
  <conditionalFormatting sqref="E20">
    <cfRule type="expression" dxfId="1101" priority="542">
      <formula>$C20&lt;$E20</formula>
    </cfRule>
  </conditionalFormatting>
  <conditionalFormatting sqref="E20">
    <cfRule type="expression" dxfId="1100" priority="541">
      <formula>$C20&gt;$E20</formula>
    </cfRule>
  </conditionalFormatting>
  <conditionalFormatting sqref="C22">
    <cfRule type="expression" dxfId="1099" priority="540">
      <formula>$C22&gt;$E22</formula>
    </cfRule>
  </conditionalFormatting>
  <conditionalFormatting sqref="C22">
    <cfRule type="expression" dxfId="1098" priority="539">
      <formula>$C22&lt;$E22</formula>
    </cfRule>
  </conditionalFormatting>
  <conditionalFormatting sqref="E22">
    <cfRule type="expression" dxfId="1097" priority="538">
      <formula>$C22&lt;$E22</formula>
    </cfRule>
  </conditionalFormatting>
  <conditionalFormatting sqref="E22">
    <cfRule type="expression" dxfId="1096" priority="537">
      <formula>$C22&gt;$E22</formula>
    </cfRule>
  </conditionalFormatting>
  <conditionalFormatting sqref="C23">
    <cfRule type="expression" dxfId="1095" priority="536">
      <formula>$C23&gt;$E23</formula>
    </cfRule>
  </conditionalFormatting>
  <conditionalFormatting sqref="C23">
    <cfRule type="expression" dxfId="1094" priority="535">
      <formula>$C23&lt;$E23</formula>
    </cfRule>
  </conditionalFormatting>
  <conditionalFormatting sqref="E23">
    <cfRule type="expression" dxfId="1093" priority="534">
      <formula>$C23&lt;$E23</formula>
    </cfRule>
  </conditionalFormatting>
  <conditionalFormatting sqref="E23">
    <cfRule type="expression" dxfId="1092" priority="533">
      <formula>$C23&gt;$E23</formula>
    </cfRule>
  </conditionalFormatting>
  <conditionalFormatting sqref="C24">
    <cfRule type="expression" dxfId="1091" priority="532">
      <formula>$C24&gt;$E24</formula>
    </cfRule>
  </conditionalFormatting>
  <conditionalFormatting sqref="C24">
    <cfRule type="expression" dxfId="1090" priority="531">
      <formula>$C24&lt;$E24</formula>
    </cfRule>
  </conditionalFormatting>
  <conditionalFormatting sqref="E24">
    <cfRule type="expression" dxfId="1089" priority="530">
      <formula>$C24&lt;$E24</formula>
    </cfRule>
  </conditionalFormatting>
  <conditionalFormatting sqref="E24">
    <cfRule type="expression" dxfId="1088" priority="529">
      <formula>$C24&gt;$E24</formula>
    </cfRule>
  </conditionalFormatting>
  <conditionalFormatting sqref="C25">
    <cfRule type="expression" dxfId="1087" priority="528">
      <formula>$C25&gt;$E25</formula>
    </cfRule>
  </conditionalFormatting>
  <conditionalFormatting sqref="C25">
    <cfRule type="expression" dxfId="1086" priority="527">
      <formula>$C25&lt;$E25</formula>
    </cfRule>
  </conditionalFormatting>
  <conditionalFormatting sqref="E25">
    <cfRule type="expression" dxfId="1085" priority="526">
      <formula>$C25&lt;$E25</formula>
    </cfRule>
  </conditionalFormatting>
  <conditionalFormatting sqref="E25">
    <cfRule type="expression" dxfId="1084" priority="525">
      <formula>$C25&gt;$E25</formula>
    </cfRule>
  </conditionalFormatting>
  <conditionalFormatting sqref="C26">
    <cfRule type="expression" dxfId="1083" priority="524">
      <formula>$C26&gt;$E26</formula>
    </cfRule>
  </conditionalFormatting>
  <conditionalFormatting sqref="C26">
    <cfRule type="expression" dxfId="1082" priority="523">
      <formula>$C26&lt;$E26</formula>
    </cfRule>
  </conditionalFormatting>
  <conditionalFormatting sqref="E26">
    <cfRule type="expression" dxfId="1081" priority="522">
      <formula>$C26&lt;$E26</formula>
    </cfRule>
  </conditionalFormatting>
  <conditionalFormatting sqref="E26">
    <cfRule type="expression" dxfId="1080" priority="521">
      <formula>$C26&gt;$E26</formula>
    </cfRule>
  </conditionalFormatting>
  <conditionalFormatting sqref="C27">
    <cfRule type="expression" dxfId="1079" priority="520">
      <formula>$C27&gt;$E27</formula>
    </cfRule>
  </conditionalFormatting>
  <conditionalFormatting sqref="C27">
    <cfRule type="expression" dxfId="1078" priority="519">
      <formula>$C27&lt;$E27</formula>
    </cfRule>
  </conditionalFormatting>
  <conditionalFormatting sqref="E27">
    <cfRule type="expression" dxfId="1077" priority="518">
      <formula>$C27&lt;$E27</formula>
    </cfRule>
  </conditionalFormatting>
  <conditionalFormatting sqref="E27">
    <cfRule type="expression" dxfId="1076" priority="517">
      <formula>$C27&gt;$E27</formula>
    </cfRule>
  </conditionalFormatting>
  <conditionalFormatting sqref="C28">
    <cfRule type="expression" dxfId="1075" priority="516">
      <formula>$C28&gt;$E28</formula>
    </cfRule>
  </conditionalFormatting>
  <conditionalFormatting sqref="C28">
    <cfRule type="expression" dxfId="1074" priority="515">
      <formula>$C28&lt;$E28</formula>
    </cfRule>
  </conditionalFormatting>
  <conditionalFormatting sqref="E28">
    <cfRule type="expression" dxfId="1073" priority="514">
      <formula>$C28&lt;$E28</formula>
    </cfRule>
  </conditionalFormatting>
  <conditionalFormatting sqref="E28">
    <cfRule type="expression" dxfId="1072" priority="513">
      <formula>$C28&gt;$E28</formula>
    </cfRule>
  </conditionalFormatting>
  <conditionalFormatting sqref="C29">
    <cfRule type="expression" dxfId="1071" priority="512">
      <formula>$C29&gt;$E29</formula>
    </cfRule>
  </conditionalFormatting>
  <conditionalFormatting sqref="C29">
    <cfRule type="expression" dxfId="1070" priority="511">
      <formula>$C29&lt;$E29</formula>
    </cfRule>
  </conditionalFormatting>
  <conditionalFormatting sqref="E29">
    <cfRule type="expression" dxfId="1069" priority="510">
      <formula>$C29&lt;$E29</formula>
    </cfRule>
  </conditionalFormatting>
  <conditionalFormatting sqref="E29">
    <cfRule type="expression" dxfId="1068" priority="509">
      <formula>$C29&gt;$E29</formula>
    </cfRule>
  </conditionalFormatting>
  <conditionalFormatting sqref="C30">
    <cfRule type="expression" dxfId="1067" priority="508">
      <formula>$C30&gt;$E30</formula>
    </cfRule>
  </conditionalFormatting>
  <conditionalFormatting sqref="C30">
    <cfRule type="expression" dxfId="1066" priority="507">
      <formula>$C30&lt;$E30</formula>
    </cfRule>
  </conditionalFormatting>
  <conditionalFormatting sqref="E30">
    <cfRule type="expression" dxfId="1065" priority="506">
      <formula>$C30&lt;$E30</formula>
    </cfRule>
  </conditionalFormatting>
  <conditionalFormatting sqref="E30">
    <cfRule type="expression" dxfId="1064" priority="505">
      <formula>$C30&gt;$E30</formula>
    </cfRule>
  </conditionalFormatting>
  <conditionalFormatting sqref="C32">
    <cfRule type="expression" dxfId="1063" priority="504">
      <formula>$C32&gt;$E32</formula>
    </cfRule>
  </conditionalFormatting>
  <conditionalFormatting sqref="C32">
    <cfRule type="expression" dxfId="1062" priority="503">
      <formula>$C32&lt;$E32</formula>
    </cfRule>
  </conditionalFormatting>
  <conditionalFormatting sqref="E32">
    <cfRule type="expression" dxfId="1061" priority="502">
      <formula>$C32&lt;$E32</formula>
    </cfRule>
  </conditionalFormatting>
  <conditionalFormatting sqref="E32">
    <cfRule type="expression" dxfId="1060" priority="501">
      <formula>$C32&gt;$E32</formula>
    </cfRule>
  </conditionalFormatting>
  <conditionalFormatting sqref="C33">
    <cfRule type="expression" dxfId="1059" priority="500">
      <formula>$C33&gt;$E33</formula>
    </cfRule>
  </conditionalFormatting>
  <conditionalFormatting sqref="C33">
    <cfRule type="expression" dxfId="1058" priority="499">
      <formula>$C33&lt;$E33</formula>
    </cfRule>
  </conditionalFormatting>
  <conditionalFormatting sqref="E33">
    <cfRule type="expression" dxfId="1057" priority="498">
      <formula>$C33&lt;$E33</formula>
    </cfRule>
  </conditionalFormatting>
  <conditionalFormatting sqref="E33">
    <cfRule type="expression" dxfId="1056" priority="497">
      <formula>$C33&gt;$E33</formula>
    </cfRule>
  </conditionalFormatting>
  <conditionalFormatting sqref="C34">
    <cfRule type="expression" dxfId="1055" priority="496">
      <formula>$C34&gt;$E34</formula>
    </cfRule>
  </conditionalFormatting>
  <conditionalFormatting sqref="C34">
    <cfRule type="expression" dxfId="1054" priority="495">
      <formula>$C34&lt;$E34</formula>
    </cfRule>
  </conditionalFormatting>
  <conditionalFormatting sqref="E34">
    <cfRule type="expression" dxfId="1053" priority="494">
      <formula>$C34&lt;$E34</formula>
    </cfRule>
  </conditionalFormatting>
  <conditionalFormatting sqref="E34">
    <cfRule type="expression" dxfId="1052" priority="493">
      <formula>$C34&gt;$E34</formula>
    </cfRule>
  </conditionalFormatting>
  <conditionalFormatting sqref="C35">
    <cfRule type="expression" dxfId="1051" priority="492">
      <formula>$C35&gt;$E35</formula>
    </cfRule>
  </conditionalFormatting>
  <conditionalFormatting sqref="C35">
    <cfRule type="expression" dxfId="1050" priority="491">
      <formula>$C35&lt;$E35</formula>
    </cfRule>
  </conditionalFormatting>
  <conditionalFormatting sqref="E35">
    <cfRule type="expression" dxfId="1049" priority="490">
      <formula>$C35&lt;$E35</formula>
    </cfRule>
  </conditionalFormatting>
  <conditionalFormatting sqref="E35">
    <cfRule type="expression" dxfId="1048" priority="489">
      <formula>$C35&gt;$E35</formula>
    </cfRule>
  </conditionalFormatting>
  <conditionalFormatting sqref="C36">
    <cfRule type="expression" dxfId="1047" priority="488">
      <formula>$C36&gt;$E36</formula>
    </cfRule>
  </conditionalFormatting>
  <conditionalFormatting sqref="C36">
    <cfRule type="expression" dxfId="1046" priority="487">
      <formula>$C36&lt;$E36</formula>
    </cfRule>
  </conditionalFormatting>
  <conditionalFormatting sqref="E36">
    <cfRule type="expression" dxfId="1045" priority="486">
      <formula>$C36&lt;$E36</formula>
    </cfRule>
  </conditionalFormatting>
  <conditionalFormatting sqref="E36">
    <cfRule type="expression" dxfId="1044" priority="485">
      <formula>$C36&gt;$E36</formula>
    </cfRule>
  </conditionalFormatting>
  <conditionalFormatting sqref="C37">
    <cfRule type="expression" dxfId="1043" priority="484">
      <formula>$C37&gt;$E37</formula>
    </cfRule>
  </conditionalFormatting>
  <conditionalFormatting sqref="C37">
    <cfRule type="expression" dxfId="1042" priority="483">
      <formula>$C37&lt;$E37</formula>
    </cfRule>
  </conditionalFormatting>
  <conditionalFormatting sqref="E37">
    <cfRule type="expression" dxfId="1041" priority="482">
      <formula>$C37&lt;$E37</formula>
    </cfRule>
  </conditionalFormatting>
  <conditionalFormatting sqref="E37">
    <cfRule type="expression" dxfId="1040" priority="481">
      <formula>$C37&gt;$E37</formula>
    </cfRule>
  </conditionalFormatting>
  <conditionalFormatting sqref="C38">
    <cfRule type="expression" dxfId="1039" priority="480">
      <formula>$C38&gt;$E38</formula>
    </cfRule>
  </conditionalFormatting>
  <conditionalFormatting sqref="C38">
    <cfRule type="expression" dxfId="1038" priority="479">
      <formula>$C38&lt;$E38</formula>
    </cfRule>
  </conditionalFormatting>
  <conditionalFormatting sqref="E38">
    <cfRule type="expression" dxfId="1037" priority="478">
      <formula>$C38&lt;$E38</formula>
    </cfRule>
  </conditionalFormatting>
  <conditionalFormatting sqref="E38">
    <cfRule type="expression" dxfId="1036" priority="477">
      <formula>$C38&gt;$E38</formula>
    </cfRule>
  </conditionalFormatting>
  <conditionalFormatting sqref="C39">
    <cfRule type="expression" dxfId="1035" priority="476">
      <formula>$C39&gt;$E39</formula>
    </cfRule>
  </conditionalFormatting>
  <conditionalFormatting sqref="C39">
    <cfRule type="expression" dxfId="1034" priority="475">
      <formula>$C39&lt;$E39</formula>
    </cfRule>
  </conditionalFormatting>
  <conditionalFormatting sqref="E39">
    <cfRule type="expression" dxfId="1033" priority="474">
      <formula>$C39&lt;$E39</formula>
    </cfRule>
  </conditionalFormatting>
  <conditionalFormatting sqref="E39">
    <cfRule type="expression" dxfId="1032" priority="473">
      <formula>$C39&gt;$E39</formula>
    </cfRule>
  </conditionalFormatting>
  <conditionalFormatting sqref="C40">
    <cfRule type="expression" dxfId="1031" priority="472">
      <formula>$C40&gt;$E40</formula>
    </cfRule>
  </conditionalFormatting>
  <conditionalFormatting sqref="C40">
    <cfRule type="expression" dxfId="1030" priority="471">
      <formula>$C40&lt;$E40</formula>
    </cfRule>
  </conditionalFormatting>
  <conditionalFormatting sqref="E40">
    <cfRule type="expression" dxfId="1029" priority="470">
      <formula>$C40&lt;$E40</formula>
    </cfRule>
  </conditionalFormatting>
  <conditionalFormatting sqref="E40">
    <cfRule type="expression" dxfId="1028" priority="469">
      <formula>$C40&gt;$E40</formula>
    </cfRule>
  </conditionalFormatting>
  <conditionalFormatting sqref="C42">
    <cfRule type="expression" dxfId="1027" priority="468">
      <formula>$C42&gt;$E42</formula>
    </cfRule>
  </conditionalFormatting>
  <conditionalFormatting sqref="C42">
    <cfRule type="expression" dxfId="1026" priority="467">
      <formula>$C42&lt;$E42</formula>
    </cfRule>
  </conditionalFormatting>
  <conditionalFormatting sqref="E42">
    <cfRule type="expression" dxfId="1025" priority="466">
      <formula>$C42&lt;$E42</formula>
    </cfRule>
  </conditionalFormatting>
  <conditionalFormatting sqref="E42">
    <cfRule type="expression" dxfId="1024" priority="465">
      <formula>$C42&gt;$E42</formula>
    </cfRule>
  </conditionalFormatting>
  <conditionalFormatting sqref="C43">
    <cfRule type="expression" dxfId="1023" priority="464">
      <formula>$C43&gt;$E43</formula>
    </cfRule>
  </conditionalFormatting>
  <conditionalFormatting sqref="C43">
    <cfRule type="expression" dxfId="1022" priority="463">
      <formula>$C43&lt;$E43</formula>
    </cfRule>
  </conditionalFormatting>
  <conditionalFormatting sqref="E43">
    <cfRule type="expression" dxfId="1021" priority="462">
      <formula>$C43&lt;$E43</formula>
    </cfRule>
  </conditionalFormatting>
  <conditionalFormatting sqref="E43">
    <cfRule type="expression" dxfId="1020" priority="461">
      <formula>$C43&gt;$E43</formula>
    </cfRule>
  </conditionalFormatting>
  <conditionalFormatting sqref="C44">
    <cfRule type="expression" dxfId="1019" priority="460">
      <formula>$C44&gt;$E44</formula>
    </cfRule>
  </conditionalFormatting>
  <conditionalFormatting sqref="C44">
    <cfRule type="expression" dxfId="1018" priority="459">
      <formula>$C44&lt;$E44</formula>
    </cfRule>
  </conditionalFormatting>
  <conditionalFormatting sqref="E44">
    <cfRule type="expression" dxfId="1017" priority="458">
      <formula>$C44&lt;$E44</formula>
    </cfRule>
  </conditionalFormatting>
  <conditionalFormatting sqref="E44">
    <cfRule type="expression" dxfId="1016" priority="457">
      <formula>$C44&gt;$E44</formula>
    </cfRule>
  </conditionalFormatting>
  <conditionalFormatting sqref="C45">
    <cfRule type="expression" dxfId="1015" priority="456">
      <formula>$C45&gt;$E45</formula>
    </cfRule>
  </conditionalFormatting>
  <conditionalFormatting sqref="C45">
    <cfRule type="expression" dxfId="1014" priority="455">
      <formula>$C45&lt;$E45</formula>
    </cfRule>
  </conditionalFormatting>
  <conditionalFormatting sqref="E45">
    <cfRule type="expression" dxfId="1013" priority="454">
      <formula>$C45&lt;$E45</formula>
    </cfRule>
  </conditionalFormatting>
  <conditionalFormatting sqref="E45">
    <cfRule type="expression" dxfId="1012" priority="453">
      <formula>$C45&gt;$E45</formula>
    </cfRule>
  </conditionalFormatting>
  <conditionalFormatting sqref="C46">
    <cfRule type="expression" dxfId="1011" priority="452">
      <formula>$C46&gt;$E46</formula>
    </cfRule>
  </conditionalFormatting>
  <conditionalFormatting sqref="C46">
    <cfRule type="expression" dxfId="1010" priority="451">
      <formula>$C46&lt;$E46</formula>
    </cfRule>
  </conditionalFormatting>
  <conditionalFormatting sqref="E46">
    <cfRule type="expression" dxfId="1009" priority="450">
      <formula>$C46&lt;$E46</formula>
    </cfRule>
  </conditionalFormatting>
  <conditionalFormatting sqref="E46">
    <cfRule type="expression" dxfId="1008" priority="449">
      <formula>$C46&gt;$E46</formula>
    </cfRule>
  </conditionalFormatting>
  <conditionalFormatting sqref="C47">
    <cfRule type="expression" dxfId="1007" priority="448">
      <formula>$C47&gt;$E47</formula>
    </cfRule>
  </conditionalFormatting>
  <conditionalFormatting sqref="C47">
    <cfRule type="expression" dxfId="1006" priority="447">
      <formula>$C47&lt;$E47</formula>
    </cfRule>
  </conditionalFormatting>
  <conditionalFormatting sqref="E47">
    <cfRule type="expression" dxfId="1005" priority="446">
      <formula>$C47&lt;$E47</formula>
    </cfRule>
  </conditionalFormatting>
  <conditionalFormatting sqref="E47">
    <cfRule type="expression" dxfId="1004" priority="445">
      <formula>$C47&gt;$E47</formula>
    </cfRule>
  </conditionalFormatting>
  <conditionalFormatting sqref="C48">
    <cfRule type="expression" dxfId="1003" priority="444">
      <formula>$C48&gt;$E48</formula>
    </cfRule>
  </conditionalFormatting>
  <conditionalFormatting sqref="C48">
    <cfRule type="expression" dxfId="1002" priority="443">
      <formula>$C48&lt;$E48</formula>
    </cfRule>
  </conditionalFormatting>
  <conditionalFormatting sqref="E48">
    <cfRule type="expression" dxfId="1001" priority="442">
      <formula>$C48&lt;$E48</formula>
    </cfRule>
  </conditionalFormatting>
  <conditionalFormatting sqref="E48">
    <cfRule type="expression" dxfId="1000" priority="441">
      <formula>$C48&gt;$E48</formula>
    </cfRule>
  </conditionalFormatting>
  <conditionalFormatting sqref="C49">
    <cfRule type="expression" dxfId="999" priority="440">
      <formula>$C49&gt;$E49</formula>
    </cfRule>
  </conditionalFormatting>
  <conditionalFormatting sqref="C49">
    <cfRule type="expression" dxfId="998" priority="439">
      <formula>$C49&lt;$E49</formula>
    </cfRule>
  </conditionalFormatting>
  <conditionalFormatting sqref="E49">
    <cfRule type="expression" dxfId="997" priority="438">
      <formula>$C49&lt;$E49</formula>
    </cfRule>
  </conditionalFormatting>
  <conditionalFormatting sqref="E49">
    <cfRule type="expression" dxfId="996" priority="437">
      <formula>$C49&gt;$E49</formula>
    </cfRule>
  </conditionalFormatting>
  <conditionalFormatting sqref="C50">
    <cfRule type="expression" dxfId="995" priority="436">
      <formula>$C50&gt;$E50</formula>
    </cfRule>
  </conditionalFormatting>
  <conditionalFormatting sqref="C50">
    <cfRule type="expression" dxfId="994" priority="435">
      <formula>$C50&lt;$E50</formula>
    </cfRule>
  </conditionalFormatting>
  <conditionalFormatting sqref="E50">
    <cfRule type="expression" dxfId="993" priority="434">
      <formula>$C50&lt;$E50</formula>
    </cfRule>
  </conditionalFormatting>
  <conditionalFormatting sqref="E50">
    <cfRule type="expression" dxfId="992" priority="433">
      <formula>$C50&gt;$E50</formula>
    </cfRule>
  </conditionalFormatting>
  <conditionalFormatting sqref="C52">
    <cfRule type="expression" dxfId="991" priority="432">
      <formula>$C52&gt;$E52</formula>
    </cfRule>
  </conditionalFormatting>
  <conditionalFormatting sqref="C52">
    <cfRule type="expression" dxfId="990" priority="431">
      <formula>$C52&lt;$E52</formula>
    </cfRule>
  </conditionalFormatting>
  <conditionalFormatting sqref="E52">
    <cfRule type="expression" dxfId="989" priority="430">
      <formula>$C52&lt;$E52</formula>
    </cfRule>
  </conditionalFormatting>
  <conditionalFormatting sqref="E52">
    <cfRule type="expression" dxfId="988" priority="429">
      <formula>$C52&gt;$E52</formula>
    </cfRule>
  </conditionalFormatting>
  <conditionalFormatting sqref="C53">
    <cfRule type="expression" dxfId="987" priority="428">
      <formula>$C53&gt;$E53</formula>
    </cfRule>
  </conditionalFormatting>
  <conditionalFormatting sqref="C53">
    <cfRule type="expression" dxfId="986" priority="427">
      <formula>$C53&lt;$E53</formula>
    </cfRule>
  </conditionalFormatting>
  <conditionalFormatting sqref="E53">
    <cfRule type="expression" dxfId="985" priority="426">
      <formula>$C53&lt;$E53</formula>
    </cfRule>
  </conditionalFormatting>
  <conditionalFormatting sqref="E53">
    <cfRule type="expression" dxfId="984" priority="425">
      <formula>$C53&gt;$E53</formula>
    </cfRule>
  </conditionalFormatting>
  <conditionalFormatting sqref="C54">
    <cfRule type="expression" dxfId="983" priority="424">
      <formula>$C54&gt;$E54</formula>
    </cfRule>
  </conditionalFormatting>
  <conditionalFormatting sqref="C54">
    <cfRule type="expression" dxfId="982" priority="423">
      <formula>$C54&lt;$E54</formula>
    </cfRule>
  </conditionalFormatting>
  <conditionalFormatting sqref="E54">
    <cfRule type="expression" dxfId="981" priority="422">
      <formula>$C54&lt;$E54</formula>
    </cfRule>
  </conditionalFormatting>
  <conditionalFormatting sqref="E54">
    <cfRule type="expression" dxfId="980" priority="421">
      <formula>$C54&gt;$E54</formula>
    </cfRule>
  </conditionalFormatting>
  <conditionalFormatting sqref="C55">
    <cfRule type="expression" dxfId="979" priority="420">
      <formula>$C55&gt;$E55</formula>
    </cfRule>
  </conditionalFormatting>
  <conditionalFormatting sqref="C55">
    <cfRule type="expression" dxfId="978" priority="419">
      <formula>$C55&lt;$E55</formula>
    </cfRule>
  </conditionalFormatting>
  <conditionalFormatting sqref="E55">
    <cfRule type="expression" dxfId="977" priority="418">
      <formula>$C55&lt;$E55</formula>
    </cfRule>
  </conditionalFormatting>
  <conditionalFormatting sqref="E55">
    <cfRule type="expression" dxfId="976" priority="417">
      <formula>$C55&gt;$E55</formula>
    </cfRule>
  </conditionalFormatting>
  <conditionalFormatting sqref="C56">
    <cfRule type="expression" dxfId="975" priority="416">
      <formula>$C56&gt;$E56</formula>
    </cfRule>
  </conditionalFormatting>
  <conditionalFormatting sqref="C56">
    <cfRule type="expression" dxfId="974" priority="415">
      <formula>$C56&lt;$E56</formula>
    </cfRule>
  </conditionalFormatting>
  <conditionalFormatting sqref="E56">
    <cfRule type="expression" dxfId="973" priority="414">
      <formula>$C56&lt;$E56</formula>
    </cfRule>
  </conditionalFormatting>
  <conditionalFormatting sqref="E56">
    <cfRule type="expression" dxfId="972" priority="413">
      <formula>$C56&gt;$E56</formula>
    </cfRule>
  </conditionalFormatting>
  <conditionalFormatting sqref="C57">
    <cfRule type="expression" dxfId="971" priority="412">
      <formula>$C57&gt;$E57</formula>
    </cfRule>
  </conditionalFormatting>
  <conditionalFormatting sqref="C57">
    <cfRule type="expression" dxfId="970" priority="411">
      <formula>$C57&lt;$E57</formula>
    </cfRule>
  </conditionalFormatting>
  <conditionalFormatting sqref="E57">
    <cfRule type="expression" dxfId="969" priority="410">
      <formula>$C57&lt;$E57</formula>
    </cfRule>
  </conditionalFormatting>
  <conditionalFormatting sqref="E57">
    <cfRule type="expression" dxfId="968" priority="409">
      <formula>$C57&gt;$E57</formula>
    </cfRule>
  </conditionalFormatting>
  <conditionalFormatting sqref="C58">
    <cfRule type="expression" dxfId="967" priority="408">
      <formula>$C58&gt;$E58</formula>
    </cfRule>
  </conditionalFormatting>
  <conditionalFormatting sqref="C58">
    <cfRule type="expression" dxfId="966" priority="407">
      <formula>$C58&lt;$E58</formula>
    </cfRule>
  </conditionalFormatting>
  <conditionalFormatting sqref="E58">
    <cfRule type="expression" dxfId="965" priority="406">
      <formula>$C58&lt;$E58</formula>
    </cfRule>
  </conditionalFormatting>
  <conditionalFormatting sqref="E58">
    <cfRule type="expression" dxfId="964" priority="405">
      <formula>$C58&gt;$E58</formula>
    </cfRule>
  </conditionalFormatting>
  <conditionalFormatting sqref="C59">
    <cfRule type="expression" dxfId="963" priority="404">
      <formula>$C59&gt;$E59</formula>
    </cfRule>
  </conditionalFormatting>
  <conditionalFormatting sqref="C59">
    <cfRule type="expression" dxfId="962" priority="403">
      <formula>$C59&lt;$E59</formula>
    </cfRule>
  </conditionalFormatting>
  <conditionalFormatting sqref="E59">
    <cfRule type="expression" dxfId="961" priority="402">
      <formula>$C59&lt;$E59</formula>
    </cfRule>
  </conditionalFormatting>
  <conditionalFormatting sqref="E59">
    <cfRule type="expression" dxfId="960" priority="401">
      <formula>$C59&gt;$E59</formula>
    </cfRule>
  </conditionalFormatting>
  <conditionalFormatting sqref="C60">
    <cfRule type="expression" dxfId="959" priority="400">
      <formula>$C60&gt;$E60</formula>
    </cfRule>
  </conditionalFormatting>
  <conditionalFormatting sqref="C60">
    <cfRule type="expression" dxfId="958" priority="399">
      <formula>$C60&lt;$E60</formula>
    </cfRule>
  </conditionalFormatting>
  <conditionalFormatting sqref="E60">
    <cfRule type="expression" dxfId="957" priority="398">
      <formula>$C60&lt;$E60</formula>
    </cfRule>
  </conditionalFormatting>
  <conditionalFormatting sqref="E60">
    <cfRule type="expression" dxfId="956" priority="397">
      <formula>$C60&gt;$E60</formula>
    </cfRule>
  </conditionalFormatting>
  <conditionalFormatting sqref="C62">
    <cfRule type="expression" dxfId="955" priority="396">
      <formula>$C62&gt;$E62</formula>
    </cfRule>
  </conditionalFormatting>
  <conditionalFormatting sqref="C62">
    <cfRule type="expression" dxfId="954" priority="395">
      <formula>$C62&lt;$E62</formula>
    </cfRule>
  </conditionalFormatting>
  <conditionalFormatting sqref="E62">
    <cfRule type="expression" dxfId="953" priority="394">
      <formula>$C62&lt;$E62</formula>
    </cfRule>
  </conditionalFormatting>
  <conditionalFormatting sqref="E62">
    <cfRule type="expression" dxfId="952" priority="393">
      <formula>$C62&gt;$E62</formula>
    </cfRule>
  </conditionalFormatting>
  <conditionalFormatting sqref="C63">
    <cfRule type="expression" dxfId="951" priority="392">
      <formula>$C63&gt;$E63</formula>
    </cfRule>
  </conditionalFormatting>
  <conditionalFormatting sqref="C63">
    <cfRule type="expression" dxfId="950" priority="391">
      <formula>$C63&lt;$E63</formula>
    </cfRule>
  </conditionalFormatting>
  <conditionalFormatting sqref="E63">
    <cfRule type="expression" dxfId="949" priority="390">
      <formula>$C63&lt;$E63</formula>
    </cfRule>
  </conditionalFormatting>
  <conditionalFormatting sqref="E63">
    <cfRule type="expression" dxfId="948" priority="389">
      <formula>$C63&gt;$E63</formula>
    </cfRule>
  </conditionalFormatting>
  <conditionalFormatting sqref="C64">
    <cfRule type="expression" dxfId="947" priority="388">
      <formula>$C64&gt;$E64</formula>
    </cfRule>
  </conditionalFormatting>
  <conditionalFormatting sqref="C64">
    <cfRule type="expression" dxfId="946" priority="387">
      <formula>$C64&lt;$E64</formula>
    </cfRule>
  </conditionalFormatting>
  <conditionalFormatting sqref="E64">
    <cfRule type="expression" dxfId="945" priority="386">
      <formula>$C64&lt;$E64</formula>
    </cfRule>
  </conditionalFormatting>
  <conditionalFormatting sqref="E64">
    <cfRule type="expression" dxfId="944" priority="385">
      <formula>$C64&gt;$E64</formula>
    </cfRule>
  </conditionalFormatting>
  <conditionalFormatting sqref="C65">
    <cfRule type="expression" dxfId="943" priority="384">
      <formula>$C65&gt;$E65</formula>
    </cfRule>
  </conditionalFormatting>
  <conditionalFormatting sqref="C65">
    <cfRule type="expression" dxfId="942" priority="383">
      <formula>$C65&lt;$E65</formula>
    </cfRule>
  </conditionalFormatting>
  <conditionalFormatting sqref="E65">
    <cfRule type="expression" dxfId="941" priority="382">
      <formula>$C65&lt;$E65</formula>
    </cfRule>
  </conditionalFormatting>
  <conditionalFormatting sqref="E65">
    <cfRule type="expression" dxfId="940" priority="381">
      <formula>$C65&gt;$E65</formula>
    </cfRule>
  </conditionalFormatting>
  <conditionalFormatting sqref="C66">
    <cfRule type="expression" dxfId="939" priority="380">
      <formula>$C66&gt;$E66</formula>
    </cfRule>
  </conditionalFormatting>
  <conditionalFormatting sqref="C66">
    <cfRule type="expression" dxfId="938" priority="379">
      <formula>$C66&lt;$E66</formula>
    </cfRule>
  </conditionalFormatting>
  <conditionalFormatting sqref="E66">
    <cfRule type="expression" dxfId="937" priority="378">
      <formula>$C66&lt;$E66</formula>
    </cfRule>
  </conditionalFormatting>
  <conditionalFormatting sqref="E66">
    <cfRule type="expression" dxfId="936" priority="377">
      <formula>$C66&gt;$E66</formula>
    </cfRule>
  </conditionalFormatting>
  <conditionalFormatting sqref="C67">
    <cfRule type="expression" dxfId="935" priority="376">
      <formula>$C67&gt;$E67</formula>
    </cfRule>
  </conditionalFormatting>
  <conditionalFormatting sqref="C67">
    <cfRule type="expression" dxfId="934" priority="375">
      <formula>$C67&lt;$E67</formula>
    </cfRule>
  </conditionalFormatting>
  <conditionalFormatting sqref="E67">
    <cfRule type="expression" dxfId="933" priority="374">
      <formula>$C67&lt;$E67</formula>
    </cfRule>
  </conditionalFormatting>
  <conditionalFormatting sqref="E67">
    <cfRule type="expression" dxfId="932" priority="373">
      <formula>$C67&gt;$E67</formula>
    </cfRule>
  </conditionalFormatting>
  <conditionalFormatting sqref="C68">
    <cfRule type="expression" dxfId="931" priority="372">
      <formula>$C68&gt;$E68</formula>
    </cfRule>
  </conditionalFormatting>
  <conditionalFormatting sqref="C68">
    <cfRule type="expression" dxfId="930" priority="371">
      <formula>$C68&lt;$E68</formula>
    </cfRule>
  </conditionalFormatting>
  <conditionalFormatting sqref="E68">
    <cfRule type="expression" dxfId="929" priority="370">
      <formula>$C68&lt;$E68</formula>
    </cfRule>
  </conditionalFormatting>
  <conditionalFormatting sqref="E68">
    <cfRule type="expression" dxfId="928" priority="369">
      <formula>$C68&gt;$E68</formula>
    </cfRule>
  </conditionalFormatting>
  <conditionalFormatting sqref="C69">
    <cfRule type="expression" dxfId="927" priority="368">
      <formula>$C69&gt;$E69</formula>
    </cfRule>
  </conditionalFormatting>
  <conditionalFormatting sqref="C69">
    <cfRule type="expression" dxfId="926" priority="367">
      <formula>$C69&lt;$E69</formula>
    </cfRule>
  </conditionalFormatting>
  <conditionalFormatting sqref="E69">
    <cfRule type="expression" dxfId="925" priority="366">
      <formula>$C69&lt;$E69</formula>
    </cfRule>
  </conditionalFormatting>
  <conditionalFormatting sqref="E69">
    <cfRule type="expression" dxfId="924" priority="365">
      <formula>$C69&gt;$E69</formula>
    </cfRule>
  </conditionalFormatting>
  <conditionalFormatting sqref="C70">
    <cfRule type="expression" dxfId="923" priority="364">
      <formula>$C70&gt;$E70</formula>
    </cfRule>
  </conditionalFormatting>
  <conditionalFormatting sqref="C70">
    <cfRule type="expression" dxfId="922" priority="363">
      <formula>$C70&lt;$E70</formula>
    </cfRule>
  </conditionalFormatting>
  <conditionalFormatting sqref="E70">
    <cfRule type="expression" dxfId="921" priority="362">
      <formula>$C70&lt;$E70</formula>
    </cfRule>
  </conditionalFormatting>
  <conditionalFormatting sqref="E70">
    <cfRule type="expression" dxfId="920" priority="361">
      <formula>$C70&gt;$E70</formula>
    </cfRule>
  </conditionalFormatting>
  <conditionalFormatting sqref="C72">
    <cfRule type="expression" dxfId="919" priority="360">
      <formula>$C72&gt;$E72</formula>
    </cfRule>
  </conditionalFormatting>
  <conditionalFormatting sqref="C72">
    <cfRule type="expression" dxfId="918" priority="359">
      <formula>$C72&lt;$E72</formula>
    </cfRule>
  </conditionalFormatting>
  <conditionalFormatting sqref="E72">
    <cfRule type="expression" dxfId="917" priority="358">
      <formula>$C72&lt;$E72</formula>
    </cfRule>
  </conditionalFormatting>
  <conditionalFormatting sqref="E72">
    <cfRule type="expression" dxfId="916" priority="357">
      <formula>$C72&gt;$E72</formula>
    </cfRule>
  </conditionalFormatting>
  <conditionalFormatting sqref="C73">
    <cfRule type="expression" dxfId="915" priority="356">
      <formula>$C73&gt;$E73</formula>
    </cfRule>
  </conditionalFormatting>
  <conditionalFormatting sqref="C73">
    <cfRule type="expression" dxfId="914" priority="355">
      <formula>$C73&lt;$E73</formula>
    </cfRule>
  </conditionalFormatting>
  <conditionalFormatting sqref="E73">
    <cfRule type="expression" dxfId="913" priority="354">
      <formula>$C73&lt;$E73</formula>
    </cfRule>
  </conditionalFormatting>
  <conditionalFormatting sqref="E73">
    <cfRule type="expression" dxfId="912" priority="353">
      <formula>$C73&gt;$E73</formula>
    </cfRule>
  </conditionalFormatting>
  <conditionalFormatting sqref="C74">
    <cfRule type="expression" dxfId="911" priority="352">
      <formula>$C74&gt;$E74</formula>
    </cfRule>
  </conditionalFormatting>
  <conditionalFormatting sqref="C74">
    <cfRule type="expression" dxfId="910" priority="351">
      <formula>$C74&lt;$E74</formula>
    </cfRule>
  </conditionalFormatting>
  <conditionalFormatting sqref="E74">
    <cfRule type="expression" dxfId="909" priority="350">
      <formula>$C74&lt;$E74</formula>
    </cfRule>
  </conditionalFormatting>
  <conditionalFormatting sqref="E74">
    <cfRule type="expression" dxfId="908" priority="349">
      <formula>$C74&gt;$E74</formula>
    </cfRule>
  </conditionalFormatting>
  <conditionalFormatting sqref="C75">
    <cfRule type="expression" dxfId="907" priority="348">
      <formula>$C75&gt;$E75</formula>
    </cfRule>
  </conditionalFormatting>
  <conditionalFormatting sqref="C75">
    <cfRule type="expression" dxfId="906" priority="347">
      <formula>$C75&lt;$E75</formula>
    </cfRule>
  </conditionalFormatting>
  <conditionalFormatting sqref="E75">
    <cfRule type="expression" dxfId="905" priority="346">
      <formula>$C75&lt;$E75</formula>
    </cfRule>
  </conditionalFormatting>
  <conditionalFormatting sqref="E75">
    <cfRule type="expression" dxfId="904" priority="345">
      <formula>$C75&gt;$E75</formula>
    </cfRule>
  </conditionalFormatting>
  <conditionalFormatting sqref="C76">
    <cfRule type="expression" dxfId="903" priority="344">
      <formula>$C76&gt;$E76</formula>
    </cfRule>
  </conditionalFormatting>
  <conditionalFormatting sqref="C76">
    <cfRule type="expression" dxfId="902" priority="343">
      <formula>$C76&lt;$E76</formula>
    </cfRule>
  </conditionalFormatting>
  <conditionalFormatting sqref="E76">
    <cfRule type="expression" dxfId="901" priority="342">
      <formula>$C76&lt;$E76</formula>
    </cfRule>
  </conditionalFormatting>
  <conditionalFormatting sqref="E76">
    <cfRule type="expression" dxfId="900" priority="341">
      <formula>$C76&gt;$E76</formula>
    </cfRule>
  </conditionalFormatting>
  <conditionalFormatting sqref="C77">
    <cfRule type="expression" dxfId="899" priority="340">
      <formula>$C77&gt;$E77</formula>
    </cfRule>
  </conditionalFormatting>
  <conditionalFormatting sqref="C77">
    <cfRule type="expression" dxfId="898" priority="339">
      <formula>$C77&lt;$E77</formula>
    </cfRule>
  </conditionalFormatting>
  <conditionalFormatting sqref="E77">
    <cfRule type="expression" dxfId="897" priority="338">
      <formula>$C77&lt;$E77</formula>
    </cfRule>
  </conditionalFormatting>
  <conditionalFormatting sqref="E77">
    <cfRule type="expression" dxfId="896" priority="337">
      <formula>$C77&gt;$E77</formula>
    </cfRule>
  </conditionalFormatting>
  <conditionalFormatting sqref="C78">
    <cfRule type="expression" dxfId="895" priority="336">
      <formula>$C78&gt;$E78</formula>
    </cfRule>
  </conditionalFormatting>
  <conditionalFormatting sqref="C78">
    <cfRule type="expression" dxfId="894" priority="335">
      <formula>$C78&lt;$E78</formula>
    </cfRule>
  </conditionalFormatting>
  <conditionalFormatting sqref="E78">
    <cfRule type="expression" dxfId="893" priority="334">
      <formula>$C78&lt;$E78</formula>
    </cfRule>
  </conditionalFormatting>
  <conditionalFormatting sqref="E78">
    <cfRule type="expression" dxfId="892" priority="333">
      <formula>$C78&gt;$E78</formula>
    </cfRule>
  </conditionalFormatting>
  <conditionalFormatting sqref="C79">
    <cfRule type="expression" dxfId="891" priority="332">
      <formula>$C79&gt;$E79</formula>
    </cfRule>
  </conditionalFormatting>
  <conditionalFormatting sqref="C79">
    <cfRule type="expression" dxfId="890" priority="331">
      <formula>$C79&lt;$E79</formula>
    </cfRule>
  </conditionalFormatting>
  <conditionalFormatting sqref="E79">
    <cfRule type="expression" dxfId="889" priority="330">
      <formula>$C79&lt;$E79</formula>
    </cfRule>
  </conditionalFormatting>
  <conditionalFormatting sqref="E79">
    <cfRule type="expression" dxfId="888" priority="329">
      <formula>$C79&gt;$E79</formula>
    </cfRule>
  </conditionalFormatting>
  <conditionalFormatting sqref="C80">
    <cfRule type="expression" dxfId="887" priority="328">
      <formula>$C80&gt;$E80</formula>
    </cfRule>
  </conditionalFormatting>
  <conditionalFormatting sqref="C80">
    <cfRule type="expression" dxfId="886" priority="327">
      <formula>$C80&lt;$E80</formula>
    </cfRule>
  </conditionalFormatting>
  <conditionalFormatting sqref="E80">
    <cfRule type="expression" dxfId="885" priority="326">
      <formula>$C80&lt;$E80</formula>
    </cfRule>
  </conditionalFormatting>
  <conditionalFormatting sqref="E80">
    <cfRule type="expression" dxfId="884" priority="325">
      <formula>$C80&gt;$E80</formula>
    </cfRule>
  </conditionalFormatting>
  <conditionalFormatting sqref="C82">
    <cfRule type="expression" dxfId="883" priority="324">
      <formula>$C82&gt;$E82</formula>
    </cfRule>
  </conditionalFormatting>
  <conditionalFormatting sqref="C82">
    <cfRule type="expression" dxfId="882" priority="323">
      <formula>$C82&lt;$E82</formula>
    </cfRule>
  </conditionalFormatting>
  <conditionalFormatting sqref="E82">
    <cfRule type="expression" dxfId="881" priority="322">
      <formula>$C82&lt;$E82</formula>
    </cfRule>
  </conditionalFormatting>
  <conditionalFormatting sqref="E82">
    <cfRule type="expression" dxfId="880" priority="321">
      <formula>$C82&gt;$E82</formula>
    </cfRule>
  </conditionalFormatting>
  <conditionalFormatting sqref="C83">
    <cfRule type="expression" dxfId="879" priority="320">
      <formula>$C83&gt;$E83</formula>
    </cfRule>
  </conditionalFormatting>
  <conditionalFormatting sqref="C83">
    <cfRule type="expression" dxfId="878" priority="319">
      <formula>$C83&lt;$E83</formula>
    </cfRule>
  </conditionalFormatting>
  <conditionalFormatting sqref="E83">
    <cfRule type="expression" dxfId="877" priority="318">
      <formula>$C83&lt;$E83</formula>
    </cfRule>
  </conditionalFormatting>
  <conditionalFormatting sqref="E83">
    <cfRule type="expression" dxfId="876" priority="317">
      <formula>$C83&gt;$E83</formula>
    </cfRule>
  </conditionalFormatting>
  <conditionalFormatting sqref="C84">
    <cfRule type="expression" dxfId="875" priority="316">
      <formula>$C84&gt;$E84</formula>
    </cfRule>
  </conditionalFormatting>
  <conditionalFormatting sqref="C84">
    <cfRule type="expression" dxfId="874" priority="315">
      <formula>$C84&lt;$E84</formula>
    </cfRule>
  </conditionalFormatting>
  <conditionalFormatting sqref="E84">
    <cfRule type="expression" dxfId="873" priority="314">
      <formula>$C84&lt;$E84</formula>
    </cfRule>
  </conditionalFormatting>
  <conditionalFormatting sqref="E84">
    <cfRule type="expression" dxfId="872" priority="313">
      <formula>$C84&gt;$E84</formula>
    </cfRule>
  </conditionalFormatting>
  <conditionalFormatting sqref="C85">
    <cfRule type="expression" dxfId="871" priority="312">
      <formula>$C85&gt;$E85</formula>
    </cfRule>
  </conditionalFormatting>
  <conditionalFormatting sqref="C85">
    <cfRule type="expression" dxfId="870" priority="311">
      <formula>$C85&lt;$E85</formula>
    </cfRule>
  </conditionalFormatting>
  <conditionalFormatting sqref="E85">
    <cfRule type="expression" dxfId="869" priority="310">
      <formula>$C85&lt;$E85</formula>
    </cfRule>
  </conditionalFormatting>
  <conditionalFormatting sqref="E85">
    <cfRule type="expression" dxfId="868" priority="309">
      <formula>$C85&gt;$E85</formula>
    </cfRule>
  </conditionalFormatting>
  <conditionalFormatting sqref="C86">
    <cfRule type="expression" dxfId="867" priority="308">
      <formula>$C86&gt;$E86</formula>
    </cfRule>
  </conditionalFormatting>
  <conditionalFormatting sqref="C86">
    <cfRule type="expression" dxfId="866" priority="307">
      <formula>$C86&lt;$E86</formula>
    </cfRule>
  </conditionalFormatting>
  <conditionalFormatting sqref="E86">
    <cfRule type="expression" dxfId="865" priority="306">
      <formula>$C86&lt;$E86</formula>
    </cfRule>
  </conditionalFormatting>
  <conditionalFormatting sqref="E86">
    <cfRule type="expression" dxfId="864" priority="305">
      <formula>$C86&gt;$E86</formula>
    </cfRule>
  </conditionalFormatting>
  <conditionalFormatting sqref="C87">
    <cfRule type="expression" dxfId="863" priority="304">
      <formula>$C87&gt;$E87</formula>
    </cfRule>
  </conditionalFormatting>
  <conditionalFormatting sqref="C87">
    <cfRule type="expression" dxfId="862" priority="303">
      <formula>$C87&lt;$E87</formula>
    </cfRule>
  </conditionalFormatting>
  <conditionalFormatting sqref="E87">
    <cfRule type="expression" dxfId="861" priority="302">
      <formula>$C87&lt;$E87</formula>
    </cfRule>
  </conditionalFormatting>
  <conditionalFormatting sqref="E87">
    <cfRule type="expression" dxfId="860" priority="301">
      <formula>$C87&gt;$E87</formula>
    </cfRule>
  </conditionalFormatting>
  <conditionalFormatting sqref="C88">
    <cfRule type="expression" dxfId="859" priority="300">
      <formula>$C88&gt;$E88</formula>
    </cfRule>
  </conditionalFormatting>
  <conditionalFormatting sqref="C88">
    <cfRule type="expression" dxfId="858" priority="299">
      <formula>$C88&lt;$E88</formula>
    </cfRule>
  </conditionalFormatting>
  <conditionalFormatting sqref="E88">
    <cfRule type="expression" dxfId="857" priority="298">
      <formula>$C88&lt;$E88</formula>
    </cfRule>
  </conditionalFormatting>
  <conditionalFormatting sqref="E88">
    <cfRule type="expression" dxfId="856" priority="297">
      <formula>$C88&gt;$E88</formula>
    </cfRule>
  </conditionalFormatting>
  <conditionalFormatting sqref="C89">
    <cfRule type="expression" dxfId="855" priority="296">
      <formula>$C89&gt;$E89</formula>
    </cfRule>
  </conditionalFormatting>
  <conditionalFormatting sqref="C89">
    <cfRule type="expression" dxfId="854" priority="295">
      <formula>$C89&lt;$E89</formula>
    </cfRule>
  </conditionalFormatting>
  <conditionalFormatting sqref="E89">
    <cfRule type="expression" dxfId="853" priority="294">
      <formula>$C89&lt;$E89</formula>
    </cfRule>
  </conditionalFormatting>
  <conditionalFormatting sqref="E89">
    <cfRule type="expression" dxfId="852" priority="293">
      <formula>$C89&gt;$E89</formula>
    </cfRule>
  </conditionalFormatting>
  <conditionalFormatting sqref="C90">
    <cfRule type="expression" dxfId="851" priority="292">
      <formula>$C90&gt;$E90</formula>
    </cfRule>
  </conditionalFormatting>
  <conditionalFormatting sqref="C90">
    <cfRule type="expression" dxfId="850" priority="291">
      <formula>$C90&lt;$E90</formula>
    </cfRule>
  </conditionalFormatting>
  <conditionalFormatting sqref="E90">
    <cfRule type="expression" dxfId="849" priority="290">
      <formula>$C90&lt;$E90</formula>
    </cfRule>
  </conditionalFormatting>
  <conditionalFormatting sqref="E90">
    <cfRule type="expression" dxfId="848" priority="289">
      <formula>$C90&gt;$E90</formula>
    </cfRule>
  </conditionalFormatting>
  <conditionalFormatting sqref="C92">
    <cfRule type="expression" dxfId="847" priority="288">
      <formula>$C92&gt;$E92</formula>
    </cfRule>
  </conditionalFormatting>
  <conditionalFormatting sqref="C92">
    <cfRule type="expression" dxfId="846" priority="287">
      <formula>$C92&lt;$E92</formula>
    </cfRule>
  </conditionalFormatting>
  <conditionalFormatting sqref="E92">
    <cfRule type="expression" dxfId="845" priority="286">
      <formula>$C92&lt;$E92</formula>
    </cfRule>
  </conditionalFormatting>
  <conditionalFormatting sqref="E92">
    <cfRule type="expression" dxfId="844" priority="285">
      <formula>$C92&gt;$E92</formula>
    </cfRule>
  </conditionalFormatting>
  <conditionalFormatting sqref="C93">
    <cfRule type="expression" dxfId="843" priority="284">
      <formula>$C93&gt;$E93</formula>
    </cfRule>
  </conditionalFormatting>
  <conditionalFormatting sqref="C93">
    <cfRule type="expression" dxfId="842" priority="283">
      <formula>$C93&lt;$E93</formula>
    </cfRule>
  </conditionalFormatting>
  <conditionalFormatting sqref="E93">
    <cfRule type="expression" dxfId="841" priority="282">
      <formula>$C93&lt;$E93</formula>
    </cfRule>
  </conditionalFormatting>
  <conditionalFormatting sqref="E93">
    <cfRule type="expression" dxfId="840" priority="281">
      <formula>$C93&gt;$E93</formula>
    </cfRule>
  </conditionalFormatting>
  <conditionalFormatting sqref="C94">
    <cfRule type="expression" dxfId="839" priority="280">
      <formula>$C94&gt;$E94</formula>
    </cfRule>
  </conditionalFormatting>
  <conditionalFormatting sqref="C94">
    <cfRule type="expression" dxfId="838" priority="279">
      <formula>$C94&lt;$E94</formula>
    </cfRule>
  </conditionalFormatting>
  <conditionalFormatting sqref="E94">
    <cfRule type="expression" dxfId="837" priority="278">
      <formula>$C94&lt;$E94</formula>
    </cfRule>
  </conditionalFormatting>
  <conditionalFormatting sqref="E94">
    <cfRule type="expression" dxfId="836" priority="277">
      <formula>$C94&gt;$E94</formula>
    </cfRule>
  </conditionalFormatting>
  <conditionalFormatting sqref="C95">
    <cfRule type="expression" dxfId="835" priority="276">
      <formula>$C95&gt;$E95</formula>
    </cfRule>
  </conditionalFormatting>
  <conditionalFormatting sqref="C95">
    <cfRule type="expression" dxfId="834" priority="275">
      <formula>$C95&lt;$E95</formula>
    </cfRule>
  </conditionalFormatting>
  <conditionalFormatting sqref="E95">
    <cfRule type="expression" dxfId="833" priority="274">
      <formula>$C95&lt;$E95</formula>
    </cfRule>
  </conditionalFormatting>
  <conditionalFormatting sqref="E95">
    <cfRule type="expression" dxfId="832" priority="273">
      <formula>$C95&gt;$E95</formula>
    </cfRule>
  </conditionalFormatting>
  <conditionalFormatting sqref="C96">
    <cfRule type="expression" dxfId="831" priority="272">
      <formula>$C96&gt;$E96</formula>
    </cfRule>
  </conditionalFormatting>
  <conditionalFormatting sqref="C96">
    <cfRule type="expression" dxfId="830" priority="271">
      <formula>$C96&lt;$E96</formula>
    </cfRule>
  </conditionalFormatting>
  <conditionalFormatting sqref="E96">
    <cfRule type="expression" dxfId="829" priority="270">
      <formula>$C96&lt;$E96</formula>
    </cfRule>
  </conditionalFormatting>
  <conditionalFormatting sqref="E96">
    <cfRule type="expression" dxfId="828" priority="269">
      <formula>$C96&gt;$E96</formula>
    </cfRule>
  </conditionalFormatting>
  <conditionalFormatting sqref="C97">
    <cfRule type="expression" dxfId="827" priority="268">
      <formula>$C97&gt;$E97</formula>
    </cfRule>
  </conditionalFormatting>
  <conditionalFormatting sqref="C97">
    <cfRule type="expression" dxfId="826" priority="267">
      <formula>$C97&lt;$E97</formula>
    </cfRule>
  </conditionalFormatting>
  <conditionalFormatting sqref="E97">
    <cfRule type="expression" dxfId="825" priority="266">
      <formula>$C97&lt;$E97</formula>
    </cfRule>
  </conditionalFormatting>
  <conditionalFormatting sqref="E97">
    <cfRule type="expression" dxfId="824" priority="265">
      <formula>$C97&gt;$E97</formula>
    </cfRule>
  </conditionalFormatting>
  <conditionalFormatting sqref="C98">
    <cfRule type="expression" dxfId="823" priority="264">
      <formula>$C98&gt;$E98</formula>
    </cfRule>
  </conditionalFormatting>
  <conditionalFormatting sqref="C98">
    <cfRule type="expression" dxfId="822" priority="263">
      <formula>$C98&lt;$E98</formula>
    </cfRule>
  </conditionalFormatting>
  <conditionalFormatting sqref="E98">
    <cfRule type="expression" dxfId="821" priority="262">
      <formula>$C98&lt;$E98</formula>
    </cfRule>
  </conditionalFormatting>
  <conditionalFormatting sqref="E98">
    <cfRule type="expression" dxfId="820" priority="261">
      <formula>$C98&gt;$E98</formula>
    </cfRule>
  </conditionalFormatting>
  <conditionalFormatting sqref="C99">
    <cfRule type="expression" dxfId="819" priority="260">
      <formula>$C99&gt;$E99</formula>
    </cfRule>
  </conditionalFormatting>
  <conditionalFormatting sqref="C99">
    <cfRule type="expression" dxfId="818" priority="259">
      <formula>$C99&lt;$E99</formula>
    </cfRule>
  </conditionalFormatting>
  <conditionalFormatting sqref="E99">
    <cfRule type="expression" dxfId="817" priority="258">
      <formula>$C99&lt;$E99</formula>
    </cfRule>
  </conditionalFormatting>
  <conditionalFormatting sqref="E99">
    <cfRule type="expression" dxfId="816" priority="257">
      <formula>$C99&gt;$E99</formula>
    </cfRule>
  </conditionalFormatting>
  <conditionalFormatting sqref="C100">
    <cfRule type="expression" dxfId="815" priority="256">
      <formula>$C100&gt;$E100</formula>
    </cfRule>
  </conditionalFormatting>
  <conditionalFormatting sqref="C100">
    <cfRule type="expression" dxfId="814" priority="255">
      <formula>$C100&lt;$E100</formula>
    </cfRule>
  </conditionalFormatting>
  <conditionalFormatting sqref="E100">
    <cfRule type="expression" dxfId="813" priority="254">
      <formula>$C100&lt;$E100</formula>
    </cfRule>
  </conditionalFormatting>
  <conditionalFormatting sqref="E100">
    <cfRule type="expression" dxfId="812" priority="253">
      <formula>$C100&gt;$E100</formula>
    </cfRule>
  </conditionalFormatting>
  <conditionalFormatting sqref="C102">
    <cfRule type="expression" dxfId="811" priority="252">
      <formula>$C102&gt;$E102</formula>
    </cfRule>
  </conditionalFormatting>
  <conditionalFormatting sqref="C102">
    <cfRule type="expression" dxfId="810" priority="251">
      <formula>$C102&lt;$E102</formula>
    </cfRule>
  </conditionalFormatting>
  <conditionalFormatting sqref="E102">
    <cfRule type="expression" dxfId="809" priority="250">
      <formula>$C102&lt;$E102</formula>
    </cfRule>
  </conditionalFormatting>
  <conditionalFormatting sqref="E102">
    <cfRule type="expression" dxfId="808" priority="249">
      <formula>$C102&gt;$E102</formula>
    </cfRule>
  </conditionalFormatting>
  <conditionalFormatting sqref="C103">
    <cfRule type="expression" dxfId="807" priority="248">
      <formula>$C103&gt;$E103</formula>
    </cfRule>
  </conditionalFormatting>
  <conditionalFormatting sqref="C103">
    <cfRule type="expression" dxfId="806" priority="247">
      <formula>$C103&lt;$E103</formula>
    </cfRule>
  </conditionalFormatting>
  <conditionalFormatting sqref="E103">
    <cfRule type="expression" dxfId="805" priority="246">
      <formula>$C103&lt;$E103</formula>
    </cfRule>
  </conditionalFormatting>
  <conditionalFormatting sqref="E103">
    <cfRule type="expression" dxfId="804" priority="245">
      <formula>$C103&gt;$E103</formula>
    </cfRule>
  </conditionalFormatting>
  <conditionalFormatting sqref="C104">
    <cfRule type="expression" dxfId="803" priority="244">
      <formula>$C104&gt;$E104</formula>
    </cfRule>
  </conditionalFormatting>
  <conditionalFormatting sqref="C104">
    <cfRule type="expression" dxfId="802" priority="243">
      <formula>$C104&lt;$E104</formula>
    </cfRule>
  </conditionalFormatting>
  <conditionalFormatting sqref="E104">
    <cfRule type="expression" dxfId="801" priority="242">
      <formula>$C104&lt;$E104</formula>
    </cfRule>
  </conditionalFormatting>
  <conditionalFormatting sqref="E104">
    <cfRule type="expression" dxfId="800" priority="241">
      <formula>$C104&gt;$E104</formula>
    </cfRule>
  </conditionalFormatting>
  <conditionalFormatting sqref="C105">
    <cfRule type="expression" dxfId="799" priority="240">
      <formula>$C105&gt;$E105</formula>
    </cfRule>
  </conditionalFormatting>
  <conditionalFormatting sqref="C105">
    <cfRule type="expression" dxfId="798" priority="239">
      <formula>$C105&lt;$E105</formula>
    </cfRule>
  </conditionalFormatting>
  <conditionalFormatting sqref="E105">
    <cfRule type="expression" dxfId="797" priority="238">
      <formula>$C105&lt;$E105</formula>
    </cfRule>
  </conditionalFormatting>
  <conditionalFormatting sqref="E105">
    <cfRule type="expression" dxfId="796" priority="237">
      <formula>$C105&gt;$E105</formula>
    </cfRule>
  </conditionalFormatting>
  <conditionalFormatting sqref="C106">
    <cfRule type="expression" dxfId="795" priority="236">
      <formula>$C106&gt;$E106</formula>
    </cfRule>
  </conditionalFormatting>
  <conditionalFormatting sqref="C106">
    <cfRule type="expression" dxfId="794" priority="235">
      <formula>$C106&lt;$E106</formula>
    </cfRule>
  </conditionalFormatting>
  <conditionalFormatting sqref="E106">
    <cfRule type="expression" dxfId="793" priority="234">
      <formula>$C106&lt;$E106</formula>
    </cfRule>
  </conditionalFormatting>
  <conditionalFormatting sqref="E106">
    <cfRule type="expression" dxfId="792" priority="233">
      <formula>$C106&gt;$E106</formula>
    </cfRule>
  </conditionalFormatting>
  <conditionalFormatting sqref="C107">
    <cfRule type="expression" dxfId="791" priority="232">
      <formula>$C107&gt;$E107</formula>
    </cfRule>
  </conditionalFormatting>
  <conditionalFormatting sqref="C107">
    <cfRule type="expression" dxfId="790" priority="231">
      <formula>$C107&lt;$E107</formula>
    </cfRule>
  </conditionalFormatting>
  <conditionalFormatting sqref="E107">
    <cfRule type="expression" dxfId="789" priority="230">
      <formula>$C107&lt;$E107</formula>
    </cfRule>
  </conditionalFormatting>
  <conditionalFormatting sqref="E107">
    <cfRule type="expression" dxfId="788" priority="229">
      <formula>$C107&gt;$E107</formula>
    </cfRule>
  </conditionalFormatting>
  <conditionalFormatting sqref="C108">
    <cfRule type="expression" dxfId="787" priority="228">
      <formula>$C108&gt;$E108</formula>
    </cfRule>
  </conditionalFormatting>
  <conditionalFormatting sqref="C108">
    <cfRule type="expression" dxfId="786" priority="227">
      <formula>$C108&lt;$E108</formula>
    </cfRule>
  </conditionalFormatting>
  <conditionalFormatting sqref="E108">
    <cfRule type="expression" dxfId="785" priority="226">
      <formula>$C108&lt;$E108</formula>
    </cfRule>
  </conditionalFormatting>
  <conditionalFormatting sqref="E108">
    <cfRule type="expression" dxfId="784" priority="225">
      <formula>$C108&gt;$E108</formula>
    </cfRule>
  </conditionalFormatting>
  <conditionalFormatting sqref="C109">
    <cfRule type="expression" dxfId="783" priority="224">
      <formula>$C109&gt;$E109</formula>
    </cfRule>
  </conditionalFormatting>
  <conditionalFormatting sqref="C109">
    <cfRule type="expression" dxfId="782" priority="223">
      <formula>$C109&lt;$E109</formula>
    </cfRule>
  </conditionalFormatting>
  <conditionalFormatting sqref="E109">
    <cfRule type="expression" dxfId="781" priority="222">
      <formula>$C109&lt;$E109</formula>
    </cfRule>
  </conditionalFormatting>
  <conditionalFormatting sqref="E109">
    <cfRule type="expression" dxfId="780" priority="221">
      <formula>$C109&gt;$E109</formula>
    </cfRule>
  </conditionalFormatting>
  <conditionalFormatting sqref="C110">
    <cfRule type="expression" dxfId="779" priority="220">
      <formula>$C110&gt;$E110</formula>
    </cfRule>
  </conditionalFormatting>
  <conditionalFormatting sqref="C110">
    <cfRule type="expression" dxfId="778" priority="219">
      <formula>$C110&lt;$E110</formula>
    </cfRule>
  </conditionalFormatting>
  <conditionalFormatting sqref="E110">
    <cfRule type="expression" dxfId="777" priority="218">
      <formula>$C110&lt;$E110</formula>
    </cfRule>
  </conditionalFormatting>
  <conditionalFormatting sqref="E110">
    <cfRule type="expression" dxfId="776" priority="217">
      <formula>$C110&gt;$E110</formula>
    </cfRule>
  </conditionalFormatting>
  <conditionalFormatting sqref="C112">
    <cfRule type="expression" dxfId="775" priority="216">
      <formula>$C112&gt;$E112</formula>
    </cfRule>
  </conditionalFormatting>
  <conditionalFormatting sqref="C112">
    <cfRule type="expression" dxfId="774" priority="215">
      <formula>$C112&lt;$E112</formula>
    </cfRule>
  </conditionalFormatting>
  <conditionalFormatting sqref="E112">
    <cfRule type="expression" dxfId="773" priority="214">
      <formula>$C112&lt;$E112</formula>
    </cfRule>
  </conditionalFormatting>
  <conditionalFormatting sqref="E112">
    <cfRule type="expression" dxfId="772" priority="213">
      <formula>$C112&gt;$E112</formula>
    </cfRule>
  </conditionalFormatting>
  <conditionalFormatting sqref="C113">
    <cfRule type="expression" dxfId="771" priority="212">
      <formula>$C113&gt;$E113</formula>
    </cfRule>
  </conditionalFormatting>
  <conditionalFormatting sqref="C113">
    <cfRule type="expression" dxfId="770" priority="211">
      <formula>$C113&lt;$E113</formula>
    </cfRule>
  </conditionalFormatting>
  <conditionalFormatting sqref="E113">
    <cfRule type="expression" dxfId="769" priority="210">
      <formula>$C113&lt;$E113</formula>
    </cfRule>
  </conditionalFormatting>
  <conditionalFormatting sqref="E113">
    <cfRule type="expression" dxfId="768" priority="209">
      <formula>$C113&gt;$E113</formula>
    </cfRule>
  </conditionalFormatting>
  <conditionalFormatting sqref="C114">
    <cfRule type="expression" dxfId="767" priority="208">
      <formula>$C114&gt;$E114</formula>
    </cfRule>
  </conditionalFormatting>
  <conditionalFormatting sqref="C114">
    <cfRule type="expression" dxfId="766" priority="207">
      <formula>$C114&lt;$E114</formula>
    </cfRule>
  </conditionalFormatting>
  <conditionalFormatting sqref="E114">
    <cfRule type="expression" dxfId="765" priority="206">
      <formula>$C114&lt;$E114</formula>
    </cfRule>
  </conditionalFormatting>
  <conditionalFormatting sqref="E114">
    <cfRule type="expression" dxfId="764" priority="205">
      <formula>$C114&gt;$E114</formula>
    </cfRule>
  </conditionalFormatting>
  <conditionalFormatting sqref="C115">
    <cfRule type="expression" dxfId="763" priority="204">
      <formula>$C115&gt;$E115</formula>
    </cfRule>
  </conditionalFormatting>
  <conditionalFormatting sqref="C115">
    <cfRule type="expression" dxfId="762" priority="203">
      <formula>$C115&lt;$E115</formula>
    </cfRule>
  </conditionalFormatting>
  <conditionalFormatting sqref="E115">
    <cfRule type="expression" dxfId="761" priority="202">
      <formula>$C115&lt;$E115</formula>
    </cfRule>
  </conditionalFormatting>
  <conditionalFormatting sqref="E115">
    <cfRule type="expression" dxfId="760" priority="201">
      <formula>$C115&gt;$E115</formula>
    </cfRule>
  </conditionalFormatting>
  <conditionalFormatting sqref="C116">
    <cfRule type="expression" dxfId="759" priority="200">
      <formula>$C116&gt;$E116</formula>
    </cfRule>
  </conditionalFormatting>
  <conditionalFormatting sqref="C116">
    <cfRule type="expression" dxfId="758" priority="199">
      <formula>$C116&lt;$E116</formula>
    </cfRule>
  </conditionalFormatting>
  <conditionalFormatting sqref="E116">
    <cfRule type="expression" dxfId="757" priority="198">
      <formula>$C116&lt;$E116</formula>
    </cfRule>
  </conditionalFormatting>
  <conditionalFormatting sqref="E116">
    <cfRule type="expression" dxfId="756" priority="197">
      <formula>$C116&gt;$E116</formula>
    </cfRule>
  </conditionalFormatting>
  <conditionalFormatting sqref="C117">
    <cfRule type="expression" dxfId="755" priority="196">
      <formula>$C117&gt;$E117</formula>
    </cfRule>
  </conditionalFormatting>
  <conditionalFormatting sqref="C117">
    <cfRule type="expression" dxfId="754" priority="195">
      <formula>$C117&lt;$E117</formula>
    </cfRule>
  </conditionalFormatting>
  <conditionalFormatting sqref="E117">
    <cfRule type="expression" dxfId="753" priority="194">
      <formula>$C117&lt;$E117</formula>
    </cfRule>
  </conditionalFormatting>
  <conditionalFormatting sqref="E117">
    <cfRule type="expression" dxfId="752" priority="193">
      <formula>$C117&gt;$E117</formula>
    </cfRule>
  </conditionalFormatting>
  <conditionalFormatting sqref="C118">
    <cfRule type="expression" dxfId="751" priority="192">
      <formula>$C118&gt;$E118</formula>
    </cfRule>
  </conditionalFormatting>
  <conditionalFormatting sqref="C118">
    <cfRule type="expression" dxfId="750" priority="191">
      <formula>$C118&lt;$E118</formula>
    </cfRule>
  </conditionalFormatting>
  <conditionalFormatting sqref="E118">
    <cfRule type="expression" dxfId="749" priority="190">
      <formula>$C118&lt;$E118</formula>
    </cfRule>
  </conditionalFormatting>
  <conditionalFormatting sqref="E118">
    <cfRule type="expression" dxfId="748" priority="189">
      <formula>$C118&gt;$E118</formula>
    </cfRule>
  </conditionalFormatting>
  <conditionalFormatting sqref="C119">
    <cfRule type="expression" dxfId="747" priority="188">
      <formula>$C119&gt;$E119</formula>
    </cfRule>
  </conditionalFormatting>
  <conditionalFormatting sqref="C119">
    <cfRule type="expression" dxfId="746" priority="187">
      <formula>$C119&lt;$E119</formula>
    </cfRule>
  </conditionalFormatting>
  <conditionalFormatting sqref="E119">
    <cfRule type="expression" dxfId="745" priority="186">
      <formula>$C119&lt;$E119</formula>
    </cfRule>
  </conditionalFormatting>
  <conditionalFormatting sqref="E119">
    <cfRule type="expression" dxfId="744" priority="185">
      <formula>$C119&gt;$E119</formula>
    </cfRule>
  </conditionalFormatting>
  <conditionalFormatting sqref="C120">
    <cfRule type="expression" dxfId="743" priority="184">
      <formula>$C120&gt;$E120</formula>
    </cfRule>
  </conditionalFormatting>
  <conditionalFormatting sqref="C120">
    <cfRule type="expression" dxfId="742" priority="183">
      <formula>$C120&lt;$E120</formula>
    </cfRule>
  </conditionalFormatting>
  <conditionalFormatting sqref="E120">
    <cfRule type="expression" dxfId="741" priority="182">
      <formula>$C120&lt;$E120</formula>
    </cfRule>
  </conditionalFormatting>
  <conditionalFormatting sqref="E120">
    <cfRule type="expression" dxfId="740" priority="181">
      <formula>$C120&gt;$E120</formula>
    </cfRule>
  </conditionalFormatting>
  <conditionalFormatting sqref="C122">
    <cfRule type="expression" dxfId="739" priority="180">
      <formula>$C122&gt;$E122</formula>
    </cfRule>
  </conditionalFormatting>
  <conditionalFormatting sqref="C122">
    <cfRule type="expression" dxfId="738" priority="179">
      <formula>$C122&lt;$E122</formula>
    </cfRule>
  </conditionalFormatting>
  <conditionalFormatting sqref="E122">
    <cfRule type="expression" dxfId="737" priority="178">
      <formula>$C122&lt;$E122</formula>
    </cfRule>
  </conditionalFormatting>
  <conditionalFormatting sqref="E122">
    <cfRule type="expression" dxfId="736" priority="177">
      <formula>$C122&gt;$E122</formula>
    </cfRule>
  </conditionalFormatting>
  <conditionalFormatting sqref="C123">
    <cfRule type="expression" dxfId="735" priority="176">
      <formula>$C123&gt;$E123</formula>
    </cfRule>
  </conditionalFormatting>
  <conditionalFormatting sqref="C123">
    <cfRule type="expression" dxfId="734" priority="175">
      <formula>$C123&lt;$E123</formula>
    </cfRule>
  </conditionalFormatting>
  <conditionalFormatting sqref="E123">
    <cfRule type="expression" dxfId="733" priority="174">
      <formula>$C123&lt;$E123</formula>
    </cfRule>
  </conditionalFormatting>
  <conditionalFormatting sqref="E123">
    <cfRule type="expression" dxfId="732" priority="173">
      <formula>$C123&gt;$E123</formula>
    </cfRule>
  </conditionalFormatting>
  <conditionalFormatting sqref="C124">
    <cfRule type="expression" dxfId="731" priority="172">
      <formula>$C124&gt;$E124</formula>
    </cfRule>
  </conditionalFormatting>
  <conditionalFormatting sqref="C124">
    <cfRule type="expression" dxfId="730" priority="171">
      <formula>$C124&lt;$E124</formula>
    </cfRule>
  </conditionalFormatting>
  <conditionalFormatting sqref="E124">
    <cfRule type="expression" dxfId="729" priority="170">
      <formula>$C124&lt;$E124</formula>
    </cfRule>
  </conditionalFormatting>
  <conditionalFormatting sqref="E124">
    <cfRule type="expression" dxfId="728" priority="169">
      <formula>$C124&gt;$E124</formula>
    </cfRule>
  </conditionalFormatting>
  <conditionalFormatting sqref="C125">
    <cfRule type="expression" dxfId="727" priority="168">
      <formula>$C125&gt;$E125</formula>
    </cfRule>
  </conditionalFormatting>
  <conditionalFormatting sqref="C125">
    <cfRule type="expression" dxfId="726" priority="167">
      <formula>$C125&lt;$E125</formula>
    </cfRule>
  </conditionalFormatting>
  <conditionalFormatting sqref="E125">
    <cfRule type="expression" dxfId="725" priority="166">
      <formula>$C125&lt;$E125</formula>
    </cfRule>
  </conditionalFormatting>
  <conditionalFormatting sqref="E125">
    <cfRule type="expression" dxfId="724" priority="165">
      <formula>$C125&gt;$E125</formula>
    </cfRule>
  </conditionalFormatting>
  <conditionalFormatting sqref="C126">
    <cfRule type="expression" dxfId="723" priority="164">
      <formula>$C126&gt;$E126</formula>
    </cfRule>
  </conditionalFormatting>
  <conditionalFormatting sqref="C126">
    <cfRule type="expression" dxfId="722" priority="163">
      <formula>$C126&lt;$E126</formula>
    </cfRule>
  </conditionalFormatting>
  <conditionalFormatting sqref="E126">
    <cfRule type="expression" dxfId="721" priority="162">
      <formula>$C126&lt;$E126</formula>
    </cfRule>
  </conditionalFormatting>
  <conditionalFormatting sqref="E126">
    <cfRule type="expression" dxfId="720" priority="161">
      <formula>$C126&gt;$E126</formula>
    </cfRule>
  </conditionalFormatting>
  <conditionalFormatting sqref="C127">
    <cfRule type="expression" dxfId="719" priority="160">
      <formula>$C127&gt;$E127</formula>
    </cfRule>
  </conditionalFormatting>
  <conditionalFormatting sqref="C127">
    <cfRule type="expression" dxfId="718" priority="159">
      <formula>$C127&lt;$E127</formula>
    </cfRule>
  </conditionalFormatting>
  <conditionalFormatting sqref="E127">
    <cfRule type="expression" dxfId="717" priority="158">
      <formula>$C127&lt;$E127</formula>
    </cfRule>
  </conditionalFormatting>
  <conditionalFormatting sqref="E127">
    <cfRule type="expression" dxfId="716" priority="157">
      <formula>$C127&gt;$E127</formula>
    </cfRule>
  </conditionalFormatting>
  <conditionalFormatting sqref="C128">
    <cfRule type="expression" dxfId="715" priority="156">
      <formula>$C128&gt;$E128</formula>
    </cfRule>
  </conditionalFormatting>
  <conditionalFormatting sqref="C128">
    <cfRule type="expression" dxfId="714" priority="155">
      <formula>$C128&lt;$E128</formula>
    </cfRule>
  </conditionalFormatting>
  <conditionalFormatting sqref="E128">
    <cfRule type="expression" dxfId="713" priority="154">
      <formula>$C128&lt;$E128</formula>
    </cfRule>
  </conditionalFormatting>
  <conditionalFormatting sqref="E128">
    <cfRule type="expression" dxfId="712" priority="153">
      <formula>$C128&gt;$E128</formula>
    </cfRule>
  </conditionalFormatting>
  <conditionalFormatting sqref="C129">
    <cfRule type="expression" dxfId="711" priority="152">
      <formula>$C129&gt;$E129</formula>
    </cfRule>
  </conditionalFormatting>
  <conditionalFormatting sqref="C129">
    <cfRule type="expression" dxfId="710" priority="151">
      <formula>$C129&lt;$E129</formula>
    </cfRule>
  </conditionalFormatting>
  <conditionalFormatting sqref="E129">
    <cfRule type="expression" dxfId="709" priority="150">
      <formula>$C129&lt;$E129</formula>
    </cfRule>
  </conditionalFormatting>
  <conditionalFormatting sqref="E129">
    <cfRule type="expression" dxfId="708" priority="149">
      <formula>$C129&gt;$E129</formula>
    </cfRule>
  </conditionalFormatting>
  <conditionalFormatting sqref="C130">
    <cfRule type="expression" dxfId="707" priority="148">
      <formula>$C130&gt;$E130</formula>
    </cfRule>
  </conditionalFormatting>
  <conditionalFormatting sqref="C130">
    <cfRule type="expression" dxfId="706" priority="147">
      <formula>$C130&lt;$E130</formula>
    </cfRule>
  </conditionalFormatting>
  <conditionalFormatting sqref="E130">
    <cfRule type="expression" dxfId="705" priority="146">
      <formula>$C130&lt;$E130</formula>
    </cfRule>
  </conditionalFormatting>
  <conditionalFormatting sqref="E130">
    <cfRule type="expression" dxfId="704" priority="145">
      <formula>$C130&gt;$E130</formula>
    </cfRule>
  </conditionalFormatting>
  <conditionalFormatting sqref="C132">
    <cfRule type="expression" dxfId="703" priority="144">
      <formula>$C132&gt;$E132</formula>
    </cfRule>
  </conditionalFormatting>
  <conditionalFormatting sqref="C132">
    <cfRule type="expression" dxfId="702" priority="143">
      <formula>$C132&lt;$E132</formula>
    </cfRule>
  </conditionalFormatting>
  <conditionalFormatting sqref="E132">
    <cfRule type="expression" dxfId="701" priority="142">
      <formula>$C132&lt;$E132</formula>
    </cfRule>
  </conditionalFormatting>
  <conditionalFormatting sqref="E132">
    <cfRule type="expression" dxfId="700" priority="141">
      <formula>$C132&gt;$E132</formula>
    </cfRule>
  </conditionalFormatting>
  <conditionalFormatting sqref="C133">
    <cfRule type="expression" dxfId="699" priority="140">
      <formula>$C133&gt;$E133</formula>
    </cfRule>
  </conditionalFormatting>
  <conditionalFormatting sqref="C133">
    <cfRule type="expression" dxfId="698" priority="139">
      <formula>$C133&lt;$E133</formula>
    </cfRule>
  </conditionalFormatting>
  <conditionalFormatting sqref="E133">
    <cfRule type="expression" dxfId="697" priority="138">
      <formula>$C133&lt;$E133</formula>
    </cfRule>
  </conditionalFormatting>
  <conditionalFormatting sqref="E133">
    <cfRule type="expression" dxfId="696" priority="137">
      <formula>$C133&gt;$E133</formula>
    </cfRule>
  </conditionalFormatting>
  <conditionalFormatting sqref="C134">
    <cfRule type="expression" dxfId="695" priority="136">
      <formula>$C134&gt;$E134</formula>
    </cfRule>
  </conditionalFormatting>
  <conditionalFormatting sqref="C134">
    <cfRule type="expression" dxfId="694" priority="135">
      <formula>$C134&lt;$E134</formula>
    </cfRule>
  </conditionalFormatting>
  <conditionalFormatting sqref="E134">
    <cfRule type="expression" dxfId="693" priority="134">
      <formula>$C134&lt;$E134</formula>
    </cfRule>
  </conditionalFormatting>
  <conditionalFormatting sqref="E134">
    <cfRule type="expression" dxfId="692" priority="133">
      <formula>$C134&gt;$E134</formula>
    </cfRule>
  </conditionalFormatting>
  <conditionalFormatting sqref="C135">
    <cfRule type="expression" dxfId="691" priority="132">
      <formula>$C135&gt;$E135</formula>
    </cfRule>
  </conditionalFormatting>
  <conditionalFormatting sqref="C135">
    <cfRule type="expression" dxfId="690" priority="131">
      <formula>$C135&lt;$E135</formula>
    </cfRule>
  </conditionalFormatting>
  <conditionalFormatting sqref="E135">
    <cfRule type="expression" dxfId="689" priority="130">
      <formula>$C135&lt;$E135</formula>
    </cfRule>
  </conditionalFormatting>
  <conditionalFormatting sqref="E135">
    <cfRule type="expression" dxfId="688" priority="129">
      <formula>$C135&gt;$E135</formula>
    </cfRule>
  </conditionalFormatting>
  <conditionalFormatting sqref="C136">
    <cfRule type="expression" dxfId="687" priority="128">
      <formula>$C136&gt;$E136</formula>
    </cfRule>
  </conditionalFormatting>
  <conditionalFormatting sqref="C136">
    <cfRule type="expression" dxfId="686" priority="127">
      <formula>$C136&lt;$E136</formula>
    </cfRule>
  </conditionalFormatting>
  <conditionalFormatting sqref="E136">
    <cfRule type="expression" dxfId="685" priority="126">
      <formula>$C136&lt;$E136</formula>
    </cfRule>
  </conditionalFormatting>
  <conditionalFormatting sqref="E136">
    <cfRule type="expression" dxfId="684" priority="125">
      <formula>$C136&gt;$E136</formula>
    </cfRule>
  </conditionalFormatting>
  <conditionalFormatting sqref="C137">
    <cfRule type="expression" dxfId="683" priority="124">
      <formula>$C137&gt;$E137</formula>
    </cfRule>
  </conditionalFormatting>
  <conditionalFormatting sqref="C137">
    <cfRule type="expression" dxfId="682" priority="123">
      <formula>$C137&lt;$E137</formula>
    </cfRule>
  </conditionalFormatting>
  <conditionalFormatting sqref="E137">
    <cfRule type="expression" dxfId="681" priority="122">
      <formula>$C137&lt;$E137</formula>
    </cfRule>
  </conditionalFormatting>
  <conditionalFormatting sqref="E137">
    <cfRule type="expression" dxfId="680" priority="121">
      <formula>$C137&gt;$E137</formula>
    </cfRule>
  </conditionalFormatting>
  <conditionalFormatting sqref="C138">
    <cfRule type="expression" dxfId="679" priority="120">
      <formula>$C138&gt;$E138</formula>
    </cfRule>
  </conditionalFormatting>
  <conditionalFormatting sqref="C138">
    <cfRule type="expression" dxfId="678" priority="119">
      <formula>$C138&lt;$E138</formula>
    </cfRule>
  </conditionalFormatting>
  <conditionalFormatting sqref="E138">
    <cfRule type="expression" dxfId="677" priority="118">
      <formula>$C138&lt;$E138</formula>
    </cfRule>
  </conditionalFormatting>
  <conditionalFormatting sqref="E138">
    <cfRule type="expression" dxfId="676" priority="117">
      <formula>$C138&gt;$E138</formula>
    </cfRule>
  </conditionalFormatting>
  <conditionalFormatting sqref="C139">
    <cfRule type="expression" dxfId="675" priority="116">
      <formula>$C139&gt;$E139</formula>
    </cfRule>
  </conditionalFormatting>
  <conditionalFormatting sqref="C139">
    <cfRule type="expression" dxfId="674" priority="115">
      <formula>$C139&lt;$E139</formula>
    </cfRule>
  </conditionalFormatting>
  <conditionalFormatting sqref="E139">
    <cfRule type="expression" dxfId="673" priority="114">
      <formula>$C139&lt;$E139</formula>
    </cfRule>
  </conditionalFormatting>
  <conditionalFormatting sqref="E139">
    <cfRule type="expression" dxfId="672" priority="113">
      <formula>$C139&gt;$E139</formula>
    </cfRule>
  </conditionalFormatting>
  <conditionalFormatting sqref="C140">
    <cfRule type="expression" dxfId="671" priority="112">
      <formula>$C140&gt;$E140</formula>
    </cfRule>
  </conditionalFormatting>
  <conditionalFormatting sqref="C140">
    <cfRule type="expression" dxfId="670" priority="111">
      <formula>$C140&lt;$E140</formula>
    </cfRule>
  </conditionalFormatting>
  <conditionalFormatting sqref="E140">
    <cfRule type="expression" dxfId="669" priority="110">
      <formula>$C140&lt;$E140</formula>
    </cfRule>
  </conditionalFormatting>
  <conditionalFormatting sqref="E140">
    <cfRule type="expression" dxfId="668" priority="109">
      <formula>$C140&gt;$E140</formula>
    </cfRule>
  </conditionalFormatting>
  <conditionalFormatting sqref="C142">
    <cfRule type="expression" dxfId="667" priority="108">
      <formula>$C142&gt;$E142</formula>
    </cfRule>
  </conditionalFormatting>
  <conditionalFormatting sqref="C142">
    <cfRule type="expression" dxfId="666" priority="107">
      <formula>$C142&lt;$E142</formula>
    </cfRule>
  </conditionalFormatting>
  <conditionalFormatting sqref="E142">
    <cfRule type="expression" dxfId="665" priority="106">
      <formula>$C142&lt;$E142</formula>
    </cfRule>
  </conditionalFormatting>
  <conditionalFormatting sqref="E142">
    <cfRule type="expression" dxfId="664" priority="105">
      <formula>$C142&gt;$E142</formula>
    </cfRule>
  </conditionalFormatting>
  <conditionalFormatting sqref="C143">
    <cfRule type="expression" dxfId="663" priority="104">
      <formula>$C143&gt;$E143</formula>
    </cfRule>
  </conditionalFormatting>
  <conditionalFormatting sqref="C143">
    <cfRule type="expression" dxfId="662" priority="103">
      <formula>$C143&lt;$E143</formula>
    </cfRule>
  </conditionalFormatting>
  <conditionalFormatting sqref="E143">
    <cfRule type="expression" dxfId="661" priority="102">
      <formula>$C143&lt;$E143</formula>
    </cfRule>
  </conditionalFormatting>
  <conditionalFormatting sqref="E143">
    <cfRule type="expression" dxfId="660" priority="101">
      <formula>$C143&gt;$E143</formula>
    </cfRule>
  </conditionalFormatting>
  <conditionalFormatting sqref="C144">
    <cfRule type="expression" dxfId="659" priority="100">
      <formula>$C144&gt;$E144</formula>
    </cfRule>
  </conditionalFormatting>
  <conditionalFormatting sqref="C144">
    <cfRule type="expression" dxfId="658" priority="99">
      <formula>$C144&lt;$E144</formula>
    </cfRule>
  </conditionalFormatting>
  <conditionalFormatting sqref="E144">
    <cfRule type="expression" dxfId="657" priority="98">
      <formula>$C144&lt;$E144</formula>
    </cfRule>
  </conditionalFormatting>
  <conditionalFormatting sqref="E144">
    <cfRule type="expression" dxfId="656" priority="97">
      <formula>$C144&gt;$E144</formula>
    </cfRule>
  </conditionalFormatting>
  <conditionalFormatting sqref="C145">
    <cfRule type="expression" dxfId="655" priority="96">
      <formula>$C145&gt;$E145</formula>
    </cfRule>
  </conditionalFormatting>
  <conditionalFormatting sqref="C145">
    <cfRule type="expression" dxfId="654" priority="95">
      <formula>$C145&lt;$E145</formula>
    </cfRule>
  </conditionalFormatting>
  <conditionalFormatting sqref="E145">
    <cfRule type="expression" dxfId="653" priority="94">
      <formula>$C145&lt;$E145</formula>
    </cfRule>
  </conditionalFormatting>
  <conditionalFormatting sqref="E145">
    <cfRule type="expression" dxfId="652" priority="93">
      <formula>$C145&gt;$E145</formula>
    </cfRule>
  </conditionalFormatting>
  <conditionalFormatting sqref="C146">
    <cfRule type="expression" dxfId="651" priority="92">
      <formula>$C146&gt;$E146</formula>
    </cfRule>
  </conditionalFormatting>
  <conditionalFormatting sqref="C146">
    <cfRule type="expression" dxfId="650" priority="91">
      <formula>$C146&lt;$E146</formula>
    </cfRule>
  </conditionalFormatting>
  <conditionalFormatting sqref="E146">
    <cfRule type="expression" dxfId="649" priority="90">
      <formula>$C146&lt;$E146</formula>
    </cfRule>
  </conditionalFormatting>
  <conditionalFormatting sqref="E146">
    <cfRule type="expression" dxfId="648" priority="89">
      <formula>$C146&gt;$E146</formula>
    </cfRule>
  </conditionalFormatting>
  <conditionalFormatting sqref="C147">
    <cfRule type="expression" dxfId="647" priority="88">
      <formula>$C147&gt;$E147</formula>
    </cfRule>
  </conditionalFormatting>
  <conditionalFormatting sqref="C147">
    <cfRule type="expression" dxfId="646" priority="87">
      <formula>$C147&lt;$E147</formula>
    </cfRule>
  </conditionalFormatting>
  <conditionalFormatting sqref="E147">
    <cfRule type="expression" dxfId="645" priority="86">
      <formula>$C147&lt;$E147</formula>
    </cfRule>
  </conditionalFormatting>
  <conditionalFormatting sqref="E147">
    <cfRule type="expression" dxfId="644" priority="85">
      <formula>$C147&gt;$E147</formula>
    </cfRule>
  </conditionalFormatting>
  <conditionalFormatting sqref="C148">
    <cfRule type="expression" dxfId="643" priority="84">
      <formula>$C148&gt;$E148</formula>
    </cfRule>
  </conditionalFormatting>
  <conditionalFormatting sqref="C148">
    <cfRule type="expression" dxfId="642" priority="83">
      <formula>$C148&lt;$E148</formula>
    </cfRule>
  </conditionalFormatting>
  <conditionalFormatting sqref="E148">
    <cfRule type="expression" dxfId="641" priority="82">
      <formula>$C148&lt;$E148</formula>
    </cfRule>
  </conditionalFormatting>
  <conditionalFormatting sqref="E148">
    <cfRule type="expression" dxfId="640" priority="81">
      <formula>$C148&gt;$E148</formula>
    </cfRule>
  </conditionalFormatting>
  <conditionalFormatting sqref="C149">
    <cfRule type="expression" dxfId="639" priority="80">
      <formula>$C149&gt;$E149</formula>
    </cfRule>
  </conditionalFormatting>
  <conditionalFormatting sqref="C149">
    <cfRule type="expression" dxfId="638" priority="79">
      <formula>$C149&lt;$E149</formula>
    </cfRule>
  </conditionalFormatting>
  <conditionalFormatting sqref="E149">
    <cfRule type="expression" dxfId="637" priority="78">
      <formula>$C149&lt;$E149</formula>
    </cfRule>
  </conditionalFormatting>
  <conditionalFormatting sqref="E149">
    <cfRule type="expression" dxfId="636" priority="77">
      <formula>$C149&gt;$E149</formula>
    </cfRule>
  </conditionalFormatting>
  <conditionalFormatting sqref="C150">
    <cfRule type="expression" dxfId="635" priority="76">
      <formula>$C150&gt;$E150</formula>
    </cfRule>
  </conditionalFormatting>
  <conditionalFormatting sqref="C150">
    <cfRule type="expression" dxfId="634" priority="75">
      <formula>$C150&lt;$E150</formula>
    </cfRule>
  </conditionalFormatting>
  <conditionalFormatting sqref="E150">
    <cfRule type="expression" dxfId="633" priority="74">
      <formula>$C150&lt;$E150</formula>
    </cfRule>
  </conditionalFormatting>
  <conditionalFormatting sqref="E150">
    <cfRule type="expression" dxfId="632" priority="73">
      <formula>$C150&gt;$E150</formula>
    </cfRule>
  </conditionalFormatting>
  <conditionalFormatting sqref="C152">
    <cfRule type="expression" dxfId="631" priority="72">
      <formula>$C152&gt;$E152</formula>
    </cfRule>
  </conditionalFormatting>
  <conditionalFormatting sqref="C152">
    <cfRule type="expression" dxfId="630" priority="71">
      <formula>$C152&lt;$E152</formula>
    </cfRule>
  </conditionalFormatting>
  <conditionalFormatting sqref="E152">
    <cfRule type="expression" dxfId="629" priority="70">
      <formula>$C152&lt;$E152</formula>
    </cfRule>
  </conditionalFormatting>
  <conditionalFormatting sqref="E152">
    <cfRule type="expression" dxfId="628" priority="69">
      <formula>$C152&gt;$E152</formula>
    </cfRule>
  </conditionalFormatting>
  <conditionalFormatting sqref="C153">
    <cfRule type="expression" dxfId="627" priority="68">
      <formula>$C153&gt;$E153</formula>
    </cfRule>
  </conditionalFormatting>
  <conditionalFormatting sqref="C153">
    <cfRule type="expression" dxfId="626" priority="67">
      <formula>$C153&lt;$E153</formula>
    </cfRule>
  </conditionalFormatting>
  <conditionalFormatting sqref="E153">
    <cfRule type="expression" dxfId="625" priority="66">
      <formula>$C153&lt;$E153</formula>
    </cfRule>
  </conditionalFormatting>
  <conditionalFormatting sqref="E153">
    <cfRule type="expression" dxfId="624" priority="65">
      <formula>$C153&gt;$E153</formula>
    </cfRule>
  </conditionalFormatting>
  <conditionalFormatting sqref="C154">
    <cfRule type="expression" dxfId="623" priority="64">
      <formula>$C154&gt;$E154</formula>
    </cfRule>
  </conditionalFormatting>
  <conditionalFormatting sqref="C154">
    <cfRule type="expression" dxfId="622" priority="63">
      <formula>$C154&lt;$E154</formula>
    </cfRule>
  </conditionalFormatting>
  <conditionalFormatting sqref="E154">
    <cfRule type="expression" dxfId="621" priority="62">
      <formula>$C154&lt;$E154</formula>
    </cfRule>
  </conditionalFormatting>
  <conditionalFormatting sqref="E154">
    <cfRule type="expression" dxfId="620" priority="61">
      <formula>$C154&gt;$E154</formula>
    </cfRule>
  </conditionalFormatting>
  <conditionalFormatting sqref="C155">
    <cfRule type="expression" dxfId="619" priority="60">
      <formula>$C155&gt;$E155</formula>
    </cfRule>
  </conditionalFormatting>
  <conditionalFormatting sqref="C155">
    <cfRule type="expression" dxfId="618" priority="59">
      <formula>$C155&lt;$E155</formula>
    </cfRule>
  </conditionalFormatting>
  <conditionalFormatting sqref="E155">
    <cfRule type="expression" dxfId="617" priority="58">
      <formula>$C155&lt;$E155</formula>
    </cfRule>
  </conditionalFormatting>
  <conditionalFormatting sqref="E155">
    <cfRule type="expression" dxfId="616" priority="57">
      <formula>$C155&gt;$E155</formula>
    </cfRule>
  </conditionalFormatting>
  <conditionalFormatting sqref="C156">
    <cfRule type="expression" dxfId="615" priority="56">
      <formula>$C156&gt;$E156</formula>
    </cfRule>
  </conditionalFormatting>
  <conditionalFormatting sqref="C156">
    <cfRule type="expression" dxfId="614" priority="55">
      <formula>$C156&lt;$E156</formula>
    </cfRule>
  </conditionalFormatting>
  <conditionalFormatting sqref="E156">
    <cfRule type="expression" dxfId="613" priority="54">
      <formula>$C156&lt;$E156</formula>
    </cfRule>
  </conditionalFormatting>
  <conditionalFormatting sqref="E156">
    <cfRule type="expression" dxfId="612" priority="53">
      <formula>$C156&gt;$E156</formula>
    </cfRule>
  </conditionalFormatting>
  <conditionalFormatting sqref="C157">
    <cfRule type="expression" dxfId="611" priority="52">
      <formula>$C157&gt;$E157</formula>
    </cfRule>
  </conditionalFormatting>
  <conditionalFormatting sqref="C157">
    <cfRule type="expression" dxfId="610" priority="51">
      <formula>$C157&lt;$E157</formula>
    </cfRule>
  </conditionalFormatting>
  <conditionalFormatting sqref="E157">
    <cfRule type="expression" dxfId="609" priority="50">
      <formula>$C157&lt;$E157</formula>
    </cfRule>
  </conditionalFormatting>
  <conditionalFormatting sqref="E157">
    <cfRule type="expression" dxfId="608" priority="49">
      <formula>$C157&gt;$E157</formula>
    </cfRule>
  </conditionalFormatting>
  <conditionalFormatting sqref="C158">
    <cfRule type="expression" dxfId="607" priority="48">
      <formula>$C158&gt;$E158</formula>
    </cfRule>
  </conditionalFormatting>
  <conditionalFormatting sqref="C158">
    <cfRule type="expression" dxfId="606" priority="47">
      <formula>$C158&lt;$E158</formula>
    </cfRule>
  </conditionalFormatting>
  <conditionalFormatting sqref="E158">
    <cfRule type="expression" dxfId="605" priority="46">
      <formula>$C158&lt;$E158</formula>
    </cfRule>
  </conditionalFormatting>
  <conditionalFormatting sqref="E158">
    <cfRule type="expression" dxfId="604" priority="45">
      <formula>$C158&gt;$E158</formula>
    </cfRule>
  </conditionalFormatting>
  <conditionalFormatting sqref="C159">
    <cfRule type="expression" dxfId="603" priority="44">
      <formula>$C159&gt;$E159</formula>
    </cfRule>
  </conditionalFormatting>
  <conditionalFormatting sqref="C159">
    <cfRule type="expression" dxfId="602" priority="43">
      <formula>$C159&lt;$E159</formula>
    </cfRule>
  </conditionalFormatting>
  <conditionalFormatting sqref="E159">
    <cfRule type="expression" dxfId="601" priority="42">
      <formula>$C159&lt;$E159</formula>
    </cfRule>
  </conditionalFormatting>
  <conditionalFormatting sqref="E159">
    <cfRule type="expression" dxfId="600" priority="41">
      <formula>$C159&gt;$E159</formula>
    </cfRule>
  </conditionalFormatting>
  <conditionalFormatting sqref="C160">
    <cfRule type="expression" dxfId="599" priority="40">
      <formula>$C160&gt;$E160</formula>
    </cfRule>
  </conditionalFormatting>
  <conditionalFormatting sqref="C160">
    <cfRule type="expression" dxfId="598" priority="39">
      <formula>$C160&lt;$E160</formula>
    </cfRule>
  </conditionalFormatting>
  <conditionalFormatting sqref="E160">
    <cfRule type="expression" dxfId="597" priority="38">
      <formula>$C160&lt;$E160</formula>
    </cfRule>
  </conditionalFormatting>
  <conditionalFormatting sqref="E160">
    <cfRule type="expression" dxfId="596" priority="37">
      <formula>$C160&gt;$E160</formula>
    </cfRule>
  </conditionalFormatting>
  <conditionalFormatting sqref="C162">
    <cfRule type="expression" dxfId="595" priority="36">
      <formula>$C162&gt;$E162</formula>
    </cfRule>
  </conditionalFormatting>
  <conditionalFormatting sqref="C162">
    <cfRule type="expression" dxfId="594" priority="35">
      <formula>$C162&lt;$E162</formula>
    </cfRule>
  </conditionalFormatting>
  <conditionalFormatting sqref="E162">
    <cfRule type="expression" dxfId="593" priority="34">
      <formula>$C162&lt;$E162</formula>
    </cfRule>
  </conditionalFormatting>
  <conditionalFormatting sqref="E162">
    <cfRule type="expression" dxfId="592" priority="33">
      <formula>$C162&gt;$E162</formula>
    </cfRule>
  </conditionalFormatting>
  <conditionalFormatting sqref="C163">
    <cfRule type="expression" dxfId="591" priority="32">
      <formula>$C163&gt;$E163</formula>
    </cfRule>
  </conditionalFormatting>
  <conditionalFormatting sqref="C163">
    <cfRule type="expression" dxfId="590" priority="31">
      <formula>$C163&lt;$E163</formula>
    </cfRule>
  </conditionalFormatting>
  <conditionalFormatting sqref="E163">
    <cfRule type="expression" dxfId="589" priority="30">
      <formula>$C163&lt;$E163</formula>
    </cfRule>
  </conditionalFormatting>
  <conditionalFormatting sqref="E163">
    <cfRule type="expression" dxfId="588" priority="29">
      <formula>$C163&gt;$E163</formula>
    </cfRule>
  </conditionalFormatting>
  <conditionalFormatting sqref="C164">
    <cfRule type="expression" dxfId="587" priority="28">
      <formula>$C164&gt;$E164</formula>
    </cfRule>
  </conditionalFormatting>
  <conditionalFormatting sqref="C164">
    <cfRule type="expression" dxfId="586" priority="27">
      <formula>$C164&lt;$E164</formula>
    </cfRule>
  </conditionalFormatting>
  <conditionalFormatting sqref="E164">
    <cfRule type="expression" dxfId="585" priority="26">
      <formula>$C164&lt;$E164</formula>
    </cfRule>
  </conditionalFormatting>
  <conditionalFormatting sqref="E164">
    <cfRule type="expression" dxfId="584" priority="25">
      <formula>$C164&gt;$E164</formula>
    </cfRule>
  </conditionalFormatting>
  <conditionalFormatting sqref="C165">
    <cfRule type="expression" dxfId="583" priority="24">
      <formula>$C165&gt;$E165</formula>
    </cfRule>
  </conditionalFormatting>
  <conditionalFormatting sqref="C165">
    <cfRule type="expression" dxfId="582" priority="23">
      <formula>$C165&lt;$E165</formula>
    </cfRule>
  </conditionalFormatting>
  <conditionalFormatting sqref="E165">
    <cfRule type="expression" dxfId="581" priority="22">
      <formula>$C165&lt;$E165</formula>
    </cfRule>
  </conditionalFormatting>
  <conditionalFormatting sqref="E165">
    <cfRule type="expression" dxfId="580" priority="21">
      <formula>$C165&gt;$E165</formula>
    </cfRule>
  </conditionalFormatting>
  <conditionalFormatting sqref="C166">
    <cfRule type="expression" dxfId="579" priority="20">
      <formula>$C166&gt;$E166</formula>
    </cfRule>
  </conditionalFormatting>
  <conditionalFormatting sqref="C166">
    <cfRule type="expression" dxfId="578" priority="19">
      <formula>$C166&lt;$E166</formula>
    </cfRule>
  </conditionalFormatting>
  <conditionalFormatting sqref="E166">
    <cfRule type="expression" dxfId="577" priority="18">
      <formula>$C166&lt;$E166</formula>
    </cfRule>
  </conditionalFormatting>
  <conditionalFormatting sqref="E166">
    <cfRule type="expression" dxfId="576" priority="17">
      <formula>$C166&gt;$E166</formula>
    </cfRule>
  </conditionalFormatting>
  <conditionalFormatting sqref="C167">
    <cfRule type="expression" dxfId="575" priority="16">
      <formula>$C167&gt;$E167</formula>
    </cfRule>
  </conditionalFormatting>
  <conditionalFormatting sqref="C167">
    <cfRule type="expression" dxfId="574" priority="15">
      <formula>$C167&lt;$E167</formula>
    </cfRule>
  </conditionalFormatting>
  <conditionalFormatting sqref="E167">
    <cfRule type="expression" dxfId="573" priority="14">
      <formula>$C167&lt;$E167</formula>
    </cfRule>
  </conditionalFormatting>
  <conditionalFormatting sqref="E167">
    <cfRule type="expression" dxfId="572" priority="13">
      <formula>$C167&gt;$E167</formula>
    </cfRule>
  </conditionalFormatting>
  <conditionalFormatting sqref="C168">
    <cfRule type="expression" dxfId="571" priority="12">
      <formula>$C168&gt;$E168</formula>
    </cfRule>
  </conditionalFormatting>
  <conditionalFormatting sqref="C168">
    <cfRule type="expression" dxfId="570" priority="11">
      <formula>$C168&lt;$E168</formula>
    </cfRule>
  </conditionalFormatting>
  <conditionalFormatting sqref="E168">
    <cfRule type="expression" dxfId="569" priority="10">
      <formula>$C168&lt;$E168</formula>
    </cfRule>
  </conditionalFormatting>
  <conditionalFormatting sqref="E168">
    <cfRule type="expression" dxfId="568" priority="9">
      <formula>$C168&gt;$E168</formula>
    </cfRule>
  </conditionalFormatting>
  <conditionalFormatting sqref="C169">
    <cfRule type="expression" dxfId="567" priority="8">
      <formula>$C169&gt;$E169</formula>
    </cfRule>
  </conditionalFormatting>
  <conditionalFormatting sqref="C169">
    <cfRule type="expression" dxfId="566" priority="7">
      <formula>$C169&lt;$E169</formula>
    </cfRule>
  </conditionalFormatting>
  <conditionalFormatting sqref="E169">
    <cfRule type="expression" dxfId="565" priority="6">
      <formula>$C169&lt;$E169</formula>
    </cfRule>
  </conditionalFormatting>
  <conditionalFormatting sqref="E169">
    <cfRule type="expression" dxfId="564" priority="5">
      <formula>$C169&gt;$E169</formula>
    </cfRule>
  </conditionalFormatting>
  <conditionalFormatting sqref="C170">
    <cfRule type="expression" dxfId="563" priority="4">
      <formula>$C170&gt;$E170</formula>
    </cfRule>
  </conditionalFormatting>
  <conditionalFormatting sqref="C170">
    <cfRule type="expression" dxfId="562" priority="3">
      <formula>$C170&lt;$E170</formula>
    </cfRule>
  </conditionalFormatting>
  <conditionalFormatting sqref="E170">
    <cfRule type="expression" dxfId="561" priority="2">
      <formula>$C170&lt;$E170</formula>
    </cfRule>
  </conditionalFormatting>
  <conditionalFormatting sqref="E170">
    <cfRule type="expression" dxfId="560" priority="1">
      <formula>$C170&gt;$E170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7368856B-99B8-445A-B54A-62A8D6F72705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C4PPMatch">
              <controlPr defaultSize="0" print="0" autoFill="0" autoPict="0" macro="[0]!'copyimage &quot;B1:F170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BEF24-84B9-4A3B-9B1B-5CC80E0F2CEF}">
  <sheetPr codeName="Feuil15"/>
  <dimension ref="A1:G221"/>
  <sheetViews>
    <sheetView topLeftCell="B1" workbookViewId="0">
      <selection activeCell="F23" sqref="F23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16.7109375" style="47" customWidth="1"/>
    <col min="5" max="5" width="6" style="69" customWidth="1"/>
    <col min="6" max="6" width="43.5703125" style="47" customWidth="1"/>
    <col min="7" max="7" width="6" style="47" hidden="1" customWidth="1"/>
    <col min="8" max="16384" width="11.42578125" style="47"/>
  </cols>
  <sheetData>
    <row r="1" spans="1:7" x14ac:dyDescent="0.25">
      <c r="A1" s="78"/>
      <c r="B1" s="78"/>
      <c r="C1" s="67"/>
      <c r="D1" s="72">
        <v>0.875</v>
      </c>
      <c r="E1" s="67"/>
      <c r="F1" s="78"/>
      <c r="G1" s="78"/>
    </row>
    <row r="2" spans="1:7" x14ac:dyDescent="0.25">
      <c r="A2" s="79" t="s">
        <v>44</v>
      </c>
      <c r="B2" s="81" t="str">
        <f>INSCRIPTS_M!C2</f>
        <v>1M</v>
      </c>
      <c r="C2" s="71"/>
      <c r="D2" s="66" t="s">
        <v>78</v>
      </c>
      <c r="E2" s="71"/>
      <c r="F2" s="81" t="str">
        <f>INSCRIPTS_M!C3</f>
        <v>2M</v>
      </c>
      <c r="G2" s="79" t="s">
        <v>45</v>
      </c>
    </row>
    <row r="3" spans="1:7" x14ac:dyDescent="0.25">
      <c r="A3" s="79" t="s">
        <v>223</v>
      </c>
      <c r="B3" s="81" t="str">
        <f>INSCRIPTS_M!C8</f>
        <v>7M</v>
      </c>
      <c r="C3" s="71"/>
      <c r="D3" s="66" t="s">
        <v>79</v>
      </c>
      <c r="E3" s="71"/>
      <c r="F3" s="81" t="str">
        <f>INSCRIPTS_M!C9</f>
        <v>8M</v>
      </c>
      <c r="G3" s="79" t="s">
        <v>224</v>
      </c>
    </row>
    <row r="4" spans="1:7" x14ac:dyDescent="0.25">
      <c r="A4" s="79" t="s">
        <v>100</v>
      </c>
      <c r="B4" s="81" t="str">
        <f>INSCRIPTS_M!C5</f>
        <v>4M</v>
      </c>
      <c r="C4" s="71"/>
      <c r="D4" s="66" t="s">
        <v>80</v>
      </c>
      <c r="E4" s="71"/>
      <c r="F4" s="81" t="str">
        <f>INSCRIPTS_M!C6</f>
        <v>5M</v>
      </c>
      <c r="G4" s="79" t="s">
        <v>101</v>
      </c>
    </row>
    <row r="5" spans="1:7" x14ac:dyDescent="0.25">
      <c r="A5" s="79" t="s">
        <v>46</v>
      </c>
      <c r="B5" s="81" t="str">
        <f>INSCRIPTS_M!C4</f>
        <v>3M</v>
      </c>
      <c r="C5" s="71"/>
      <c r="D5" s="66" t="s">
        <v>81</v>
      </c>
      <c r="E5" s="71"/>
      <c r="F5" s="81" t="str">
        <f>INSCRIPTS_M!C7</f>
        <v>6M</v>
      </c>
      <c r="G5" s="79" t="s">
        <v>225</v>
      </c>
    </row>
    <row r="6" spans="1:7" x14ac:dyDescent="0.25">
      <c r="A6" s="78"/>
      <c r="B6" s="78"/>
      <c r="C6" s="67"/>
      <c r="D6" s="72">
        <f>0.875 + "00:20:00"</f>
        <v>0.88888888888888884</v>
      </c>
      <c r="E6" s="67"/>
      <c r="F6" s="78"/>
      <c r="G6" s="78"/>
    </row>
    <row r="7" spans="1:7" x14ac:dyDescent="0.25">
      <c r="A7" s="79" t="s">
        <v>45</v>
      </c>
      <c r="B7" s="81" t="str">
        <f>INSCRIPTS_M!C3</f>
        <v>2M</v>
      </c>
      <c r="C7" s="71"/>
      <c r="D7" s="66" t="s">
        <v>78</v>
      </c>
      <c r="E7" s="71"/>
      <c r="F7" s="81" t="str">
        <f>INSCRIPTS_M!C8</f>
        <v>7M</v>
      </c>
      <c r="G7" s="79" t="s">
        <v>223</v>
      </c>
    </row>
    <row r="8" spans="1:7" x14ac:dyDescent="0.25">
      <c r="A8" s="79" t="s">
        <v>224</v>
      </c>
      <c r="B8" s="81" t="str">
        <f>INSCRIPTS_M!C9</f>
        <v>8M</v>
      </c>
      <c r="C8" s="71"/>
      <c r="D8" s="66" t="s">
        <v>79</v>
      </c>
      <c r="E8" s="71"/>
      <c r="F8" s="81" t="str">
        <f>INSCRIPTS_M!C4</f>
        <v>3M</v>
      </c>
      <c r="G8" s="79" t="s">
        <v>46</v>
      </c>
    </row>
    <row r="9" spans="1:7" x14ac:dyDescent="0.25">
      <c r="A9" s="79" t="s">
        <v>100</v>
      </c>
      <c r="B9" s="81" t="str">
        <f>INSCRIPTS_M!C5</f>
        <v>4M</v>
      </c>
      <c r="C9" s="71"/>
      <c r="D9" s="66" t="s">
        <v>80</v>
      </c>
      <c r="E9" s="71"/>
      <c r="F9" s="81" t="str">
        <f>INSCRIPTS_M!C10</f>
        <v>9M</v>
      </c>
      <c r="G9" s="79" t="s">
        <v>226</v>
      </c>
    </row>
    <row r="10" spans="1:7" x14ac:dyDescent="0.25">
      <c r="A10" s="79" t="s">
        <v>227</v>
      </c>
      <c r="B10" s="81" t="str">
        <f>INSCRIPTS_M!C11</f>
        <v>10M</v>
      </c>
      <c r="C10" s="71"/>
      <c r="D10" s="66" t="s">
        <v>81</v>
      </c>
      <c r="E10" s="71"/>
      <c r="F10" s="81" t="str">
        <f>INSCRIPTS_M!C6</f>
        <v>5M</v>
      </c>
      <c r="G10" s="79" t="s">
        <v>101</v>
      </c>
    </row>
    <row r="11" spans="1:7" x14ac:dyDescent="0.25">
      <c r="A11" s="78"/>
      <c r="B11" s="78"/>
      <c r="C11" s="67"/>
      <c r="D11" s="72">
        <f>0.888888888888889 + "00:20:00"</f>
        <v>0.90277777777777779</v>
      </c>
      <c r="E11" s="67"/>
      <c r="F11" s="78"/>
      <c r="G11" s="78"/>
    </row>
    <row r="12" spans="1:7" x14ac:dyDescent="0.25">
      <c r="A12" s="79" t="s">
        <v>227</v>
      </c>
      <c r="B12" s="81" t="str">
        <f>INSCRIPTS_M!C11</f>
        <v>10M</v>
      </c>
      <c r="C12" s="71"/>
      <c r="D12" s="66" t="s">
        <v>78</v>
      </c>
      <c r="E12" s="71"/>
      <c r="F12" s="81" t="str">
        <f>INSCRIPTS_M!C2</f>
        <v>1M</v>
      </c>
      <c r="G12" s="79" t="s">
        <v>44</v>
      </c>
    </row>
    <row r="13" spans="1:7" x14ac:dyDescent="0.25">
      <c r="A13" s="79" t="s">
        <v>100</v>
      </c>
      <c r="B13" s="81" t="str">
        <f>INSCRIPTS_M!C5</f>
        <v>4M</v>
      </c>
      <c r="C13" s="71"/>
      <c r="D13" s="66" t="s">
        <v>79</v>
      </c>
      <c r="E13" s="71"/>
      <c r="F13" s="81" t="str">
        <f>INSCRIPTS_M!C8</f>
        <v>7M</v>
      </c>
      <c r="G13" s="79" t="s">
        <v>223</v>
      </c>
    </row>
    <row r="14" spans="1:7" x14ac:dyDescent="0.25">
      <c r="A14" s="79" t="s">
        <v>224</v>
      </c>
      <c r="B14" s="81" t="str">
        <f>INSCRIPTS_M!C9</f>
        <v>8M</v>
      </c>
      <c r="C14" s="71"/>
      <c r="D14" s="66" t="s">
        <v>80</v>
      </c>
      <c r="E14" s="71"/>
      <c r="F14" s="81" t="str">
        <f>INSCRIPTS_M!C6</f>
        <v>5M</v>
      </c>
      <c r="G14" s="79" t="s">
        <v>101</v>
      </c>
    </row>
    <row r="15" spans="1:7" x14ac:dyDescent="0.25">
      <c r="A15" s="79" t="s">
        <v>225</v>
      </c>
      <c r="B15" s="81" t="str">
        <f>INSCRIPTS_M!C7</f>
        <v>6M</v>
      </c>
      <c r="C15" s="71"/>
      <c r="D15" s="66" t="s">
        <v>81</v>
      </c>
      <c r="E15" s="71"/>
      <c r="F15" s="81" t="str">
        <f>INSCRIPTS_M!C10</f>
        <v>9M</v>
      </c>
      <c r="G15" s="79" t="s">
        <v>226</v>
      </c>
    </row>
    <row r="16" spans="1:7" x14ac:dyDescent="0.25">
      <c r="A16" s="78"/>
      <c r="B16" s="78"/>
      <c r="C16" s="67"/>
      <c r="D16" s="72">
        <f>0.902777777777778 + "00:20:00"</f>
        <v>0.91666666666666685</v>
      </c>
      <c r="E16" s="67"/>
      <c r="F16" s="78"/>
      <c r="G16" s="78"/>
    </row>
    <row r="17" spans="1:7" x14ac:dyDescent="0.25">
      <c r="A17" s="79" t="s">
        <v>101</v>
      </c>
      <c r="B17" s="81" t="str">
        <f>INSCRIPTS_M!C6</f>
        <v>5M</v>
      </c>
      <c r="C17" s="71"/>
      <c r="D17" s="66" t="s">
        <v>78</v>
      </c>
      <c r="E17" s="71"/>
      <c r="F17" s="81" t="str">
        <f>INSCRIPTS_M!C2</f>
        <v>1M</v>
      </c>
      <c r="G17" s="79" t="s">
        <v>44</v>
      </c>
    </row>
    <row r="18" spans="1:7" x14ac:dyDescent="0.25">
      <c r="A18" s="79" t="s">
        <v>46</v>
      </c>
      <c r="B18" s="81" t="str">
        <f>INSCRIPTS_M!C4</f>
        <v>3M</v>
      </c>
      <c r="C18" s="71"/>
      <c r="D18" s="66" t="s">
        <v>79</v>
      </c>
      <c r="E18" s="71"/>
      <c r="F18" s="81" t="str">
        <f>INSCRIPTS_M!C5</f>
        <v>4M</v>
      </c>
      <c r="G18" s="79" t="s">
        <v>100</v>
      </c>
    </row>
    <row r="19" spans="1:7" x14ac:dyDescent="0.25">
      <c r="A19" s="79" t="s">
        <v>226</v>
      </c>
      <c r="B19" s="81" t="str">
        <f>INSCRIPTS_M!C10</f>
        <v>9M</v>
      </c>
      <c r="C19" s="71"/>
      <c r="D19" s="66" t="s">
        <v>80</v>
      </c>
      <c r="E19" s="71"/>
      <c r="F19" s="81" t="str">
        <f>INSCRIPTS_M!C11</f>
        <v>10M</v>
      </c>
      <c r="G19" s="79" t="s">
        <v>227</v>
      </c>
    </row>
    <row r="20" spans="1:7" x14ac:dyDescent="0.25">
      <c r="A20" s="79" t="s">
        <v>225</v>
      </c>
      <c r="B20" s="81" t="str">
        <f>INSCRIPTS_M!C7</f>
        <v>6M</v>
      </c>
      <c r="C20" s="71"/>
      <c r="D20" s="66" t="s">
        <v>81</v>
      </c>
      <c r="E20" s="71"/>
      <c r="F20" s="81" t="str">
        <f>INSCRIPTS_M!C3</f>
        <v>2M</v>
      </c>
      <c r="G20" s="79" t="s">
        <v>45</v>
      </c>
    </row>
    <row r="21" spans="1:7" x14ac:dyDescent="0.25">
      <c r="A21" s="78"/>
      <c r="B21" s="78"/>
      <c r="C21" s="67"/>
      <c r="D21" s="72">
        <f>0.916666666666667 + "00:20:00"</f>
        <v>0.9305555555555558</v>
      </c>
      <c r="E21" s="67"/>
      <c r="F21" s="78"/>
      <c r="G21" s="78"/>
    </row>
    <row r="22" spans="1:7" x14ac:dyDescent="0.25">
      <c r="A22" s="79" t="s">
        <v>44</v>
      </c>
      <c r="B22" s="81" t="str">
        <f>INSCRIPTS_M!C2</f>
        <v>1M</v>
      </c>
      <c r="C22" s="71"/>
      <c r="D22" s="66" t="s">
        <v>78</v>
      </c>
      <c r="E22" s="71"/>
      <c r="F22" s="81" t="str">
        <f>INSCRIPTS_M!C9</f>
        <v>8M</v>
      </c>
      <c r="G22" s="79" t="s">
        <v>224</v>
      </c>
    </row>
    <row r="23" spans="1:7" x14ac:dyDescent="0.25">
      <c r="A23" s="79" t="s">
        <v>226</v>
      </c>
      <c r="B23" s="81" t="str">
        <f>INSCRIPTS_M!C10</f>
        <v>9M</v>
      </c>
      <c r="C23" s="71"/>
      <c r="D23" s="66" t="s">
        <v>79</v>
      </c>
      <c r="E23" s="71"/>
      <c r="F23" s="81" t="str">
        <f>INSCRIPTS_M!C3</f>
        <v>2M</v>
      </c>
      <c r="G23" s="79" t="s">
        <v>45</v>
      </c>
    </row>
    <row r="24" spans="1:7" x14ac:dyDescent="0.25">
      <c r="A24" s="79" t="s">
        <v>46</v>
      </c>
      <c r="B24" s="81" t="str">
        <f>INSCRIPTS_M!C4</f>
        <v>3M</v>
      </c>
      <c r="C24" s="71"/>
      <c r="D24" s="66" t="s">
        <v>80</v>
      </c>
      <c r="E24" s="71"/>
      <c r="F24" s="81" t="str">
        <f>INSCRIPTS_M!C11</f>
        <v>10M</v>
      </c>
      <c r="G24" s="79" t="s">
        <v>227</v>
      </c>
    </row>
    <row r="25" spans="1:7" x14ac:dyDescent="0.25">
      <c r="A25" s="79" t="s">
        <v>225</v>
      </c>
      <c r="B25" s="81" t="str">
        <f>INSCRIPTS_M!C7</f>
        <v>6M</v>
      </c>
      <c r="C25" s="71"/>
      <c r="D25" s="66" t="s">
        <v>81</v>
      </c>
      <c r="E25" s="71"/>
      <c r="F25" s="81" t="str">
        <f>INSCRIPTS_M!C8</f>
        <v>7M</v>
      </c>
      <c r="G25" s="79" t="s">
        <v>223</v>
      </c>
    </row>
    <row r="26" spans="1:7" x14ac:dyDescent="0.25">
      <c r="A26" s="78"/>
      <c r="B26" s="78"/>
      <c r="C26" s="67"/>
      <c r="D26" s="72">
        <f>0.930555555555556 + "00:20:00"</f>
        <v>0.94444444444444486</v>
      </c>
      <c r="E26" s="67"/>
      <c r="F26" s="78"/>
      <c r="G26" s="78"/>
    </row>
    <row r="31" spans="1:7" x14ac:dyDescent="0.25">
      <c r="D31" s="47">
        <f>0.944444444444445 + "00:20:00"</f>
        <v>0.95833333333333381</v>
      </c>
    </row>
    <row r="36" spans="4:4" x14ac:dyDescent="0.25">
      <c r="D36" s="47">
        <f>0.958333333333334 + "00:20:00"</f>
        <v>0.97222222222222288</v>
      </c>
    </row>
    <row r="41" spans="4:4" x14ac:dyDescent="0.25">
      <c r="D41" s="47">
        <f>0.972222222222223 + "00:20:00"</f>
        <v>0.98611111111111183</v>
      </c>
    </row>
    <row r="46" spans="4:4" x14ac:dyDescent="0.25">
      <c r="D46" s="47">
        <f>0.986111111111112 + "00:20:00"</f>
        <v>1.0000000000000009</v>
      </c>
    </row>
    <row r="51" spans="4:4" x14ac:dyDescent="0.25">
      <c r="D51" s="47">
        <f>1 + "00:20:00"</f>
        <v>1.0138888888888888</v>
      </c>
    </row>
    <row r="56" spans="4:4" x14ac:dyDescent="0.25">
      <c r="D56" s="47">
        <f>1.01388888888889 + "00:20:00"</f>
        <v>1.0277777777777788</v>
      </c>
    </row>
    <row r="61" spans="4:4" x14ac:dyDescent="0.25">
      <c r="D61" s="47">
        <f>1.02777777777778 + "00:20:00"</f>
        <v>1.0416666666666687</v>
      </c>
    </row>
    <row r="66" spans="4:4" x14ac:dyDescent="0.25">
      <c r="D66" s="47">
        <f>1.04166666666667 + "00:20:00"</f>
        <v>1.0555555555555589</v>
      </c>
    </row>
    <row r="71" spans="4:4" x14ac:dyDescent="0.25">
      <c r="D71" s="47">
        <f>1.05555555555556 + "00:20:00"</f>
        <v>1.0694444444444489</v>
      </c>
    </row>
    <row r="76" spans="4:4" x14ac:dyDescent="0.25">
      <c r="D76" s="47">
        <f>1.06944444444445 + "00:20:00"</f>
        <v>1.0833333333333388</v>
      </c>
    </row>
    <row r="81" spans="4:4" x14ac:dyDescent="0.25">
      <c r="D81" s="47">
        <f>1.08333333333334 + "00:20:00"</f>
        <v>1.0972222222222288</v>
      </c>
    </row>
    <row r="86" spans="4:4" x14ac:dyDescent="0.25">
      <c r="D86" s="47">
        <f>1.09722222222223 + "00:20:00"</f>
        <v>1.1111111111111189</v>
      </c>
    </row>
    <row r="91" spans="4:4" x14ac:dyDescent="0.25">
      <c r="D91" s="47">
        <f>1.11111111111112 + "00:20:00"</f>
        <v>1.1250000000000089</v>
      </c>
    </row>
    <row r="96" spans="4:4" x14ac:dyDescent="0.25">
      <c r="D96" s="47">
        <f>1.12500000000001 + "00:20:00"</f>
        <v>1.1388888888888988</v>
      </c>
    </row>
    <row r="101" spans="4:4" x14ac:dyDescent="0.25">
      <c r="D101" s="47">
        <f>1.1388888888889 + "00:20:00"</f>
        <v>1.1527777777777888</v>
      </c>
    </row>
    <row r="106" spans="4:4" x14ac:dyDescent="0.25">
      <c r="D106" s="47">
        <f>1.15277777777779 + "00:20:00"</f>
        <v>1.1666666666666787</v>
      </c>
    </row>
    <row r="111" spans="4:4" x14ac:dyDescent="0.25">
      <c r="D111" s="47">
        <f>1.16666666666668 + "00:20:00"</f>
        <v>1.1805555555555689</v>
      </c>
    </row>
    <row r="116" spans="4:4" x14ac:dyDescent="0.25">
      <c r="D116" s="47">
        <f>1.18055555555557 + "00:20:00"</f>
        <v>1.1944444444444589</v>
      </c>
    </row>
    <row r="121" spans="4:4" x14ac:dyDescent="0.25">
      <c r="D121" s="47">
        <f>1.19444444444446 + "00:20:00"</f>
        <v>1.2083333333333488</v>
      </c>
    </row>
    <row r="126" spans="4:4" x14ac:dyDescent="0.25">
      <c r="D126" s="47">
        <f>1.20833333333335 + "00:20:00"</f>
        <v>1.2222222222222388</v>
      </c>
    </row>
    <row r="131" spans="4:4" x14ac:dyDescent="0.25">
      <c r="D131" s="47">
        <f>1.22222222222224 + "00:20:00"</f>
        <v>1.2361111111111289</v>
      </c>
    </row>
    <row r="136" spans="4:4" x14ac:dyDescent="0.25">
      <c r="D136" s="47">
        <f>1.23611111111113 + "00:20:00"</f>
        <v>1.2500000000000189</v>
      </c>
    </row>
    <row r="141" spans="4:4" x14ac:dyDescent="0.25">
      <c r="D141" s="47">
        <f>1.25000000000002 + "00:20:00"</f>
        <v>1.2638888888889088</v>
      </c>
    </row>
    <row r="146" spans="4:4" x14ac:dyDescent="0.25">
      <c r="D146" s="47">
        <f>1.26388888888891 + "00:20:00"</f>
        <v>1.2777777777777988</v>
      </c>
    </row>
    <row r="151" spans="4:4" x14ac:dyDescent="0.25">
      <c r="D151" s="47">
        <f>1.2777777777778 + "00:20:00"</f>
        <v>1.2916666666666889</v>
      </c>
    </row>
    <row r="156" spans="4:4" x14ac:dyDescent="0.25">
      <c r="D156" s="47">
        <f>1.29166666666669 + "00:20:00"</f>
        <v>1.3055555555555789</v>
      </c>
    </row>
    <row r="161" spans="4:4" x14ac:dyDescent="0.25">
      <c r="D161" s="47">
        <f>1.30555555555558 + "00:20:00"</f>
        <v>1.3194444444444688</v>
      </c>
    </row>
    <row r="166" spans="4:4" x14ac:dyDescent="0.25">
      <c r="D166" s="47">
        <f>1.31944444444447 + "00:20:00"</f>
        <v>1.3333333333333588</v>
      </c>
    </row>
    <row r="171" spans="4:4" x14ac:dyDescent="0.25">
      <c r="D171" s="47">
        <f>1.33333333333336 + "00:20:00"</f>
        <v>1.3472222222222487</v>
      </c>
    </row>
    <row r="176" spans="4:4" x14ac:dyDescent="0.25">
      <c r="D176" s="47">
        <f>1.34722222222225 + "00:20:00"</f>
        <v>1.3611111111111389</v>
      </c>
    </row>
    <row r="181" spans="4:4" x14ac:dyDescent="0.25">
      <c r="D181" s="47">
        <f>1.36111111111114 + "00:20:00"</f>
        <v>1.3750000000000289</v>
      </c>
    </row>
    <row r="186" spans="4:4" x14ac:dyDescent="0.25">
      <c r="D186" s="47">
        <f>1.37500000000003 + "00:20:00"</f>
        <v>1.3888888888889188</v>
      </c>
    </row>
    <row r="191" spans="4:4" x14ac:dyDescent="0.25">
      <c r="D191" s="47">
        <f>1.38888888888892 + "00:20:00"</f>
        <v>1.4027777777778088</v>
      </c>
    </row>
    <row r="196" spans="4:4" x14ac:dyDescent="0.25">
      <c r="D196" s="47">
        <f>1.40277777777781 + "00:20:00"</f>
        <v>1.4166666666666989</v>
      </c>
    </row>
    <row r="201" spans="4:4" x14ac:dyDescent="0.25">
      <c r="D201" s="47">
        <f>1.4166666666667 + "00:20:00"</f>
        <v>1.4305555555555889</v>
      </c>
    </row>
    <row r="206" spans="4:4" x14ac:dyDescent="0.25">
      <c r="D206" s="47">
        <f>1.43055555555559 + "00:20:00"</f>
        <v>1.4444444444444788</v>
      </c>
    </row>
    <row r="211" spans="4:4" x14ac:dyDescent="0.25">
      <c r="D211" s="47">
        <f>1.44444444444448 + "00:20:00"</f>
        <v>1.4583333333333688</v>
      </c>
    </row>
    <row r="216" spans="4:4" x14ac:dyDescent="0.25">
      <c r="D216" s="47">
        <f>1.45833333333337 + "00:20:00"</f>
        <v>1.4722222222222587</v>
      </c>
    </row>
    <row r="221" spans="4:4" x14ac:dyDescent="0.25">
      <c r="D221" s="47">
        <f>1.47222222222226 + "00:20:00"</f>
        <v>1.4861111111111489</v>
      </c>
    </row>
  </sheetData>
  <conditionalFormatting sqref="C2">
    <cfRule type="expression" dxfId="559" priority="79">
      <formula>$C2&lt;$E2</formula>
    </cfRule>
    <cfRule type="expression" dxfId="558" priority="80">
      <formula>$C2&gt;$E2</formula>
    </cfRule>
  </conditionalFormatting>
  <conditionalFormatting sqref="E2">
    <cfRule type="expression" dxfId="557" priority="77">
      <formula>$C2&gt;$E2</formula>
    </cfRule>
    <cfRule type="expression" dxfId="556" priority="78">
      <formula>$C2&lt;$E2</formula>
    </cfRule>
  </conditionalFormatting>
  <conditionalFormatting sqref="C3">
    <cfRule type="expression" dxfId="555" priority="75">
      <formula>$C3&lt;$E3</formula>
    </cfRule>
    <cfRule type="expression" dxfId="554" priority="76">
      <formula>$C3&gt;$E3</formula>
    </cfRule>
  </conditionalFormatting>
  <conditionalFormatting sqref="E3">
    <cfRule type="expression" dxfId="553" priority="73">
      <formula>$C3&gt;$E3</formula>
    </cfRule>
    <cfRule type="expression" dxfId="552" priority="74">
      <formula>$C3&lt;$E3</formula>
    </cfRule>
  </conditionalFormatting>
  <conditionalFormatting sqref="C4">
    <cfRule type="expression" dxfId="551" priority="71">
      <formula>$C4&lt;$E4</formula>
    </cfRule>
    <cfRule type="expression" dxfId="550" priority="72">
      <formula>$C4&gt;$E4</formula>
    </cfRule>
  </conditionalFormatting>
  <conditionalFormatting sqref="E4">
    <cfRule type="expression" dxfId="549" priority="69">
      <formula>$C4&gt;$E4</formula>
    </cfRule>
    <cfRule type="expression" dxfId="548" priority="70">
      <formula>$C4&lt;$E4</formula>
    </cfRule>
  </conditionalFormatting>
  <conditionalFormatting sqref="C5">
    <cfRule type="expression" dxfId="547" priority="67">
      <formula>$C5&lt;$E5</formula>
    </cfRule>
    <cfRule type="expression" dxfId="546" priority="68">
      <formula>$C5&gt;$E5</formula>
    </cfRule>
  </conditionalFormatting>
  <conditionalFormatting sqref="E5">
    <cfRule type="expression" dxfId="545" priority="65">
      <formula>$C5&gt;$E5</formula>
    </cfRule>
    <cfRule type="expression" dxfId="544" priority="66">
      <formula>$C5&lt;$E5</formula>
    </cfRule>
  </conditionalFormatting>
  <conditionalFormatting sqref="C7">
    <cfRule type="expression" dxfId="543" priority="63">
      <formula>$C7&lt;$E7</formula>
    </cfRule>
    <cfRule type="expression" dxfId="542" priority="64">
      <formula>$C7&gt;$E7</formula>
    </cfRule>
  </conditionalFormatting>
  <conditionalFormatting sqref="E7">
    <cfRule type="expression" dxfId="541" priority="61">
      <formula>$C7&gt;$E7</formula>
    </cfRule>
    <cfRule type="expression" dxfId="540" priority="62">
      <formula>$C7&lt;$E7</formula>
    </cfRule>
  </conditionalFormatting>
  <conditionalFormatting sqref="C8">
    <cfRule type="expression" dxfId="539" priority="59">
      <formula>$C8&lt;$E8</formula>
    </cfRule>
    <cfRule type="expression" dxfId="538" priority="60">
      <formula>$C8&gt;$E8</formula>
    </cfRule>
  </conditionalFormatting>
  <conditionalFormatting sqref="E8">
    <cfRule type="expression" dxfId="537" priority="57">
      <formula>$C8&gt;$E8</formula>
    </cfRule>
    <cfRule type="expression" dxfId="536" priority="58">
      <formula>$C8&lt;$E8</formula>
    </cfRule>
  </conditionalFormatting>
  <conditionalFormatting sqref="C9">
    <cfRule type="expression" dxfId="535" priority="55">
      <formula>$C9&lt;$E9</formula>
    </cfRule>
    <cfRule type="expression" dxfId="534" priority="56">
      <formula>$C9&gt;$E9</formula>
    </cfRule>
  </conditionalFormatting>
  <conditionalFormatting sqref="E9">
    <cfRule type="expression" dxfId="533" priority="53">
      <formula>$C9&gt;$E9</formula>
    </cfRule>
    <cfRule type="expression" dxfId="532" priority="54">
      <formula>$C9&lt;$E9</formula>
    </cfRule>
  </conditionalFormatting>
  <conditionalFormatting sqref="C10">
    <cfRule type="expression" dxfId="531" priority="51">
      <formula>$C10&lt;$E10</formula>
    </cfRule>
    <cfRule type="expression" dxfId="530" priority="52">
      <formula>$C10&gt;$E10</formula>
    </cfRule>
  </conditionalFormatting>
  <conditionalFormatting sqref="E10">
    <cfRule type="expression" dxfId="529" priority="49">
      <formula>$C10&gt;$E10</formula>
    </cfRule>
    <cfRule type="expression" dxfId="528" priority="50">
      <formula>$C10&lt;$E10</formula>
    </cfRule>
  </conditionalFormatting>
  <conditionalFormatting sqref="C12">
    <cfRule type="expression" dxfId="527" priority="47">
      <formula>$C12&lt;$E12</formula>
    </cfRule>
    <cfRule type="expression" dxfId="526" priority="48">
      <formula>$C12&gt;$E12</formula>
    </cfRule>
  </conditionalFormatting>
  <conditionalFormatting sqref="E12">
    <cfRule type="expression" dxfId="525" priority="45">
      <formula>$C12&gt;$E12</formula>
    </cfRule>
    <cfRule type="expression" dxfId="524" priority="46">
      <formula>$C12&lt;$E12</formula>
    </cfRule>
  </conditionalFormatting>
  <conditionalFormatting sqref="C13">
    <cfRule type="expression" dxfId="523" priority="43">
      <formula>$C13&lt;$E13</formula>
    </cfRule>
    <cfRule type="expression" dxfId="522" priority="44">
      <formula>$C13&gt;$E13</formula>
    </cfRule>
  </conditionalFormatting>
  <conditionalFormatting sqref="E13">
    <cfRule type="expression" dxfId="521" priority="41">
      <formula>$C13&gt;$E13</formula>
    </cfRule>
    <cfRule type="expression" dxfId="520" priority="42">
      <formula>$C13&lt;$E13</formula>
    </cfRule>
  </conditionalFormatting>
  <conditionalFormatting sqref="C14">
    <cfRule type="expression" dxfId="519" priority="40">
      <formula>$C14&gt;$E14</formula>
    </cfRule>
  </conditionalFormatting>
  <conditionalFormatting sqref="C14">
    <cfRule type="expression" dxfId="518" priority="39">
      <formula>$C14&lt;$E14</formula>
    </cfRule>
  </conditionalFormatting>
  <conditionalFormatting sqref="E14">
    <cfRule type="expression" dxfId="517" priority="38">
      <formula>$C14&lt;$E14</formula>
    </cfRule>
  </conditionalFormatting>
  <conditionalFormatting sqref="E14">
    <cfRule type="expression" dxfId="516" priority="37">
      <formula>$C14&gt;$E14</formula>
    </cfRule>
  </conditionalFormatting>
  <conditionalFormatting sqref="C15">
    <cfRule type="expression" dxfId="515" priority="36">
      <formula>$C15&gt;$E15</formula>
    </cfRule>
  </conditionalFormatting>
  <conditionalFormatting sqref="C15">
    <cfRule type="expression" dxfId="514" priority="35">
      <formula>$C15&lt;$E15</formula>
    </cfRule>
  </conditionalFormatting>
  <conditionalFormatting sqref="E15">
    <cfRule type="expression" dxfId="513" priority="34">
      <formula>$C15&lt;$E15</formula>
    </cfRule>
  </conditionalFormatting>
  <conditionalFormatting sqref="E15">
    <cfRule type="expression" dxfId="512" priority="33">
      <formula>$C15&gt;$E15</formula>
    </cfRule>
  </conditionalFormatting>
  <conditionalFormatting sqref="C17">
    <cfRule type="expression" dxfId="511" priority="32">
      <formula>$C17&gt;$E17</formula>
    </cfRule>
  </conditionalFormatting>
  <conditionalFormatting sqref="C17">
    <cfRule type="expression" dxfId="510" priority="31">
      <formula>$C17&lt;$E17</formula>
    </cfRule>
  </conditionalFormatting>
  <conditionalFormatting sqref="E17">
    <cfRule type="expression" dxfId="509" priority="30">
      <formula>$C17&lt;$E17</formula>
    </cfRule>
  </conditionalFormatting>
  <conditionalFormatting sqref="E17">
    <cfRule type="expression" dxfId="508" priority="29">
      <formula>$C17&gt;$E17</formula>
    </cfRule>
  </conditionalFormatting>
  <conditionalFormatting sqref="C18">
    <cfRule type="expression" dxfId="507" priority="28">
      <formula>$C18&gt;$E18</formula>
    </cfRule>
  </conditionalFormatting>
  <conditionalFormatting sqref="C18">
    <cfRule type="expression" dxfId="506" priority="27">
      <formula>$C18&lt;$E18</formula>
    </cfRule>
  </conditionalFormatting>
  <conditionalFormatting sqref="E18">
    <cfRule type="expression" dxfId="505" priority="26">
      <formula>$C18&lt;$E18</formula>
    </cfRule>
  </conditionalFormatting>
  <conditionalFormatting sqref="E18">
    <cfRule type="expression" dxfId="504" priority="25">
      <formula>$C18&gt;$E18</formula>
    </cfRule>
  </conditionalFormatting>
  <conditionalFormatting sqref="C19">
    <cfRule type="expression" dxfId="503" priority="24">
      <formula>$C19&gt;$E19</formula>
    </cfRule>
  </conditionalFormatting>
  <conditionalFormatting sqref="C19">
    <cfRule type="expression" dxfId="502" priority="23">
      <formula>$C19&lt;$E19</formula>
    </cfRule>
  </conditionalFormatting>
  <conditionalFormatting sqref="E19">
    <cfRule type="expression" dxfId="501" priority="22">
      <formula>$C19&lt;$E19</formula>
    </cfRule>
  </conditionalFormatting>
  <conditionalFormatting sqref="E19">
    <cfRule type="expression" dxfId="500" priority="21">
      <formula>$C19&gt;$E19</formula>
    </cfRule>
  </conditionalFormatting>
  <conditionalFormatting sqref="C20">
    <cfRule type="expression" dxfId="499" priority="20">
      <formula>$C20&gt;$E20</formula>
    </cfRule>
  </conditionalFormatting>
  <conditionalFormatting sqref="C20">
    <cfRule type="expression" dxfId="498" priority="19">
      <formula>$C20&lt;$E20</formula>
    </cfRule>
  </conditionalFormatting>
  <conditionalFormatting sqref="E20">
    <cfRule type="expression" dxfId="497" priority="18">
      <formula>$C20&lt;$E20</formula>
    </cfRule>
  </conditionalFormatting>
  <conditionalFormatting sqref="E20">
    <cfRule type="expression" dxfId="496" priority="17">
      <formula>$C20&gt;$E20</formula>
    </cfRule>
  </conditionalFormatting>
  <conditionalFormatting sqref="C22">
    <cfRule type="expression" dxfId="495" priority="16">
      <formula>$C22&gt;$E22</formula>
    </cfRule>
  </conditionalFormatting>
  <conditionalFormatting sqref="C22">
    <cfRule type="expression" dxfId="494" priority="15">
      <formula>$C22&lt;$E22</formula>
    </cfRule>
  </conditionalFormatting>
  <conditionalFormatting sqref="E22">
    <cfRule type="expression" dxfId="493" priority="14">
      <formula>$C22&lt;$E22</formula>
    </cfRule>
  </conditionalFormatting>
  <conditionalFormatting sqref="E22">
    <cfRule type="expression" dxfId="492" priority="13">
      <formula>$C22&gt;$E22</formula>
    </cfRule>
  </conditionalFormatting>
  <conditionalFormatting sqref="C23">
    <cfRule type="expression" dxfId="491" priority="12">
      <formula>$C23&gt;$E23</formula>
    </cfRule>
  </conditionalFormatting>
  <conditionalFormatting sqref="C23">
    <cfRule type="expression" dxfId="490" priority="11">
      <formula>$C23&lt;$E23</formula>
    </cfRule>
  </conditionalFormatting>
  <conditionalFormatting sqref="E23">
    <cfRule type="expression" dxfId="489" priority="10">
      <formula>$C23&lt;$E23</formula>
    </cfRule>
  </conditionalFormatting>
  <conditionalFormatting sqref="E23">
    <cfRule type="expression" dxfId="488" priority="9">
      <formula>$C23&gt;$E23</formula>
    </cfRule>
  </conditionalFormatting>
  <conditionalFormatting sqref="C24">
    <cfRule type="expression" dxfId="487" priority="8">
      <formula>$C24&gt;$E24</formula>
    </cfRule>
  </conditionalFormatting>
  <conditionalFormatting sqref="C24">
    <cfRule type="expression" dxfId="486" priority="7">
      <formula>$C24&lt;$E24</formula>
    </cfRule>
  </conditionalFormatting>
  <conditionalFormatting sqref="E24">
    <cfRule type="expression" dxfId="485" priority="6">
      <formula>$C24&lt;$E24</formula>
    </cfRule>
  </conditionalFormatting>
  <conditionalFormatting sqref="E24">
    <cfRule type="expression" dxfId="484" priority="5">
      <formula>$C24&gt;$E24</formula>
    </cfRule>
  </conditionalFormatting>
  <conditionalFormatting sqref="C25">
    <cfRule type="expression" dxfId="483" priority="4">
      <formula>$C25&gt;$E25</formula>
    </cfRule>
  </conditionalFormatting>
  <conditionalFormatting sqref="C25">
    <cfRule type="expression" dxfId="482" priority="3">
      <formula>$C25&lt;$E25</formula>
    </cfRule>
  </conditionalFormatting>
  <conditionalFormatting sqref="E25">
    <cfRule type="expression" dxfId="481" priority="2">
      <formula>$C25&lt;$E25</formula>
    </cfRule>
  </conditionalFormatting>
  <conditionalFormatting sqref="E25">
    <cfRule type="expression" dxfId="480" priority="1">
      <formula>$C25&gt;$E25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8FF2E1F3-9EDC-4544-8BDE-E6E08D05BB77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C4PPMatch">
              <controlPr defaultSize="0" print="0" autoFill="0" autoPict="0" macro="[0]!'copyimage &quot;B1:F25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95B13-5F8C-49EA-8F57-5C2A005F3805}">
  <sheetPr codeName="Feuil32"/>
  <dimension ref="A1:M112"/>
  <sheetViews>
    <sheetView topLeftCell="A13" workbookViewId="0">
      <selection activeCell="G23" sqref="G23"/>
    </sheetView>
  </sheetViews>
  <sheetFormatPr baseColWidth="10" defaultRowHeight="15" x14ac:dyDescent="0.25"/>
  <cols>
    <col min="1" max="2" width="11.42578125" style="47"/>
    <col min="3" max="3" width="0" style="47" hidden="1" customWidth="1"/>
    <col min="4" max="4" width="43.5703125" style="47" customWidth="1"/>
    <col min="5" max="5" width="11.42578125" style="84"/>
    <col min="6" max="10" width="11.42578125" style="47"/>
    <col min="11" max="11" width="0" style="47" hidden="1" customWidth="1"/>
    <col min="12" max="12" width="6" style="47" customWidth="1"/>
    <col min="13" max="16384" width="11.42578125" style="47"/>
  </cols>
  <sheetData>
    <row r="1" spans="1:13" ht="15.75" thickBot="1" x14ac:dyDescent="0.3"/>
    <row r="2" spans="1:13" ht="30.95" customHeight="1" thickBot="1" x14ac:dyDescent="0.3">
      <c r="C2" s="85" t="s">
        <v>228</v>
      </c>
      <c r="D2" s="85" t="s">
        <v>98</v>
      </c>
      <c r="E2" s="86" t="s">
        <v>229</v>
      </c>
      <c r="F2" s="85" t="s">
        <v>230</v>
      </c>
      <c r="G2" s="85" t="s">
        <v>231</v>
      </c>
      <c r="H2" s="85" t="s">
        <v>232</v>
      </c>
      <c r="I2" s="85" t="s">
        <v>233</v>
      </c>
      <c r="J2" s="48" t="s">
        <v>234</v>
      </c>
      <c r="K2" s="85" t="s">
        <v>235</v>
      </c>
      <c r="L2" s="48" t="s">
        <v>53</v>
      </c>
    </row>
    <row r="4" spans="1:13" ht="15.75" x14ac:dyDescent="0.25">
      <c r="A4" s="175" t="s">
        <v>99</v>
      </c>
      <c r="B4" s="49">
        <v>1</v>
      </c>
      <c r="C4" s="49" t="s">
        <v>44</v>
      </c>
      <c r="D4" s="49" t="str">
        <f>INSCRIPTS!C2</f>
        <v>1A</v>
      </c>
      <c r="E4" s="87">
        <f ca="1">SUM(IF(INDIRECT(ADDRESS(2,3,,,"MATCHS"))&gt;INDIRECT(ADDRESS(2,5,,,"MATCHS")),1,0),,,IF(INDIRECT(ADDRESS(33,3,,,"MATCHS"))&gt;INDIRECT(ADDRESS(33,5,,,"MATCHS")),1,0),,,IF(INDIRECT(ADDRESS(64,3,,,"MATCHS"))&gt;INDIRECT(ADDRESS(64,5,,,"MATCHS")),1,0),,,IF(INDIRECT(ADDRESS(95,3,,,"MATCHS"))&gt;INDIRECT(ADDRESS(95,5,,,"MATCHS")),1,0),,,,,,,) + 0.1 * J4</f>
        <v>0</v>
      </c>
      <c r="F4" s="49">
        <f ca="1">SUM(IF(INDIRECT(ADDRESS(2,3,,,"MATCHS"))&lt;INDIRECT(ADDRESS(2,5,,,"MATCHS")),1,0),,,IF(INDIRECT(ADDRESS(33,3,,,"MATCHS"))&lt;INDIRECT(ADDRESS(33,5,,,"MATCHS")),1,0),,,IF(INDIRECT(ADDRESS(64,3,,,"MATCHS"))&lt;INDIRECT(ADDRESS(64,5,,,"MATCHS")),1,0),,,IF(INDIRECT(ADDRESS(95,3,,,"MATCHS"))&lt;INDIRECT(ADDRESS(95,5,,,"MATCHS")),1,0),,,,,,,)</f>
        <v>0</v>
      </c>
      <c r="G4" s="49">
        <f ca="1">SUM(INDIRECT(ADDRESS(2,3,,,"MATCHS")),,,INDIRECT(ADDRESS(33,3,,,"MATCHS")),,,INDIRECT(ADDRESS(64,3,,,"MATCHS")),,,INDIRECT(ADDRESS(95,3,,,"MATCHS")),,,,,,,)</f>
        <v>0</v>
      </c>
      <c r="H4" s="49">
        <f ca="1">SUM(INDIRECT(ADDRESS(2,5,,,"MATCHS")),,,INDIRECT(ADDRESS(33,5,,,"MATCHS")),,,INDIRECT(ADDRESS(64,5,,,"MATCHS")),,,INDIRECT(ADDRESS(95,5,,,"MATCHS")),,,,,,,)</f>
        <v>0</v>
      </c>
      <c r="I4" s="49">
        <f ca="1">G4 - H4</f>
        <v>0</v>
      </c>
      <c r="J4" s="49">
        <v>0</v>
      </c>
      <c r="K4" s="49">
        <v>1</v>
      </c>
      <c r="L4" s="49"/>
      <c r="M4" s="69"/>
    </row>
    <row r="5" spans="1:13" ht="15.75" x14ac:dyDescent="0.25">
      <c r="A5" s="175"/>
      <c r="B5" s="49">
        <v>2</v>
      </c>
      <c r="C5" s="49" t="s">
        <v>45</v>
      </c>
      <c r="D5" s="49" t="str">
        <f>INSCRIPTS!C3</f>
        <v>2A</v>
      </c>
      <c r="E5" s="87">
        <f ca="1">SUM(IF(INDIRECT(ADDRESS(2,5,,,"MATCHS"))&gt;INDIRECT(ADDRESS(2,3,,,"MATCHS")),1,0),,,IF(INDIRECT(ADDRESS(34,3,,,"MATCHS"))&gt;INDIRECT(ADDRESS(34,5,,,"MATCHS")),1,0),,,,,,IF(INDIRECT(ADDRESS(96,3,,,"MATCHS"))&gt;INDIRECT(ADDRESS(96,5,,,"MATCHS")),1,0),,,IF(INDIRECT(ADDRESS(126,3,,,"MATCHS"))&gt;INDIRECT(ADDRESS(126,5,,,"MATCHS")),1,0),,,,) + 0.1 * J5</f>
        <v>0</v>
      </c>
      <c r="F5" s="49">
        <f ca="1">SUM(IF(INDIRECT(ADDRESS(2,5,,,"MATCHS"))&lt;INDIRECT(ADDRESS(2,3,,,"MATCHS")),1,0),,,IF(INDIRECT(ADDRESS(34,3,,,"MATCHS"))&lt;INDIRECT(ADDRESS(34,5,,,"MATCHS")),1,0),,,,,,IF(INDIRECT(ADDRESS(96,3,,,"MATCHS"))&lt;INDIRECT(ADDRESS(96,5,,,"MATCHS")),1,0),,,IF(INDIRECT(ADDRESS(126,3,,,"MATCHS"))&lt;INDIRECT(ADDRESS(126,5,,,"MATCHS")),1,0),,,,)</f>
        <v>0</v>
      </c>
      <c r="G5" s="49">
        <f ca="1">SUM(INDIRECT(ADDRESS(2,5,,,"MATCHS")),,,INDIRECT(ADDRESS(34,3,,,"MATCHS")),,,,,,INDIRECT(ADDRESS(96,3,,,"MATCHS")),,,INDIRECT(ADDRESS(126,3,,,"MATCHS")),,,,)</f>
        <v>0</v>
      </c>
      <c r="H5" s="49">
        <f ca="1">SUM(INDIRECT(ADDRESS(2,3,,,"MATCHS")),,,INDIRECT(ADDRESS(34,5,,,"MATCHS")),,,,,,INDIRECT(ADDRESS(96,5,,,"MATCHS")),,,INDIRECT(ADDRESS(126,5,,,"MATCHS")),,,,)</f>
        <v>0</v>
      </c>
      <c r="I5" s="49">
        <f ca="1">G5 - H5</f>
        <v>0</v>
      </c>
      <c r="J5" s="49">
        <v>0</v>
      </c>
      <c r="K5" s="49">
        <v>2</v>
      </c>
      <c r="L5" s="49"/>
      <c r="M5" s="69"/>
    </row>
    <row r="6" spans="1:13" ht="15.75" x14ac:dyDescent="0.25">
      <c r="A6" s="175"/>
      <c r="B6" s="49">
        <v>3</v>
      </c>
      <c r="C6" s="49" t="s">
        <v>46</v>
      </c>
      <c r="D6" s="49" t="str">
        <f>INSCRIPTS!C4</f>
        <v>3A</v>
      </c>
      <c r="E6" s="87">
        <f ca="1">SUM(IF(INDIRECT(ADDRESS(3,3,,,"MATCHS"))&gt;INDIRECT(ADDRESS(3,5,,,"MATCHS")),1,0),,,IF(INDIRECT(ADDRESS(33,5,,,"MATCHS"))&gt;INDIRECT(ADDRESS(33,3,,,"MATCHS")),1,0),,,IF(INDIRECT(ADDRESS(65,3,,,"MATCHS"))&gt;INDIRECT(ADDRESS(65,5,,,"MATCHS")),1,0),,,,,,IF(INDIRECT(ADDRESS(126,5,,,"MATCHS"))&gt;INDIRECT(ADDRESS(126,3,,,"MATCHS")),1,0),,,,) + 0.1 * J6</f>
        <v>0</v>
      </c>
      <c r="F6" s="49">
        <f ca="1">SUM(IF(INDIRECT(ADDRESS(3,3,,,"MATCHS"))&lt;INDIRECT(ADDRESS(3,5,,,"MATCHS")),1,0),,,IF(INDIRECT(ADDRESS(33,5,,,"MATCHS"))&lt;INDIRECT(ADDRESS(33,3,,,"MATCHS")),1,0),,,IF(INDIRECT(ADDRESS(65,3,,,"MATCHS"))&lt;INDIRECT(ADDRESS(65,5,,,"MATCHS")),1,0),,,,,,IF(INDIRECT(ADDRESS(126,5,,,"MATCHS"))&lt;INDIRECT(ADDRESS(126,3,,,"MATCHS")),1,0),,,,)</f>
        <v>0</v>
      </c>
      <c r="G6" s="49">
        <f ca="1">SUM(INDIRECT(ADDRESS(3,3,,,"MATCHS")),,,INDIRECT(ADDRESS(33,5,,,"MATCHS")),,,INDIRECT(ADDRESS(65,3,,,"MATCHS")),,,,,,INDIRECT(ADDRESS(126,5,,,"MATCHS")),,,,)</f>
        <v>0</v>
      </c>
      <c r="H6" s="49">
        <f ca="1">SUM(INDIRECT(ADDRESS(3,5,,,"MATCHS")),,,INDIRECT(ADDRESS(33,3,,,"MATCHS")),,,INDIRECT(ADDRESS(65,5,,,"MATCHS")),,,,,,INDIRECT(ADDRESS(126,3,,,"MATCHS")),,,,)</f>
        <v>0</v>
      </c>
      <c r="I6" s="49">
        <f ca="1">G6 - H6</f>
        <v>0</v>
      </c>
      <c r="J6" s="49">
        <v>0</v>
      </c>
      <c r="K6" s="49">
        <v>3</v>
      </c>
      <c r="L6" s="49"/>
      <c r="M6" s="69"/>
    </row>
    <row r="7" spans="1:13" ht="15.75" x14ac:dyDescent="0.25">
      <c r="A7" s="175"/>
      <c r="B7" s="49">
        <v>4</v>
      </c>
      <c r="C7" s="49" t="s">
        <v>100</v>
      </c>
      <c r="D7" s="49" t="str">
        <f>INSCRIPTS!C5</f>
        <v>4A</v>
      </c>
      <c r="E7" s="87">
        <f ca="1">SUM(IF(INDIRECT(ADDRESS(3,5,,,"MATCHS"))&gt;INDIRECT(ADDRESS(3,3,,,"MATCHS")),1,0),,,,,,IF(INDIRECT(ADDRESS(64,5,,,"MATCHS"))&gt;INDIRECT(ADDRESS(64,3,,,"MATCHS")),1,0),,,IF(INDIRECT(ADDRESS(96,5,,,"MATCHS"))&gt;INDIRECT(ADDRESS(96,3,,,"MATCHS")),1,0),,,IF(INDIRECT(ADDRESS(127,3,,,"MATCHS"))&gt;INDIRECT(ADDRESS(127,5,,,"MATCHS")),1,0),,,,) + 0.1 * J7</f>
        <v>0</v>
      </c>
      <c r="F7" s="49">
        <f ca="1">SUM(IF(INDIRECT(ADDRESS(3,5,,,"MATCHS"))&lt;INDIRECT(ADDRESS(3,3,,,"MATCHS")),1,0),,,,,,IF(INDIRECT(ADDRESS(64,5,,,"MATCHS"))&lt;INDIRECT(ADDRESS(64,3,,,"MATCHS")),1,0),,,IF(INDIRECT(ADDRESS(96,5,,,"MATCHS"))&lt;INDIRECT(ADDRESS(96,3,,,"MATCHS")),1,0),,,IF(INDIRECT(ADDRESS(127,3,,,"MATCHS"))&lt;INDIRECT(ADDRESS(127,5,,,"MATCHS")),1,0),,,,)</f>
        <v>0</v>
      </c>
      <c r="G7" s="49">
        <f ca="1">SUM(INDIRECT(ADDRESS(3,5,,,"MATCHS")),,,,,,INDIRECT(ADDRESS(64,5,,,"MATCHS")),,,INDIRECT(ADDRESS(96,5,,,"MATCHS")),,,INDIRECT(ADDRESS(127,3,,,"MATCHS")),,,,)</f>
        <v>0</v>
      </c>
      <c r="H7" s="49">
        <f ca="1">SUM(INDIRECT(ADDRESS(3,3,,,"MATCHS")),,,,,,INDIRECT(ADDRESS(64,3,,,"MATCHS")),,,INDIRECT(ADDRESS(96,3,,,"MATCHS")),,,INDIRECT(ADDRESS(127,5,,,"MATCHS")),,,,)</f>
        <v>0</v>
      </c>
      <c r="I7" s="49">
        <f ca="1">G7 - H7</f>
        <v>0</v>
      </c>
      <c r="J7" s="49">
        <v>0</v>
      </c>
      <c r="K7" s="49">
        <v>4</v>
      </c>
      <c r="L7" s="49"/>
      <c r="M7" s="69"/>
    </row>
    <row r="8" spans="1:13" ht="15.75" x14ac:dyDescent="0.25">
      <c r="A8" s="175"/>
      <c r="B8" s="49">
        <v>5</v>
      </c>
      <c r="C8" s="49" t="s">
        <v>101</v>
      </c>
      <c r="D8" s="49" t="str">
        <f>INSCRIPTS!C6</f>
        <v>5A</v>
      </c>
      <c r="E8" s="87">
        <f ca="1">SUM(,,,IF(INDIRECT(ADDRESS(34,5,,,"MATCHS"))&gt;INDIRECT(ADDRESS(34,3,,,"MATCHS")),1,0),,,IF(INDIRECT(ADDRESS(65,5,,,"MATCHS"))&gt;INDIRECT(ADDRESS(65,3,,,"MATCHS")),1,0),,,IF(INDIRECT(ADDRESS(95,5,,,"MATCHS"))&gt;INDIRECT(ADDRESS(95,3,,,"MATCHS")),1,0),,,IF(INDIRECT(ADDRESS(127,5,,,"MATCHS"))&gt;INDIRECT(ADDRESS(127,3,,,"MATCHS")),1,0),,,,) + 0.1 * J8</f>
        <v>0</v>
      </c>
      <c r="F8" s="49">
        <f ca="1">SUM(,,,IF(INDIRECT(ADDRESS(34,5,,,"MATCHS"))&lt;INDIRECT(ADDRESS(34,3,,,"MATCHS")),1,0),,,IF(INDIRECT(ADDRESS(65,5,,,"MATCHS"))&lt;INDIRECT(ADDRESS(65,3,,,"MATCHS")),1,0),,,IF(INDIRECT(ADDRESS(95,5,,,"MATCHS"))&lt;INDIRECT(ADDRESS(95,3,,,"MATCHS")),1,0),,,IF(INDIRECT(ADDRESS(127,5,,,"MATCHS"))&lt;INDIRECT(ADDRESS(127,3,,,"MATCHS")),1,0),,,,)</f>
        <v>0</v>
      </c>
      <c r="G8" s="49">
        <f ca="1">SUM(,,,INDIRECT(ADDRESS(34,5,,,"MATCHS")),,,INDIRECT(ADDRESS(65,5,,,"MATCHS")),,,INDIRECT(ADDRESS(95,5,,,"MATCHS")),,,INDIRECT(ADDRESS(127,5,,,"MATCHS")),,,,)</f>
        <v>0</v>
      </c>
      <c r="H8" s="49">
        <f ca="1">SUM(,,,INDIRECT(ADDRESS(34,3,,,"MATCHS")),,,INDIRECT(ADDRESS(65,3,,,"MATCHS")),,,INDIRECT(ADDRESS(95,3,,,"MATCHS")),,,INDIRECT(ADDRESS(127,3,,,"MATCHS")),,,,)</f>
        <v>0</v>
      </c>
      <c r="I8" s="49">
        <f ca="1">G8 - H8</f>
        <v>0</v>
      </c>
      <c r="J8" s="49">
        <v>0</v>
      </c>
      <c r="K8" s="49">
        <v>5</v>
      </c>
      <c r="L8" s="49"/>
      <c r="M8" s="69"/>
    </row>
    <row r="9" spans="1:13" ht="15.75" thickBot="1" x14ac:dyDescent="0.3"/>
    <row r="10" spans="1:13" ht="30.95" customHeight="1" thickBot="1" x14ac:dyDescent="0.3">
      <c r="C10" s="85" t="s">
        <v>228</v>
      </c>
      <c r="D10" s="85" t="s">
        <v>98</v>
      </c>
      <c r="E10" s="86" t="s">
        <v>229</v>
      </c>
      <c r="F10" s="85" t="s">
        <v>230</v>
      </c>
      <c r="G10" s="85" t="s">
        <v>231</v>
      </c>
      <c r="H10" s="85" t="s">
        <v>232</v>
      </c>
      <c r="I10" s="85" t="s">
        <v>233</v>
      </c>
      <c r="J10" s="48" t="s">
        <v>234</v>
      </c>
      <c r="K10" s="85" t="s">
        <v>235</v>
      </c>
      <c r="L10" s="48" t="s">
        <v>53</v>
      </c>
    </row>
    <row r="12" spans="1:13" ht="15.75" x14ac:dyDescent="0.25">
      <c r="A12" s="176" t="s">
        <v>102</v>
      </c>
      <c r="B12" s="50">
        <v>1</v>
      </c>
      <c r="C12" s="50" t="s">
        <v>47</v>
      </c>
      <c r="D12" s="50" t="str">
        <f>INSCRIPTS!C8</f>
        <v>1B</v>
      </c>
      <c r="E12" s="88">
        <f ca="1">SUM(IF(INDIRECT(ADDRESS(4,3,,,"MATCHS"))&gt;INDIRECT(ADDRESS(4,5,,,"MATCHS")),1,0),,,IF(INDIRECT(ADDRESS(35,3,,,"MATCHS"))&gt;INDIRECT(ADDRESS(35,5,,,"MATCHS")),1,0),,,IF(INDIRECT(ADDRESS(66,3,,,"MATCHS"))&gt;INDIRECT(ADDRESS(66,5,,,"MATCHS")),1,0),,,IF(INDIRECT(ADDRESS(97,3,,,"MATCHS"))&gt;INDIRECT(ADDRESS(97,5,,,"MATCHS")),1,0),,,,,,,) + 0.1 * J12</f>
        <v>0</v>
      </c>
      <c r="F12" s="50">
        <f ca="1">SUM(IF(INDIRECT(ADDRESS(4,3,,,"MATCHS"))&lt;INDIRECT(ADDRESS(4,5,,,"MATCHS")),1,0),,,IF(INDIRECT(ADDRESS(35,3,,,"MATCHS"))&lt;INDIRECT(ADDRESS(35,5,,,"MATCHS")),1,0),,,IF(INDIRECT(ADDRESS(66,3,,,"MATCHS"))&lt;INDIRECT(ADDRESS(66,5,,,"MATCHS")),1,0),,,IF(INDIRECT(ADDRESS(97,3,,,"MATCHS"))&lt;INDIRECT(ADDRESS(97,5,,,"MATCHS")),1,0),,,,,,,)</f>
        <v>0</v>
      </c>
      <c r="G12" s="50">
        <f ca="1">SUM(INDIRECT(ADDRESS(4,3,,,"MATCHS")),,,INDIRECT(ADDRESS(35,3,,,"MATCHS")),,,INDIRECT(ADDRESS(66,3,,,"MATCHS")),,,INDIRECT(ADDRESS(97,3,,,"MATCHS")),,,,,,,)</f>
        <v>0</v>
      </c>
      <c r="H12" s="50">
        <f ca="1">SUM(INDIRECT(ADDRESS(4,5,,,"MATCHS")),,,INDIRECT(ADDRESS(35,5,,,"MATCHS")),,,INDIRECT(ADDRESS(66,5,,,"MATCHS")),,,INDIRECT(ADDRESS(97,5,,,"MATCHS")),,,,,,,)</f>
        <v>0</v>
      </c>
      <c r="I12" s="50">
        <f ca="1">G12 - H12</f>
        <v>0</v>
      </c>
      <c r="J12" s="50">
        <v>0</v>
      </c>
      <c r="K12" s="50">
        <v>1</v>
      </c>
      <c r="L12" s="50"/>
      <c r="M12" s="69"/>
    </row>
    <row r="13" spans="1:13" ht="15.75" x14ac:dyDescent="0.25">
      <c r="A13" s="176"/>
      <c r="B13" s="50">
        <v>2</v>
      </c>
      <c r="C13" s="50" t="s">
        <v>48</v>
      </c>
      <c r="D13" s="50" t="str">
        <f>INSCRIPTS!C9</f>
        <v>2B</v>
      </c>
      <c r="E13" s="88">
        <f ca="1">SUM(IF(INDIRECT(ADDRESS(4,5,,,"MATCHS"))&gt;INDIRECT(ADDRESS(4,3,,,"MATCHS")),1,0),,,IF(INDIRECT(ADDRESS(36,3,,,"MATCHS"))&gt;INDIRECT(ADDRESS(36,5,,,"MATCHS")),1,0),,,,,,IF(INDIRECT(ADDRESS(98,3,,,"MATCHS"))&gt;INDIRECT(ADDRESS(98,5,,,"MATCHS")),1,0),,,IF(INDIRECT(ADDRESS(128,3,,,"MATCHS"))&gt;INDIRECT(ADDRESS(128,5,,,"MATCHS")),1,0),,,,) + 0.1 * J13</f>
        <v>0</v>
      </c>
      <c r="F13" s="50">
        <f ca="1">SUM(IF(INDIRECT(ADDRESS(4,5,,,"MATCHS"))&lt;INDIRECT(ADDRESS(4,3,,,"MATCHS")),1,0),,,IF(INDIRECT(ADDRESS(36,3,,,"MATCHS"))&lt;INDIRECT(ADDRESS(36,5,,,"MATCHS")),1,0),,,,,,IF(INDIRECT(ADDRESS(98,3,,,"MATCHS"))&lt;INDIRECT(ADDRESS(98,5,,,"MATCHS")),1,0),,,IF(INDIRECT(ADDRESS(128,3,,,"MATCHS"))&lt;INDIRECT(ADDRESS(128,5,,,"MATCHS")),1,0),,,,)</f>
        <v>0</v>
      </c>
      <c r="G13" s="50">
        <f ca="1">SUM(INDIRECT(ADDRESS(4,5,,,"MATCHS")),,,INDIRECT(ADDRESS(36,3,,,"MATCHS")),,,,,,INDIRECT(ADDRESS(98,3,,,"MATCHS")),,,INDIRECT(ADDRESS(128,3,,,"MATCHS")),,,,)</f>
        <v>0</v>
      </c>
      <c r="H13" s="50">
        <f ca="1">SUM(INDIRECT(ADDRESS(4,3,,,"MATCHS")),,,INDIRECT(ADDRESS(36,5,,,"MATCHS")),,,,,,INDIRECT(ADDRESS(98,5,,,"MATCHS")),,,INDIRECT(ADDRESS(128,5,,,"MATCHS")),,,,)</f>
        <v>0</v>
      </c>
      <c r="I13" s="50">
        <f ca="1">G13 - H13</f>
        <v>0</v>
      </c>
      <c r="J13" s="50">
        <v>0</v>
      </c>
      <c r="K13" s="50">
        <v>2</v>
      </c>
      <c r="L13" s="50"/>
      <c r="M13" s="69"/>
    </row>
    <row r="14" spans="1:13" ht="15.75" x14ac:dyDescent="0.25">
      <c r="A14" s="176"/>
      <c r="B14" s="50">
        <v>3</v>
      </c>
      <c r="C14" s="50" t="s">
        <v>49</v>
      </c>
      <c r="D14" s="50" t="str">
        <f>INSCRIPTS!C10</f>
        <v>3B</v>
      </c>
      <c r="E14" s="88">
        <f ca="1">SUM(IF(INDIRECT(ADDRESS(5,3,,,"MATCHS"))&gt;INDIRECT(ADDRESS(5,5,,,"MATCHS")),1,0),,,IF(INDIRECT(ADDRESS(35,5,,,"MATCHS"))&gt;INDIRECT(ADDRESS(35,3,,,"MATCHS")),1,0),,,IF(INDIRECT(ADDRESS(67,3,,,"MATCHS"))&gt;INDIRECT(ADDRESS(67,5,,,"MATCHS")),1,0),,,,,,IF(INDIRECT(ADDRESS(128,5,,,"MATCHS"))&gt;INDIRECT(ADDRESS(128,3,,,"MATCHS")),1,0),,,,) + 0.1 * J14</f>
        <v>0</v>
      </c>
      <c r="F14" s="50">
        <f ca="1">SUM(IF(INDIRECT(ADDRESS(5,3,,,"MATCHS"))&lt;INDIRECT(ADDRESS(5,5,,,"MATCHS")),1,0),,,IF(INDIRECT(ADDRESS(35,5,,,"MATCHS"))&lt;INDIRECT(ADDRESS(35,3,,,"MATCHS")),1,0),,,IF(INDIRECT(ADDRESS(67,3,,,"MATCHS"))&lt;INDIRECT(ADDRESS(67,5,,,"MATCHS")),1,0),,,,,,IF(INDIRECT(ADDRESS(128,5,,,"MATCHS"))&lt;INDIRECT(ADDRESS(128,3,,,"MATCHS")),1,0),,,,)</f>
        <v>0</v>
      </c>
      <c r="G14" s="50">
        <f ca="1">SUM(INDIRECT(ADDRESS(5,3,,,"MATCHS")),,,INDIRECT(ADDRESS(35,5,,,"MATCHS")),,,INDIRECT(ADDRESS(67,3,,,"MATCHS")),,,,,,INDIRECT(ADDRESS(128,5,,,"MATCHS")),,,,)</f>
        <v>0</v>
      </c>
      <c r="H14" s="50">
        <f ca="1">SUM(INDIRECT(ADDRESS(5,5,,,"MATCHS")),,,INDIRECT(ADDRESS(35,3,,,"MATCHS")),,,INDIRECT(ADDRESS(67,5,,,"MATCHS")),,,,,,INDIRECT(ADDRESS(128,3,,,"MATCHS")),,,,)</f>
        <v>0</v>
      </c>
      <c r="I14" s="50">
        <f ca="1">G14 - H14</f>
        <v>0</v>
      </c>
      <c r="J14" s="50">
        <v>0</v>
      </c>
      <c r="K14" s="50">
        <v>3</v>
      </c>
      <c r="L14" s="50"/>
      <c r="M14" s="69"/>
    </row>
    <row r="15" spans="1:13" ht="15.75" x14ac:dyDescent="0.25">
      <c r="A15" s="176"/>
      <c r="B15" s="50">
        <v>4</v>
      </c>
      <c r="C15" s="50" t="s">
        <v>103</v>
      </c>
      <c r="D15" s="50" t="str">
        <f>INSCRIPTS!C11</f>
        <v>4B</v>
      </c>
      <c r="E15" s="88">
        <f ca="1">SUM(IF(INDIRECT(ADDRESS(5,5,,,"MATCHS"))&gt;INDIRECT(ADDRESS(5,3,,,"MATCHS")),1,0),,,,,,IF(INDIRECT(ADDRESS(66,5,,,"MATCHS"))&gt;INDIRECT(ADDRESS(66,3,,,"MATCHS")),1,0),,,IF(INDIRECT(ADDRESS(98,5,,,"MATCHS"))&gt;INDIRECT(ADDRESS(98,3,,,"MATCHS")),1,0),,,IF(INDIRECT(ADDRESS(129,3,,,"MATCHS"))&gt;INDIRECT(ADDRESS(129,5,,,"MATCHS")),1,0),,,,) + 0.1 * J15</f>
        <v>0</v>
      </c>
      <c r="F15" s="50">
        <f ca="1">SUM(IF(INDIRECT(ADDRESS(5,5,,,"MATCHS"))&lt;INDIRECT(ADDRESS(5,3,,,"MATCHS")),1,0),,,,,,IF(INDIRECT(ADDRESS(66,5,,,"MATCHS"))&lt;INDIRECT(ADDRESS(66,3,,,"MATCHS")),1,0),,,IF(INDIRECT(ADDRESS(98,5,,,"MATCHS"))&lt;INDIRECT(ADDRESS(98,3,,,"MATCHS")),1,0),,,IF(INDIRECT(ADDRESS(129,3,,,"MATCHS"))&lt;INDIRECT(ADDRESS(129,5,,,"MATCHS")),1,0),,,,)</f>
        <v>0</v>
      </c>
      <c r="G15" s="50">
        <f ca="1">SUM(INDIRECT(ADDRESS(5,5,,,"MATCHS")),,,,,,INDIRECT(ADDRESS(66,5,,,"MATCHS")),,,INDIRECT(ADDRESS(98,5,,,"MATCHS")),,,INDIRECT(ADDRESS(129,3,,,"MATCHS")),,,,)</f>
        <v>0</v>
      </c>
      <c r="H15" s="50">
        <f ca="1">SUM(INDIRECT(ADDRESS(5,3,,,"MATCHS")),,,,,,INDIRECT(ADDRESS(66,3,,,"MATCHS")),,,INDIRECT(ADDRESS(98,3,,,"MATCHS")),,,INDIRECT(ADDRESS(129,5,,,"MATCHS")),,,,)</f>
        <v>0</v>
      </c>
      <c r="I15" s="50">
        <f ca="1">G15 - H15</f>
        <v>0</v>
      </c>
      <c r="J15" s="50">
        <v>0</v>
      </c>
      <c r="K15" s="50">
        <v>4</v>
      </c>
      <c r="L15" s="50"/>
      <c r="M15" s="69"/>
    </row>
    <row r="16" spans="1:13" ht="15.75" x14ac:dyDescent="0.25">
      <c r="A16" s="176"/>
      <c r="B16" s="50">
        <v>5</v>
      </c>
      <c r="C16" s="50" t="s">
        <v>104</v>
      </c>
      <c r="D16" s="50" t="str">
        <f>INSCRIPTS!C12</f>
        <v>5B</v>
      </c>
      <c r="E16" s="88">
        <f ca="1">SUM(,,,IF(INDIRECT(ADDRESS(36,5,,,"MATCHS"))&gt;INDIRECT(ADDRESS(36,3,,,"MATCHS")),1,0),,,IF(INDIRECT(ADDRESS(67,5,,,"MATCHS"))&gt;INDIRECT(ADDRESS(67,3,,,"MATCHS")),1,0),,,IF(INDIRECT(ADDRESS(97,5,,,"MATCHS"))&gt;INDIRECT(ADDRESS(97,3,,,"MATCHS")),1,0),,,IF(INDIRECT(ADDRESS(129,5,,,"MATCHS"))&gt;INDIRECT(ADDRESS(129,3,,,"MATCHS")),1,0),,,,) + 0.1 * J16</f>
        <v>0</v>
      </c>
      <c r="F16" s="50">
        <f ca="1">SUM(,,,IF(INDIRECT(ADDRESS(36,5,,,"MATCHS"))&lt;INDIRECT(ADDRESS(36,3,,,"MATCHS")),1,0),,,IF(INDIRECT(ADDRESS(67,5,,,"MATCHS"))&lt;INDIRECT(ADDRESS(67,3,,,"MATCHS")),1,0),,,IF(INDIRECT(ADDRESS(97,5,,,"MATCHS"))&lt;INDIRECT(ADDRESS(97,3,,,"MATCHS")),1,0),,,IF(INDIRECT(ADDRESS(129,5,,,"MATCHS"))&lt;INDIRECT(ADDRESS(129,3,,,"MATCHS")),1,0),,,,)</f>
        <v>0</v>
      </c>
      <c r="G16" s="50">
        <f ca="1">SUM(,,,INDIRECT(ADDRESS(36,5,,,"MATCHS")),,,INDIRECT(ADDRESS(67,5,,,"MATCHS")),,,INDIRECT(ADDRESS(97,5,,,"MATCHS")),,,INDIRECT(ADDRESS(129,5,,,"MATCHS")),,,,)</f>
        <v>0</v>
      </c>
      <c r="H16" s="50">
        <f ca="1">SUM(,,,INDIRECT(ADDRESS(36,3,,,"MATCHS")),,,INDIRECT(ADDRESS(67,3,,,"MATCHS")),,,INDIRECT(ADDRESS(97,3,,,"MATCHS")),,,INDIRECT(ADDRESS(129,3,,,"MATCHS")),,,,)</f>
        <v>0</v>
      </c>
      <c r="I16" s="50">
        <f ca="1">G16 - H16</f>
        <v>0</v>
      </c>
      <c r="J16" s="50">
        <v>0</v>
      </c>
      <c r="K16" s="50">
        <v>5</v>
      </c>
      <c r="L16" s="50"/>
      <c r="M16" s="69"/>
    </row>
    <row r="17" spans="1:13" ht="15.75" thickBot="1" x14ac:dyDescent="0.3"/>
    <row r="18" spans="1:13" ht="30.95" customHeight="1" thickBot="1" x14ac:dyDescent="0.3">
      <c r="C18" s="85" t="s">
        <v>228</v>
      </c>
      <c r="D18" s="85" t="s">
        <v>98</v>
      </c>
      <c r="E18" s="86" t="s">
        <v>229</v>
      </c>
      <c r="F18" s="85" t="s">
        <v>230</v>
      </c>
      <c r="G18" s="85" t="s">
        <v>231</v>
      </c>
      <c r="H18" s="85" t="s">
        <v>232</v>
      </c>
      <c r="I18" s="85" t="s">
        <v>233</v>
      </c>
      <c r="J18" s="48" t="s">
        <v>234</v>
      </c>
      <c r="K18" s="85" t="s">
        <v>235</v>
      </c>
      <c r="L18" s="48" t="s">
        <v>53</v>
      </c>
    </row>
    <row r="20" spans="1:13" ht="15.75" x14ac:dyDescent="0.25">
      <c r="A20" s="177" t="s">
        <v>105</v>
      </c>
      <c r="B20" s="51">
        <v>1</v>
      </c>
      <c r="C20" s="51" t="s">
        <v>106</v>
      </c>
      <c r="D20" s="51" t="str">
        <f>INSCRIPTS!C14</f>
        <v>1C</v>
      </c>
      <c r="E20" s="89">
        <f ca="1">SUM(IF(INDIRECT(ADDRESS(6,3,,,"MATCHS"))&gt;INDIRECT(ADDRESS(6,5,,,"MATCHS")),1,0),,,IF(INDIRECT(ADDRESS(37,3,,,"MATCHS"))&gt;INDIRECT(ADDRESS(37,5,,,"MATCHS")),1,0),,,IF(INDIRECT(ADDRESS(68,3,,,"MATCHS"))&gt;INDIRECT(ADDRESS(68,5,,,"MATCHS")),1,0),,,IF(INDIRECT(ADDRESS(99,3,,,"MATCHS"))&gt;INDIRECT(ADDRESS(99,5,,,"MATCHS")),1,0),,,,,,,) + 0.1 * J20</f>
        <v>0</v>
      </c>
      <c r="F20" s="51">
        <f ca="1">SUM(IF(INDIRECT(ADDRESS(6,3,,,"MATCHS"))&lt;INDIRECT(ADDRESS(6,5,,,"MATCHS")),1,0),,,IF(INDIRECT(ADDRESS(37,3,,,"MATCHS"))&lt;INDIRECT(ADDRESS(37,5,,,"MATCHS")),1,0),,,IF(INDIRECT(ADDRESS(68,3,,,"MATCHS"))&lt;INDIRECT(ADDRESS(68,5,,,"MATCHS")),1,0),,,IF(INDIRECT(ADDRESS(99,3,,,"MATCHS"))&lt;INDIRECT(ADDRESS(99,5,,,"MATCHS")),1,0),,,,,,,)</f>
        <v>0</v>
      </c>
      <c r="G20" s="51">
        <f ca="1">SUM(INDIRECT(ADDRESS(6,3,,,"MATCHS")),,,INDIRECT(ADDRESS(37,3,,,"MATCHS")),,,INDIRECT(ADDRESS(68,3,,,"MATCHS")),,,INDIRECT(ADDRESS(99,3,,,"MATCHS")),,,,,,,)</f>
        <v>0</v>
      </c>
      <c r="H20" s="51">
        <f ca="1">SUM(INDIRECT(ADDRESS(6,5,,,"MATCHS")),,,INDIRECT(ADDRESS(37,5,,,"MATCHS")),,,INDIRECT(ADDRESS(68,5,,,"MATCHS")),,,INDIRECT(ADDRESS(99,5,,,"MATCHS")),,,,,,,)</f>
        <v>0</v>
      </c>
      <c r="I20" s="51">
        <f ca="1">G20 - H20</f>
        <v>0</v>
      </c>
      <c r="J20" s="51">
        <v>0</v>
      </c>
      <c r="K20" s="51">
        <v>1</v>
      </c>
      <c r="L20" s="51"/>
      <c r="M20" s="69"/>
    </row>
    <row r="21" spans="1:13" ht="15.75" x14ac:dyDescent="0.25">
      <c r="A21" s="177"/>
      <c r="B21" s="51">
        <v>2</v>
      </c>
      <c r="C21" s="51" t="s">
        <v>107</v>
      </c>
      <c r="D21" s="51" t="str">
        <f>INSCRIPTS!C15</f>
        <v>2C</v>
      </c>
      <c r="E21" s="89">
        <f ca="1">SUM(IF(INDIRECT(ADDRESS(6,5,,,"MATCHS"))&gt;INDIRECT(ADDRESS(6,3,,,"MATCHS")),1,0),,,IF(INDIRECT(ADDRESS(38,3,,,"MATCHS"))&gt;INDIRECT(ADDRESS(38,5,,,"MATCHS")),1,0),,,,,,IF(INDIRECT(ADDRESS(100,3,,,"MATCHS"))&gt;INDIRECT(ADDRESS(100,5,,,"MATCHS")),1,0),,,IF(INDIRECT(ADDRESS(130,3,,,"MATCHS"))&gt;INDIRECT(ADDRESS(130,5,,,"MATCHS")),1,0),,,,) + 0.1 * J21</f>
        <v>0</v>
      </c>
      <c r="F21" s="51">
        <f ca="1">SUM(IF(INDIRECT(ADDRESS(6,5,,,"MATCHS"))&lt;INDIRECT(ADDRESS(6,3,,,"MATCHS")),1,0),,,IF(INDIRECT(ADDRESS(38,3,,,"MATCHS"))&lt;INDIRECT(ADDRESS(38,5,,,"MATCHS")),1,0),,,,,,IF(INDIRECT(ADDRESS(100,3,,,"MATCHS"))&lt;INDIRECT(ADDRESS(100,5,,,"MATCHS")),1,0),,,IF(INDIRECT(ADDRESS(130,3,,,"MATCHS"))&lt;INDIRECT(ADDRESS(130,5,,,"MATCHS")),1,0),,,,)</f>
        <v>0</v>
      </c>
      <c r="G21" s="51">
        <f ca="1">SUM(INDIRECT(ADDRESS(6,5,,,"MATCHS")),,,INDIRECT(ADDRESS(38,3,,,"MATCHS")),,,,,,INDIRECT(ADDRESS(100,3,,,"MATCHS")),,,INDIRECT(ADDRESS(130,3,,,"MATCHS")),,,,)</f>
        <v>0</v>
      </c>
      <c r="H21" s="51">
        <f ca="1">SUM(INDIRECT(ADDRESS(6,3,,,"MATCHS")),,,INDIRECT(ADDRESS(38,5,,,"MATCHS")),,,,,,INDIRECT(ADDRESS(100,5,,,"MATCHS")),,,INDIRECT(ADDRESS(130,5,,,"MATCHS")),,,,)</f>
        <v>0</v>
      </c>
      <c r="I21" s="51">
        <f ca="1">G21 - H21</f>
        <v>0</v>
      </c>
      <c r="J21" s="51">
        <v>0</v>
      </c>
      <c r="K21" s="51">
        <v>2</v>
      </c>
      <c r="L21" s="51"/>
      <c r="M21" s="69"/>
    </row>
    <row r="22" spans="1:13" ht="15.75" x14ac:dyDescent="0.25">
      <c r="A22" s="177"/>
      <c r="B22" s="51">
        <v>3</v>
      </c>
      <c r="C22" s="51" t="s">
        <v>108</v>
      </c>
      <c r="D22" s="51" t="str">
        <f>INSCRIPTS!C16</f>
        <v>3C</v>
      </c>
      <c r="E22" s="89">
        <f ca="1">SUM(IF(INDIRECT(ADDRESS(7,3,,,"MATCHS"))&gt;INDIRECT(ADDRESS(7,5,,,"MATCHS")),1,0),,,IF(INDIRECT(ADDRESS(37,5,,,"MATCHS"))&gt;INDIRECT(ADDRESS(37,3,,,"MATCHS")),1,0),,,IF(INDIRECT(ADDRESS(69,3,,,"MATCHS"))&gt;INDIRECT(ADDRESS(69,5,,,"MATCHS")),1,0),,,,,,IF(INDIRECT(ADDRESS(130,5,,,"MATCHS"))&gt;INDIRECT(ADDRESS(130,3,,,"MATCHS")),1,0),,,,) + 0.1 * J22</f>
        <v>0</v>
      </c>
      <c r="F22" s="51">
        <f ca="1">SUM(IF(INDIRECT(ADDRESS(7,3,,,"MATCHS"))&lt;INDIRECT(ADDRESS(7,5,,,"MATCHS")),1,0),,,IF(INDIRECT(ADDRESS(37,5,,,"MATCHS"))&lt;INDIRECT(ADDRESS(37,3,,,"MATCHS")),1,0),,,IF(INDIRECT(ADDRESS(69,3,,,"MATCHS"))&lt;INDIRECT(ADDRESS(69,5,,,"MATCHS")),1,0),,,,,,IF(INDIRECT(ADDRESS(130,5,,,"MATCHS"))&lt;INDIRECT(ADDRESS(130,3,,,"MATCHS")),1,0),,,,)</f>
        <v>0</v>
      </c>
      <c r="G22" s="51">
        <f ca="1">SUM(INDIRECT(ADDRESS(7,3,,,"MATCHS")),,,INDIRECT(ADDRESS(37,5,,,"MATCHS")),,,INDIRECT(ADDRESS(69,3,,,"MATCHS")),,,,,,INDIRECT(ADDRESS(130,5,,,"MATCHS")),,,,)</f>
        <v>0</v>
      </c>
      <c r="H22" s="51">
        <f ca="1">SUM(INDIRECT(ADDRESS(7,5,,,"MATCHS")),,,INDIRECT(ADDRESS(37,3,,,"MATCHS")),,,INDIRECT(ADDRESS(69,5,,,"MATCHS")),,,,,,INDIRECT(ADDRESS(130,3,,,"MATCHS")),,,,)</f>
        <v>0</v>
      </c>
      <c r="I22" s="51">
        <f ca="1">G22 - H22</f>
        <v>0</v>
      </c>
      <c r="J22" s="51">
        <v>0</v>
      </c>
      <c r="K22" s="51">
        <v>3</v>
      </c>
      <c r="L22" s="51"/>
      <c r="M22" s="69"/>
    </row>
    <row r="23" spans="1:13" ht="15.75" x14ac:dyDescent="0.25">
      <c r="A23" s="177"/>
      <c r="B23" s="51">
        <v>4</v>
      </c>
      <c r="C23" s="51" t="s">
        <v>109</v>
      </c>
      <c r="D23" s="51" t="str">
        <f>INSCRIPTS!C17</f>
        <v>4C</v>
      </c>
      <c r="E23" s="89">
        <f ca="1">SUM(IF(INDIRECT(ADDRESS(7,5,,,"MATCHS"))&gt;INDIRECT(ADDRESS(7,3,,,"MATCHS")),1,0),,,,,,IF(INDIRECT(ADDRESS(68,5,,,"MATCHS"))&gt;INDIRECT(ADDRESS(68,3,,,"MATCHS")),1,0),,,IF(INDIRECT(ADDRESS(100,5,,,"MATCHS"))&gt;INDIRECT(ADDRESS(100,3,,,"MATCHS")),1,0),,,,IF(INDIRECT(ADDRESS(132,3,,,"MATCHS"))&gt;INDIRECT(ADDRESS(132,5,,,"MATCHS")),1,0),,,) + 0.1 * J23</f>
        <v>0</v>
      </c>
      <c r="F23" s="51">
        <f ca="1">SUM(IF(INDIRECT(ADDRESS(7,5,,,"MATCHS"))&lt;INDIRECT(ADDRESS(7,3,,,"MATCHS")),1,0),,,,,,IF(INDIRECT(ADDRESS(68,5,,,"MATCHS"))&lt;INDIRECT(ADDRESS(68,3,,,"MATCHS")),1,0),,,IF(INDIRECT(ADDRESS(100,5,,,"MATCHS"))&lt;INDIRECT(ADDRESS(100,3,,,"MATCHS")),1,0),,,,IF(INDIRECT(ADDRESS(132,3,,,"MATCHS"))&lt;INDIRECT(ADDRESS(132,5,,,"MATCHS")),1,0),,,)</f>
        <v>0</v>
      </c>
      <c r="G23" s="51">
        <f ca="1">SUM(INDIRECT(ADDRESS(7,5,,,"MATCHS")),,,,,,INDIRECT(ADDRESS(68,5,,,"MATCHS")),,,INDIRECT(ADDRESS(100,5,,,"MATCHS")),,,,INDIRECT(ADDRESS(132,3,,,"MATCHS")),,,)</f>
        <v>0</v>
      </c>
      <c r="H23" s="51">
        <f ca="1">SUM(INDIRECT(ADDRESS(7,3,,,"MATCHS")),,,,,,INDIRECT(ADDRESS(68,3,,,"MATCHS")),,,INDIRECT(ADDRESS(100,3,,,"MATCHS")),,,,INDIRECT(ADDRESS(132,5,,,"MATCHS")),,,)</f>
        <v>0</v>
      </c>
      <c r="I23" s="51">
        <f ca="1">G23 - H23</f>
        <v>0</v>
      </c>
      <c r="J23" s="51">
        <v>0</v>
      </c>
      <c r="K23" s="51">
        <v>4</v>
      </c>
      <c r="L23" s="51"/>
      <c r="M23" s="69"/>
    </row>
    <row r="24" spans="1:13" ht="15.75" x14ac:dyDescent="0.25">
      <c r="A24" s="177"/>
      <c r="B24" s="51">
        <v>5</v>
      </c>
      <c r="C24" s="51" t="s">
        <v>110</v>
      </c>
      <c r="D24" s="51" t="str">
        <f>INSCRIPTS!C18</f>
        <v>5C</v>
      </c>
      <c r="E24" s="89">
        <f ca="1">SUM(,,,IF(INDIRECT(ADDRESS(38,5,,,"MATCHS"))&gt;INDIRECT(ADDRESS(38,3,,,"MATCHS")),1,0),,,IF(INDIRECT(ADDRESS(69,5,,,"MATCHS"))&gt;INDIRECT(ADDRESS(69,3,,,"MATCHS")),1,0),,,IF(INDIRECT(ADDRESS(99,5,,,"MATCHS"))&gt;INDIRECT(ADDRESS(99,3,,,"MATCHS")),1,0),,,,IF(INDIRECT(ADDRESS(132,5,,,"MATCHS"))&gt;INDIRECT(ADDRESS(132,3,,,"MATCHS")),1,0),,,) + 0.1 * J24</f>
        <v>0</v>
      </c>
      <c r="F24" s="51">
        <f ca="1">SUM(,,,IF(INDIRECT(ADDRESS(38,5,,,"MATCHS"))&lt;INDIRECT(ADDRESS(38,3,,,"MATCHS")),1,0),,,IF(INDIRECT(ADDRESS(69,5,,,"MATCHS"))&lt;INDIRECT(ADDRESS(69,3,,,"MATCHS")),1,0),,,IF(INDIRECT(ADDRESS(99,5,,,"MATCHS"))&lt;INDIRECT(ADDRESS(99,3,,,"MATCHS")),1,0),,,,IF(INDIRECT(ADDRESS(132,5,,,"MATCHS"))&lt;INDIRECT(ADDRESS(132,3,,,"MATCHS")),1,0),,,)</f>
        <v>0</v>
      </c>
      <c r="G24" s="51">
        <f ca="1">SUM(,,,INDIRECT(ADDRESS(38,5,,,"MATCHS")),,,INDIRECT(ADDRESS(69,5,,,"MATCHS")),,,INDIRECT(ADDRESS(99,5,,,"MATCHS")),,,,INDIRECT(ADDRESS(132,5,,,"MATCHS")),,,)</f>
        <v>0</v>
      </c>
      <c r="H24" s="51">
        <f ca="1">SUM(,,,INDIRECT(ADDRESS(38,3,,,"MATCHS")),,,INDIRECT(ADDRESS(69,3,,,"MATCHS")),,,INDIRECT(ADDRESS(99,3,,,"MATCHS")),,,,INDIRECT(ADDRESS(132,3,,,"MATCHS")),,,)</f>
        <v>0</v>
      </c>
      <c r="I24" s="51">
        <f ca="1">G24 - H24</f>
        <v>0</v>
      </c>
      <c r="J24" s="51">
        <v>0</v>
      </c>
      <c r="K24" s="51">
        <v>5</v>
      </c>
      <c r="L24" s="51"/>
      <c r="M24" s="69"/>
    </row>
    <row r="25" spans="1:13" ht="15.75" thickBot="1" x14ac:dyDescent="0.3"/>
    <row r="26" spans="1:13" ht="30.95" customHeight="1" thickBot="1" x14ac:dyDescent="0.3">
      <c r="C26" s="85" t="s">
        <v>228</v>
      </c>
      <c r="D26" s="85" t="s">
        <v>98</v>
      </c>
      <c r="E26" s="86" t="s">
        <v>229</v>
      </c>
      <c r="F26" s="85" t="s">
        <v>230</v>
      </c>
      <c r="G26" s="85" t="s">
        <v>231</v>
      </c>
      <c r="H26" s="85" t="s">
        <v>232</v>
      </c>
      <c r="I26" s="85" t="s">
        <v>233</v>
      </c>
      <c r="J26" s="48" t="s">
        <v>234</v>
      </c>
      <c r="K26" s="85" t="s">
        <v>235</v>
      </c>
      <c r="L26" s="48" t="s">
        <v>53</v>
      </c>
    </row>
    <row r="28" spans="1:13" ht="15.75" x14ac:dyDescent="0.25">
      <c r="A28" s="178" t="s">
        <v>111</v>
      </c>
      <c r="B28" s="52">
        <v>1</v>
      </c>
      <c r="C28" s="52" t="s">
        <v>112</v>
      </c>
      <c r="D28" s="52" t="str">
        <f>INSCRIPTS!C20</f>
        <v>1D</v>
      </c>
      <c r="E28" s="90">
        <f ca="1">SUM(IF(INDIRECT(ADDRESS(8,3,,,"MATCHS"))&gt;INDIRECT(ADDRESS(8,5,,,"MATCHS")),1,0),,,IF(INDIRECT(ADDRESS(39,3,,,"MATCHS"))&gt;INDIRECT(ADDRESS(39,5,,,"MATCHS")),1,0),,,IF(INDIRECT(ADDRESS(70,3,,,"MATCHS"))&gt;INDIRECT(ADDRESS(70,5,,,"MATCHS")),1,0),,,,IF(INDIRECT(ADDRESS(102,3,,,"MATCHS"))&gt;INDIRECT(ADDRESS(102,5,,,"MATCHS")),1,0),,,,,,) + 0.1 * J28</f>
        <v>0</v>
      </c>
      <c r="F28" s="52">
        <f ca="1">SUM(IF(INDIRECT(ADDRESS(8,3,,,"MATCHS"))&lt;INDIRECT(ADDRESS(8,5,,,"MATCHS")),1,0),,,IF(INDIRECT(ADDRESS(39,3,,,"MATCHS"))&lt;INDIRECT(ADDRESS(39,5,,,"MATCHS")),1,0),,,IF(INDIRECT(ADDRESS(70,3,,,"MATCHS"))&lt;INDIRECT(ADDRESS(70,5,,,"MATCHS")),1,0),,,,IF(INDIRECT(ADDRESS(102,3,,,"MATCHS"))&lt;INDIRECT(ADDRESS(102,5,,,"MATCHS")),1,0),,,,,,)</f>
        <v>0</v>
      </c>
      <c r="G28" s="52">
        <f ca="1">SUM(INDIRECT(ADDRESS(8,3,,,"MATCHS")),,,INDIRECT(ADDRESS(39,3,,,"MATCHS")),,,INDIRECT(ADDRESS(70,3,,,"MATCHS")),,,,INDIRECT(ADDRESS(102,3,,,"MATCHS")),,,,,,)</f>
        <v>0</v>
      </c>
      <c r="H28" s="52">
        <f ca="1">SUM(INDIRECT(ADDRESS(8,5,,,"MATCHS")),,,INDIRECT(ADDRESS(39,5,,,"MATCHS")),,,INDIRECT(ADDRESS(70,5,,,"MATCHS")),,,,INDIRECT(ADDRESS(102,5,,,"MATCHS")),,,,,,)</f>
        <v>0</v>
      </c>
      <c r="I28" s="52">
        <f ca="1">G28 - H28</f>
        <v>0</v>
      </c>
      <c r="J28" s="52">
        <v>0</v>
      </c>
      <c r="K28" s="52">
        <v>1</v>
      </c>
      <c r="L28" s="52"/>
      <c r="M28" s="69"/>
    </row>
    <row r="29" spans="1:13" ht="15.75" x14ac:dyDescent="0.25">
      <c r="A29" s="178"/>
      <c r="B29" s="52">
        <v>2</v>
      </c>
      <c r="C29" s="52" t="s">
        <v>113</v>
      </c>
      <c r="D29" s="52" t="str">
        <f>INSCRIPTS!C21</f>
        <v>2D</v>
      </c>
      <c r="E29" s="90">
        <f ca="1">SUM(IF(INDIRECT(ADDRESS(8,5,,,"MATCHS"))&gt;INDIRECT(ADDRESS(8,3,,,"MATCHS")),1,0),,,IF(INDIRECT(ADDRESS(40,3,,,"MATCHS"))&gt;INDIRECT(ADDRESS(40,5,,,"MATCHS")),1,0),,,,,,,IF(INDIRECT(ADDRESS(103,3,,,"MATCHS"))&gt;INDIRECT(ADDRESS(103,5,,,"MATCHS")),1,0),,,IF(INDIRECT(ADDRESS(133,3,,,"MATCHS"))&gt;INDIRECT(ADDRESS(133,5,,,"MATCHS")),1,0),,,) + 0.1 * J29</f>
        <v>0</v>
      </c>
      <c r="F29" s="52">
        <f ca="1">SUM(IF(INDIRECT(ADDRESS(8,5,,,"MATCHS"))&lt;INDIRECT(ADDRESS(8,3,,,"MATCHS")),1,0),,,IF(INDIRECT(ADDRESS(40,3,,,"MATCHS"))&lt;INDIRECT(ADDRESS(40,5,,,"MATCHS")),1,0),,,,,,,IF(INDIRECT(ADDRESS(103,3,,,"MATCHS"))&lt;INDIRECT(ADDRESS(103,5,,,"MATCHS")),1,0),,,IF(INDIRECT(ADDRESS(133,3,,,"MATCHS"))&lt;INDIRECT(ADDRESS(133,5,,,"MATCHS")),1,0),,,)</f>
        <v>0</v>
      </c>
      <c r="G29" s="52">
        <f ca="1">SUM(INDIRECT(ADDRESS(8,5,,,"MATCHS")),,,INDIRECT(ADDRESS(40,3,,,"MATCHS")),,,,,,,INDIRECT(ADDRESS(103,3,,,"MATCHS")),,,INDIRECT(ADDRESS(133,3,,,"MATCHS")),,,)</f>
        <v>0</v>
      </c>
      <c r="H29" s="52">
        <f ca="1">SUM(INDIRECT(ADDRESS(8,3,,,"MATCHS")),,,INDIRECT(ADDRESS(40,5,,,"MATCHS")),,,,,,,INDIRECT(ADDRESS(103,5,,,"MATCHS")),,,INDIRECT(ADDRESS(133,5,,,"MATCHS")),,,)</f>
        <v>0</v>
      </c>
      <c r="I29" s="52">
        <f ca="1">G29 - H29</f>
        <v>0</v>
      </c>
      <c r="J29" s="52">
        <v>0</v>
      </c>
      <c r="K29" s="52">
        <v>2</v>
      </c>
      <c r="L29" s="52"/>
      <c r="M29" s="69"/>
    </row>
    <row r="30" spans="1:13" ht="15.75" x14ac:dyDescent="0.25">
      <c r="A30" s="178"/>
      <c r="B30" s="52">
        <v>3</v>
      </c>
      <c r="C30" s="52" t="s">
        <v>114</v>
      </c>
      <c r="D30" s="52" t="str">
        <f>INSCRIPTS!C22</f>
        <v>3D</v>
      </c>
      <c r="E30" s="90">
        <f ca="1">SUM(IF(INDIRECT(ADDRESS(9,3,,,"MATCHS"))&gt;INDIRECT(ADDRESS(9,5,,,"MATCHS")),1,0),,,IF(INDIRECT(ADDRESS(39,5,,,"MATCHS"))&gt;INDIRECT(ADDRESS(39,3,,,"MATCHS")),1,0),,,,IF(INDIRECT(ADDRESS(72,3,,,"MATCHS"))&gt;INDIRECT(ADDRESS(72,5,,,"MATCHS")),1,0),,,,,,IF(INDIRECT(ADDRESS(133,5,,,"MATCHS"))&gt;INDIRECT(ADDRESS(133,3,,,"MATCHS")),1,0),,,) + 0.1 * J30</f>
        <v>0</v>
      </c>
      <c r="F30" s="52">
        <f ca="1">SUM(IF(INDIRECT(ADDRESS(9,3,,,"MATCHS"))&lt;INDIRECT(ADDRESS(9,5,,,"MATCHS")),1,0),,,IF(INDIRECT(ADDRESS(39,5,,,"MATCHS"))&lt;INDIRECT(ADDRESS(39,3,,,"MATCHS")),1,0),,,,IF(INDIRECT(ADDRESS(72,3,,,"MATCHS"))&lt;INDIRECT(ADDRESS(72,5,,,"MATCHS")),1,0),,,,,,IF(INDIRECT(ADDRESS(133,5,,,"MATCHS"))&lt;INDIRECT(ADDRESS(133,3,,,"MATCHS")),1,0),,,)</f>
        <v>0</v>
      </c>
      <c r="G30" s="52">
        <f ca="1">SUM(INDIRECT(ADDRESS(9,3,,,"MATCHS")),,,INDIRECT(ADDRESS(39,5,,,"MATCHS")),,,,INDIRECT(ADDRESS(72,3,,,"MATCHS")),,,,,,INDIRECT(ADDRESS(133,5,,,"MATCHS")),,,)</f>
        <v>0</v>
      </c>
      <c r="H30" s="52">
        <f ca="1">SUM(INDIRECT(ADDRESS(9,5,,,"MATCHS")),,,INDIRECT(ADDRESS(39,3,,,"MATCHS")),,,,INDIRECT(ADDRESS(72,5,,,"MATCHS")),,,,,,INDIRECT(ADDRESS(133,3,,,"MATCHS")),,,)</f>
        <v>0</v>
      </c>
      <c r="I30" s="52">
        <f ca="1">G30 - H30</f>
        <v>0</v>
      </c>
      <c r="J30" s="52">
        <v>0</v>
      </c>
      <c r="K30" s="52">
        <v>3</v>
      </c>
      <c r="L30" s="52"/>
      <c r="M30" s="69"/>
    </row>
    <row r="31" spans="1:13" ht="15.75" x14ac:dyDescent="0.25">
      <c r="A31" s="178"/>
      <c r="B31" s="52">
        <v>4</v>
      </c>
      <c r="C31" s="52" t="s">
        <v>115</v>
      </c>
      <c r="D31" s="52" t="str">
        <f>INSCRIPTS!C23</f>
        <v>4D</v>
      </c>
      <c r="E31" s="90">
        <f ca="1">SUM(IF(INDIRECT(ADDRESS(9,5,,,"MATCHS"))&gt;INDIRECT(ADDRESS(9,3,,,"MATCHS")),1,0),,,,,,IF(INDIRECT(ADDRESS(70,5,,,"MATCHS"))&gt;INDIRECT(ADDRESS(70,3,,,"MATCHS")),1,0),,,,IF(INDIRECT(ADDRESS(103,5,,,"MATCHS"))&gt;INDIRECT(ADDRESS(103,3,,,"MATCHS")),1,0),,,IF(INDIRECT(ADDRESS(134,3,,,"MATCHS"))&gt;INDIRECT(ADDRESS(134,5,,,"MATCHS")),1,0),,,) + 0.1 * J31</f>
        <v>0</v>
      </c>
      <c r="F31" s="52">
        <f ca="1">SUM(IF(INDIRECT(ADDRESS(9,5,,,"MATCHS"))&lt;INDIRECT(ADDRESS(9,3,,,"MATCHS")),1,0),,,,,,IF(INDIRECT(ADDRESS(70,5,,,"MATCHS"))&lt;INDIRECT(ADDRESS(70,3,,,"MATCHS")),1,0),,,,IF(INDIRECT(ADDRESS(103,5,,,"MATCHS"))&lt;INDIRECT(ADDRESS(103,3,,,"MATCHS")),1,0),,,IF(INDIRECT(ADDRESS(134,3,,,"MATCHS"))&lt;INDIRECT(ADDRESS(134,5,,,"MATCHS")),1,0),,,)</f>
        <v>0</v>
      </c>
      <c r="G31" s="52">
        <f ca="1">SUM(INDIRECT(ADDRESS(9,5,,,"MATCHS")),,,,,,INDIRECT(ADDRESS(70,5,,,"MATCHS")),,,,INDIRECT(ADDRESS(103,5,,,"MATCHS")),,,INDIRECT(ADDRESS(134,3,,,"MATCHS")),,,)</f>
        <v>0</v>
      </c>
      <c r="H31" s="52">
        <f ca="1">SUM(INDIRECT(ADDRESS(9,3,,,"MATCHS")),,,,,,INDIRECT(ADDRESS(70,3,,,"MATCHS")),,,,INDIRECT(ADDRESS(103,3,,,"MATCHS")),,,INDIRECT(ADDRESS(134,5,,,"MATCHS")),,,)</f>
        <v>0</v>
      </c>
      <c r="I31" s="52">
        <f ca="1">G31 - H31</f>
        <v>0</v>
      </c>
      <c r="J31" s="52">
        <v>0</v>
      </c>
      <c r="K31" s="52">
        <v>4</v>
      </c>
      <c r="L31" s="52"/>
      <c r="M31" s="69"/>
    </row>
    <row r="32" spans="1:13" ht="15.75" x14ac:dyDescent="0.25">
      <c r="A32" s="178"/>
      <c r="B32" s="52">
        <v>5</v>
      </c>
      <c r="C32" s="52" t="s">
        <v>116</v>
      </c>
      <c r="D32" s="52" t="str">
        <f>INSCRIPTS!C24</f>
        <v>5D</v>
      </c>
      <c r="E32" s="90">
        <f ca="1">SUM(,,,IF(INDIRECT(ADDRESS(40,5,,,"MATCHS"))&gt;INDIRECT(ADDRESS(40,3,,,"MATCHS")),1,0),,,,IF(INDIRECT(ADDRESS(72,5,,,"MATCHS"))&gt;INDIRECT(ADDRESS(72,3,,,"MATCHS")),1,0),,,IF(INDIRECT(ADDRESS(102,5,,,"MATCHS"))&gt;INDIRECT(ADDRESS(102,3,,,"MATCHS")),1,0),,,IF(INDIRECT(ADDRESS(134,5,,,"MATCHS"))&gt;INDIRECT(ADDRESS(134,3,,,"MATCHS")),1,0),,,) + 0.1 * J32</f>
        <v>0</v>
      </c>
      <c r="F32" s="52">
        <f ca="1">SUM(,,,IF(INDIRECT(ADDRESS(40,5,,,"MATCHS"))&lt;INDIRECT(ADDRESS(40,3,,,"MATCHS")),1,0),,,,IF(INDIRECT(ADDRESS(72,5,,,"MATCHS"))&lt;INDIRECT(ADDRESS(72,3,,,"MATCHS")),1,0),,,IF(INDIRECT(ADDRESS(102,5,,,"MATCHS"))&lt;INDIRECT(ADDRESS(102,3,,,"MATCHS")),1,0),,,IF(INDIRECT(ADDRESS(134,5,,,"MATCHS"))&lt;INDIRECT(ADDRESS(134,3,,,"MATCHS")),1,0),,,)</f>
        <v>0</v>
      </c>
      <c r="G32" s="52">
        <f ca="1">SUM(,,,INDIRECT(ADDRESS(40,5,,,"MATCHS")),,,,INDIRECT(ADDRESS(72,5,,,"MATCHS")),,,INDIRECT(ADDRESS(102,5,,,"MATCHS")),,,INDIRECT(ADDRESS(134,5,,,"MATCHS")),,,)</f>
        <v>0</v>
      </c>
      <c r="H32" s="52">
        <f ca="1">SUM(,,,INDIRECT(ADDRESS(40,3,,,"MATCHS")),,,,INDIRECT(ADDRESS(72,3,,,"MATCHS")),,,INDIRECT(ADDRESS(102,3,,,"MATCHS")),,,INDIRECT(ADDRESS(134,3,,,"MATCHS")),,,)</f>
        <v>0</v>
      </c>
      <c r="I32" s="52">
        <f ca="1">G32 - H32</f>
        <v>0</v>
      </c>
      <c r="J32" s="52">
        <v>0</v>
      </c>
      <c r="K32" s="52">
        <v>5</v>
      </c>
      <c r="L32" s="52"/>
      <c r="M32" s="69"/>
    </row>
    <row r="33" spans="1:13" ht="15.75" thickBot="1" x14ac:dyDescent="0.3"/>
    <row r="34" spans="1:13" ht="30.95" customHeight="1" thickBot="1" x14ac:dyDescent="0.3">
      <c r="C34" s="85" t="s">
        <v>228</v>
      </c>
      <c r="D34" s="85" t="s">
        <v>98</v>
      </c>
      <c r="E34" s="86" t="s">
        <v>229</v>
      </c>
      <c r="F34" s="85" t="s">
        <v>230</v>
      </c>
      <c r="G34" s="85" t="s">
        <v>231</v>
      </c>
      <c r="H34" s="85" t="s">
        <v>232</v>
      </c>
      <c r="I34" s="85" t="s">
        <v>233</v>
      </c>
      <c r="J34" s="48" t="s">
        <v>234</v>
      </c>
      <c r="K34" s="85" t="s">
        <v>235</v>
      </c>
      <c r="L34" s="48" t="s">
        <v>53</v>
      </c>
    </row>
    <row r="36" spans="1:13" ht="15.75" x14ac:dyDescent="0.25">
      <c r="A36" s="179" t="s">
        <v>117</v>
      </c>
      <c r="B36" s="91">
        <v>1</v>
      </c>
      <c r="C36" s="91" t="s">
        <v>118</v>
      </c>
      <c r="D36" s="91" t="str">
        <f>INSCRIPTS!C26</f>
        <v>1E</v>
      </c>
      <c r="E36" s="92">
        <f ca="1">SUM(IF(INDIRECT(ADDRESS(10,3,,,"MATCHS"))&gt;INDIRECT(ADDRESS(10,5,,,"MATCHS")),1,0),,,,IF(INDIRECT(ADDRESS(42,3,,,"MATCHS"))&gt;INDIRECT(ADDRESS(42,5,,,"MATCHS")),1,0),,,IF(INDIRECT(ADDRESS(73,3,,,"MATCHS"))&gt;INDIRECT(ADDRESS(73,5,,,"MATCHS")),1,0),,,IF(INDIRECT(ADDRESS(104,3,,,"MATCHS"))&gt;INDIRECT(ADDRESS(104,5,,,"MATCHS")),1,0),,,,,,) + 0.1 * J36</f>
        <v>0</v>
      </c>
      <c r="F36" s="91">
        <f ca="1">SUM(IF(INDIRECT(ADDRESS(10,3,,,"MATCHS"))&lt;INDIRECT(ADDRESS(10,5,,,"MATCHS")),1,0),,,,IF(INDIRECT(ADDRESS(42,3,,,"MATCHS"))&lt;INDIRECT(ADDRESS(42,5,,,"MATCHS")),1,0),,,IF(INDIRECT(ADDRESS(73,3,,,"MATCHS"))&lt;INDIRECT(ADDRESS(73,5,,,"MATCHS")),1,0),,,IF(INDIRECT(ADDRESS(104,3,,,"MATCHS"))&lt;INDIRECT(ADDRESS(104,5,,,"MATCHS")),1,0),,,,,,)</f>
        <v>0</v>
      </c>
      <c r="G36" s="91">
        <f ca="1">SUM(INDIRECT(ADDRESS(10,3,,,"MATCHS")),,,,INDIRECT(ADDRESS(42,3,,,"MATCHS")),,,INDIRECT(ADDRESS(73,3,,,"MATCHS")),,,INDIRECT(ADDRESS(104,3,,,"MATCHS")),,,,,,)</f>
        <v>0</v>
      </c>
      <c r="H36" s="91">
        <f ca="1">SUM(INDIRECT(ADDRESS(10,5,,,"MATCHS")),,,,INDIRECT(ADDRESS(42,5,,,"MATCHS")),,,INDIRECT(ADDRESS(73,5,,,"MATCHS")),,,INDIRECT(ADDRESS(104,5,,,"MATCHS")),,,,,,)</f>
        <v>0</v>
      </c>
      <c r="I36" s="91">
        <f ca="1">G36 - H36</f>
        <v>0</v>
      </c>
      <c r="J36" s="91">
        <v>0</v>
      </c>
      <c r="K36" s="91">
        <v>1</v>
      </c>
      <c r="L36" s="91"/>
      <c r="M36" s="69"/>
    </row>
    <row r="37" spans="1:13" ht="15.75" x14ac:dyDescent="0.25">
      <c r="A37" s="179"/>
      <c r="B37" s="91">
        <v>2</v>
      </c>
      <c r="C37" s="91" t="s">
        <v>119</v>
      </c>
      <c r="D37" s="91" t="str">
        <f>INSCRIPTS!C27</f>
        <v>2E</v>
      </c>
      <c r="E37" s="92">
        <f ca="1">SUM(IF(INDIRECT(ADDRESS(10,5,,,"MATCHS"))&gt;INDIRECT(ADDRESS(10,3,,,"MATCHS")),1,0),,,,IF(INDIRECT(ADDRESS(43,3,,,"MATCHS"))&gt;INDIRECT(ADDRESS(43,5,,,"MATCHS")),1,0),,,,,,IF(INDIRECT(ADDRESS(105,3,,,"MATCHS"))&gt;INDIRECT(ADDRESS(105,5,,,"MATCHS")),1,0),,,IF(INDIRECT(ADDRESS(135,3,,,"MATCHS"))&gt;INDIRECT(ADDRESS(135,5,,,"MATCHS")),1,0),,,) + 0.1 * J37</f>
        <v>0</v>
      </c>
      <c r="F37" s="91">
        <f ca="1">SUM(IF(INDIRECT(ADDRESS(10,5,,,"MATCHS"))&lt;INDIRECT(ADDRESS(10,3,,,"MATCHS")),1,0),,,,IF(INDIRECT(ADDRESS(43,3,,,"MATCHS"))&lt;INDIRECT(ADDRESS(43,5,,,"MATCHS")),1,0),,,,,,IF(INDIRECT(ADDRESS(105,3,,,"MATCHS"))&lt;INDIRECT(ADDRESS(105,5,,,"MATCHS")),1,0),,,IF(INDIRECT(ADDRESS(135,3,,,"MATCHS"))&lt;INDIRECT(ADDRESS(135,5,,,"MATCHS")),1,0),,,)</f>
        <v>0</v>
      </c>
      <c r="G37" s="91">
        <f ca="1">SUM(INDIRECT(ADDRESS(10,5,,,"MATCHS")),,,,INDIRECT(ADDRESS(43,3,,,"MATCHS")),,,,,,INDIRECT(ADDRESS(105,3,,,"MATCHS")),,,INDIRECT(ADDRESS(135,3,,,"MATCHS")),,,)</f>
        <v>0</v>
      </c>
      <c r="H37" s="91">
        <f ca="1">SUM(INDIRECT(ADDRESS(10,3,,,"MATCHS")),,,,INDIRECT(ADDRESS(43,5,,,"MATCHS")),,,,,,INDIRECT(ADDRESS(105,5,,,"MATCHS")),,,INDIRECT(ADDRESS(135,5,,,"MATCHS")),,,)</f>
        <v>0</v>
      </c>
      <c r="I37" s="91">
        <f ca="1">G37 - H37</f>
        <v>0</v>
      </c>
      <c r="J37" s="91">
        <v>0</v>
      </c>
      <c r="K37" s="91">
        <v>2</v>
      </c>
      <c r="L37" s="91"/>
      <c r="M37" s="69"/>
    </row>
    <row r="38" spans="1:13" ht="15.75" x14ac:dyDescent="0.25">
      <c r="A38" s="179"/>
      <c r="B38" s="91">
        <v>3</v>
      </c>
      <c r="C38" s="91" t="s">
        <v>120</v>
      </c>
      <c r="D38" s="91" t="str">
        <f>INSCRIPTS!C28</f>
        <v>3E</v>
      </c>
      <c r="E38" s="92">
        <f ca="1">SUM(,IF(INDIRECT(ADDRESS(12,3,,,"MATCHS"))&gt;INDIRECT(ADDRESS(12,5,,,"MATCHS")),1,0),,,IF(INDIRECT(ADDRESS(42,5,,,"MATCHS"))&gt;INDIRECT(ADDRESS(42,3,,,"MATCHS")),1,0),,,IF(INDIRECT(ADDRESS(74,3,,,"MATCHS"))&gt;INDIRECT(ADDRESS(74,5,,,"MATCHS")),1,0),,,,,,IF(INDIRECT(ADDRESS(135,5,,,"MATCHS"))&gt;INDIRECT(ADDRESS(135,3,,,"MATCHS")),1,0),,,) + 0.1 * J38</f>
        <v>0</v>
      </c>
      <c r="F38" s="91">
        <f ca="1">SUM(,IF(INDIRECT(ADDRESS(12,3,,,"MATCHS"))&lt;INDIRECT(ADDRESS(12,5,,,"MATCHS")),1,0),,,IF(INDIRECT(ADDRESS(42,5,,,"MATCHS"))&lt;INDIRECT(ADDRESS(42,3,,,"MATCHS")),1,0),,,IF(INDIRECT(ADDRESS(74,3,,,"MATCHS"))&lt;INDIRECT(ADDRESS(74,5,,,"MATCHS")),1,0),,,,,,IF(INDIRECT(ADDRESS(135,5,,,"MATCHS"))&lt;INDIRECT(ADDRESS(135,3,,,"MATCHS")),1,0),,,)</f>
        <v>0</v>
      </c>
      <c r="G38" s="91">
        <f ca="1">SUM(,INDIRECT(ADDRESS(12,3,,,"MATCHS")),,,INDIRECT(ADDRESS(42,5,,,"MATCHS")),,,INDIRECT(ADDRESS(74,3,,,"MATCHS")),,,,,,INDIRECT(ADDRESS(135,5,,,"MATCHS")),,,)</f>
        <v>0</v>
      </c>
      <c r="H38" s="91">
        <f ca="1">SUM(,INDIRECT(ADDRESS(12,5,,,"MATCHS")),,,INDIRECT(ADDRESS(42,3,,,"MATCHS")),,,INDIRECT(ADDRESS(74,5,,,"MATCHS")),,,,,,INDIRECT(ADDRESS(135,3,,,"MATCHS")),,,)</f>
        <v>0</v>
      </c>
      <c r="I38" s="91">
        <f ca="1">G38 - H38</f>
        <v>0</v>
      </c>
      <c r="J38" s="91">
        <v>0</v>
      </c>
      <c r="K38" s="91">
        <v>3</v>
      </c>
      <c r="L38" s="91"/>
      <c r="M38" s="69"/>
    </row>
    <row r="39" spans="1:13" ht="15.75" x14ac:dyDescent="0.25">
      <c r="A39" s="179"/>
      <c r="B39" s="91">
        <v>4</v>
      </c>
      <c r="C39" s="91" t="s">
        <v>121</v>
      </c>
      <c r="D39" s="91" t="str">
        <f>INSCRIPTS!C29</f>
        <v>4E</v>
      </c>
      <c r="E39" s="92">
        <f ca="1">SUM(,IF(INDIRECT(ADDRESS(12,5,,,"MATCHS"))&gt;INDIRECT(ADDRESS(12,3,,,"MATCHS")),1,0),,,,,,IF(INDIRECT(ADDRESS(73,5,,,"MATCHS"))&gt;INDIRECT(ADDRESS(73,3,,,"MATCHS")),1,0),,,IF(INDIRECT(ADDRESS(105,5,,,"MATCHS"))&gt;INDIRECT(ADDRESS(105,3,,,"MATCHS")),1,0),,,IF(INDIRECT(ADDRESS(136,3,,,"MATCHS"))&gt;INDIRECT(ADDRESS(136,5,,,"MATCHS")),1,0),,,) + 0.1 * J39</f>
        <v>0</v>
      </c>
      <c r="F39" s="91">
        <f ca="1">SUM(,IF(INDIRECT(ADDRESS(12,5,,,"MATCHS"))&lt;INDIRECT(ADDRESS(12,3,,,"MATCHS")),1,0),,,,,,IF(INDIRECT(ADDRESS(73,5,,,"MATCHS"))&lt;INDIRECT(ADDRESS(73,3,,,"MATCHS")),1,0),,,IF(INDIRECT(ADDRESS(105,5,,,"MATCHS"))&lt;INDIRECT(ADDRESS(105,3,,,"MATCHS")),1,0),,,IF(INDIRECT(ADDRESS(136,3,,,"MATCHS"))&lt;INDIRECT(ADDRESS(136,5,,,"MATCHS")),1,0),,,)</f>
        <v>0</v>
      </c>
      <c r="G39" s="91">
        <f ca="1">SUM(,INDIRECT(ADDRESS(12,5,,,"MATCHS")),,,,,,INDIRECT(ADDRESS(73,5,,,"MATCHS")),,,INDIRECT(ADDRESS(105,5,,,"MATCHS")),,,INDIRECT(ADDRESS(136,3,,,"MATCHS")),,,)</f>
        <v>0</v>
      </c>
      <c r="H39" s="91">
        <f ca="1">SUM(,INDIRECT(ADDRESS(12,3,,,"MATCHS")),,,,,,INDIRECT(ADDRESS(73,3,,,"MATCHS")),,,INDIRECT(ADDRESS(105,3,,,"MATCHS")),,,INDIRECT(ADDRESS(136,5,,,"MATCHS")),,,)</f>
        <v>0</v>
      </c>
      <c r="I39" s="91">
        <f ca="1">G39 - H39</f>
        <v>0</v>
      </c>
      <c r="J39" s="91">
        <v>0</v>
      </c>
      <c r="K39" s="91">
        <v>4</v>
      </c>
      <c r="L39" s="91"/>
      <c r="M39" s="69"/>
    </row>
    <row r="40" spans="1:13" ht="15.75" x14ac:dyDescent="0.25">
      <c r="A40" s="179"/>
      <c r="B40" s="91">
        <v>5</v>
      </c>
      <c r="C40" s="91" t="s">
        <v>122</v>
      </c>
      <c r="D40" s="91" t="str">
        <f>INSCRIPTS!C30</f>
        <v>5E</v>
      </c>
      <c r="E40" s="92">
        <f ca="1">SUM(,,,,IF(INDIRECT(ADDRESS(43,5,,,"MATCHS"))&gt;INDIRECT(ADDRESS(43,3,,,"MATCHS")),1,0),,,IF(INDIRECT(ADDRESS(74,5,,,"MATCHS"))&gt;INDIRECT(ADDRESS(74,3,,,"MATCHS")),1,0),,,IF(INDIRECT(ADDRESS(104,5,,,"MATCHS"))&gt;INDIRECT(ADDRESS(104,3,,,"MATCHS")),1,0),,,IF(INDIRECT(ADDRESS(136,5,,,"MATCHS"))&gt;INDIRECT(ADDRESS(136,3,,,"MATCHS")),1,0),,,) + 0.1 * J40</f>
        <v>0</v>
      </c>
      <c r="F40" s="91">
        <f ca="1">SUM(,,,,IF(INDIRECT(ADDRESS(43,5,,,"MATCHS"))&lt;INDIRECT(ADDRESS(43,3,,,"MATCHS")),1,0),,,IF(INDIRECT(ADDRESS(74,5,,,"MATCHS"))&lt;INDIRECT(ADDRESS(74,3,,,"MATCHS")),1,0),,,IF(INDIRECT(ADDRESS(104,5,,,"MATCHS"))&lt;INDIRECT(ADDRESS(104,3,,,"MATCHS")),1,0),,,IF(INDIRECT(ADDRESS(136,5,,,"MATCHS"))&lt;INDIRECT(ADDRESS(136,3,,,"MATCHS")),1,0),,,)</f>
        <v>0</v>
      </c>
      <c r="G40" s="91">
        <f ca="1">SUM(,,,,INDIRECT(ADDRESS(43,5,,,"MATCHS")),,,INDIRECT(ADDRESS(74,5,,,"MATCHS")),,,INDIRECT(ADDRESS(104,5,,,"MATCHS")),,,INDIRECT(ADDRESS(136,5,,,"MATCHS")),,,)</f>
        <v>0</v>
      </c>
      <c r="H40" s="91">
        <f ca="1">SUM(,,,,INDIRECT(ADDRESS(43,3,,,"MATCHS")),,,INDIRECT(ADDRESS(74,3,,,"MATCHS")),,,INDIRECT(ADDRESS(104,3,,,"MATCHS")),,,INDIRECT(ADDRESS(136,3,,,"MATCHS")),,,)</f>
        <v>0</v>
      </c>
      <c r="I40" s="91">
        <f ca="1">G40 - H40</f>
        <v>0</v>
      </c>
      <c r="J40" s="91">
        <v>0</v>
      </c>
      <c r="K40" s="91">
        <v>5</v>
      </c>
      <c r="L40" s="91"/>
      <c r="M40" s="69"/>
    </row>
    <row r="41" spans="1:13" ht="15.75" thickBot="1" x14ac:dyDescent="0.3"/>
    <row r="42" spans="1:13" ht="30.95" customHeight="1" thickBot="1" x14ac:dyDescent="0.3">
      <c r="C42" s="85" t="s">
        <v>228</v>
      </c>
      <c r="D42" s="85" t="s">
        <v>98</v>
      </c>
      <c r="E42" s="86" t="s">
        <v>229</v>
      </c>
      <c r="F42" s="85" t="s">
        <v>230</v>
      </c>
      <c r="G42" s="85" t="s">
        <v>231</v>
      </c>
      <c r="H42" s="85" t="s">
        <v>232</v>
      </c>
      <c r="I42" s="85" t="s">
        <v>233</v>
      </c>
      <c r="J42" s="48" t="s">
        <v>234</v>
      </c>
      <c r="K42" s="85" t="s">
        <v>235</v>
      </c>
      <c r="L42" s="48" t="s">
        <v>53</v>
      </c>
    </row>
    <row r="44" spans="1:13" ht="15.75" x14ac:dyDescent="0.25">
      <c r="A44" s="175" t="s">
        <v>123</v>
      </c>
      <c r="B44" s="49">
        <v>1</v>
      </c>
      <c r="C44" s="49" t="s">
        <v>124</v>
      </c>
      <c r="D44" s="49" t="str">
        <f>INSCRIPTS!C32</f>
        <v>1F</v>
      </c>
      <c r="E44" s="87">
        <f ca="1">SUM(,IF(INDIRECT(ADDRESS(13,3,,,"MATCHS"))&gt;INDIRECT(ADDRESS(13,5,,,"MATCHS")),1,0),,,IF(INDIRECT(ADDRESS(44,3,,,"MATCHS"))&gt;INDIRECT(ADDRESS(44,5,,,"MATCHS")),1,0),,,IF(INDIRECT(ADDRESS(75,3,,,"MATCHS"))&gt;INDIRECT(ADDRESS(75,5,,,"MATCHS")),1,0),,,IF(INDIRECT(ADDRESS(106,3,,,"MATCHS"))&gt;INDIRECT(ADDRESS(106,5,,,"MATCHS")),1,0),,,,,,) + 0.1 * J44</f>
        <v>0</v>
      </c>
      <c r="F44" s="49">
        <f ca="1">SUM(,IF(INDIRECT(ADDRESS(13,3,,,"MATCHS"))&lt;INDIRECT(ADDRESS(13,5,,,"MATCHS")),1,0),,,IF(INDIRECT(ADDRESS(44,3,,,"MATCHS"))&lt;INDIRECT(ADDRESS(44,5,,,"MATCHS")),1,0),,,IF(INDIRECT(ADDRESS(75,3,,,"MATCHS"))&lt;INDIRECT(ADDRESS(75,5,,,"MATCHS")),1,0),,,IF(INDIRECT(ADDRESS(106,3,,,"MATCHS"))&lt;INDIRECT(ADDRESS(106,5,,,"MATCHS")),1,0),,,,,,)</f>
        <v>0</v>
      </c>
      <c r="G44" s="49">
        <f ca="1">SUM(,INDIRECT(ADDRESS(13,3,,,"MATCHS")),,,INDIRECT(ADDRESS(44,3,,,"MATCHS")),,,INDIRECT(ADDRESS(75,3,,,"MATCHS")),,,INDIRECT(ADDRESS(106,3,,,"MATCHS")),,,,,,)</f>
        <v>0</v>
      </c>
      <c r="H44" s="49">
        <f ca="1">SUM(,INDIRECT(ADDRESS(13,5,,,"MATCHS")),,,INDIRECT(ADDRESS(44,5,,,"MATCHS")),,,INDIRECT(ADDRESS(75,5,,,"MATCHS")),,,INDIRECT(ADDRESS(106,5,,,"MATCHS")),,,,,,)</f>
        <v>0</v>
      </c>
      <c r="I44" s="49">
        <f ca="1">G44 - H44</f>
        <v>0</v>
      </c>
      <c r="J44" s="49">
        <v>0</v>
      </c>
      <c r="K44" s="49">
        <v>1</v>
      </c>
      <c r="L44" s="49"/>
      <c r="M44" s="69"/>
    </row>
    <row r="45" spans="1:13" ht="15.75" x14ac:dyDescent="0.25">
      <c r="A45" s="175"/>
      <c r="B45" s="49">
        <v>2</v>
      </c>
      <c r="C45" s="49" t="s">
        <v>125</v>
      </c>
      <c r="D45" s="49" t="str">
        <f>INSCRIPTS!C33</f>
        <v>2F</v>
      </c>
      <c r="E45" s="87">
        <f ca="1">SUM(,IF(INDIRECT(ADDRESS(13,5,,,"MATCHS"))&gt;INDIRECT(ADDRESS(13,3,,,"MATCHS")),1,0),,,IF(INDIRECT(ADDRESS(45,3,,,"MATCHS"))&gt;INDIRECT(ADDRESS(45,5,,,"MATCHS")),1,0),,,,,,IF(INDIRECT(ADDRESS(107,3,,,"MATCHS"))&gt;INDIRECT(ADDRESS(107,5,,,"MATCHS")),1,0),,,IF(INDIRECT(ADDRESS(137,3,,,"MATCHS"))&gt;INDIRECT(ADDRESS(137,5,,,"MATCHS")),1,0),,,) + 0.1 * J45</f>
        <v>0</v>
      </c>
      <c r="F45" s="49">
        <f ca="1">SUM(,IF(INDIRECT(ADDRESS(13,5,,,"MATCHS"))&lt;INDIRECT(ADDRESS(13,3,,,"MATCHS")),1,0),,,IF(INDIRECT(ADDRESS(45,3,,,"MATCHS"))&lt;INDIRECT(ADDRESS(45,5,,,"MATCHS")),1,0),,,,,,IF(INDIRECT(ADDRESS(107,3,,,"MATCHS"))&lt;INDIRECT(ADDRESS(107,5,,,"MATCHS")),1,0),,,IF(INDIRECT(ADDRESS(137,3,,,"MATCHS"))&lt;INDIRECT(ADDRESS(137,5,,,"MATCHS")),1,0),,,)</f>
        <v>0</v>
      </c>
      <c r="G45" s="49">
        <f ca="1">SUM(,INDIRECT(ADDRESS(13,5,,,"MATCHS")),,,INDIRECT(ADDRESS(45,3,,,"MATCHS")),,,,,,INDIRECT(ADDRESS(107,3,,,"MATCHS")),,,INDIRECT(ADDRESS(137,3,,,"MATCHS")),,,)</f>
        <v>0</v>
      </c>
      <c r="H45" s="49">
        <f ca="1">SUM(,INDIRECT(ADDRESS(13,3,,,"MATCHS")),,,INDIRECT(ADDRESS(45,5,,,"MATCHS")),,,,,,INDIRECT(ADDRESS(107,5,,,"MATCHS")),,,INDIRECT(ADDRESS(137,5,,,"MATCHS")),,,)</f>
        <v>0</v>
      </c>
      <c r="I45" s="49">
        <f ca="1">G45 - H45</f>
        <v>0</v>
      </c>
      <c r="J45" s="49">
        <v>0</v>
      </c>
      <c r="K45" s="49">
        <v>2</v>
      </c>
      <c r="L45" s="49"/>
      <c r="M45" s="69"/>
    </row>
    <row r="46" spans="1:13" ht="15.75" x14ac:dyDescent="0.25">
      <c r="A46" s="175"/>
      <c r="B46" s="49">
        <v>3</v>
      </c>
      <c r="C46" s="49" t="s">
        <v>126</v>
      </c>
      <c r="D46" s="49" t="str">
        <f>INSCRIPTS!C34</f>
        <v>3F</v>
      </c>
      <c r="E46" s="87">
        <f ca="1">SUM(,IF(INDIRECT(ADDRESS(14,3,,,"MATCHS"))&gt;INDIRECT(ADDRESS(14,5,,,"MATCHS")),1,0),,,IF(INDIRECT(ADDRESS(44,5,,,"MATCHS"))&gt;INDIRECT(ADDRESS(44,3,,,"MATCHS")),1,0),,,IF(INDIRECT(ADDRESS(76,3,,,"MATCHS"))&gt;INDIRECT(ADDRESS(76,5,,,"MATCHS")),1,0),,,,,,IF(INDIRECT(ADDRESS(137,5,,,"MATCHS"))&gt;INDIRECT(ADDRESS(137,3,,,"MATCHS")),1,0),,,) + 0.1 * J46</f>
        <v>0</v>
      </c>
      <c r="F46" s="49">
        <f ca="1">SUM(,IF(INDIRECT(ADDRESS(14,3,,,"MATCHS"))&lt;INDIRECT(ADDRESS(14,5,,,"MATCHS")),1,0),,,IF(INDIRECT(ADDRESS(44,5,,,"MATCHS"))&lt;INDIRECT(ADDRESS(44,3,,,"MATCHS")),1,0),,,IF(INDIRECT(ADDRESS(76,3,,,"MATCHS"))&lt;INDIRECT(ADDRESS(76,5,,,"MATCHS")),1,0),,,,,,IF(INDIRECT(ADDRESS(137,5,,,"MATCHS"))&lt;INDIRECT(ADDRESS(137,3,,,"MATCHS")),1,0),,,)</f>
        <v>0</v>
      </c>
      <c r="G46" s="49">
        <f ca="1">SUM(,INDIRECT(ADDRESS(14,3,,,"MATCHS")),,,INDIRECT(ADDRESS(44,5,,,"MATCHS")),,,INDIRECT(ADDRESS(76,3,,,"MATCHS")),,,,,,INDIRECT(ADDRESS(137,5,,,"MATCHS")),,,)</f>
        <v>0</v>
      </c>
      <c r="H46" s="49">
        <f ca="1">SUM(,INDIRECT(ADDRESS(14,5,,,"MATCHS")),,,INDIRECT(ADDRESS(44,3,,,"MATCHS")),,,INDIRECT(ADDRESS(76,5,,,"MATCHS")),,,,,,INDIRECT(ADDRESS(137,3,,,"MATCHS")),,,)</f>
        <v>0</v>
      </c>
      <c r="I46" s="49">
        <f ca="1">G46 - H46</f>
        <v>0</v>
      </c>
      <c r="J46" s="49">
        <v>0</v>
      </c>
      <c r="K46" s="49">
        <v>3</v>
      </c>
      <c r="L46" s="49"/>
      <c r="M46" s="69"/>
    </row>
    <row r="47" spans="1:13" ht="15.75" x14ac:dyDescent="0.25">
      <c r="A47" s="175"/>
      <c r="B47" s="49">
        <v>4</v>
      </c>
      <c r="C47" s="49" t="s">
        <v>127</v>
      </c>
      <c r="D47" s="49" t="str">
        <f>INSCRIPTS!C35</f>
        <v>4F</v>
      </c>
      <c r="E47" s="87">
        <f ca="1">SUM(,IF(INDIRECT(ADDRESS(14,5,,,"MATCHS"))&gt;INDIRECT(ADDRESS(14,3,,,"MATCHS")),1,0),,,,,,IF(INDIRECT(ADDRESS(75,5,,,"MATCHS"))&gt;INDIRECT(ADDRESS(75,3,,,"MATCHS")),1,0),,,IF(INDIRECT(ADDRESS(107,5,,,"MATCHS"))&gt;INDIRECT(ADDRESS(107,3,,,"MATCHS")),1,0),,,IF(INDIRECT(ADDRESS(138,3,,,"MATCHS"))&gt;INDIRECT(ADDRESS(138,5,,,"MATCHS")),1,0),,,) + 0.1 * J47</f>
        <v>0</v>
      </c>
      <c r="F47" s="49">
        <f ca="1">SUM(,IF(INDIRECT(ADDRESS(14,5,,,"MATCHS"))&lt;INDIRECT(ADDRESS(14,3,,,"MATCHS")),1,0),,,,,,IF(INDIRECT(ADDRESS(75,5,,,"MATCHS"))&lt;INDIRECT(ADDRESS(75,3,,,"MATCHS")),1,0),,,IF(INDIRECT(ADDRESS(107,5,,,"MATCHS"))&lt;INDIRECT(ADDRESS(107,3,,,"MATCHS")),1,0),,,IF(INDIRECT(ADDRESS(138,3,,,"MATCHS"))&lt;INDIRECT(ADDRESS(138,5,,,"MATCHS")),1,0),,,)</f>
        <v>0</v>
      </c>
      <c r="G47" s="49">
        <f ca="1">SUM(,INDIRECT(ADDRESS(14,5,,,"MATCHS")),,,,,,INDIRECT(ADDRESS(75,5,,,"MATCHS")),,,INDIRECT(ADDRESS(107,5,,,"MATCHS")),,,INDIRECT(ADDRESS(138,3,,,"MATCHS")),,,)</f>
        <v>0</v>
      </c>
      <c r="H47" s="49">
        <f ca="1">SUM(,INDIRECT(ADDRESS(14,3,,,"MATCHS")),,,,,,INDIRECT(ADDRESS(75,3,,,"MATCHS")),,,INDIRECT(ADDRESS(107,3,,,"MATCHS")),,,INDIRECT(ADDRESS(138,5,,,"MATCHS")),,,)</f>
        <v>0</v>
      </c>
      <c r="I47" s="49">
        <f ca="1">G47 - H47</f>
        <v>0</v>
      </c>
      <c r="J47" s="49">
        <v>0</v>
      </c>
      <c r="K47" s="49">
        <v>4</v>
      </c>
      <c r="L47" s="49"/>
      <c r="M47" s="69"/>
    </row>
    <row r="48" spans="1:13" ht="15.75" x14ac:dyDescent="0.25">
      <c r="A48" s="175"/>
      <c r="B48" s="49">
        <v>5</v>
      </c>
      <c r="C48" s="49" t="s">
        <v>128</v>
      </c>
      <c r="D48" s="49" t="str">
        <f>INSCRIPTS!C36</f>
        <v>5F</v>
      </c>
      <c r="E48" s="87">
        <f ca="1">SUM(,,,,IF(INDIRECT(ADDRESS(45,5,,,"MATCHS"))&gt;INDIRECT(ADDRESS(45,3,,,"MATCHS")),1,0),,,IF(INDIRECT(ADDRESS(76,5,,,"MATCHS"))&gt;INDIRECT(ADDRESS(76,3,,,"MATCHS")),1,0),,,IF(INDIRECT(ADDRESS(106,5,,,"MATCHS"))&gt;INDIRECT(ADDRESS(106,3,,,"MATCHS")),1,0),,,IF(INDIRECT(ADDRESS(138,5,,,"MATCHS"))&gt;INDIRECT(ADDRESS(138,3,,,"MATCHS")),1,0),,,) + 0.1 * J48</f>
        <v>0</v>
      </c>
      <c r="F48" s="49">
        <f ca="1">SUM(,,,,IF(INDIRECT(ADDRESS(45,5,,,"MATCHS"))&lt;INDIRECT(ADDRESS(45,3,,,"MATCHS")),1,0),,,IF(INDIRECT(ADDRESS(76,5,,,"MATCHS"))&lt;INDIRECT(ADDRESS(76,3,,,"MATCHS")),1,0),,,IF(INDIRECT(ADDRESS(106,5,,,"MATCHS"))&lt;INDIRECT(ADDRESS(106,3,,,"MATCHS")),1,0),,,IF(INDIRECT(ADDRESS(138,5,,,"MATCHS"))&lt;INDIRECT(ADDRESS(138,3,,,"MATCHS")),1,0),,,)</f>
        <v>0</v>
      </c>
      <c r="G48" s="49">
        <f ca="1">SUM(,,,,INDIRECT(ADDRESS(45,5,,,"MATCHS")),,,INDIRECT(ADDRESS(76,5,,,"MATCHS")),,,INDIRECT(ADDRESS(106,5,,,"MATCHS")),,,INDIRECT(ADDRESS(138,5,,,"MATCHS")),,,)</f>
        <v>0</v>
      </c>
      <c r="H48" s="49">
        <f ca="1">SUM(,,,,INDIRECT(ADDRESS(45,3,,,"MATCHS")),,,INDIRECT(ADDRESS(76,3,,,"MATCHS")),,,INDIRECT(ADDRESS(106,3,,,"MATCHS")),,,INDIRECT(ADDRESS(138,3,,,"MATCHS")),,,)</f>
        <v>0</v>
      </c>
      <c r="I48" s="49">
        <f ca="1">G48 - H48</f>
        <v>0</v>
      </c>
      <c r="J48" s="49">
        <v>0</v>
      </c>
      <c r="K48" s="49">
        <v>5</v>
      </c>
      <c r="L48" s="49"/>
      <c r="M48" s="69"/>
    </row>
    <row r="49" spans="1:13" ht="15.75" thickBot="1" x14ac:dyDescent="0.3"/>
    <row r="50" spans="1:13" ht="30.95" customHeight="1" thickBot="1" x14ac:dyDescent="0.3">
      <c r="C50" s="85" t="s">
        <v>228</v>
      </c>
      <c r="D50" s="85" t="s">
        <v>98</v>
      </c>
      <c r="E50" s="86" t="s">
        <v>229</v>
      </c>
      <c r="F50" s="85" t="s">
        <v>230</v>
      </c>
      <c r="G50" s="85" t="s">
        <v>231</v>
      </c>
      <c r="H50" s="85" t="s">
        <v>232</v>
      </c>
      <c r="I50" s="85" t="s">
        <v>233</v>
      </c>
      <c r="J50" s="48" t="s">
        <v>234</v>
      </c>
      <c r="K50" s="85" t="s">
        <v>235</v>
      </c>
      <c r="L50" s="48" t="s">
        <v>53</v>
      </c>
    </row>
    <row r="52" spans="1:13" ht="15.75" x14ac:dyDescent="0.25">
      <c r="A52" s="176" t="s">
        <v>129</v>
      </c>
      <c r="B52" s="50">
        <v>1</v>
      </c>
      <c r="C52" s="50" t="s">
        <v>130</v>
      </c>
      <c r="D52" s="50" t="str">
        <f>INSCRIPTS!C38</f>
        <v>1G</v>
      </c>
      <c r="E52" s="88">
        <f ca="1">SUM(,IF(INDIRECT(ADDRESS(15,3,,,"MATCHS"))&gt;INDIRECT(ADDRESS(15,5,,,"MATCHS")),1,0),,,IF(INDIRECT(ADDRESS(46,3,,,"MATCHS"))&gt;INDIRECT(ADDRESS(46,5,,,"MATCHS")),1,0),,,IF(INDIRECT(ADDRESS(77,3,,,"MATCHS"))&gt;INDIRECT(ADDRESS(77,5,,,"MATCHS")),1,0),,,IF(INDIRECT(ADDRESS(108,3,,,"MATCHS"))&gt;INDIRECT(ADDRESS(108,5,,,"MATCHS")),1,0),,,,,,) + 0.1 * J52</f>
        <v>0</v>
      </c>
      <c r="F52" s="50">
        <f ca="1">SUM(,IF(INDIRECT(ADDRESS(15,3,,,"MATCHS"))&lt;INDIRECT(ADDRESS(15,5,,,"MATCHS")),1,0),,,IF(INDIRECT(ADDRESS(46,3,,,"MATCHS"))&lt;INDIRECT(ADDRESS(46,5,,,"MATCHS")),1,0),,,IF(INDIRECT(ADDRESS(77,3,,,"MATCHS"))&lt;INDIRECT(ADDRESS(77,5,,,"MATCHS")),1,0),,,IF(INDIRECT(ADDRESS(108,3,,,"MATCHS"))&lt;INDIRECT(ADDRESS(108,5,,,"MATCHS")),1,0),,,,,,)</f>
        <v>0</v>
      </c>
      <c r="G52" s="50">
        <f ca="1">SUM(,INDIRECT(ADDRESS(15,3,,,"MATCHS")),,,INDIRECT(ADDRESS(46,3,,,"MATCHS")),,,INDIRECT(ADDRESS(77,3,,,"MATCHS")),,,INDIRECT(ADDRESS(108,3,,,"MATCHS")),,,,,,)</f>
        <v>0</v>
      </c>
      <c r="H52" s="50">
        <f ca="1">SUM(,INDIRECT(ADDRESS(15,5,,,"MATCHS")),,,INDIRECT(ADDRESS(46,5,,,"MATCHS")),,,INDIRECT(ADDRESS(77,5,,,"MATCHS")),,,INDIRECT(ADDRESS(108,5,,,"MATCHS")),,,,,,)</f>
        <v>0</v>
      </c>
      <c r="I52" s="50">
        <f ca="1">G52 - H52</f>
        <v>0</v>
      </c>
      <c r="J52" s="50">
        <v>0</v>
      </c>
      <c r="K52" s="50">
        <v>1</v>
      </c>
      <c r="L52" s="50"/>
      <c r="M52" s="69"/>
    </row>
    <row r="53" spans="1:13" ht="15.75" x14ac:dyDescent="0.25">
      <c r="A53" s="176"/>
      <c r="B53" s="50">
        <v>2</v>
      </c>
      <c r="C53" s="50" t="s">
        <v>131</v>
      </c>
      <c r="D53" s="50" t="str">
        <f>INSCRIPTS!C39</f>
        <v>2G</v>
      </c>
      <c r="E53" s="88">
        <f ca="1">SUM(,IF(INDIRECT(ADDRESS(15,5,,,"MATCHS"))&gt;INDIRECT(ADDRESS(15,3,,,"MATCHS")),1,0),,,IF(INDIRECT(ADDRESS(47,3,,,"MATCHS"))&gt;INDIRECT(ADDRESS(47,5,,,"MATCHS")),1,0),,,,,,IF(INDIRECT(ADDRESS(109,3,,,"MATCHS"))&gt;INDIRECT(ADDRESS(109,5,,,"MATCHS")),1,0),,,IF(INDIRECT(ADDRESS(139,3,,,"MATCHS"))&gt;INDIRECT(ADDRESS(139,5,,,"MATCHS")),1,0),,,) + 0.1 * J53</f>
        <v>0</v>
      </c>
      <c r="F53" s="50">
        <f ca="1">SUM(,IF(INDIRECT(ADDRESS(15,5,,,"MATCHS"))&lt;INDIRECT(ADDRESS(15,3,,,"MATCHS")),1,0),,,IF(INDIRECT(ADDRESS(47,3,,,"MATCHS"))&lt;INDIRECT(ADDRESS(47,5,,,"MATCHS")),1,0),,,,,,IF(INDIRECT(ADDRESS(109,3,,,"MATCHS"))&lt;INDIRECT(ADDRESS(109,5,,,"MATCHS")),1,0),,,IF(INDIRECT(ADDRESS(139,3,,,"MATCHS"))&lt;INDIRECT(ADDRESS(139,5,,,"MATCHS")),1,0),,,)</f>
        <v>0</v>
      </c>
      <c r="G53" s="50">
        <f ca="1">SUM(,INDIRECT(ADDRESS(15,5,,,"MATCHS")),,,INDIRECT(ADDRESS(47,3,,,"MATCHS")),,,,,,INDIRECT(ADDRESS(109,3,,,"MATCHS")),,,INDIRECT(ADDRESS(139,3,,,"MATCHS")),,,)</f>
        <v>0</v>
      </c>
      <c r="H53" s="50">
        <f ca="1">SUM(,INDIRECT(ADDRESS(15,3,,,"MATCHS")),,,INDIRECT(ADDRESS(47,5,,,"MATCHS")),,,,,,INDIRECT(ADDRESS(109,5,,,"MATCHS")),,,INDIRECT(ADDRESS(139,5,,,"MATCHS")),,,)</f>
        <v>0</v>
      </c>
      <c r="I53" s="50">
        <f ca="1">G53 - H53</f>
        <v>0</v>
      </c>
      <c r="J53" s="50">
        <v>0</v>
      </c>
      <c r="K53" s="50">
        <v>2</v>
      </c>
      <c r="L53" s="50"/>
      <c r="M53" s="69"/>
    </row>
    <row r="54" spans="1:13" ht="15.75" x14ac:dyDescent="0.25">
      <c r="A54" s="176"/>
      <c r="B54" s="50">
        <v>3</v>
      </c>
      <c r="C54" s="50" t="s">
        <v>132</v>
      </c>
      <c r="D54" s="50" t="str">
        <f>INSCRIPTS!C40</f>
        <v>3G</v>
      </c>
      <c r="E54" s="88">
        <f ca="1">SUM(,IF(INDIRECT(ADDRESS(16,3,,,"MATCHS"))&gt;INDIRECT(ADDRESS(16,5,,,"MATCHS")),1,0),,,IF(INDIRECT(ADDRESS(46,5,,,"MATCHS"))&gt;INDIRECT(ADDRESS(46,3,,,"MATCHS")),1,0),,,IF(INDIRECT(ADDRESS(78,3,,,"MATCHS"))&gt;INDIRECT(ADDRESS(78,5,,,"MATCHS")),1,0),,,,,,IF(INDIRECT(ADDRESS(139,5,,,"MATCHS"))&gt;INDIRECT(ADDRESS(139,3,,,"MATCHS")),1,0),,,) + 0.1 * J54</f>
        <v>0</v>
      </c>
      <c r="F54" s="50">
        <f ca="1">SUM(,IF(INDIRECT(ADDRESS(16,3,,,"MATCHS"))&lt;INDIRECT(ADDRESS(16,5,,,"MATCHS")),1,0),,,IF(INDIRECT(ADDRESS(46,5,,,"MATCHS"))&lt;INDIRECT(ADDRESS(46,3,,,"MATCHS")),1,0),,,IF(INDIRECT(ADDRESS(78,3,,,"MATCHS"))&lt;INDIRECT(ADDRESS(78,5,,,"MATCHS")),1,0),,,,,,IF(INDIRECT(ADDRESS(139,5,,,"MATCHS"))&lt;INDIRECT(ADDRESS(139,3,,,"MATCHS")),1,0),,,)</f>
        <v>0</v>
      </c>
      <c r="G54" s="50">
        <f ca="1">SUM(,INDIRECT(ADDRESS(16,3,,,"MATCHS")),,,INDIRECT(ADDRESS(46,5,,,"MATCHS")),,,INDIRECT(ADDRESS(78,3,,,"MATCHS")),,,,,,INDIRECT(ADDRESS(139,5,,,"MATCHS")),,,)</f>
        <v>0</v>
      </c>
      <c r="H54" s="50">
        <f ca="1">SUM(,INDIRECT(ADDRESS(16,5,,,"MATCHS")),,,INDIRECT(ADDRESS(46,3,,,"MATCHS")),,,INDIRECT(ADDRESS(78,5,,,"MATCHS")),,,,,,INDIRECT(ADDRESS(139,3,,,"MATCHS")),,,)</f>
        <v>0</v>
      </c>
      <c r="I54" s="50">
        <f ca="1">G54 - H54</f>
        <v>0</v>
      </c>
      <c r="J54" s="50">
        <v>0</v>
      </c>
      <c r="K54" s="50">
        <v>3</v>
      </c>
      <c r="L54" s="50"/>
      <c r="M54" s="69"/>
    </row>
    <row r="55" spans="1:13" ht="15.75" x14ac:dyDescent="0.25">
      <c r="A55" s="176"/>
      <c r="B55" s="50">
        <v>4</v>
      </c>
      <c r="C55" s="50" t="s">
        <v>133</v>
      </c>
      <c r="D55" s="50" t="str">
        <f>INSCRIPTS!C41</f>
        <v>4G</v>
      </c>
      <c r="E55" s="88">
        <f ca="1">SUM(,IF(INDIRECT(ADDRESS(16,5,,,"MATCHS"))&gt;INDIRECT(ADDRESS(16,3,,,"MATCHS")),1,0),,,,,,IF(INDIRECT(ADDRESS(77,5,,,"MATCHS"))&gt;INDIRECT(ADDRESS(77,3,,,"MATCHS")),1,0),,,IF(INDIRECT(ADDRESS(109,5,,,"MATCHS"))&gt;INDIRECT(ADDRESS(109,3,,,"MATCHS")),1,0),,,IF(INDIRECT(ADDRESS(140,3,,,"MATCHS"))&gt;INDIRECT(ADDRESS(140,5,,,"MATCHS")),1,0),,,) + 0.1 * J55</f>
        <v>0</v>
      </c>
      <c r="F55" s="50">
        <f ca="1">SUM(,IF(INDIRECT(ADDRESS(16,5,,,"MATCHS"))&lt;INDIRECT(ADDRESS(16,3,,,"MATCHS")),1,0),,,,,,IF(INDIRECT(ADDRESS(77,5,,,"MATCHS"))&lt;INDIRECT(ADDRESS(77,3,,,"MATCHS")),1,0),,,IF(INDIRECT(ADDRESS(109,5,,,"MATCHS"))&lt;INDIRECT(ADDRESS(109,3,,,"MATCHS")),1,0),,,IF(INDIRECT(ADDRESS(140,3,,,"MATCHS"))&lt;INDIRECT(ADDRESS(140,5,,,"MATCHS")),1,0),,,)</f>
        <v>0</v>
      </c>
      <c r="G55" s="50">
        <f ca="1">SUM(,INDIRECT(ADDRESS(16,5,,,"MATCHS")),,,,,,INDIRECT(ADDRESS(77,5,,,"MATCHS")),,,INDIRECT(ADDRESS(109,5,,,"MATCHS")),,,INDIRECT(ADDRESS(140,3,,,"MATCHS")),,,)</f>
        <v>0</v>
      </c>
      <c r="H55" s="50">
        <f ca="1">SUM(,INDIRECT(ADDRESS(16,3,,,"MATCHS")),,,,,,INDIRECT(ADDRESS(77,3,,,"MATCHS")),,,INDIRECT(ADDRESS(109,3,,,"MATCHS")),,,INDIRECT(ADDRESS(140,5,,,"MATCHS")),,,)</f>
        <v>0</v>
      </c>
      <c r="I55" s="50">
        <f ca="1">G55 - H55</f>
        <v>0</v>
      </c>
      <c r="J55" s="50">
        <v>0</v>
      </c>
      <c r="K55" s="50">
        <v>4</v>
      </c>
      <c r="L55" s="50"/>
      <c r="M55" s="69"/>
    </row>
    <row r="56" spans="1:13" ht="15.75" x14ac:dyDescent="0.25">
      <c r="A56" s="176"/>
      <c r="B56" s="50">
        <v>5</v>
      </c>
      <c r="C56" s="50" t="s">
        <v>134</v>
      </c>
      <c r="D56" s="50" t="str">
        <f>INSCRIPTS!C42</f>
        <v>5G</v>
      </c>
      <c r="E56" s="88">
        <f ca="1">SUM(,,,,IF(INDIRECT(ADDRESS(47,5,,,"MATCHS"))&gt;INDIRECT(ADDRESS(47,3,,,"MATCHS")),1,0),,,IF(INDIRECT(ADDRESS(78,5,,,"MATCHS"))&gt;INDIRECT(ADDRESS(78,3,,,"MATCHS")),1,0),,,IF(INDIRECT(ADDRESS(108,5,,,"MATCHS"))&gt;INDIRECT(ADDRESS(108,3,,,"MATCHS")),1,0),,,IF(INDIRECT(ADDRESS(140,5,,,"MATCHS"))&gt;INDIRECT(ADDRESS(140,3,,,"MATCHS")),1,0),,,) + 0.1 * J56</f>
        <v>0</v>
      </c>
      <c r="F56" s="50">
        <f ca="1">SUM(,,,,IF(INDIRECT(ADDRESS(47,5,,,"MATCHS"))&lt;INDIRECT(ADDRESS(47,3,,,"MATCHS")),1,0),,,IF(INDIRECT(ADDRESS(78,5,,,"MATCHS"))&lt;INDIRECT(ADDRESS(78,3,,,"MATCHS")),1,0),,,IF(INDIRECT(ADDRESS(108,5,,,"MATCHS"))&lt;INDIRECT(ADDRESS(108,3,,,"MATCHS")),1,0),,,IF(INDIRECT(ADDRESS(140,5,,,"MATCHS"))&lt;INDIRECT(ADDRESS(140,3,,,"MATCHS")),1,0),,,)</f>
        <v>0</v>
      </c>
      <c r="G56" s="50">
        <f ca="1">SUM(,,,,INDIRECT(ADDRESS(47,5,,,"MATCHS")),,,INDIRECT(ADDRESS(78,5,,,"MATCHS")),,,INDIRECT(ADDRESS(108,5,,,"MATCHS")),,,INDIRECT(ADDRESS(140,5,,,"MATCHS")),,,)</f>
        <v>0</v>
      </c>
      <c r="H56" s="50">
        <f ca="1">SUM(,,,,INDIRECT(ADDRESS(47,3,,,"MATCHS")),,,INDIRECT(ADDRESS(78,3,,,"MATCHS")),,,INDIRECT(ADDRESS(108,3,,,"MATCHS")),,,INDIRECT(ADDRESS(140,3,,,"MATCHS")),,,)</f>
        <v>0</v>
      </c>
      <c r="I56" s="50">
        <f ca="1">G56 - H56</f>
        <v>0</v>
      </c>
      <c r="J56" s="50">
        <v>0</v>
      </c>
      <c r="K56" s="50">
        <v>5</v>
      </c>
      <c r="L56" s="50"/>
      <c r="M56" s="69"/>
    </row>
    <row r="57" spans="1:13" ht="15.75" thickBot="1" x14ac:dyDescent="0.3"/>
    <row r="58" spans="1:13" ht="30.95" customHeight="1" thickBot="1" x14ac:dyDescent="0.3">
      <c r="C58" s="85" t="s">
        <v>228</v>
      </c>
      <c r="D58" s="85" t="s">
        <v>135</v>
      </c>
      <c r="E58" s="86" t="s">
        <v>229</v>
      </c>
      <c r="F58" s="85" t="s">
        <v>230</v>
      </c>
      <c r="G58" s="85" t="s">
        <v>231</v>
      </c>
      <c r="H58" s="85" t="s">
        <v>232</v>
      </c>
      <c r="I58" s="85" t="s">
        <v>233</v>
      </c>
      <c r="J58" s="48" t="s">
        <v>234</v>
      </c>
      <c r="K58" s="85" t="s">
        <v>235</v>
      </c>
      <c r="L58" s="48" t="s">
        <v>53</v>
      </c>
    </row>
    <row r="60" spans="1:13" ht="15.75" x14ac:dyDescent="0.25">
      <c r="A60" s="177" t="s">
        <v>136</v>
      </c>
      <c r="B60" s="51">
        <v>1</v>
      </c>
      <c r="C60" s="51" t="s">
        <v>137</v>
      </c>
      <c r="D60" s="51" t="str">
        <f>INSCRIPTS!C44</f>
        <v>1H</v>
      </c>
      <c r="E60" s="89">
        <f ca="1">SUM(,IF(INDIRECT(ADDRESS(17,3,,,"MATCHS"))&gt;INDIRECT(ADDRESS(17,5,,,"MATCHS")),1,0),,,IF(INDIRECT(ADDRESS(48,3,,,"MATCHS"))&gt;INDIRECT(ADDRESS(48,5,,,"MATCHS")),1,0),,,IF(INDIRECT(ADDRESS(79,3,,,"MATCHS"))&gt;INDIRECT(ADDRESS(79,5,,,"MATCHS")),1,0),,,IF(INDIRECT(ADDRESS(110,3,,,"MATCHS"))&gt;INDIRECT(ADDRESS(110,5,,,"MATCHS")),1,0),,,,,,) + 0.1 * J60</f>
        <v>0</v>
      </c>
      <c r="F60" s="51">
        <f ca="1">SUM(,IF(INDIRECT(ADDRESS(17,3,,,"MATCHS"))&lt;INDIRECT(ADDRESS(17,5,,,"MATCHS")),1,0),,,IF(INDIRECT(ADDRESS(48,3,,,"MATCHS"))&lt;INDIRECT(ADDRESS(48,5,,,"MATCHS")),1,0),,,IF(INDIRECT(ADDRESS(79,3,,,"MATCHS"))&lt;INDIRECT(ADDRESS(79,5,,,"MATCHS")),1,0),,,IF(INDIRECT(ADDRESS(110,3,,,"MATCHS"))&lt;INDIRECT(ADDRESS(110,5,,,"MATCHS")),1,0),,,,,,)</f>
        <v>0</v>
      </c>
      <c r="G60" s="51">
        <f ca="1">SUM(,INDIRECT(ADDRESS(17,3,,,"MATCHS")),,,INDIRECT(ADDRESS(48,3,,,"MATCHS")),,,INDIRECT(ADDRESS(79,3,,,"MATCHS")),,,INDIRECT(ADDRESS(110,3,,,"MATCHS")),,,,,,)</f>
        <v>0</v>
      </c>
      <c r="H60" s="51">
        <f ca="1">SUM(,INDIRECT(ADDRESS(17,5,,,"MATCHS")),,,INDIRECT(ADDRESS(48,5,,,"MATCHS")),,,INDIRECT(ADDRESS(79,5,,,"MATCHS")),,,INDIRECT(ADDRESS(110,5,,,"MATCHS")),,,,,,)</f>
        <v>0</v>
      </c>
      <c r="I60" s="51">
        <f ca="1">G60 - H60</f>
        <v>0</v>
      </c>
      <c r="J60" s="51">
        <v>0</v>
      </c>
      <c r="K60" s="51">
        <v>1</v>
      </c>
      <c r="L60" s="51"/>
      <c r="M60" s="69"/>
    </row>
    <row r="61" spans="1:13" ht="15.75" x14ac:dyDescent="0.25">
      <c r="A61" s="177"/>
      <c r="B61" s="51">
        <v>2</v>
      </c>
      <c r="C61" s="51" t="s">
        <v>138</v>
      </c>
      <c r="D61" s="51" t="str">
        <f>INSCRIPTS!C45</f>
        <v>2H</v>
      </c>
      <c r="E61" s="89">
        <f ca="1">SUM(,IF(INDIRECT(ADDRESS(17,5,,,"MATCHS"))&gt;INDIRECT(ADDRESS(17,3,,,"MATCHS")),1,0),,,IF(INDIRECT(ADDRESS(49,3,,,"MATCHS"))&gt;INDIRECT(ADDRESS(49,5,,,"MATCHS")),1,0),,,,,,,IF(INDIRECT(ADDRESS(112,3,,,"MATCHS"))&gt;INDIRECT(ADDRESS(112,5,,,"MATCHS")),1,0),,,IF(INDIRECT(ADDRESS(142,3,,,"MATCHS"))&gt;INDIRECT(ADDRESS(142,5,,,"MATCHS")),1,0),,) + 0.1 * J61</f>
        <v>0</v>
      </c>
      <c r="F61" s="51">
        <f ca="1">SUM(,IF(INDIRECT(ADDRESS(17,5,,,"MATCHS"))&lt;INDIRECT(ADDRESS(17,3,,,"MATCHS")),1,0),,,IF(INDIRECT(ADDRESS(49,3,,,"MATCHS"))&lt;INDIRECT(ADDRESS(49,5,,,"MATCHS")),1,0),,,,,,,IF(INDIRECT(ADDRESS(112,3,,,"MATCHS"))&lt;INDIRECT(ADDRESS(112,5,,,"MATCHS")),1,0),,,IF(INDIRECT(ADDRESS(142,3,,,"MATCHS"))&lt;INDIRECT(ADDRESS(142,5,,,"MATCHS")),1,0),,)</f>
        <v>0</v>
      </c>
      <c r="G61" s="51">
        <f ca="1">SUM(,INDIRECT(ADDRESS(17,5,,,"MATCHS")),,,INDIRECT(ADDRESS(49,3,,,"MATCHS")),,,,,,,INDIRECT(ADDRESS(112,3,,,"MATCHS")),,,INDIRECT(ADDRESS(142,3,,,"MATCHS")),,)</f>
        <v>0</v>
      </c>
      <c r="H61" s="51">
        <f ca="1">SUM(,INDIRECT(ADDRESS(17,3,,,"MATCHS")),,,INDIRECT(ADDRESS(49,5,,,"MATCHS")),,,,,,,INDIRECT(ADDRESS(112,5,,,"MATCHS")),,,INDIRECT(ADDRESS(142,5,,,"MATCHS")),,)</f>
        <v>0</v>
      </c>
      <c r="I61" s="51">
        <f ca="1">G61 - H61</f>
        <v>0</v>
      </c>
      <c r="J61" s="51">
        <v>0</v>
      </c>
      <c r="K61" s="51">
        <v>2</v>
      </c>
      <c r="L61" s="51"/>
      <c r="M61" s="69"/>
    </row>
    <row r="62" spans="1:13" ht="15.75" x14ac:dyDescent="0.25">
      <c r="A62" s="177"/>
      <c r="B62" s="51">
        <v>3</v>
      </c>
      <c r="C62" s="51" t="s">
        <v>139</v>
      </c>
      <c r="D62" s="51" t="str">
        <f>INSCRIPTS!C46</f>
        <v>3H</v>
      </c>
      <c r="E62" s="89">
        <f ca="1">SUM(,IF(INDIRECT(ADDRESS(18,3,,,"MATCHS"))&gt;INDIRECT(ADDRESS(18,5,,,"MATCHS")),1,0),,,IF(INDIRECT(ADDRESS(48,5,,,"MATCHS"))&gt;INDIRECT(ADDRESS(48,3,,,"MATCHS")),1,0),,,IF(INDIRECT(ADDRESS(80,3,,,"MATCHS"))&gt;INDIRECT(ADDRESS(80,5,,,"MATCHS")),1,0),,,,,,,IF(INDIRECT(ADDRESS(142,5,,,"MATCHS"))&gt;INDIRECT(ADDRESS(142,3,,,"MATCHS")),1,0),,) + 0.1 * J62</f>
        <v>0</v>
      </c>
      <c r="F62" s="51">
        <f ca="1">SUM(,IF(INDIRECT(ADDRESS(18,3,,,"MATCHS"))&lt;INDIRECT(ADDRESS(18,5,,,"MATCHS")),1,0),,,IF(INDIRECT(ADDRESS(48,5,,,"MATCHS"))&lt;INDIRECT(ADDRESS(48,3,,,"MATCHS")),1,0),,,IF(INDIRECT(ADDRESS(80,3,,,"MATCHS"))&lt;INDIRECT(ADDRESS(80,5,,,"MATCHS")),1,0),,,,,,,IF(INDIRECT(ADDRESS(142,5,,,"MATCHS"))&lt;INDIRECT(ADDRESS(142,3,,,"MATCHS")),1,0),,)</f>
        <v>0</v>
      </c>
      <c r="G62" s="51">
        <f ca="1">SUM(,INDIRECT(ADDRESS(18,3,,,"MATCHS")),,,INDIRECT(ADDRESS(48,5,,,"MATCHS")),,,INDIRECT(ADDRESS(80,3,,,"MATCHS")),,,,,,,INDIRECT(ADDRESS(142,5,,,"MATCHS")),,)</f>
        <v>0</v>
      </c>
      <c r="H62" s="51">
        <f ca="1">SUM(,INDIRECT(ADDRESS(18,5,,,"MATCHS")),,,INDIRECT(ADDRESS(48,3,,,"MATCHS")),,,INDIRECT(ADDRESS(80,5,,,"MATCHS")),,,,,,,INDIRECT(ADDRESS(142,3,,,"MATCHS")),,)</f>
        <v>0</v>
      </c>
      <c r="I62" s="51">
        <f ca="1">G62 - H62</f>
        <v>0</v>
      </c>
      <c r="J62" s="51">
        <v>0</v>
      </c>
      <c r="K62" s="51">
        <v>3</v>
      </c>
      <c r="L62" s="51"/>
      <c r="M62" s="69"/>
    </row>
    <row r="63" spans="1:13" ht="15.75" x14ac:dyDescent="0.25">
      <c r="A63" s="177"/>
      <c r="B63" s="51">
        <v>4</v>
      </c>
      <c r="C63" s="51" t="s">
        <v>140</v>
      </c>
      <c r="D63" s="51" t="str">
        <f>INSCRIPTS!C47</f>
        <v>4H</v>
      </c>
      <c r="E63" s="89">
        <f ca="1">SUM(,IF(INDIRECT(ADDRESS(18,5,,,"MATCHS"))&gt;INDIRECT(ADDRESS(18,3,,,"MATCHS")),1,0),,,,,,IF(INDIRECT(ADDRESS(79,5,,,"MATCHS"))&gt;INDIRECT(ADDRESS(79,3,,,"MATCHS")),1,0),,,,IF(INDIRECT(ADDRESS(112,5,,,"MATCHS"))&gt;INDIRECT(ADDRESS(112,3,,,"MATCHS")),1,0),,,IF(INDIRECT(ADDRESS(143,3,,,"MATCHS"))&gt;INDIRECT(ADDRESS(143,5,,,"MATCHS")),1,0),,) + 0.1 * J63</f>
        <v>0</v>
      </c>
      <c r="F63" s="51">
        <f ca="1">SUM(,IF(INDIRECT(ADDRESS(18,5,,,"MATCHS"))&lt;INDIRECT(ADDRESS(18,3,,,"MATCHS")),1,0),,,,,,IF(INDIRECT(ADDRESS(79,5,,,"MATCHS"))&lt;INDIRECT(ADDRESS(79,3,,,"MATCHS")),1,0),,,,IF(INDIRECT(ADDRESS(112,5,,,"MATCHS"))&lt;INDIRECT(ADDRESS(112,3,,,"MATCHS")),1,0),,,IF(INDIRECT(ADDRESS(143,3,,,"MATCHS"))&lt;INDIRECT(ADDRESS(143,5,,,"MATCHS")),1,0),,)</f>
        <v>0</v>
      </c>
      <c r="G63" s="51">
        <f ca="1">SUM(,INDIRECT(ADDRESS(18,5,,,"MATCHS")),,,,,,INDIRECT(ADDRESS(79,5,,,"MATCHS")),,,,INDIRECT(ADDRESS(112,5,,,"MATCHS")),,,INDIRECT(ADDRESS(143,3,,,"MATCHS")),,)</f>
        <v>0</v>
      </c>
      <c r="H63" s="51">
        <f ca="1">SUM(,INDIRECT(ADDRESS(18,3,,,"MATCHS")),,,,,,INDIRECT(ADDRESS(79,3,,,"MATCHS")),,,,INDIRECT(ADDRESS(112,3,,,"MATCHS")),,,INDIRECT(ADDRESS(143,5,,,"MATCHS")),,)</f>
        <v>0</v>
      </c>
      <c r="I63" s="51">
        <f ca="1">G63 - H63</f>
        <v>0</v>
      </c>
      <c r="J63" s="51">
        <v>0</v>
      </c>
      <c r="K63" s="51">
        <v>4</v>
      </c>
      <c r="L63" s="51"/>
      <c r="M63" s="69"/>
    </row>
    <row r="64" spans="1:13" ht="15.75" x14ac:dyDescent="0.25">
      <c r="A64" s="177"/>
      <c r="B64" s="51">
        <v>5</v>
      </c>
      <c r="C64" s="51" t="s">
        <v>141</v>
      </c>
      <c r="D64" s="51" t="str">
        <f>INSCRIPTS!C48</f>
        <v>5H</v>
      </c>
      <c r="E64" s="89">
        <f ca="1">SUM(,,,,IF(INDIRECT(ADDRESS(49,5,,,"MATCHS"))&gt;INDIRECT(ADDRESS(49,3,,,"MATCHS")),1,0),,,IF(INDIRECT(ADDRESS(80,5,,,"MATCHS"))&gt;INDIRECT(ADDRESS(80,3,,,"MATCHS")),1,0),,,IF(INDIRECT(ADDRESS(110,5,,,"MATCHS"))&gt;INDIRECT(ADDRESS(110,3,,,"MATCHS")),1,0),,,,IF(INDIRECT(ADDRESS(143,5,,,"MATCHS"))&gt;INDIRECT(ADDRESS(143,3,,,"MATCHS")),1,0),,) + 0.1 * J64</f>
        <v>0</v>
      </c>
      <c r="F64" s="51">
        <f ca="1">SUM(,,,,IF(INDIRECT(ADDRESS(49,5,,,"MATCHS"))&lt;INDIRECT(ADDRESS(49,3,,,"MATCHS")),1,0),,,IF(INDIRECT(ADDRESS(80,5,,,"MATCHS"))&lt;INDIRECT(ADDRESS(80,3,,,"MATCHS")),1,0),,,IF(INDIRECT(ADDRESS(110,5,,,"MATCHS"))&lt;INDIRECT(ADDRESS(110,3,,,"MATCHS")),1,0),,,,IF(INDIRECT(ADDRESS(143,5,,,"MATCHS"))&lt;INDIRECT(ADDRESS(143,3,,,"MATCHS")),1,0),,)</f>
        <v>0</v>
      </c>
      <c r="G64" s="51">
        <f ca="1">SUM(,,,,INDIRECT(ADDRESS(49,5,,,"MATCHS")),,,INDIRECT(ADDRESS(80,5,,,"MATCHS")),,,INDIRECT(ADDRESS(110,5,,,"MATCHS")),,,,INDIRECT(ADDRESS(143,5,,,"MATCHS")),,)</f>
        <v>0</v>
      </c>
      <c r="H64" s="51">
        <f ca="1">SUM(,,,,INDIRECT(ADDRESS(49,3,,,"MATCHS")),,,INDIRECT(ADDRESS(80,3,,,"MATCHS")),,,INDIRECT(ADDRESS(110,3,,,"MATCHS")),,,,INDIRECT(ADDRESS(143,3,,,"MATCHS")),,)</f>
        <v>0</v>
      </c>
      <c r="I64" s="51">
        <f ca="1">G64 - H64</f>
        <v>0</v>
      </c>
      <c r="J64" s="51">
        <v>0</v>
      </c>
      <c r="K64" s="51">
        <v>5</v>
      </c>
      <c r="L64" s="51"/>
      <c r="M64" s="69"/>
    </row>
    <row r="65" spans="1:13" ht="15.75" thickBot="1" x14ac:dyDescent="0.3"/>
    <row r="66" spans="1:13" ht="30.95" customHeight="1" thickBot="1" x14ac:dyDescent="0.3">
      <c r="C66" s="85" t="s">
        <v>228</v>
      </c>
      <c r="D66" s="85" t="s">
        <v>135</v>
      </c>
      <c r="E66" s="86" t="s">
        <v>229</v>
      </c>
      <c r="F66" s="85" t="s">
        <v>230</v>
      </c>
      <c r="G66" s="85" t="s">
        <v>231</v>
      </c>
      <c r="H66" s="85" t="s">
        <v>232</v>
      </c>
      <c r="I66" s="85" t="s">
        <v>233</v>
      </c>
      <c r="J66" s="48" t="s">
        <v>234</v>
      </c>
      <c r="K66" s="85" t="s">
        <v>235</v>
      </c>
      <c r="L66" s="48" t="s">
        <v>53</v>
      </c>
    </row>
    <row r="68" spans="1:13" ht="15.75" x14ac:dyDescent="0.25">
      <c r="A68" s="178" t="s">
        <v>142</v>
      </c>
      <c r="B68" s="52">
        <v>1</v>
      </c>
      <c r="C68" s="52" t="s">
        <v>143</v>
      </c>
      <c r="D68" s="52" t="str">
        <f>INSCRIPTS!C50</f>
        <v>1I</v>
      </c>
      <c r="E68" s="90">
        <f ca="1">SUM(,IF(INDIRECT(ADDRESS(19,3,,,"MATCHS"))&gt;INDIRECT(ADDRESS(19,5,,,"MATCHS")),1,0),,,IF(INDIRECT(ADDRESS(50,3,,,"MATCHS"))&gt;INDIRECT(ADDRESS(50,5,,,"MATCHS")),1,0),,,,IF(INDIRECT(ADDRESS(82,3,,,"MATCHS"))&gt;INDIRECT(ADDRESS(82,5,,,"MATCHS")),1,0),,,IF(INDIRECT(ADDRESS(113,3,,,"MATCHS"))&gt;INDIRECT(ADDRESS(113,5,,,"MATCHS")),1,0),,,,,) + 0.1 * J68</f>
        <v>0</v>
      </c>
      <c r="F68" s="52">
        <f ca="1">SUM(,IF(INDIRECT(ADDRESS(19,3,,,"MATCHS"))&lt;INDIRECT(ADDRESS(19,5,,,"MATCHS")),1,0),,,IF(INDIRECT(ADDRESS(50,3,,,"MATCHS"))&lt;INDIRECT(ADDRESS(50,5,,,"MATCHS")),1,0),,,,IF(INDIRECT(ADDRESS(82,3,,,"MATCHS"))&lt;INDIRECT(ADDRESS(82,5,,,"MATCHS")),1,0),,,IF(INDIRECT(ADDRESS(113,3,,,"MATCHS"))&lt;INDIRECT(ADDRESS(113,5,,,"MATCHS")),1,0),,,,,)</f>
        <v>0</v>
      </c>
      <c r="G68" s="52">
        <f ca="1">SUM(,INDIRECT(ADDRESS(19,3,,,"MATCHS")),,,INDIRECT(ADDRESS(50,3,,,"MATCHS")),,,,INDIRECT(ADDRESS(82,3,,,"MATCHS")),,,INDIRECT(ADDRESS(113,3,,,"MATCHS")),,,,,)</f>
        <v>0</v>
      </c>
      <c r="H68" s="52">
        <f ca="1">SUM(,INDIRECT(ADDRESS(19,5,,,"MATCHS")),,,INDIRECT(ADDRESS(50,5,,,"MATCHS")),,,,INDIRECT(ADDRESS(82,5,,,"MATCHS")),,,INDIRECT(ADDRESS(113,5,,,"MATCHS")),,,,,)</f>
        <v>0</v>
      </c>
      <c r="I68" s="52">
        <f ca="1">G68 - H68</f>
        <v>0</v>
      </c>
      <c r="J68" s="52">
        <v>0</v>
      </c>
      <c r="K68" s="52">
        <v>1</v>
      </c>
      <c r="L68" s="52"/>
      <c r="M68" s="69"/>
    </row>
    <row r="69" spans="1:13" ht="15.75" x14ac:dyDescent="0.25">
      <c r="A69" s="178"/>
      <c r="B69" s="52">
        <v>2</v>
      </c>
      <c r="C69" s="52" t="s">
        <v>144</v>
      </c>
      <c r="D69" s="52" t="str">
        <f>INSCRIPTS!C51</f>
        <v>2I</v>
      </c>
      <c r="E69" s="90">
        <f ca="1">SUM(,IF(INDIRECT(ADDRESS(19,5,,,"MATCHS"))&gt;INDIRECT(ADDRESS(19,3,,,"MATCHS")),1,0),,,,IF(INDIRECT(ADDRESS(52,3,,,"MATCHS"))&gt;INDIRECT(ADDRESS(52,5,,,"MATCHS")),1,0),,,,,,IF(INDIRECT(ADDRESS(114,3,,,"MATCHS"))&gt;INDIRECT(ADDRESS(114,5,,,"MATCHS")),1,0),,,IF(INDIRECT(ADDRESS(144,3,,,"MATCHS"))&gt;INDIRECT(ADDRESS(144,5,,,"MATCHS")),1,0),,) + 0.1 * J69</f>
        <v>0</v>
      </c>
      <c r="F69" s="52">
        <f ca="1">SUM(,IF(INDIRECT(ADDRESS(19,5,,,"MATCHS"))&lt;INDIRECT(ADDRESS(19,3,,,"MATCHS")),1,0),,,,IF(INDIRECT(ADDRESS(52,3,,,"MATCHS"))&lt;INDIRECT(ADDRESS(52,5,,,"MATCHS")),1,0),,,,,,IF(INDIRECT(ADDRESS(114,3,,,"MATCHS"))&lt;INDIRECT(ADDRESS(114,5,,,"MATCHS")),1,0),,,IF(INDIRECT(ADDRESS(144,3,,,"MATCHS"))&lt;INDIRECT(ADDRESS(144,5,,,"MATCHS")),1,0),,)</f>
        <v>0</v>
      </c>
      <c r="G69" s="52">
        <f ca="1">SUM(,INDIRECT(ADDRESS(19,5,,,"MATCHS")),,,,INDIRECT(ADDRESS(52,3,,,"MATCHS")),,,,,,INDIRECT(ADDRESS(114,3,,,"MATCHS")),,,INDIRECT(ADDRESS(144,3,,,"MATCHS")),,)</f>
        <v>0</v>
      </c>
      <c r="H69" s="52">
        <f ca="1">SUM(,INDIRECT(ADDRESS(19,3,,,"MATCHS")),,,,INDIRECT(ADDRESS(52,5,,,"MATCHS")),,,,,,INDIRECT(ADDRESS(114,5,,,"MATCHS")),,,INDIRECT(ADDRESS(144,5,,,"MATCHS")),,)</f>
        <v>0</v>
      </c>
      <c r="I69" s="52">
        <f ca="1">G69 - H69</f>
        <v>0</v>
      </c>
      <c r="J69" s="52">
        <v>0</v>
      </c>
      <c r="K69" s="52">
        <v>2</v>
      </c>
      <c r="L69" s="52"/>
      <c r="M69" s="69"/>
    </row>
    <row r="70" spans="1:13" ht="15.75" x14ac:dyDescent="0.25">
      <c r="A70" s="178"/>
      <c r="B70" s="52">
        <v>3</v>
      </c>
      <c r="C70" s="52" t="s">
        <v>145</v>
      </c>
      <c r="D70" s="52" t="str">
        <f>INSCRIPTS!C52</f>
        <v>3I</v>
      </c>
      <c r="E70" s="90">
        <f ca="1">SUM(,IF(INDIRECT(ADDRESS(20,3,,,"MATCHS"))&gt;INDIRECT(ADDRESS(20,5,,,"MATCHS")),1,0),,,IF(INDIRECT(ADDRESS(50,5,,,"MATCHS"))&gt;INDIRECT(ADDRESS(50,3,,,"MATCHS")),1,0),,,,IF(INDIRECT(ADDRESS(83,3,,,"MATCHS"))&gt;INDIRECT(ADDRESS(83,5,,,"MATCHS")),1,0),,,,,,IF(INDIRECT(ADDRESS(144,5,,,"MATCHS"))&gt;INDIRECT(ADDRESS(144,3,,,"MATCHS")),1,0),,) + 0.1 * J70</f>
        <v>0</v>
      </c>
      <c r="F70" s="52">
        <f ca="1">SUM(,IF(INDIRECT(ADDRESS(20,3,,,"MATCHS"))&lt;INDIRECT(ADDRESS(20,5,,,"MATCHS")),1,0),,,IF(INDIRECT(ADDRESS(50,5,,,"MATCHS"))&lt;INDIRECT(ADDRESS(50,3,,,"MATCHS")),1,0),,,,IF(INDIRECT(ADDRESS(83,3,,,"MATCHS"))&lt;INDIRECT(ADDRESS(83,5,,,"MATCHS")),1,0),,,,,,IF(INDIRECT(ADDRESS(144,5,,,"MATCHS"))&lt;INDIRECT(ADDRESS(144,3,,,"MATCHS")),1,0),,)</f>
        <v>0</v>
      </c>
      <c r="G70" s="52">
        <f ca="1">SUM(,INDIRECT(ADDRESS(20,3,,,"MATCHS")),,,INDIRECT(ADDRESS(50,5,,,"MATCHS")),,,,INDIRECT(ADDRESS(83,3,,,"MATCHS")),,,,,,INDIRECT(ADDRESS(144,5,,,"MATCHS")),,)</f>
        <v>0</v>
      </c>
      <c r="H70" s="52">
        <f ca="1">SUM(,INDIRECT(ADDRESS(20,5,,,"MATCHS")),,,INDIRECT(ADDRESS(50,3,,,"MATCHS")),,,,INDIRECT(ADDRESS(83,5,,,"MATCHS")),,,,,,INDIRECT(ADDRESS(144,3,,,"MATCHS")),,)</f>
        <v>0</v>
      </c>
      <c r="I70" s="52">
        <f ca="1">G70 - H70</f>
        <v>0</v>
      </c>
      <c r="J70" s="52">
        <v>0</v>
      </c>
      <c r="K70" s="52">
        <v>3</v>
      </c>
      <c r="L70" s="52"/>
      <c r="M70" s="69"/>
    </row>
    <row r="71" spans="1:13" ht="15.75" x14ac:dyDescent="0.25">
      <c r="A71" s="178"/>
      <c r="B71" s="52">
        <v>4</v>
      </c>
      <c r="C71" s="52" t="s">
        <v>146</v>
      </c>
      <c r="D71" s="52" t="str">
        <f>INSCRIPTS!C53</f>
        <v>4I</v>
      </c>
      <c r="E71" s="90">
        <f ca="1">SUM(,IF(INDIRECT(ADDRESS(20,5,,,"MATCHS"))&gt;INDIRECT(ADDRESS(20,3,,,"MATCHS")),1,0),,,,,,,IF(INDIRECT(ADDRESS(82,5,,,"MATCHS"))&gt;INDIRECT(ADDRESS(82,3,,,"MATCHS")),1,0),,,IF(INDIRECT(ADDRESS(114,5,,,"MATCHS"))&gt;INDIRECT(ADDRESS(114,3,,,"MATCHS")),1,0),,,IF(INDIRECT(ADDRESS(145,3,,,"MATCHS"))&gt;INDIRECT(ADDRESS(145,5,,,"MATCHS")),1,0),,) + 0.1 * J71</f>
        <v>0</v>
      </c>
      <c r="F71" s="52">
        <f ca="1">SUM(,IF(INDIRECT(ADDRESS(20,5,,,"MATCHS"))&lt;INDIRECT(ADDRESS(20,3,,,"MATCHS")),1,0),,,,,,,IF(INDIRECT(ADDRESS(82,5,,,"MATCHS"))&lt;INDIRECT(ADDRESS(82,3,,,"MATCHS")),1,0),,,IF(INDIRECT(ADDRESS(114,5,,,"MATCHS"))&lt;INDIRECT(ADDRESS(114,3,,,"MATCHS")),1,0),,,IF(INDIRECT(ADDRESS(145,3,,,"MATCHS"))&lt;INDIRECT(ADDRESS(145,5,,,"MATCHS")),1,0),,)</f>
        <v>0</v>
      </c>
      <c r="G71" s="52">
        <f ca="1">SUM(,INDIRECT(ADDRESS(20,5,,,"MATCHS")),,,,,,,INDIRECT(ADDRESS(82,5,,,"MATCHS")),,,INDIRECT(ADDRESS(114,5,,,"MATCHS")),,,INDIRECT(ADDRESS(145,3,,,"MATCHS")),,)</f>
        <v>0</v>
      </c>
      <c r="H71" s="52">
        <f ca="1">SUM(,INDIRECT(ADDRESS(20,3,,,"MATCHS")),,,,,,,INDIRECT(ADDRESS(82,3,,,"MATCHS")),,,INDIRECT(ADDRESS(114,3,,,"MATCHS")),,,INDIRECT(ADDRESS(145,5,,,"MATCHS")),,)</f>
        <v>0</v>
      </c>
      <c r="I71" s="52">
        <f ca="1">G71 - H71</f>
        <v>0</v>
      </c>
      <c r="J71" s="52">
        <v>0</v>
      </c>
      <c r="K71" s="52">
        <v>4</v>
      </c>
      <c r="L71" s="52"/>
      <c r="M71" s="69"/>
    </row>
    <row r="72" spans="1:13" ht="15.75" x14ac:dyDescent="0.25">
      <c r="A72" s="178"/>
      <c r="B72" s="52">
        <v>5</v>
      </c>
      <c r="C72" s="52" t="s">
        <v>147</v>
      </c>
      <c r="D72" s="52" t="str">
        <f>INSCRIPTS!C54</f>
        <v>5I</v>
      </c>
      <c r="E72" s="90">
        <f ca="1">SUM(,,,,,IF(INDIRECT(ADDRESS(52,5,,,"MATCHS"))&gt;INDIRECT(ADDRESS(52,3,,,"MATCHS")),1,0),,,IF(INDIRECT(ADDRESS(83,5,,,"MATCHS"))&gt;INDIRECT(ADDRESS(83,3,,,"MATCHS")),1,0),,,IF(INDIRECT(ADDRESS(113,5,,,"MATCHS"))&gt;INDIRECT(ADDRESS(113,3,,,"MATCHS")),1,0),,,IF(INDIRECT(ADDRESS(145,5,,,"MATCHS"))&gt;INDIRECT(ADDRESS(145,3,,,"MATCHS")),1,0),,) + 0.1 * J72</f>
        <v>0</v>
      </c>
      <c r="F72" s="52">
        <f ca="1">SUM(,,,,,IF(INDIRECT(ADDRESS(52,5,,,"MATCHS"))&lt;INDIRECT(ADDRESS(52,3,,,"MATCHS")),1,0),,,IF(INDIRECT(ADDRESS(83,5,,,"MATCHS"))&lt;INDIRECT(ADDRESS(83,3,,,"MATCHS")),1,0),,,IF(INDIRECT(ADDRESS(113,5,,,"MATCHS"))&lt;INDIRECT(ADDRESS(113,3,,,"MATCHS")),1,0),,,IF(INDIRECT(ADDRESS(145,5,,,"MATCHS"))&lt;INDIRECT(ADDRESS(145,3,,,"MATCHS")),1,0),,)</f>
        <v>0</v>
      </c>
      <c r="G72" s="52">
        <f ca="1">SUM(,,,,,INDIRECT(ADDRESS(52,5,,,"MATCHS")),,,INDIRECT(ADDRESS(83,5,,,"MATCHS")),,,INDIRECT(ADDRESS(113,5,,,"MATCHS")),,,INDIRECT(ADDRESS(145,5,,,"MATCHS")),,)</f>
        <v>0</v>
      </c>
      <c r="H72" s="52">
        <f ca="1">SUM(,,,,,INDIRECT(ADDRESS(52,3,,,"MATCHS")),,,INDIRECT(ADDRESS(83,3,,,"MATCHS")),,,INDIRECT(ADDRESS(113,3,,,"MATCHS")),,,INDIRECT(ADDRESS(145,3,,,"MATCHS")),,)</f>
        <v>0</v>
      </c>
      <c r="I72" s="52">
        <f ca="1">G72 - H72</f>
        <v>0</v>
      </c>
      <c r="J72" s="52">
        <v>0</v>
      </c>
      <c r="K72" s="52">
        <v>5</v>
      </c>
      <c r="L72" s="52"/>
      <c r="M72" s="69"/>
    </row>
    <row r="73" spans="1:13" ht="15.75" thickBot="1" x14ac:dyDescent="0.3"/>
    <row r="74" spans="1:13" ht="30.95" customHeight="1" thickBot="1" x14ac:dyDescent="0.3">
      <c r="C74" s="85" t="s">
        <v>228</v>
      </c>
      <c r="D74" s="85" t="s">
        <v>135</v>
      </c>
      <c r="E74" s="86" t="s">
        <v>229</v>
      </c>
      <c r="F74" s="85" t="s">
        <v>230</v>
      </c>
      <c r="G74" s="85" t="s">
        <v>231</v>
      </c>
      <c r="H74" s="85" t="s">
        <v>232</v>
      </c>
      <c r="I74" s="85" t="s">
        <v>233</v>
      </c>
      <c r="J74" s="48" t="s">
        <v>234</v>
      </c>
      <c r="K74" s="85" t="s">
        <v>235</v>
      </c>
      <c r="L74" s="48" t="s">
        <v>53</v>
      </c>
    </row>
    <row r="76" spans="1:13" ht="15.75" x14ac:dyDescent="0.25">
      <c r="A76" s="179" t="s">
        <v>148</v>
      </c>
      <c r="B76" s="91">
        <v>1</v>
      </c>
      <c r="C76" s="91" t="s">
        <v>149</v>
      </c>
      <c r="D76" s="91" t="str">
        <f>INSCRIPTS!C56</f>
        <v>1J</v>
      </c>
      <c r="E76" s="92">
        <f ca="1">SUM(,,IF(INDIRECT(ADDRESS(22,3,,,"MATCHS"))&gt;INDIRECT(ADDRESS(22,5,,,"MATCHS")),1,0),,,IF(INDIRECT(ADDRESS(53,3,,,"MATCHS"))&gt;INDIRECT(ADDRESS(53,5,,,"MATCHS")),1,0),,,IF(INDIRECT(ADDRESS(84,3,,,"MATCHS"))&gt;INDIRECT(ADDRESS(84,5,,,"MATCHS")),1,0),,,IF(INDIRECT(ADDRESS(115,3,,,"MATCHS"))&gt;INDIRECT(ADDRESS(115,5,,,"MATCHS")),1,0),,,,,) + 0.1 * J76</f>
        <v>0</v>
      </c>
      <c r="F76" s="91">
        <f ca="1">SUM(,,IF(INDIRECT(ADDRESS(22,3,,,"MATCHS"))&lt;INDIRECT(ADDRESS(22,5,,,"MATCHS")),1,0),,,IF(INDIRECT(ADDRESS(53,3,,,"MATCHS"))&lt;INDIRECT(ADDRESS(53,5,,,"MATCHS")),1,0),,,IF(INDIRECT(ADDRESS(84,3,,,"MATCHS"))&lt;INDIRECT(ADDRESS(84,5,,,"MATCHS")),1,0),,,IF(INDIRECT(ADDRESS(115,3,,,"MATCHS"))&lt;INDIRECT(ADDRESS(115,5,,,"MATCHS")),1,0),,,,,)</f>
        <v>0</v>
      </c>
      <c r="G76" s="91">
        <f ca="1">SUM(,,INDIRECT(ADDRESS(22,3,,,"MATCHS")),,,INDIRECT(ADDRESS(53,3,,,"MATCHS")),,,INDIRECT(ADDRESS(84,3,,,"MATCHS")),,,INDIRECT(ADDRESS(115,3,,,"MATCHS")),,,,,)</f>
        <v>0</v>
      </c>
      <c r="H76" s="91">
        <f ca="1">SUM(,,INDIRECT(ADDRESS(22,5,,,"MATCHS")),,,INDIRECT(ADDRESS(53,5,,,"MATCHS")),,,INDIRECT(ADDRESS(84,5,,,"MATCHS")),,,INDIRECT(ADDRESS(115,5,,,"MATCHS")),,,,,)</f>
        <v>0</v>
      </c>
      <c r="I76" s="91">
        <f ca="1">G76 - H76</f>
        <v>0</v>
      </c>
      <c r="J76" s="91">
        <v>0</v>
      </c>
      <c r="K76" s="91">
        <v>1</v>
      </c>
      <c r="L76" s="91"/>
      <c r="M76" s="69"/>
    </row>
    <row r="77" spans="1:13" ht="15.75" x14ac:dyDescent="0.25">
      <c r="A77" s="179"/>
      <c r="B77" s="91">
        <v>2</v>
      </c>
      <c r="C77" s="91" t="s">
        <v>150</v>
      </c>
      <c r="D77" s="91" t="str">
        <f>INSCRIPTS!C57</f>
        <v>2J</v>
      </c>
      <c r="E77" s="92">
        <f ca="1">SUM(,,IF(INDIRECT(ADDRESS(22,5,,,"MATCHS"))&gt;INDIRECT(ADDRESS(22,3,,,"MATCHS")),1,0),,,IF(INDIRECT(ADDRESS(54,3,,,"MATCHS"))&gt;INDIRECT(ADDRESS(54,5,,,"MATCHS")),1,0),,,,,,IF(INDIRECT(ADDRESS(116,3,,,"MATCHS"))&gt;INDIRECT(ADDRESS(116,5,,,"MATCHS")),1,0),,,IF(INDIRECT(ADDRESS(146,3,,,"MATCHS"))&gt;INDIRECT(ADDRESS(146,5,,,"MATCHS")),1,0),,) + 0.1 * J77</f>
        <v>0</v>
      </c>
      <c r="F77" s="91">
        <f ca="1">SUM(,,IF(INDIRECT(ADDRESS(22,5,,,"MATCHS"))&lt;INDIRECT(ADDRESS(22,3,,,"MATCHS")),1,0),,,IF(INDIRECT(ADDRESS(54,3,,,"MATCHS"))&lt;INDIRECT(ADDRESS(54,5,,,"MATCHS")),1,0),,,,,,IF(INDIRECT(ADDRESS(116,3,,,"MATCHS"))&lt;INDIRECT(ADDRESS(116,5,,,"MATCHS")),1,0),,,IF(INDIRECT(ADDRESS(146,3,,,"MATCHS"))&lt;INDIRECT(ADDRESS(146,5,,,"MATCHS")),1,0),,)</f>
        <v>0</v>
      </c>
      <c r="G77" s="91">
        <f ca="1">SUM(,,INDIRECT(ADDRESS(22,5,,,"MATCHS")),,,INDIRECT(ADDRESS(54,3,,,"MATCHS")),,,,,,INDIRECT(ADDRESS(116,3,,,"MATCHS")),,,INDIRECT(ADDRESS(146,3,,,"MATCHS")),,)</f>
        <v>0</v>
      </c>
      <c r="H77" s="91">
        <f ca="1">SUM(,,INDIRECT(ADDRESS(22,3,,,"MATCHS")),,,INDIRECT(ADDRESS(54,5,,,"MATCHS")),,,,,,INDIRECT(ADDRESS(116,5,,,"MATCHS")),,,INDIRECT(ADDRESS(146,5,,,"MATCHS")),,)</f>
        <v>0</v>
      </c>
      <c r="I77" s="91">
        <f ca="1">G77 - H77</f>
        <v>0</v>
      </c>
      <c r="J77" s="91">
        <v>0</v>
      </c>
      <c r="K77" s="91">
        <v>2</v>
      </c>
      <c r="L77" s="91"/>
      <c r="M77" s="69"/>
    </row>
    <row r="78" spans="1:13" ht="15.75" x14ac:dyDescent="0.25">
      <c r="A78" s="179"/>
      <c r="B78" s="91">
        <v>3</v>
      </c>
      <c r="C78" s="91" t="s">
        <v>151</v>
      </c>
      <c r="D78" s="91" t="str">
        <f>INSCRIPTS!C58</f>
        <v>3J</v>
      </c>
      <c r="E78" s="92">
        <f ca="1">SUM(,,IF(INDIRECT(ADDRESS(23,3,,,"MATCHS"))&gt;INDIRECT(ADDRESS(23,5,,,"MATCHS")),1,0),,,IF(INDIRECT(ADDRESS(53,5,,,"MATCHS"))&gt;INDIRECT(ADDRESS(53,3,,,"MATCHS")),1,0),,,IF(INDIRECT(ADDRESS(85,3,,,"MATCHS"))&gt;INDIRECT(ADDRESS(85,5,,,"MATCHS")),1,0),,,,,,IF(INDIRECT(ADDRESS(146,5,,,"MATCHS"))&gt;INDIRECT(ADDRESS(146,3,,,"MATCHS")),1,0),,) + 0.1 * J78</f>
        <v>0</v>
      </c>
      <c r="F78" s="91">
        <f ca="1">SUM(,,IF(INDIRECT(ADDRESS(23,3,,,"MATCHS"))&lt;INDIRECT(ADDRESS(23,5,,,"MATCHS")),1,0),,,IF(INDIRECT(ADDRESS(53,5,,,"MATCHS"))&lt;INDIRECT(ADDRESS(53,3,,,"MATCHS")),1,0),,,IF(INDIRECT(ADDRESS(85,3,,,"MATCHS"))&lt;INDIRECT(ADDRESS(85,5,,,"MATCHS")),1,0),,,,,,IF(INDIRECT(ADDRESS(146,5,,,"MATCHS"))&lt;INDIRECT(ADDRESS(146,3,,,"MATCHS")),1,0),,)</f>
        <v>0</v>
      </c>
      <c r="G78" s="91">
        <f ca="1">SUM(,,INDIRECT(ADDRESS(23,3,,,"MATCHS")),,,INDIRECT(ADDRESS(53,5,,,"MATCHS")),,,INDIRECT(ADDRESS(85,3,,,"MATCHS")),,,,,,INDIRECT(ADDRESS(146,5,,,"MATCHS")),,)</f>
        <v>0</v>
      </c>
      <c r="H78" s="91">
        <f ca="1">SUM(,,INDIRECT(ADDRESS(23,5,,,"MATCHS")),,,INDIRECT(ADDRESS(53,3,,,"MATCHS")),,,INDIRECT(ADDRESS(85,5,,,"MATCHS")),,,,,,INDIRECT(ADDRESS(146,3,,,"MATCHS")),,)</f>
        <v>0</v>
      </c>
      <c r="I78" s="91">
        <f ca="1">G78 - H78</f>
        <v>0</v>
      </c>
      <c r="J78" s="91">
        <v>0</v>
      </c>
      <c r="K78" s="91">
        <v>3</v>
      </c>
      <c r="L78" s="91"/>
      <c r="M78" s="69"/>
    </row>
    <row r="79" spans="1:13" ht="15.75" x14ac:dyDescent="0.25">
      <c r="A79" s="179"/>
      <c r="B79" s="91">
        <v>4</v>
      </c>
      <c r="C79" s="91" t="s">
        <v>152</v>
      </c>
      <c r="D79" s="91" t="str">
        <f>INSCRIPTS!C59</f>
        <v>4J</v>
      </c>
      <c r="E79" s="92">
        <f ca="1">SUM(,,IF(INDIRECT(ADDRESS(23,5,,,"MATCHS"))&gt;INDIRECT(ADDRESS(23,3,,,"MATCHS")),1,0),,,,,,IF(INDIRECT(ADDRESS(84,5,,,"MATCHS"))&gt;INDIRECT(ADDRESS(84,3,,,"MATCHS")),1,0),,,IF(INDIRECT(ADDRESS(116,5,,,"MATCHS"))&gt;INDIRECT(ADDRESS(116,3,,,"MATCHS")),1,0),,,IF(INDIRECT(ADDRESS(147,3,,,"MATCHS"))&gt;INDIRECT(ADDRESS(147,5,,,"MATCHS")),1,0),,) + 0.1 * J79</f>
        <v>0</v>
      </c>
      <c r="F79" s="91">
        <f ca="1">SUM(,,IF(INDIRECT(ADDRESS(23,5,,,"MATCHS"))&lt;INDIRECT(ADDRESS(23,3,,,"MATCHS")),1,0),,,,,,IF(INDIRECT(ADDRESS(84,5,,,"MATCHS"))&lt;INDIRECT(ADDRESS(84,3,,,"MATCHS")),1,0),,,IF(INDIRECT(ADDRESS(116,5,,,"MATCHS"))&lt;INDIRECT(ADDRESS(116,3,,,"MATCHS")),1,0),,,IF(INDIRECT(ADDRESS(147,3,,,"MATCHS"))&lt;INDIRECT(ADDRESS(147,5,,,"MATCHS")),1,0),,)</f>
        <v>0</v>
      </c>
      <c r="G79" s="91">
        <f ca="1">SUM(,,INDIRECT(ADDRESS(23,5,,,"MATCHS")),,,,,,INDIRECT(ADDRESS(84,5,,,"MATCHS")),,,INDIRECT(ADDRESS(116,5,,,"MATCHS")),,,INDIRECT(ADDRESS(147,3,,,"MATCHS")),,)</f>
        <v>0</v>
      </c>
      <c r="H79" s="91">
        <f ca="1">SUM(,,INDIRECT(ADDRESS(23,3,,,"MATCHS")),,,,,,INDIRECT(ADDRESS(84,3,,,"MATCHS")),,,INDIRECT(ADDRESS(116,3,,,"MATCHS")),,,INDIRECT(ADDRESS(147,5,,,"MATCHS")),,)</f>
        <v>0</v>
      </c>
      <c r="I79" s="91">
        <f ca="1">G79 - H79</f>
        <v>0</v>
      </c>
      <c r="J79" s="91">
        <v>0</v>
      </c>
      <c r="K79" s="91">
        <v>4</v>
      </c>
      <c r="L79" s="91"/>
      <c r="M79" s="69"/>
    </row>
    <row r="80" spans="1:13" ht="15.75" x14ac:dyDescent="0.25">
      <c r="A80" s="179"/>
      <c r="B80" s="91">
        <v>5</v>
      </c>
      <c r="C80" s="91" t="s">
        <v>153</v>
      </c>
      <c r="D80" s="91" t="str">
        <f>INSCRIPTS!C60</f>
        <v>5J</v>
      </c>
      <c r="E80" s="92">
        <f ca="1">SUM(,,,,,IF(INDIRECT(ADDRESS(54,5,,,"MATCHS"))&gt;INDIRECT(ADDRESS(54,3,,,"MATCHS")),1,0),,,IF(INDIRECT(ADDRESS(85,5,,,"MATCHS"))&gt;INDIRECT(ADDRESS(85,3,,,"MATCHS")),1,0),,,IF(INDIRECT(ADDRESS(115,5,,,"MATCHS"))&gt;INDIRECT(ADDRESS(115,3,,,"MATCHS")),1,0),,,IF(INDIRECT(ADDRESS(147,5,,,"MATCHS"))&gt;INDIRECT(ADDRESS(147,3,,,"MATCHS")),1,0),,) + 0.1 * J80</f>
        <v>0</v>
      </c>
      <c r="F80" s="91">
        <f ca="1">SUM(,,,,,IF(INDIRECT(ADDRESS(54,5,,,"MATCHS"))&lt;INDIRECT(ADDRESS(54,3,,,"MATCHS")),1,0),,,IF(INDIRECT(ADDRESS(85,5,,,"MATCHS"))&lt;INDIRECT(ADDRESS(85,3,,,"MATCHS")),1,0),,,IF(INDIRECT(ADDRESS(115,5,,,"MATCHS"))&lt;INDIRECT(ADDRESS(115,3,,,"MATCHS")),1,0),,,IF(INDIRECT(ADDRESS(147,5,,,"MATCHS"))&lt;INDIRECT(ADDRESS(147,3,,,"MATCHS")),1,0),,)</f>
        <v>0</v>
      </c>
      <c r="G80" s="91">
        <f ca="1">SUM(,,,,,INDIRECT(ADDRESS(54,5,,,"MATCHS")),,,INDIRECT(ADDRESS(85,5,,,"MATCHS")),,,INDIRECT(ADDRESS(115,5,,,"MATCHS")),,,INDIRECT(ADDRESS(147,5,,,"MATCHS")),,)</f>
        <v>0</v>
      </c>
      <c r="H80" s="91">
        <f ca="1">SUM(,,,,,INDIRECT(ADDRESS(54,3,,,"MATCHS")),,,INDIRECT(ADDRESS(85,3,,,"MATCHS")),,,INDIRECT(ADDRESS(115,3,,,"MATCHS")),,,INDIRECT(ADDRESS(147,3,,,"MATCHS")),,)</f>
        <v>0</v>
      </c>
      <c r="I80" s="91">
        <f ca="1">G80 - H80</f>
        <v>0</v>
      </c>
      <c r="J80" s="91">
        <v>0</v>
      </c>
      <c r="K80" s="91">
        <v>5</v>
      </c>
      <c r="L80" s="91"/>
      <c r="M80" s="69"/>
    </row>
    <row r="81" spans="1:13" ht="15.75" thickBot="1" x14ac:dyDescent="0.3"/>
    <row r="82" spans="1:13" ht="30.95" customHeight="1" thickBot="1" x14ac:dyDescent="0.3">
      <c r="C82" s="85" t="s">
        <v>228</v>
      </c>
      <c r="D82" s="85" t="s">
        <v>154</v>
      </c>
      <c r="E82" s="86" t="s">
        <v>229</v>
      </c>
      <c r="F82" s="85" t="s">
        <v>230</v>
      </c>
      <c r="G82" s="85" t="s">
        <v>231</v>
      </c>
      <c r="H82" s="85" t="s">
        <v>232</v>
      </c>
      <c r="I82" s="85" t="s">
        <v>233</v>
      </c>
      <c r="J82" s="48" t="s">
        <v>234</v>
      </c>
      <c r="K82" s="85" t="s">
        <v>235</v>
      </c>
      <c r="L82" s="48" t="s">
        <v>53</v>
      </c>
    </row>
    <row r="84" spans="1:13" ht="15.75" x14ac:dyDescent="0.25">
      <c r="A84" s="181" t="s">
        <v>155</v>
      </c>
      <c r="B84" s="49">
        <v>1</v>
      </c>
      <c r="C84" s="49" t="s">
        <v>156</v>
      </c>
      <c r="D84" s="49" t="str">
        <f>INSCRIPTS!C62</f>
        <v>1K</v>
      </c>
      <c r="E84" s="87">
        <f ca="1">SUM(,,IF(INDIRECT(ADDRESS(24,3,,,"MATCHS"))&gt;INDIRECT(ADDRESS(24,5,,,"MATCHS")),1,0),,,IF(INDIRECT(ADDRESS(55,3,,,"MATCHS"))&gt;INDIRECT(ADDRESS(55,5,,,"MATCHS")),1,0),,,IF(INDIRECT(ADDRESS(86,3,,,"MATCHS"))&gt;INDIRECT(ADDRESS(86,5,,,"MATCHS")),1,0),,,IF(INDIRECT(ADDRESS(117,3,,,"MATCHS"))&gt;INDIRECT(ADDRESS(117,5,,,"MATCHS")),1,0),,,,IF(INDIRECT(ADDRESS(157,3,,,"MATCHS"))&gt;INDIRECT(ADDRESS(157,5,,,"MATCHS")),1,0),IF(INDIRECT(ADDRESS(162,3,,,"MATCHS"))&gt;INDIRECT(ADDRESS(162,5,,,"MATCHS")),1,0)) + 0.1 * J84</f>
        <v>0</v>
      </c>
      <c r="F84" s="49">
        <f ca="1">SUM(,,IF(INDIRECT(ADDRESS(24,3,,,"MATCHS"))&lt;INDIRECT(ADDRESS(24,5,,,"MATCHS")),1,0),,,IF(INDIRECT(ADDRESS(55,3,,,"MATCHS"))&lt;INDIRECT(ADDRESS(55,5,,,"MATCHS")),1,0),,,IF(INDIRECT(ADDRESS(86,3,,,"MATCHS"))&lt;INDIRECT(ADDRESS(86,5,,,"MATCHS")),1,0),,,IF(INDIRECT(ADDRESS(117,3,,,"MATCHS"))&lt;INDIRECT(ADDRESS(117,5,,,"MATCHS")),1,0),,,,IF(INDIRECT(ADDRESS(157,3,,,"MATCHS"))&lt;INDIRECT(ADDRESS(157,5,,,"MATCHS")),1,0),IF(INDIRECT(ADDRESS(162,3,,,"MATCHS"))&lt;INDIRECT(ADDRESS(162,5,,,"MATCHS")),1,0))</f>
        <v>0</v>
      </c>
      <c r="G84" s="49">
        <f ca="1">SUM(,,INDIRECT(ADDRESS(24,3,,,"MATCHS")),,,INDIRECT(ADDRESS(55,3,,,"MATCHS")),,,INDIRECT(ADDRESS(86,3,,,"MATCHS")),,,INDIRECT(ADDRESS(117,3,,,"MATCHS")),,,,INDIRECT(ADDRESS(157,3,,,"MATCHS")),INDIRECT(ADDRESS(162,3,,,"MATCHS")))</f>
        <v>0</v>
      </c>
      <c r="H84" s="49">
        <f ca="1">SUM(,,INDIRECT(ADDRESS(24,5,,,"MATCHS")),,,INDIRECT(ADDRESS(55,5,,,"MATCHS")),,,INDIRECT(ADDRESS(86,5,,,"MATCHS")),,,INDIRECT(ADDRESS(117,5,,,"MATCHS")),,,,INDIRECT(ADDRESS(157,5,,,"MATCHS")),INDIRECT(ADDRESS(162,5,,,"MATCHS")))</f>
        <v>0</v>
      </c>
      <c r="I84" s="49">
        <f t="shared" ref="I84:I90" ca="1" si="0">G84 - H84</f>
        <v>0</v>
      </c>
      <c r="J84" s="49">
        <v>0</v>
      </c>
      <c r="K84" s="49">
        <v>1</v>
      </c>
      <c r="L84" s="49"/>
      <c r="M84" s="69"/>
    </row>
    <row r="85" spans="1:13" ht="15.75" x14ac:dyDescent="0.25">
      <c r="A85" s="181"/>
      <c r="B85" s="49">
        <v>2</v>
      </c>
      <c r="C85" s="49" t="s">
        <v>157</v>
      </c>
      <c r="D85" s="49" t="str">
        <f>INSCRIPTS!C63</f>
        <v>2K</v>
      </c>
      <c r="E85" s="87">
        <f ca="1">SUM(,,IF(INDIRECT(ADDRESS(24,5,,,"MATCHS"))&gt;INDIRECT(ADDRESS(24,3,,,"MATCHS")),1,0),,,,,,IF(INDIRECT(ADDRESS(87,3,,,"MATCHS"))&gt;INDIRECT(ADDRESS(87,5,,,"MATCHS")),1,0),,,IF(INDIRECT(ADDRESS(119,3,,,"MATCHS"))&gt;INDIRECT(ADDRESS(119,5,,,"MATCHS")),1,0),,,IF(INDIRECT(ADDRESS(149,3,,,"MATCHS"))&gt;INDIRECT(ADDRESS(149,5,,,"MATCHS")),1,0),IF(INDIRECT(ADDRESS(158,3,,,"MATCHS"))&gt;INDIRECT(ADDRESS(158,5,,,"MATCHS")),1,0),IF(INDIRECT(ADDRESS(163,3,,,"MATCHS"))&gt;INDIRECT(ADDRESS(163,5,,,"MATCHS")),1,0)) + 0.1 * J85</f>
        <v>0</v>
      </c>
      <c r="F85" s="49">
        <f ca="1">SUM(,,IF(INDIRECT(ADDRESS(24,5,,,"MATCHS"))&lt;INDIRECT(ADDRESS(24,3,,,"MATCHS")),1,0),,,,,,IF(INDIRECT(ADDRESS(87,3,,,"MATCHS"))&lt;INDIRECT(ADDRESS(87,5,,,"MATCHS")),1,0),,,IF(INDIRECT(ADDRESS(119,3,,,"MATCHS"))&lt;INDIRECT(ADDRESS(119,5,,,"MATCHS")),1,0),,,IF(INDIRECT(ADDRESS(149,3,,,"MATCHS"))&lt;INDIRECT(ADDRESS(149,5,,,"MATCHS")),1,0),IF(INDIRECT(ADDRESS(158,3,,,"MATCHS"))&lt;INDIRECT(ADDRESS(158,5,,,"MATCHS")),1,0),IF(INDIRECT(ADDRESS(163,3,,,"MATCHS"))&lt;INDIRECT(ADDRESS(163,5,,,"MATCHS")),1,0))</f>
        <v>0</v>
      </c>
      <c r="G85" s="49">
        <f ca="1">SUM(,,INDIRECT(ADDRESS(24,5,,,"MATCHS")),,,,,,INDIRECT(ADDRESS(87,3,,,"MATCHS")),,,INDIRECT(ADDRESS(119,3,,,"MATCHS")),,,INDIRECT(ADDRESS(149,3,,,"MATCHS")),INDIRECT(ADDRESS(158,3,,,"MATCHS")),INDIRECT(ADDRESS(163,3,,,"MATCHS")))</f>
        <v>0</v>
      </c>
      <c r="H85" s="49">
        <f ca="1">SUM(,,INDIRECT(ADDRESS(24,3,,,"MATCHS")),,,,,,INDIRECT(ADDRESS(87,5,,,"MATCHS")),,,INDIRECT(ADDRESS(119,5,,,"MATCHS")),,,INDIRECT(ADDRESS(149,5,,,"MATCHS")),INDIRECT(ADDRESS(158,5,,,"MATCHS")),INDIRECT(ADDRESS(163,5,,,"MATCHS")))</f>
        <v>0</v>
      </c>
      <c r="I85" s="49">
        <f t="shared" ca="1" si="0"/>
        <v>0</v>
      </c>
      <c r="J85" s="49">
        <v>0</v>
      </c>
      <c r="K85" s="49">
        <v>2</v>
      </c>
      <c r="L85" s="49"/>
      <c r="M85" s="69"/>
    </row>
    <row r="86" spans="1:13" ht="15.75" x14ac:dyDescent="0.25">
      <c r="A86" s="181"/>
      <c r="B86" s="49">
        <v>3</v>
      </c>
      <c r="C86" s="49" t="s">
        <v>158</v>
      </c>
      <c r="D86" s="49" t="str">
        <f>INSCRIPTS!C64</f>
        <v>3K</v>
      </c>
      <c r="E86" s="87">
        <f ca="1">SUM(,,IF(INDIRECT(ADDRESS(25,3,,,"MATCHS"))&gt;INDIRECT(ADDRESS(25,5,,,"MATCHS")),1,0),,,IF(INDIRECT(ADDRESS(55,5,,,"MATCHS"))&gt;INDIRECT(ADDRESS(55,3,,,"MATCHS")),1,0),,,IF(INDIRECT(ADDRESS(88,5,,,"MATCHS"))&gt;INDIRECT(ADDRESS(88,3,,,"MATCHS")),1,0),,,IF(INDIRECT(ADDRESS(118,5,,,"MATCHS"))&gt;INDIRECT(ADDRESS(118,3,,,"MATCHS")),1,0),,,IF(INDIRECT(ADDRESS(148,3,,,"MATCHS"))&gt;INDIRECT(ADDRESS(148,5,,,"MATCHS")),1,0),,IF(INDIRECT(ADDRESS(163,5,,,"MATCHS"))&gt;INDIRECT(ADDRESS(163,3,,,"MATCHS")),1,0)) + 0.1 * J86</f>
        <v>0</v>
      </c>
      <c r="F86" s="49">
        <f ca="1">SUM(,,IF(INDIRECT(ADDRESS(25,3,,,"MATCHS"))&lt;INDIRECT(ADDRESS(25,5,,,"MATCHS")),1,0),,,IF(INDIRECT(ADDRESS(55,5,,,"MATCHS"))&lt;INDIRECT(ADDRESS(55,3,,,"MATCHS")),1,0),,,IF(INDIRECT(ADDRESS(88,5,,,"MATCHS"))&lt;INDIRECT(ADDRESS(88,3,,,"MATCHS")),1,0),,,IF(INDIRECT(ADDRESS(118,5,,,"MATCHS"))&lt;INDIRECT(ADDRESS(118,3,,,"MATCHS")),1,0),,,IF(INDIRECT(ADDRESS(148,3,,,"MATCHS"))&lt;INDIRECT(ADDRESS(148,5,,,"MATCHS")),1,0),,IF(INDIRECT(ADDRESS(163,5,,,"MATCHS"))&lt;INDIRECT(ADDRESS(163,3,,,"MATCHS")),1,0))</f>
        <v>0</v>
      </c>
      <c r="G86" s="49">
        <f ca="1">SUM(,,INDIRECT(ADDRESS(25,3,,,"MATCHS")),,,INDIRECT(ADDRESS(55,5,,,"MATCHS")),,,INDIRECT(ADDRESS(88,5,,,"MATCHS")),,,INDIRECT(ADDRESS(118,5,,,"MATCHS")),,,INDIRECT(ADDRESS(148,3,,,"MATCHS")),,INDIRECT(ADDRESS(163,5,,,"MATCHS")))</f>
        <v>0</v>
      </c>
      <c r="H86" s="49">
        <f ca="1">SUM(,,INDIRECT(ADDRESS(25,5,,,"MATCHS")),,,INDIRECT(ADDRESS(55,3,,,"MATCHS")),,,INDIRECT(ADDRESS(88,3,,,"MATCHS")),,,INDIRECT(ADDRESS(118,3,,,"MATCHS")),,,INDIRECT(ADDRESS(148,5,,,"MATCHS")),,INDIRECT(ADDRESS(163,3,,,"MATCHS")))</f>
        <v>0</v>
      </c>
      <c r="I86" s="49">
        <f t="shared" ca="1" si="0"/>
        <v>0</v>
      </c>
      <c r="J86" s="49">
        <v>0</v>
      </c>
      <c r="K86" s="49">
        <v>3</v>
      </c>
      <c r="L86" s="49"/>
      <c r="M86" s="69"/>
    </row>
    <row r="87" spans="1:13" ht="15.75" x14ac:dyDescent="0.25">
      <c r="A87" s="181"/>
      <c r="B87" s="49">
        <v>4</v>
      </c>
      <c r="C87" s="49" t="s">
        <v>159</v>
      </c>
      <c r="D87" s="49" t="str">
        <f>INSCRIPTS!C65</f>
        <v>4K</v>
      </c>
      <c r="E87" s="87">
        <f ca="1">SUM(,,IF(INDIRECT(ADDRESS(25,5,,,"MATCHS"))&gt;INDIRECT(ADDRESS(25,3,,,"MATCHS")),1,0),,,IF(INDIRECT(ADDRESS(56,5,,,"MATCHS"))&gt;INDIRECT(ADDRESS(56,3,,,"MATCHS")),1,0),,,IF(INDIRECT(ADDRESS(86,5,,,"MATCHS"))&gt;INDIRECT(ADDRESS(86,3,,,"MATCHS")),1,0),,,,,,IF(INDIRECT(ADDRESS(150,3,,,"MATCHS"))&gt;INDIRECT(ADDRESS(150,5,,,"MATCHS")),1,0),IF(INDIRECT(ADDRESS(158,5,,,"MATCHS"))&gt;INDIRECT(ADDRESS(158,3,,,"MATCHS")),1,0),IF(INDIRECT(ADDRESS(164,3,,,"MATCHS"))&gt;INDIRECT(ADDRESS(164,5,,,"MATCHS")),1,0)) + 0.1 * J87</f>
        <v>0</v>
      </c>
      <c r="F87" s="49">
        <f ca="1">SUM(,,IF(INDIRECT(ADDRESS(25,5,,,"MATCHS"))&lt;INDIRECT(ADDRESS(25,3,,,"MATCHS")),1,0),,,IF(INDIRECT(ADDRESS(56,5,,,"MATCHS"))&lt;INDIRECT(ADDRESS(56,3,,,"MATCHS")),1,0),,,IF(INDIRECT(ADDRESS(86,5,,,"MATCHS"))&lt;INDIRECT(ADDRESS(86,3,,,"MATCHS")),1,0),,,,,,IF(INDIRECT(ADDRESS(150,3,,,"MATCHS"))&lt;INDIRECT(ADDRESS(150,5,,,"MATCHS")),1,0),IF(INDIRECT(ADDRESS(158,5,,,"MATCHS"))&lt;INDIRECT(ADDRESS(158,3,,,"MATCHS")),1,0),IF(INDIRECT(ADDRESS(164,3,,,"MATCHS"))&lt;INDIRECT(ADDRESS(164,5,,,"MATCHS")),1,0))</f>
        <v>0</v>
      </c>
      <c r="G87" s="49">
        <f ca="1">SUM(,,INDIRECT(ADDRESS(25,5,,,"MATCHS")),,,INDIRECT(ADDRESS(56,5,,,"MATCHS")),,,INDIRECT(ADDRESS(86,5,,,"MATCHS")),,,,,,INDIRECT(ADDRESS(150,3,,,"MATCHS")),INDIRECT(ADDRESS(158,5,,,"MATCHS")),INDIRECT(ADDRESS(164,3,,,"MATCHS")))</f>
        <v>0</v>
      </c>
      <c r="H87" s="49">
        <f ca="1">SUM(,,INDIRECT(ADDRESS(25,3,,,"MATCHS")),,,INDIRECT(ADDRESS(56,3,,,"MATCHS")),,,INDIRECT(ADDRESS(86,3,,,"MATCHS")),,,,,,INDIRECT(ADDRESS(150,5,,,"MATCHS")),INDIRECT(ADDRESS(158,3,,,"MATCHS")),INDIRECT(ADDRESS(164,5,,,"MATCHS")))</f>
        <v>0</v>
      </c>
      <c r="I87" s="49">
        <f t="shared" ca="1" si="0"/>
        <v>0</v>
      </c>
      <c r="J87" s="49">
        <v>0</v>
      </c>
      <c r="K87" s="49">
        <v>4</v>
      </c>
      <c r="L87" s="49"/>
      <c r="M87" s="69"/>
    </row>
    <row r="88" spans="1:13" ht="15.75" x14ac:dyDescent="0.25">
      <c r="A88" s="181"/>
      <c r="B88" s="49">
        <v>5</v>
      </c>
      <c r="C88" s="49" t="s">
        <v>160</v>
      </c>
      <c r="D88" s="49" t="str">
        <f>INSCRIPTS!C66</f>
        <v>5K</v>
      </c>
      <c r="E88" s="87">
        <f ca="1">SUM(,,IF(INDIRECT(ADDRESS(26,3,,,"MATCHS"))&gt;INDIRECT(ADDRESS(26,5,,,"MATCHS")),1,0),,,IF(INDIRECT(ADDRESS(56,3,,,"MATCHS"))&gt;INDIRECT(ADDRESS(56,5,,,"MATCHS")),1,0),,,IF(INDIRECT(ADDRESS(87,5,,,"MATCHS"))&gt;INDIRECT(ADDRESS(87,3,,,"MATCHS")),1,0),,,IF(INDIRECT(ADDRESS(117,5,,,"MATCHS"))&gt;INDIRECT(ADDRESS(117,3,,,"MATCHS")),1,0),,,IF(INDIRECT(ADDRESS(148,5,,,"MATCHS"))&gt;INDIRECT(ADDRESS(148,3,,,"MATCHS")),1,0),IF(INDIRECT(ADDRESS(159,3,,,"MATCHS"))&gt;INDIRECT(ADDRESS(159,5,,,"MATCHS")),1,0),) + 0.1 * J88</f>
        <v>0</v>
      </c>
      <c r="F88" s="49">
        <f ca="1">SUM(,,IF(INDIRECT(ADDRESS(26,3,,,"MATCHS"))&lt;INDIRECT(ADDRESS(26,5,,,"MATCHS")),1,0),,,IF(INDIRECT(ADDRESS(56,3,,,"MATCHS"))&lt;INDIRECT(ADDRESS(56,5,,,"MATCHS")),1,0),,,IF(INDIRECT(ADDRESS(87,5,,,"MATCHS"))&lt;INDIRECT(ADDRESS(87,3,,,"MATCHS")),1,0),,,IF(INDIRECT(ADDRESS(117,5,,,"MATCHS"))&lt;INDIRECT(ADDRESS(117,3,,,"MATCHS")),1,0),,,IF(INDIRECT(ADDRESS(148,5,,,"MATCHS"))&lt;INDIRECT(ADDRESS(148,3,,,"MATCHS")),1,0),IF(INDIRECT(ADDRESS(159,3,,,"MATCHS"))&lt;INDIRECT(ADDRESS(159,5,,,"MATCHS")),1,0),)</f>
        <v>0</v>
      </c>
      <c r="G88" s="49">
        <f ca="1">SUM(,,INDIRECT(ADDRESS(26,3,,,"MATCHS")),,,INDIRECT(ADDRESS(56,3,,,"MATCHS")),,,INDIRECT(ADDRESS(87,5,,,"MATCHS")),,,INDIRECT(ADDRESS(117,5,,,"MATCHS")),,,INDIRECT(ADDRESS(148,5,,,"MATCHS")),INDIRECT(ADDRESS(159,3,,,"MATCHS")),)</f>
        <v>0</v>
      </c>
      <c r="H88" s="49">
        <f ca="1">SUM(,,INDIRECT(ADDRESS(26,5,,,"MATCHS")),,,INDIRECT(ADDRESS(56,5,,,"MATCHS")),,,INDIRECT(ADDRESS(87,3,,,"MATCHS")),,,INDIRECT(ADDRESS(117,3,,,"MATCHS")),,,INDIRECT(ADDRESS(148,3,,,"MATCHS")),INDIRECT(ADDRESS(159,5,,,"MATCHS")),)</f>
        <v>0</v>
      </c>
      <c r="I88" s="49">
        <f t="shared" ca="1" si="0"/>
        <v>0</v>
      </c>
      <c r="J88" s="49">
        <v>0</v>
      </c>
      <c r="K88" s="49">
        <v>5</v>
      </c>
      <c r="L88" s="49"/>
      <c r="M88" s="69"/>
    </row>
    <row r="89" spans="1:13" ht="15.75" x14ac:dyDescent="0.25">
      <c r="A89" s="181"/>
      <c r="B89" s="49">
        <v>6</v>
      </c>
      <c r="C89" s="49" t="s">
        <v>161</v>
      </c>
      <c r="D89" s="49" t="str">
        <f>INSCRIPTS!C67</f>
        <v>6K</v>
      </c>
      <c r="E89" s="87">
        <f ca="1">SUM(,,IF(INDIRECT(ADDRESS(26,5,,,"MATCHS"))&gt;INDIRECT(ADDRESS(26,3,,,"MATCHS")),1,0),,,IF(INDIRECT(ADDRESS(57,3,,,"MATCHS"))&gt;INDIRECT(ADDRESS(57,5,,,"MATCHS")),1,0),,,,,,IF(INDIRECT(ADDRESS(118,3,,,"MATCHS"))&gt;INDIRECT(ADDRESS(118,5,,,"MATCHS")),1,0),,,IF(INDIRECT(ADDRESS(149,5,,,"MATCHS"))&gt;INDIRECT(ADDRESS(149,3,,,"MATCHS")),1,0),IF(INDIRECT(ADDRESS(157,5,,,"MATCHS"))&gt;INDIRECT(ADDRESS(157,3,,,"MATCHS")),1,0),IF(INDIRECT(ADDRESS(164,5,,,"MATCHS"))&gt;INDIRECT(ADDRESS(164,3,,,"MATCHS")),1,0)) + 0.1 * J89</f>
        <v>0</v>
      </c>
      <c r="F89" s="49">
        <f ca="1">SUM(,,IF(INDIRECT(ADDRESS(26,5,,,"MATCHS"))&lt;INDIRECT(ADDRESS(26,3,,,"MATCHS")),1,0),,,IF(INDIRECT(ADDRESS(57,3,,,"MATCHS"))&lt;INDIRECT(ADDRESS(57,5,,,"MATCHS")),1,0),,,,,,IF(INDIRECT(ADDRESS(118,3,,,"MATCHS"))&lt;INDIRECT(ADDRESS(118,5,,,"MATCHS")),1,0),,,IF(INDIRECT(ADDRESS(149,5,,,"MATCHS"))&lt;INDIRECT(ADDRESS(149,3,,,"MATCHS")),1,0),IF(INDIRECT(ADDRESS(157,5,,,"MATCHS"))&lt;INDIRECT(ADDRESS(157,3,,,"MATCHS")),1,0),IF(INDIRECT(ADDRESS(164,5,,,"MATCHS"))&lt;INDIRECT(ADDRESS(164,3,,,"MATCHS")),1,0))</f>
        <v>0</v>
      </c>
      <c r="G89" s="49">
        <f ca="1">SUM(,,INDIRECT(ADDRESS(26,5,,,"MATCHS")),,,INDIRECT(ADDRESS(57,3,,,"MATCHS")),,,,,,INDIRECT(ADDRESS(118,3,,,"MATCHS")),,,INDIRECT(ADDRESS(149,5,,,"MATCHS")),INDIRECT(ADDRESS(157,5,,,"MATCHS")),INDIRECT(ADDRESS(164,5,,,"MATCHS")))</f>
        <v>0</v>
      </c>
      <c r="H89" s="49">
        <f ca="1">SUM(,,INDIRECT(ADDRESS(26,3,,,"MATCHS")),,,INDIRECT(ADDRESS(57,5,,,"MATCHS")),,,,,,INDIRECT(ADDRESS(118,5,,,"MATCHS")),,,INDIRECT(ADDRESS(149,3,,,"MATCHS")),INDIRECT(ADDRESS(157,3,,,"MATCHS")),INDIRECT(ADDRESS(164,3,,,"MATCHS")))</f>
        <v>0</v>
      </c>
      <c r="I89" s="49">
        <f t="shared" ca="1" si="0"/>
        <v>0</v>
      </c>
      <c r="J89" s="49">
        <v>0</v>
      </c>
      <c r="K89" s="49">
        <v>6</v>
      </c>
      <c r="L89" s="49"/>
      <c r="M89" s="69"/>
    </row>
    <row r="90" spans="1:13" ht="15.75" x14ac:dyDescent="0.25">
      <c r="A90" s="181"/>
      <c r="B90" s="49">
        <v>7</v>
      </c>
      <c r="C90" s="49" t="s">
        <v>162</v>
      </c>
      <c r="D90" s="49" t="str">
        <f>INSCRIPTS!C68</f>
        <v>7K</v>
      </c>
      <c r="E90" s="87">
        <f ca="1">SUM(,,,,,IF(INDIRECT(ADDRESS(57,5,,,"MATCHS"))&gt;INDIRECT(ADDRESS(57,3,,,"MATCHS")),1,0),,,IF(INDIRECT(ADDRESS(88,3,,,"MATCHS"))&gt;INDIRECT(ADDRESS(88,5,,,"MATCHS")),1,0),,,IF(INDIRECT(ADDRESS(119,5,,,"MATCHS"))&gt;INDIRECT(ADDRESS(119,3,,,"MATCHS")),1,0),,,IF(INDIRECT(ADDRESS(150,5,,,"MATCHS"))&gt;INDIRECT(ADDRESS(150,3,,,"MATCHS")),1,0),IF(INDIRECT(ADDRESS(159,5,,,"MATCHS"))&gt;INDIRECT(ADDRESS(159,3,,,"MATCHS")),1,0),IF(INDIRECT(ADDRESS(162,5,,,"MATCHS"))&gt;INDIRECT(ADDRESS(162,3,,,"MATCHS")),1,0)) + 0.1 * J90</f>
        <v>0</v>
      </c>
      <c r="F90" s="49">
        <f ca="1">SUM(,,,,,IF(INDIRECT(ADDRESS(57,5,,,"MATCHS"))&lt;INDIRECT(ADDRESS(57,3,,,"MATCHS")),1,0),,,IF(INDIRECT(ADDRESS(88,3,,,"MATCHS"))&lt;INDIRECT(ADDRESS(88,5,,,"MATCHS")),1,0),,,IF(INDIRECT(ADDRESS(119,5,,,"MATCHS"))&lt;INDIRECT(ADDRESS(119,3,,,"MATCHS")),1,0),,,IF(INDIRECT(ADDRESS(150,5,,,"MATCHS"))&lt;INDIRECT(ADDRESS(150,3,,,"MATCHS")),1,0),IF(INDIRECT(ADDRESS(159,5,,,"MATCHS"))&lt;INDIRECT(ADDRESS(159,3,,,"MATCHS")),1,0),IF(INDIRECT(ADDRESS(162,5,,,"MATCHS"))&lt;INDIRECT(ADDRESS(162,3,,,"MATCHS")),1,0))</f>
        <v>0</v>
      </c>
      <c r="G90" s="49">
        <f ca="1">SUM(,,,,,INDIRECT(ADDRESS(57,5,,,"MATCHS")),,,INDIRECT(ADDRESS(88,3,,,"MATCHS")),,,INDIRECT(ADDRESS(119,5,,,"MATCHS")),,,INDIRECT(ADDRESS(150,5,,,"MATCHS")),INDIRECT(ADDRESS(159,5,,,"MATCHS")),INDIRECT(ADDRESS(162,5,,,"MATCHS")))</f>
        <v>0</v>
      </c>
      <c r="H90" s="49">
        <f ca="1">SUM(,,,,,INDIRECT(ADDRESS(57,3,,,"MATCHS")),,,INDIRECT(ADDRESS(88,5,,,"MATCHS")),,,INDIRECT(ADDRESS(119,3,,,"MATCHS")),,,INDIRECT(ADDRESS(150,3,,,"MATCHS")),INDIRECT(ADDRESS(159,3,,,"MATCHS")),INDIRECT(ADDRESS(162,3,,,"MATCHS")))</f>
        <v>0</v>
      </c>
      <c r="I90" s="49">
        <f t="shared" ca="1" si="0"/>
        <v>0</v>
      </c>
      <c r="J90" s="49">
        <v>0</v>
      </c>
      <c r="K90" s="49">
        <v>7</v>
      </c>
      <c r="L90" s="49"/>
      <c r="M90" s="69"/>
    </row>
    <row r="91" spans="1:13" ht="15.75" thickBot="1" x14ac:dyDescent="0.3"/>
    <row r="92" spans="1:13" ht="30.95" customHeight="1" thickBot="1" x14ac:dyDescent="0.3">
      <c r="C92" s="85" t="s">
        <v>228</v>
      </c>
      <c r="D92" s="85" t="s">
        <v>154</v>
      </c>
      <c r="E92" s="86" t="s">
        <v>229</v>
      </c>
      <c r="F92" s="85" t="s">
        <v>230</v>
      </c>
      <c r="G92" s="85" t="s">
        <v>231</v>
      </c>
      <c r="H92" s="85" t="s">
        <v>232</v>
      </c>
      <c r="I92" s="85" t="s">
        <v>233</v>
      </c>
      <c r="J92" s="48" t="s">
        <v>234</v>
      </c>
      <c r="K92" s="85" t="s">
        <v>235</v>
      </c>
      <c r="L92" s="48" t="s">
        <v>53</v>
      </c>
    </row>
    <row r="94" spans="1:13" ht="15.75" x14ac:dyDescent="0.25">
      <c r="A94" s="182" t="s">
        <v>163</v>
      </c>
      <c r="B94" s="50">
        <v>1</v>
      </c>
      <c r="C94" s="50" t="s">
        <v>164</v>
      </c>
      <c r="D94" s="50" t="str">
        <f>INSCRIPTS!C70</f>
        <v>1L</v>
      </c>
      <c r="E94" s="88">
        <f ca="1">SUM(,,IF(INDIRECT(ADDRESS(27,3,,,"MATCHS"))&gt;INDIRECT(ADDRESS(27,5,,,"MATCHS")),1,0),,,IF(INDIRECT(ADDRESS(58,3,,,"MATCHS"))&gt;INDIRECT(ADDRESS(58,5,,,"MATCHS")),1,0),,,IF(INDIRECT(ADDRESS(89,3,,,"MATCHS"))&gt;INDIRECT(ADDRESS(89,5,,,"MATCHS")),1,0),,,IF(INDIRECT(ADDRESS(120,3,,,"MATCHS"))&gt;INDIRECT(ADDRESS(120,5,,,"MATCHS")),1,0),,,,IF(INDIRECT(ADDRESS(152,3,,,"MATCHS"))&gt;INDIRECT(ADDRESS(152,5,,,"MATCHS")),1,0),) + 0.1 * J94</f>
        <v>0</v>
      </c>
      <c r="F94" s="50">
        <f ca="1">SUM(,,IF(INDIRECT(ADDRESS(27,3,,,"MATCHS"))&lt;INDIRECT(ADDRESS(27,5,,,"MATCHS")),1,0),,,IF(INDIRECT(ADDRESS(58,3,,,"MATCHS"))&lt;INDIRECT(ADDRESS(58,5,,,"MATCHS")),1,0),,,IF(INDIRECT(ADDRESS(89,3,,,"MATCHS"))&lt;INDIRECT(ADDRESS(89,5,,,"MATCHS")),1,0),,,IF(INDIRECT(ADDRESS(120,3,,,"MATCHS"))&lt;INDIRECT(ADDRESS(120,5,,,"MATCHS")),1,0),,,,IF(INDIRECT(ADDRESS(152,3,,,"MATCHS"))&lt;INDIRECT(ADDRESS(152,5,,,"MATCHS")),1,0),)</f>
        <v>0</v>
      </c>
      <c r="G94" s="50">
        <f ca="1">SUM(,,INDIRECT(ADDRESS(27,3,,,"MATCHS")),,,INDIRECT(ADDRESS(58,3,,,"MATCHS")),,,INDIRECT(ADDRESS(89,3,,,"MATCHS")),,,INDIRECT(ADDRESS(120,3,,,"MATCHS")),,,,INDIRECT(ADDRESS(152,3,,,"MATCHS")),)</f>
        <v>0</v>
      </c>
      <c r="H94" s="50">
        <f ca="1">SUM(,,INDIRECT(ADDRESS(27,5,,,"MATCHS")),,,INDIRECT(ADDRESS(58,5,,,"MATCHS")),,,INDIRECT(ADDRESS(89,5,,,"MATCHS")),,,INDIRECT(ADDRESS(120,5,,,"MATCHS")),,,,INDIRECT(ADDRESS(152,5,,,"MATCHS")),)</f>
        <v>0</v>
      </c>
      <c r="I94" s="50">
        <f t="shared" ref="I94:I99" ca="1" si="1">G94 - H94</f>
        <v>0</v>
      </c>
      <c r="J94" s="50">
        <v>0</v>
      </c>
      <c r="K94" s="50">
        <v>1</v>
      </c>
      <c r="L94" s="50"/>
      <c r="M94" s="69"/>
    </row>
    <row r="95" spans="1:13" ht="15.75" x14ac:dyDescent="0.25">
      <c r="A95" s="182"/>
      <c r="B95" s="50">
        <v>2</v>
      </c>
      <c r="C95" s="50" t="s">
        <v>165</v>
      </c>
      <c r="D95" s="50" t="str">
        <f>INSCRIPTS!C71</f>
        <v>2L</v>
      </c>
      <c r="E95" s="88">
        <f ca="1">SUM(,,IF(INDIRECT(ADDRESS(27,5,,,"MATCHS"))&gt;INDIRECT(ADDRESS(27,3,,,"MATCHS")),1,0),,,IF(INDIRECT(ADDRESS(59,3,,,"MATCHS"))&gt;INDIRECT(ADDRESS(59,5,,,"MATCHS")),1,0),,,IF(INDIRECT(ADDRESS(90,3,,,"MATCHS"))&gt;INDIRECT(ADDRESS(90,5,,,"MATCHS")),1,0),,,,IF(INDIRECT(ADDRESS(122,3,,,"MATCHS"))&gt;INDIRECT(ADDRESS(122,5,,,"MATCHS")),1,0),,,IF(INDIRECT(ADDRESS(153,3,,,"MATCHS"))&gt;INDIRECT(ADDRESS(153,5,,,"MATCHS")),1,0),) + 0.1 * J95</f>
        <v>0</v>
      </c>
      <c r="F95" s="50">
        <f ca="1">SUM(,,IF(INDIRECT(ADDRESS(27,5,,,"MATCHS"))&lt;INDIRECT(ADDRESS(27,3,,,"MATCHS")),1,0),,,IF(INDIRECT(ADDRESS(59,3,,,"MATCHS"))&lt;INDIRECT(ADDRESS(59,5,,,"MATCHS")),1,0),,,IF(INDIRECT(ADDRESS(90,3,,,"MATCHS"))&lt;INDIRECT(ADDRESS(90,5,,,"MATCHS")),1,0),,,,IF(INDIRECT(ADDRESS(122,3,,,"MATCHS"))&lt;INDIRECT(ADDRESS(122,5,,,"MATCHS")),1,0),,,IF(INDIRECT(ADDRESS(153,3,,,"MATCHS"))&lt;INDIRECT(ADDRESS(153,5,,,"MATCHS")),1,0),)</f>
        <v>0</v>
      </c>
      <c r="G95" s="50">
        <f ca="1">SUM(,,INDIRECT(ADDRESS(27,5,,,"MATCHS")),,,INDIRECT(ADDRESS(59,3,,,"MATCHS")),,,INDIRECT(ADDRESS(90,3,,,"MATCHS")),,,,INDIRECT(ADDRESS(122,3,,,"MATCHS")),,,INDIRECT(ADDRESS(153,3,,,"MATCHS")),)</f>
        <v>0</v>
      </c>
      <c r="H95" s="50">
        <f ca="1">SUM(,,INDIRECT(ADDRESS(27,3,,,"MATCHS")),,,INDIRECT(ADDRESS(59,5,,,"MATCHS")),,,INDIRECT(ADDRESS(90,5,,,"MATCHS")),,,,INDIRECT(ADDRESS(122,5,,,"MATCHS")),,,INDIRECT(ADDRESS(153,5,,,"MATCHS")),)</f>
        <v>0</v>
      </c>
      <c r="I95" s="50">
        <f t="shared" ca="1" si="1"/>
        <v>0</v>
      </c>
      <c r="J95" s="50">
        <v>0</v>
      </c>
      <c r="K95" s="50">
        <v>2</v>
      </c>
      <c r="L95" s="50"/>
      <c r="M95" s="69"/>
    </row>
    <row r="96" spans="1:13" ht="15.75" x14ac:dyDescent="0.25">
      <c r="A96" s="182"/>
      <c r="B96" s="50">
        <v>3</v>
      </c>
      <c r="C96" s="50" t="s">
        <v>166</v>
      </c>
      <c r="D96" s="50" t="str">
        <f>INSCRIPTS!C72</f>
        <v>3L</v>
      </c>
      <c r="E96" s="88">
        <f ca="1">SUM(,,IF(INDIRECT(ADDRESS(28,3,,,"MATCHS"))&gt;INDIRECT(ADDRESS(28,5,,,"MATCHS")),1,0),,,IF(INDIRECT(ADDRESS(58,5,,,"MATCHS"))&gt;INDIRECT(ADDRESS(58,3,,,"MATCHS")),1,0),,,IF(INDIRECT(ADDRESS(90,5,,,"MATCHS"))&gt;INDIRECT(ADDRESS(90,3,,,"MATCHS")),1,0),,,,IF(INDIRECT(ADDRESS(123,3,,,"MATCHS"))&gt;INDIRECT(ADDRESS(123,5,,,"MATCHS")),1,0),,,IF(INDIRECT(ADDRESS(154,3,,,"MATCHS"))&gt;INDIRECT(ADDRESS(154,5,,,"MATCHS")),1,0),) + 0.1 * J96</f>
        <v>0</v>
      </c>
      <c r="F96" s="50">
        <f ca="1">SUM(,,IF(INDIRECT(ADDRESS(28,3,,,"MATCHS"))&lt;INDIRECT(ADDRESS(28,5,,,"MATCHS")),1,0),,,IF(INDIRECT(ADDRESS(58,5,,,"MATCHS"))&lt;INDIRECT(ADDRESS(58,3,,,"MATCHS")),1,0),,,IF(INDIRECT(ADDRESS(90,5,,,"MATCHS"))&lt;INDIRECT(ADDRESS(90,3,,,"MATCHS")),1,0),,,,IF(INDIRECT(ADDRESS(123,3,,,"MATCHS"))&lt;INDIRECT(ADDRESS(123,5,,,"MATCHS")),1,0),,,IF(INDIRECT(ADDRESS(154,3,,,"MATCHS"))&lt;INDIRECT(ADDRESS(154,5,,,"MATCHS")),1,0),)</f>
        <v>0</v>
      </c>
      <c r="G96" s="50">
        <f ca="1">SUM(,,INDIRECT(ADDRESS(28,3,,,"MATCHS")),,,INDIRECT(ADDRESS(58,5,,,"MATCHS")),,,INDIRECT(ADDRESS(90,5,,,"MATCHS")),,,,INDIRECT(ADDRESS(123,3,,,"MATCHS")),,,INDIRECT(ADDRESS(154,3,,,"MATCHS")),)</f>
        <v>0</v>
      </c>
      <c r="H96" s="50">
        <f ca="1">SUM(,,INDIRECT(ADDRESS(28,5,,,"MATCHS")),,,INDIRECT(ADDRESS(58,3,,,"MATCHS")),,,INDIRECT(ADDRESS(90,3,,,"MATCHS")),,,,INDIRECT(ADDRESS(123,5,,,"MATCHS")),,,INDIRECT(ADDRESS(154,5,,,"MATCHS")),)</f>
        <v>0</v>
      </c>
      <c r="I96" s="50">
        <f t="shared" ca="1" si="1"/>
        <v>0</v>
      </c>
      <c r="J96" s="50">
        <v>0</v>
      </c>
      <c r="K96" s="50">
        <v>3</v>
      </c>
      <c r="L96" s="50"/>
      <c r="M96" s="69"/>
    </row>
    <row r="97" spans="1:13" ht="15.75" x14ac:dyDescent="0.25">
      <c r="A97" s="182"/>
      <c r="B97" s="50">
        <v>4</v>
      </c>
      <c r="C97" s="50" t="s">
        <v>167</v>
      </c>
      <c r="D97" s="50" t="str">
        <f>INSCRIPTS!C73</f>
        <v>4L</v>
      </c>
      <c r="E97" s="88">
        <f ca="1">SUM(,,IF(INDIRECT(ADDRESS(28,5,,,"MATCHS"))&gt;INDIRECT(ADDRESS(28,3,,,"MATCHS")),1,0),,,IF(INDIRECT(ADDRESS(60,3,,,"MATCHS"))&gt;INDIRECT(ADDRESS(60,5,,,"MATCHS")),1,0),,,,IF(INDIRECT(ADDRESS(92,3,,,"MATCHS"))&gt;INDIRECT(ADDRESS(92,5,,,"MATCHS")),1,0),,IF(INDIRECT(ADDRESS(120,5,,,"MATCHS"))&gt;INDIRECT(ADDRESS(120,3,,,"MATCHS")),1,0),,,,IF(INDIRECT(ADDRESS(153,5,,,"MATCHS"))&gt;INDIRECT(ADDRESS(153,3,,,"MATCHS")),1,0),) + 0.1 * J97</f>
        <v>0</v>
      </c>
      <c r="F97" s="50">
        <f ca="1">SUM(,,IF(INDIRECT(ADDRESS(28,5,,,"MATCHS"))&lt;INDIRECT(ADDRESS(28,3,,,"MATCHS")),1,0),,,IF(INDIRECT(ADDRESS(60,3,,,"MATCHS"))&lt;INDIRECT(ADDRESS(60,5,,,"MATCHS")),1,0),,,,IF(INDIRECT(ADDRESS(92,3,,,"MATCHS"))&lt;INDIRECT(ADDRESS(92,5,,,"MATCHS")),1,0),,IF(INDIRECT(ADDRESS(120,5,,,"MATCHS"))&lt;INDIRECT(ADDRESS(120,3,,,"MATCHS")),1,0),,,,IF(INDIRECT(ADDRESS(153,5,,,"MATCHS"))&lt;INDIRECT(ADDRESS(153,3,,,"MATCHS")),1,0),)</f>
        <v>0</v>
      </c>
      <c r="G97" s="50">
        <f ca="1">SUM(,,INDIRECT(ADDRESS(28,5,,,"MATCHS")),,,INDIRECT(ADDRESS(60,3,,,"MATCHS")),,,,INDIRECT(ADDRESS(92,3,,,"MATCHS")),,INDIRECT(ADDRESS(120,5,,,"MATCHS")),,,,INDIRECT(ADDRESS(153,5,,,"MATCHS")),)</f>
        <v>0</v>
      </c>
      <c r="H97" s="50">
        <f ca="1">SUM(,,INDIRECT(ADDRESS(28,3,,,"MATCHS")),,,INDIRECT(ADDRESS(60,5,,,"MATCHS")),,,,INDIRECT(ADDRESS(92,5,,,"MATCHS")),,INDIRECT(ADDRESS(120,3,,,"MATCHS")),,,,INDIRECT(ADDRESS(153,3,,,"MATCHS")),)</f>
        <v>0</v>
      </c>
      <c r="I97" s="50">
        <f t="shared" ca="1" si="1"/>
        <v>0</v>
      </c>
      <c r="J97" s="50">
        <v>0</v>
      </c>
      <c r="K97" s="50">
        <v>4</v>
      </c>
      <c r="L97" s="50"/>
      <c r="M97" s="69"/>
    </row>
    <row r="98" spans="1:13" ht="15.75" x14ac:dyDescent="0.25">
      <c r="A98" s="182"/>
      <c r="B98" s="50">
        <v>5</v>
      </c>
      <c r="C98" s="50" t="s">
        <v>168</v>
      </c>
      <c r="D98" s="50" t="str">
        <f>INSCRIPTS!C74</f>
        <v>5L</v>
      </c>
      <c r="E98" s="88">
        <f ca="1">SUM(,,IF(INDIRECT(ADDRESS(29,3,,,"MATCHS"))&gt;INDIRECT(ADDRESS(29,5,,,"MATCHS")),1,0),,,IF(INDIRECT(ADDRESS(59,5,,,"MATCHS"))&gt;INDIRECT(ADDRESS(59,3,,,"MATCHS")),1,0),,,,IF(INDIRECT(ADDRESS(92,5,,,"MATCHS"))&gt;INDIRECT(ADDRESS(92,3,,,"MATCHS")),1,0),,,IF(INDIRECT(ADDRESS(123,5,,,"MATCHS"))&gt;INDIRECT(ADDRESS(123,3,,,"MATCHS")),1,0),,,IF(INDIRECT(ADDRESS(152,5,,,"MATCHS"))&gt;INDIRECT(ADDRESS(152,3,,,"MATCHS")),1,0),) + 0.1 * J98</f>
        <v>0</v>
      </c>
      <c r="F98" s="50">
        <f ca="1">SUM(,,IF(INDIRECT(ADDRESS(29,3,,,"MATCHS"))&lt;INDIRECT(ADDRESS(29,5,,,"MATCHS")),1,0),,,IF(INDIRECT(ADDRESS(59,5,,,"MATCHS"))&lt;INDIRECT(ADDRESS(59,3,,,"MATCHS")),1,0),,,,IF(INDIRECT(ADDRESS(92,5,,,"MATCHS"))&lt;INDIRECT(ADDRESS(92,3,,,"MATCHS")),1,0),,,IF(INDIRECT(ADDRESS(123,5,,,"MATCHS"))&lt;INDIRECT(ADDRESS(123,3,,,"MATCHS")),1,0),,,IF(INDIRECT(ADDRESS(152,5,,,"MATCHS"))&lt;INDIRECT(ADDRESS(152,3,,,"MATCHS")),1,0),)</f>
        <v>0</v>
      </c>
      <c r="G98" s="50">
        <f ca="1">SUM(,,INDIRECT(ADDRESS(29,3,,,"MATCHS")),,,INDIRECT(ADDRESS(59,5,,,"MATCHS")),,,,INDIRECT(ADDRESS(92,5,,,"MATCHS")),,,INDIRECT(ADDRESS(123,5,,,"MATCHS")),,,INDIRECT(ADDRESS(152,5,,,"MATCHS")),)</f>
        <v>0</v>
      </c>
      <c r="H98" s="50">
        <f ca="1">SUM(,,INDIRECT(ADDRESS(29,5,,,"MATCHS")),,,INDIRECT(ADDRESS(59,3,,,"MATCHS")),,,,INDIRECT(ADDRESS(92,3,,,"MATCHS")),,,INDIRECT(ADDRESS(123,3,,,"MATCHS")),,,INDIRECT(ADDRESS(152,3,,,"MATCHS")),)</f>
        <v>0</v>
      </c>
      <c r="I98" s="50">
        <f t="shared" ca="1" si="1"/>
        <v>0</v>
      </c>
      <c r="J98" s="50">
        <v>0</v>
      </c>
      <c r="K98" s="50">
        <v>5</v>
      </c>
      <c r="L98" s="50"/>
      <c r="M98" s="69"/>
    </row>
    <row r="99" spans="1:13" ht="15.75" x14ac:dyDescent="0.25">
      <c r="A99" s="182"/>
      <c r="B99" s="50">
        <v>6</v>
      </c>
      <c r="C99" s="50" t="s">
        <v>169</v>
      </c>
      <c r="D99" s="50" t="str">
        <f>INSCRIPTS!C75</f>
        <v>6L</v>
      </c>
      <c r="E99" s="88">
        <f ca="1">SUM(,,IF(INDIRECT(ADDRESS(29,5,,,"MATCHS"))&gt;INDIRECT(ADDRESS(29,3,,,"MATCHS")),1,0),,,IF(INDIRECT(ADDRESS(60,5,,,"MATCHS"))&gt;INDIRECT(ADDRESS(60,3,,,"MATCHS")),1,0),,,IF(INDIRECT(ADDRESS(89,5,,,"MATCHS"))&gt;INDIRECT(ADDRESS(89,3,,,"MATCHS")),1,0),,,,IF(INDIRECT(ADDRESS(122,5,,,"MATCHS"))&gt;INDIRECT(ADDRESS(122,3,,,"MATCHS")),1,0),,,IF(INDIRECT(ADDRESS(154,5,,,"MATCHS"))&gt;INDIRECT(ADDRESS(154,3,,,"MATCHS")),1,0),) + 0.1 * J99</f>
        <v>0</v>
      </c>
      <c r="F99" s="50">
        <f ca="1">SUM(,,IF(INDIRECT(ADDRESS(29,5,,,"MATCHS"))&lt;INDIRECT(ADDRESS(29,3,,,"MATCHS")),1,0),,,IF(INDIRECT(ADDRESS(60,5,,,"MATCHS"))&lt;INDIRECT(ADDRESS(60,3,,,"MATCHS")),1,0),,,IF(INDIRECT(ADDRESS(89,5,,,"MATCHS"))&lt;INDIRECT(ADDRESS(89,3,,,"MATCHS")),1,0),,,,IF(INDIRECT(ADDRESS(122,5,,,"MATCHS"))&lt;INDIRECT(ADDRESS(122,3,,,"MATCHS")),1,0),,,IF(INDIRECT(ADDRESS(154,5,,,"MATCHS"))&lt;INDIRECT(ADDRESS(154,3,,,"MATCHS")),1,0),)</f>
        <v>0</v>
      </c>
      <c r="G99" s="50">
        <f ca="1">SUM(,,INDIRECT(ADDRESS(29,5,,,"MATCHS")),,,INDIRECT(ADDRESS(60,5,,,"MATCHS")),,,INDIRECT(ADDRESS(89,5,,,"MATCHS")),,,,INDIRECT(ADDRESS(122,5,,,"MATCHS")),,,INDIRECT(ADDRESS(154,5,,,"MATCHS")),)</f>
        <v>0</v>
      </c>
      <c r="H99" s="50">
        <f ca="1">SUM(,,INDIRECT(ADDRESS(29,3,,,"MATCHS")),,,INDIRECT(ADDRESS(60,3,,,"MATCHS")),,,INDIRECT(ADDRESS(89,3,,,"MATCHS")),,,,INDIRECT(ADDRESS(122,3,,,"MATCHS")),,,INDIRECT(ADDRESS(154,3,,,"MATCHS")),)</f>
        <v>0</v>
      </c>
      <c r="I99" s="50">
        <f t="shared" ca="1" si="1"/>
        <v>0</v>
      </c>
      <c r="J99" s="50">
        <v>0</v>
      </c>
      <c r="K99" s="50">
        <v>6</v>
      </c>
      <c r="L99" s="50"/>
      <c r="M99" s="69"/>
    </row>
    <row r="100" spans="1:13" ht="15.75" thickBot="1" x14ac:dyDescent="0.3"/>
    <row r="101" spans="1:13" ht="30.95" customHeight="1" thickBot="1" x14ac:dyDescent="0.3">
      <c r="C101" s="85" t="s">
        <v>228</v>
      </c>
      <c r="D101" s="85" t="s">
        <v>236</v>
      </c>
      <c r="E101" s="86" t="s">
        <v>229</v>
      </c>
      <c r="F101" s="85" t="s">
        <v>230</v>
      </c>
      <c r="G101" s="85" t="s">
        <v>231</v>
      </c>
      <c r="H101" s="85" t="s">
        <v>232</v>
      </c>
      <c r="I101" s="85" t="s">
        <v>233</v>
      </c>
      <c r="J101" s="48" t="s">
        <v>234</v>
      </c>
      <c r="K101" s="85" t="s">
        <v>235</v>
      </c>
      <c r="L101" s="48" t="s">
        <v>53</v>
      </c>
    </row>
    <row r="103" spans="1:13" ht="15.75" customHeight="1" x14ac:dyDescent="0.25">
      <c r="A103" s="180" t="s">
        <v>171</v>
      </c>
      <c r="B103" s="51">
        <v>1</v>
      </c>
      <c r="C103" s="51" t="s">
        <v>44</v>
      </c>
      <c r="D103" s="51" t="str">
        <f>INSCRIPTS_M!C2</f>
        <v>1M</v>
      </c>
      <c r="E103" s="89">
        <f ca="1">SUM(IF(INDIRECT(ADDRESS(2,3,,,"MATCHS_M"))&gt;INDIRECT(ADDRESS(2,5,,,"MATCHS_M")),1,0),,IF(INDIRECT(ADDRESS(12,5,,,"MATCHS_M"))&gt;INDIRECT(ADDRESS(12,3,,,"MATCHS_M")),1,0),IF(INDIRECT(ADDRESS(17,5,,,"MATCHS_M"))&gt;INDIRECT(ADDRESS(17,3,,,"MATCHS_M")),1,0),IF(INDIRECT(ADDRESS(22,3,,,"MATCHS_M"))&gt;INDIRECT(ADDRESS(22,5,,,"MATCHS_M")),1,0),,,,,,,) + 0.1 * J103</f>
        <v>0</v>
      </c>
      <c r="F103" s="51">
        <f ca="1">SUM(IF(INDIRECT(ADDRESS(2,3,,,"MATCHS_M"))&lt;INDIRECT(ADDRESS(2,5,,,"MATCHS_M")),1,0),,IF(INDIRECT(ADDRESS(12,5,,,"MATCHS_M"))&lt;INDIRECT(ADDRESS(12,3,,,"MATCHS_M")),1,0),IF(INDIRECT(ADDRESS(17,5,,,"MATCHS_M"))&lt;INDIRECT(ADDRESS(17,3,,,"MATCHS_M")),1,0),IF(INDIRECT(ADDRESS(22,3,,,"MATCHS_M"))&lt;INDIRECT(ADDRESS(22,5,,,"MATCHS_M")),1,0),,,,,,,)</f>
        <v>0</v>
      </c>
      <c r="G103" s="51">
        <f ca="1">SUM(INDIRECT(ADDRESS(2,3,,,"MATCHS_M")),,INDIRECT(ADDRESS(12,5,,,"MATCHS_M")),INDIRECT(ADDRESS(17,5,,,"MATCHS_M")),INDIRECT(ADDRESS(22,3,,,"MATCHS_M")),,,,,,,)</f>
        <v>0</v>
      </c>
      <c r="H103" s="51">
        <f ca="1">SUM(INDIRECT(ADDRESS(2,5,,,"MATCHS_M")),,INDIRECT(ADDRESS(12,3,,,"MATCHS_M")),INDIRECT(ADDRESS(17,3,,,"MATCHS_M")),INDIRECT(ADDRESS(22,5,,,"MATCHS_M")),,,,,,,)</f>
        <v>0</v>
      </c>
      <c r="I103" s="51">
        <f t="shared" ref="I103:I112" ca="1" si="2">G103 - H103</f>
        <v>0</v>
      </c>
      <c r="J103" s="51">
        <v>0</v>
      </c>
      <c r="K103" s="51">
        <v>1</v>
      </c>
      <c r="L103" s="51"/>
      <c r="M103" s="69"/>
    </row>
    <row r="104" spans="1:13" ht="15.75" customHeight="1" x14ac:dyDescent="0.25">
      <c r="A104" s="180"/>
      <c r="B104" s="51">
        <v>2</v>
      </c>
      <c r="C104" s="51" t="s">
        <v>45</v>
      </c>
      <c r="D104" s="51" t="str">
        <f>INSCRIPTS_M!C3</f>
        <v>2M</v>
      </c>
      <c r="E104" s="89">
        <f ca="1">SUM(IF(INDIRECT(ADDRESS(2,5,,,"MATCHS_M"))&gt;INDIRECT(ADDRESS(2,3,,,"MATCHS_M")),1,0),IF(INDIRECT(ADDRESS(7,3,,,"MATCHS_M"))&gt;INDIRECT(ADDRESS(7,5,,,"MATCHS_M")),1,0),,IF(INDIRECT(ADDRESS(20,5,,,"MATCHS_M"))&gt;INDIRECT(ADDRESS(20,3,,,"MATCHS_M")),1,0),IF(INDIRECT(ADDRESS(23,5,,,"MATCHS_M"))&gt;INDIRECT(ADDRESS(23,3,,,"MATCHS_M")),1,0),,,,,,,) + 0.1 * J104</f>
        <v>0</v>
      </c>
      <c r="F104" s="51">
        <f ca="1">SUM(IF(INDIRECT(ADDRESS(2,5,,,"MATCHS_M"))&lt;INDIRECT(ADDRESS(2,3,,,"MATCHS_M")),1,0),IF(INDIRECT(ADDRESS(7,3,,,"MATCHS_M"))&lt;INDIRECT(ADDRESS(7,5,,,"MATCHS_M")),1,0),,IF(INDIRECT(ADDRESS(20,5,,,"MATCHS_M"))&lt;INDIRECT(ADDRESS(20,3,,,"MATCHS_M")),1,0),IF(INDIRECT(ADDRESS(23,5,,,"MATCHS_M"))&lt;INDIRECT(ADDRESS(23,3,,,"MATCHS_M")),1,0),,,,,,,)</f>
        <v>0</v>
      </c>
      <c r="G104" s="51">
        <f ca="1">SUM(INDIRECT(ADDRESS(2,5,,,"MATCHS_M")),INDIRECT(ADDRESS(7,3,,,"MATCHS_M")),,INDIRECT(ADDRESS(20,5,,,"MATCHS_M")),INDIRECT(ADDRESS(23,5,,,"MATCHS_M")),,,,,,,)</f>
        <v>0</v>
      </c>
      <c r="H104" s="51">
        <f ca="1">SUM(INDIRECT(ADDRESS(2,3,,,"MATCHS_M")),INDIRECT(ADDRESS(7,5,,,"MATCHS_M")),,INDIRECT(ADDRESS(20,3,,,"MATCHS_M")),INDIRECT(ADDRESS(23,3,,,"MATCHS_M")),,,,,,,)</f>
        <v>0</v>
      </c>
      <c r="I104" s="51">
        <f t="shared" ca="1" si="2"/>
        <v>0</v>
      </c>
      <c r="J104" s="51">
        <v>0</v>
      </c>
      <c r="K104" s="51">
        <v>2</v>
      </c>
      <c r="L104" s="51"/>
      <c r="M104" s="69"/>
    </row>
    <row r="105" spans="1:13" ht="15.75" customHeight="1" x14ac:dyDescent="0.25">
      <c r="A105" s="180"/>
      <c r="B105" s="51">
        <v>3</v>
      </c>
      <c r="C105" s="51" t="s">
        <v>46</v>
      </c>
      <c r="D105" s="51" t="str">
        <f>INSCRIPTS_M!C4</f>
        <v>3M</v>
      </c>
      <c r="E105" s="89">
        <f ca="1">SUM(IF(INDIRECT(ADDRESS(5,3,,,"MATCHS_M"))&gt;INDIRECT(ADDRESS(5,5,,,"MATCHS_M")),1,0),IF(INDIRECT(ADDRESS(8,5,,,"MATCHS_M"))&gt;INDIRECT(ADDRESS(8,3,,,"MATCHS_M")),1,0),,IF(INDIRECT(ADDRESS(18,3,,,"MATCHS_M"))&gt;INDIRECT(ADDRESS(18,5,,,"MATCHS_M")),1,0),IF(INDIRECT(ADDRESS(24,3,,,"MATCHS_M"))&gt;INDIRECT(ADDRESS(24,5,,,"MATCHS_M")),1,0),,,,,,,) + 0.1 * J105</f>
        <v>0</v>
      </c>
      <c r="F105" s="51">
        <f ca="1">SUM(IF(INDIRECT(ADDRESS(5,3,,,"MATCHS_M"))&lt;INDIRECT(ADDRESS(5,5,,,"MATCHS_M")),1,0),IF(INDIRECT(ADDRESS(8,5,,,"MATCHS_M"))&lt;INDIRECT(ADDRESS(8,3,,,"MATCHS_M")),1,0),,IF(INDIRECT(ADDRESS(18,3,,,"MATCHS_M"))&lt;INDIRECT(ADDRESS(18,5,,,"MATCHS_M")),1,0),IF(INDIRECT(ADDRESS(24,3,,,"MATCHS_M"))&lt;INDIRECT(ADDRESS(24,5,,,"MATCHS_M")),1,0),,,,,,,)</f>
        <v>0</v>
      </c>
      <c r="G105" s="51">
        <f ca="1">SUM(INDIRECT(ADDRESS(5,3,,,"MATCHS_M")),INDIRECT(ADDRESS(8,5,,,"MATCHS_M")),,INDIRECT(ADDRESS(18,3,,,"MATCHS_M")),INDIRECT(ADDRESS(24,3,,,"MATCHS_M")),,,,,,,)</f>
        <v>0</v>
      </c>
      <c r="H105" s="51">
        <f ca="1">SUM(INDIRECT(ADDRESS(5,5,,,"MATCHS_M")),INDIRECT(ADDRESS(8,3,,,"MATCHS_M")),,INDIRECT(ADDRESS(18,5,,,"MATCHS_M")),INDIRECT(ADDRESS(24,5,,,"MATCHS_M")),,,,,,,)</f>
        <v>0</v>
      </c>
      <c r="I105" s="51">
        <f t="shared" ca="1" si="2"/>
        <v>0</v>
      </c>
      <c r="J105" s="51">
        <v>0</v>
      </c>
      <c r="K105" s="51">
        <v>3</v>
      </c>
      <c r="L105" s="51"/>
      <c r="M105" s="69"/>
    </row>
    <row r="106" spans="1:13" ht="15.75" customHeight="1" x14ac:dyDescent="0.25">
      <c r="A106" s="180"/>
      <c r="B106" s="51">
        <v>4</v>
      </c>
      <c r="C106" s="51" t="s">
        <v>100</v>
      </c>
      <c r="D106" s="51" t="str">
        <f>INSCRIPTS_M!C5</f>
        <v>4M</v>
      </c>
      <c r="E106" s="89">
        <f ca="1">SUM(IF(INDIRECT(ADDRESS(4,3,,,"MATCHS_M"))&gt;INDIRECT(ADDRESS(4,5,,,"MATCHS_M")),1,0),IF(INDIRECT(ADDRESS(9,3,,,"MATCHS_M"))&gt;INDIRECT(ADDRESS(9,5,,,"MATCHS_M")),1,0),IF(INDIRECT(ADDRESS(13,3,,,"MATCHS_M"))&gt;INDIRECT(ADDRESS(13,5,,,"MATCHS_M")),1,0),IF(INDIRECT(ADDRESS(18,5,,,"MATCHS_M"))&gt;INDIRECT(ADDRESS(18,3,,,"MATCHS_M")),1,0),,,,,,,,) + 0.1 * J106</f>
        <v>0</v>
      </c>
      <c r="F106" s="51">
        <f ca="1">SUM(IF(INDIRECT(ADDRESS(4,3,,,"MATCHS_M"))&lt;INDIRECT(ADDRESS(4,5,,,"MATCHS_M")),1,0),IF(INDIRECT(ADDRESS(9,3,,,"MATCHS_M"))&lt;INDIRECT(ADDRESS(9,5,,,"MATCHS_M")),1,0),IF(INDIRECT(ADDRESS(13,3,,,"MATCHS_M"))&lt;INDIRECT(ADDRESS(13,5,,,"MATCHS_M")),1,0),IF(INDIRECT(ADDRESS(18,5,,,"MATCHS_M"))&lt;INDIRECT(ADDRESS(18,3,,,"MATCHS_M")),1,0),,,,,,,,)</f>
        <v>0</v>
      </c>
      <c r="G106" s="51">
        <f ca="1">SUM(INDIRECT(ADDRESS(4,3,,,"MATCHS_M")),INDIRECT(ADDRESS(9,3,,,"MATCHS_M")),INDIRECT(ADDRESS(13,3,,,"MATCHS_M")),INDIRECT(ADDRESS(18,5,,,"MATCHS_M")),,,,,,,,)</f>
        <v>0</v>
      </c>
      <c r="H106" s="51">
        <f ca="1">SUM(INDIRECT(ADDRESS(4,5,,,"MATCHS_M")),INDIRECT(ADDRESS(9,5,,,"MATCHS_M")),INDIRECT(ADDRESS(13,5,,,"MATCHS_M")),INDIRECT(ADDRESS(18,3,,,"MATCHS_M")),,,,,,,,)</f>
        <v>0</v>
      </c>
      <c r="I106" s="51">
        <f t="shared" ca="1" si="2"/>
        <v>0</v>
      </c>
      <c r="J106" s="51">
        <v>0</v>
      </c>
      <c r="K106" s="51">
        <v>4</v>
      </c>
      <c r="L106" s="51"/>
      <c r="M106" s="69"/>
    </row>
    <row r="107" spans="1:13" ht="15.75" customHeight="1" x14ac:dyDescent="0.25">
      <c r="A107" s="180"/>
      <c r="B107" s="51">
        <v>5</v>
      </c>
      <c r="C107" s="51" t="s">
        <v>101</v>
      </c>
      <c r="D107" s="51" t="str">
        <f>INSCRIPTS_M!C6</f>
        <v>5M</v>
      </c>
      <c r="E107" s="89">
        <f ca="1">SUM(IF(INDIRECT(ADDRESS(4,5,,,"MATCHS_M"))&gt;INDIRECT(ADDRESS(4,3,,,"MATCHS_M")),1,0),IF(INDIRECT(ADDRESS(10,5,,,"MATCHS_M"))&gt;INDIRECT(ADDRESS(10,3,,,"MATCHS_M")),1,0),IF(INDIRECT(ADDRESS(14,5,,,"MATCHS_M"))&gt;INDIRECT(ADDRESS(14,3,,,"MATCHS_M")),1,0),IF(INDIRECT(ADDRESS(17,3,,,"MATCHS_M"))&gt;INDIRECT(ADDRESS(17,5,,,"MATCHS_M")),1,0),,,,,,,,) + 0.1 * J107</f>
        <v>0</v>
      </c>
      <c r="F107" s="51">
        <f ca="1">SUM(IF(INDIRECT(ADDRESS(4,5,,,"MATCHS_M"))&lt;INDIRECT(ADDRESS(4,3,,,"MATCHS_M")),1,0),IF(INDIRECT(ADDRESS(10,5,,,"MATCHS_M"))&lt;INDIRECT(ADDRESS(10,3,,,"MATCHS_M")),1,0),IF(INDIRECT(ADDRESS(14,5,,,"MATCHS_M"))&lt;INDIRECT(ADDRESS(14,3,,,"MATCHS_M")),1,0),IF(INDIRECT(ADDRESS(17,3,,,"MATCHS_M"))&lt;INDIRECT(ADDRESS(17,5,,,"MATCHS_M")),1,0),,,,,,,,)</f>
        <v>0</v>
      </c>
      <c r="G107" s="51">
        <f ca="1">SUM(INDIRECT(ADDRESS(4,5,,,"MATCHS_M")),INDIRECT(ADDRESS(10,5,,,"MATCHS_M")),INDIRECT(ADDRESS(14,5,,,"MATCHS_M")),INDIRECT(ADDRESS(17,3,,,"MATCHS_M")),,,,,,,,)</f>
        <v>0</v>
      </c>
      <c r="H107" s="51">
        <f ca="1">SUM(INDIRECT(ADDRESS(4,3,,,"MATCHS_M")),INDIRECT(ADDRESS(10,3,,,"MATCHS_M")),INDIRECT(ADDRESS(14,3,,,"MATCHS_M")),INDIRECT(ADDRESS(17,5,,,"MATCHS_M")),,,,,,,,)</f>
        <v>0</v>
      </c>
      <c r="I107" s="51">
        <f t="shared" ca="1" si="2"/>
        <v>0</v>
      </c>
      <c r="J107" s="51">
        <v>0</v>
      </c>
      <c r="K107" s="51">
        <v>5</v>
      </c>
      <c r="L107" s="51"/>
      <c r="M107" s="69"/>
    </row>
    <row r="108" spans="1:13" ht="15.75" x14ac:dyDescent="0.25">
      <c r="A108" s="180"/>
      <c r="B108" s="51">
        <v>6</v>
      </c>
      <c r="C108" s="51" t="s">
        <v>225</v>
      </c>
      <c r="D108" s="51" t="str">
        <f>INSCRIPTS_M!C7</f>
        <v>6M</v>
      </c>
      <c r="E108" s="89">
        <f ca="1">SUM(IF(INDIRECT(ADDRESS(5,5,,,"MATCHS_M"))&gt;INDIRECT(ADDRESS(5,3,,,"MATCHS_M")),1,0),,IF(INDIRECT(ADDRESS(15,3,,,"MATCHS_M"))&gt;INDIRECT(ADDRESS(15,5,,,"MATCHS_M")),1,0),IF(INDIRECT(ADDRESS(20,3,,,"MATCHS_M"))&gt;INDIRECT(ADDRESS(20,5,,,"MATCHS_M")),1,0),IF(INDIRECT(ADDRESS(25,3,,,"MATCHS_M"))&gt;INDIRECT(ADDRESS(25,5,,,"MATCHS_M")),1,0),,,,,,,) + 0.1 * J108</f>
        <v>0</v>
      </c>
      <c r="F108" s="51">
        <f ca="1">SUM(IF(INDIRECT(ADDRESS(5,5,,,"MATCHS_M"))&lt;INDIRECT(ADDRESS(5,3,,,"MATCHS_M")),1,0),,IF(INDIRECT(ADDRESS(15,3,,,"MATCHS_M"))&lt;INDIRECT(ADDRESS(15,5,,,"MATCHS_M")),1,0),IF(INDIRECT(ADDRESS(20,3,,,"MATCHS_M"))&lt;INDIRECT(ADDRESS(20,5,,,"MATCHS_M")),1,0),IF(INDIRECT(ADDRESS(25,3,,,"MATCHS_M"))&lt;INDIRECT(ADDRESS(25,5,,,"MATCHS_M")),1,0),,,,,,,)</f>
        <v>0</v>
      </c>
      <c r="G108" s="51">
        <f ca="1">SUM(INDIRECT(ADDRESS(5,5,,,"MATCHS_M")),,INDIRECT(ADDRESS(15,3,,,"MATCHS_M")),INDIRECT(ADDRESS(20,3,,,"MATCHS_M")),INDIRECT(ADDRESS(25,3,,,"MATCHS_M")),,,,,,,)</f>
        <v>0</v>
      </c>
      <c r="H108" s="51">
        <f ca="1">SUM(INDIRECT(ADDRESS(5,3,,,"MATCHS_M")),,INDIRECT(ADDRESS(15,5,,,"MATCHS_M")),INDIRECT(ADDRESS(20,5,,,"MATCHS_M")),INDIRECT(ADDRESS(25,5,,,"MATCHS_M")),,,,,,,)</f>
        <v>0</v>
      </c>
      <c r="I108" s="51">
        <f t="shared" ca="1" si="2"/>
        <v>0</v>
      </c>
      <c r="J108" s="51">
        <v>0</v>
      </c>
      <c r="K108" s="51">
        <v>6</v>
      </c>
      <c r="L108" s="51"/>
      <c r="M108" s="69"/>
    </row>
    <row r="109" spans="1:13" ht="15.75" x14ac:dyDescent="0.25">
      <c r="A109" s="180"/>
      <c r="B109" s="51">
        <v>7</v>
      </c>
      <c r="C109" s="51" t="s">
        <v>223</v>
      </c>
      <c r="D109" s="51" t="str">
        <f>INSCRIPTS_M!C8</f>
        <v>7M</v>
      </c>
      <c r="E109" s="89">
        <f ca="1">SUM(IF(INDIRECT(ADDRESS(3,3,,,"MATCHS_M"))&gt;INDIRECT(ADDRESS(3,5,,,"MATCHS_M")),1,0),IF(INDIRECT(ADDRESS(7,5,,,"MATCHS_M"))&gt;INDIRECT(ADDRESS(7,3,,,"MATCHS_M")),1,0),IF(INDIRECT(ADDRESS(13,5,,,"MATCHS_M"))&gt;INDIRECT(ADDRESS(13,3,,,"MATCHS_M")),1,0),,IF(INDIRECT(ADDRESS(25,5,,,"MATCHS_M"))&gt;INDIRECT(ADDRESS(25,3,,,"MATCHS_M")),1,0),,,,,,,) + 0.1 * J109</f>
        <v>0</v>
      </c>
      <c r="F109" s="51">
        <f ca="1">SUM(IF(INDIRECT(ADDRESS(3,3,,,"MATCHS_M"))&lt;INDIRECT(ADDRESS(3,5,,,"MATCHS_M")),1,0),IF(INDIRECT(ADDRESS(7,5,,,"MATCHS_M"))&lt;INDIRECT(ADDRESS(7,3,,,"MATCHS_M")),1,0),IF(INDIRECT(ADDRESS(13,5,,,"MATCHS_M"))&lt;INDIRECT(ADDRESS(13,3,,,"MATCHS_M")),1,0),,IF(INDIRECT(ADDRESS(25,5,,,"MATCHS_M"))&lt;INDIRECT(ADDRESS(25,3,,,"MATCHS_M")),1,0),,,,,,,)</f>
        <v>0</v>
      </c>
      <c r="G109" s="51">
        <f ca="1">SUM(INDIRECT(ADDRESS(3,3,,,"MATCHS_M")),INDIRECT(ADDRESS(7,5,,,"MATCHS_M")),INDIRECT(ADDRESS(13,5,,,"MATCHS_M")),,INDIRECT(ADDRESS(25,5,,,"MATCHS_M")),,,,,,,)</f>
        <v>0</v>
      </c>
      <c r="H109" s="51">
        <f ca="1">SUM(INDIRECT(ADDRESS(3,5,,,"MATCHS_M")),INDIRECT(ADDRESS(7,3,,,"MATCHS_M")),INDIRECT(ADDRESS(13,3,,,"MATCHS_M")),,INDIRECT(ADDRESS(25,3,,,"MATCHS_M")),,,,,,,)</f>
        <v>0</v>
      </c>
      <c r="I109" s="51">
        <f t="shared" ca="1" si="2"/>
        <v>0</v>
      </c>
      <c r="J109" s="51">
        <v>0</v>
      </c>
      <c r="K109" s="51">
        <v>7</v>
      </c>
      <c r="L109" s="51"/>
      <c r="M109" s="69"/>
    </row>
    <row r="110" spans="1:13" ht="15.75" x14ac:dyDescent="0.25">
      <c r="A110" s="180"/>
      <c r="B110" s="51">
        <v>8</v>
      </c>
      <c r="C110" s="51" t="s">
        <v>224</v>
      </c>
      <c r="D110" s="51" t="str">
        <f>INSCRIPTS_M!C9</f>
        <v>8M</v>
      </c>
      <c r="E110" s="89">
        <f ca="1">SUM(IF(INDIRECT(ADDRESS(3,5,,,"MATCHS_M"))&gt;INDIRECT(ADDRESS(3,3,,,"MATCHS_M")),1,0),IF(INDIRECT(ADDRESS(8,3,,,"MATCHS_M"))&gt;INDIRECT(ADDRESS(8,5,,,"MATCHS_M")),1,0),IF(INDIRECT(ADDRESS(14,3,,,"MATCHS_M"))&gt;INDIRECT(ADDRESS(14,5,,,"MATCHS_M")),1,0),,IF(INDIRECT(ADDRESS(22,5,,,"MATCHS_M"))&gt;INDIRECT(ADDRESS(22,3,,,"MATCHS_M")),1,0),,,,,,,) + 0.1 * J110</f>
        <v>0</v>
      </c>
      <c r="F110" s="51">
        <f ca="1">SUM(IF(INDIRECT(ADDRESS(3,5,,,"MATCHS_M"))&lt;INDIRECT(ADDRESS(3,3,,,"MATCHS_M")),1,0),IF(INDIRECT(ADDRESS(8,3,,,"MATCHS_M"))&lt;INDIRECT(ADDRESS(8,5,,,"MATCHS_M")),1,0),IF(INDIRECT(ADDRESS(14,3,,,"MATCHS_M"))&lt;INDIRECT(ADDRESS(14,5,,,"MATCHS_M")),1,0),,IF(INDIRECT(ADDRESS(22,5,,,"MATCHS_M"))&lt;INDIRECT(ADDRESS(22,3,,,"MATCHS_M")),1,0),,,,,,,)</f>
        <v>0</v>
      </c>
      <c r="G110" s="51">
        <f ca="1">SUM(INDIRECT(ADDRESS(3,5,,,"MATCHS_M")),INDIRECT(ADDRESS(8,3,,,"MATCHS_M")),INDIRECT(ADDRESS(14,3,,,"MATCHS_M")),,INDIRECT(ADDRESS(22,5,,,"MATCHS_M")),,,,,,,)</f>
        <v>0</v>
      </c>
      <c r="H110" s="51">
        <f ca="1">SUM(INDIRECT(ADDRESS(3,3,,,"MATCHS_M")),INDIRECT(ADDRESS(8,5,,,"MATCHS_M")),INDIRECT(ADDRESS(14,5,,,"MATCHS_M")),,INDIRECT(ADDRESS(22,3,,,"MATCHS_M")),,,,,,,)</f>
        <v>0</v>
      </c>
      <c r="I110" s="51">
        <f t="shared" ca="1" si="2"/>
        <v>0</v>
      </c>
      <c r="J110" s="51">
        <v>0</v>
      </c>
      <c r="K110" s="51">
        <v>8</v>
      </c>
      <c r="L110" s="51"/>
      <c r="M110" s="69"/>
    </row>
    <row r="111" spans="1:13" ht="15.75" x14ac:dyDescent="0.25">
      <c r="A111" s="180"/>
      <c r="B111" s="51">
        <v>9</v>
      </c>
      <c r="C111" s="51" t="s">
        <v>226</v>
      </c>
      <c r="D111" s="51" t="str">
        <f>INSCRIPTS_M!C10</f>
        <v>9M</v>
      </c>
      <c r="E111" s="89">
        <f ca="1">SUM(,IF(INDIRECT(ADDRESS(9,5,,,"MATCHS_M"))&gt;INDIRECT(ADDRESS(9,3,,,"MATCHS_M")),1,0),IF(INDIRECT(ADDRESS(15,5,,,"MATCHS_M"))&gt;INDIRECT(ADDRESS(15,3,,,"MATCHS_M")),1,0),IF(INDIRECT(ADDRESS(19,3,,,"MATCHS_M"))&gt;INDIRECT(ADDRESS(19,5,,,"MATCHS_M")),1,0),IF(INDIRECT(ADDRESS(23,3,,,"MATCHS_M"))&gt;INDIRECT(ADDRESS(23,5,,,"MATCHS_M")),1,0),,,,,,,) + 0.1 * J111</f>
        <v>0</v>
      </c>
      <c r="F111" s="51">
        <f ca="1">SUM(,IF(INDIRECT(ADDRESS(9,5,,,"MATCHS_M"))&lt;INDIRECT(ADDRESS(9,3,,,"MATCHS_M")),1,0),IF(INDIRECT(ADDRESS(15,5,,,"MATCHS_M"))&lt;INDIRECT(ADDRESS(15,3,,,"MATCHS_M")),1,0),IF(INDIRECT(ADDRESS(19,3,,,"MATCHS_M"))&lt;INDIRECT(ADDRESS(19,5,,,"MATCHS_M")),1,0),IF(INDIRECT(ADDRESS(23,3,,,"MATCHS_M"))&lt;INDIRECT(ADDRESS(23,5,,,"MATCHS_M")),1,0),,,,,,,)</f>
        <v>0</v>
      </c>
      <c r="G111" s="51">
        <f ca="1">SUM(,INDIRECT(ADDRESS(9,5,,,"MATCHS_M")),INDIRECT(ADDRESS(15,5,,,"MATCHS_M")),INDIRECT(ADDRESS(19,3,,,"MATCHS_M")),INDIRECT(ADDRESS(23,3,,,"MATCHS_M")),,,,,,,)</f>
        <v>0</v>
      </c>
      <c r="H111" s="51">
        <f ca="1">SUM(,INDIRECT(ADDRESS(9,3,,,"MATCHS_M")),INDIRECT(ADDRESS(15,3,,,"MATCHS_M")),INDIRECT(ADDRESS(19,5,,,"MATCHS_M")),INDIRECT(ADDRESS(23,5,,,"MATCHS_M")),,,,,,,)</f>
        <v>0</v>
      </c>
      <c r="I111" s="51">
        <f t="shared" ca="1" si="2"/>
        <v>0</v>
      </c>
      <c r="J111" s="51">
        <v>0</v>
      </c>
      <c r="K111" s="51">
        <v>9</v>
      </c>
      <c r="L111" s="51"/>
      <c r="M111" s="69"/>
    </row>
    <row r="112" spans="1:13" ht="15.75" x14ac:dyDescent="0.25">
      <c r="A112" s="180"/>
      <c r="B112" s="51">
        <v>10</v>
      </c>
      <c r="C112" s="51" t="s">
        <v>227</v>
      </c>
      <c r="D112" s="51" t="str">
        <f>INSCRIPTS_M!C11</f>
        <v>10M</v>
      </c>
      <c r="E112" s="89">
        <f ca="1">SUM(,IF(INDIRECT(ADDRESS(10,3,,,"MATCHS_M"))&gt;INDIRECT(ADDRESS(10,5,,,"MATCHS_M")),1,0),IF(INDIRECT(ADDRESS(12,3,,,"MATCHS_M"))&gt;INDIRECT(ADDRESS(12,5,,,"MATCHS_M")),1,0),IF(INDIRECT(ADDRESS(19,5,,,"MATCHS_M"))&gt;INDIRECT(ADDRESS(19,3,,,"MATCHS_M")),1,0),IF(INDIRECT(ADDRESS(24,5,,,"MATCHS_M"))&gt;INDIRECT(ADDRESS(24,3,,,"MATCHS_M")),1,0),,,,,,,) + 0.1 * J112</f>
        <v>0</v>
      </c>
      <c r="F112" s="51">
        <f ca="1">SUM(,IF(INDIRECT(ADDRESS(10,3,,,"MATCHS_M"))&lt;INDIRECT(ADDRESS(10,5,,,"MATCHS_M")),1,0),IF(INDIRECT(ADDRESS(12,3,,,"MATCHS_M"))&lt;INDIRECT(ADDRESS(12,5,,,"MATCHS_M")),1,0),IF(INDIRECT(ADDRESS(19,5,,,"MATCHS_M"))&lt;INDIRECT(ADDRESS(19,3,,,"MATCHS_M")),1,0),IF(INDIRECT(ADDRESS(24,5,,,"MATCHS_M"))&lt;INDIRECT(ADDRESS(24,3,,,"MATCHS_M")),1,0),,,,,,,)</f>
        <v>0</v>
      </c>
      <c r="G112" s="51">
        <f ca="1">SUM(,INDIRECT(ADDRESS(10,3,,,"MATCHS_M")),INDIRECT(ADDRESS(12,3,,,"MATCHS_M")),INDIRECT(ADDRESS(19,5,,,"MATCHS_M")),INDIRECT(ADDRESS(24,5,,,"MATCHS_M")),,,,,,,)</f>
        <v>0</v>
      </c>
      <c r="H112" s="51">
        <f ca="1">SUM(,INDIRECT(ADDRESS(10,5,,,"MATCHS_M")),INDIRECT(ADDRESS(12,5,,,"MATCHS_M")),INDIRECT(ADDRESS(19,3,,,"MATCHS_M")),INDIRECT(ADDRESS(24,3,,,"MATCHS_M")),,,,,,,)</f>
        <v>0</v>
      </c>
      <c r="I112" s="51">
        <f t="shared" ca="1" si="2"/>
        <v>0</v>
      </c>
      <c r="J112" s="51">
        <v>0</v>
      </c>
      <c r="K112" s="51">
        <v>10</v>
      </c>
      <c r="L112" s="51"/>
      <c r="M112" s="69"/>
    </row>
  </sheetData>
  <sortState xmlns:xlrd2="http://schemas.microsoft.com/office/spreadsheetml/2017/richdata2" ref="C103:K112">
    <sortCondition descending="1" ref="E103:E112"/>
    <sortCondition descending="1" ref="I103:I112"/>
    <sortCondition descending="1" ref="G103:G112"/>
    <sortCondition ref="H103:H112"/>
    <sortCondition ref="K103:K112"/>
  </sortState>
  <mergeCells count="13">
    <mergeCell ref="A103:A112"/>
    <mergeCell ref="A52:A56"/>
    <mergeCell ref="A60:A64"/>
    <mergeCell ref="A68:A72"/>
    <mergeCell ref="A76:A80"/>
    <mergeCell ref="A84:A90"/>
    <mergeCell ref="A94:A99"/>
    <mergeCell ref="A44:A48"/>
    <mergeCell ref="A4:A8"/>
    <mergeCell ref="A12:A16"/>
    <mergeCell ref="A20:A24"/>
    <mergeCell ref="A28:A32"/>
    <mergeCell ref="A36:A40"/>
  </mergeCells>
  <dataValidations count="3">
    <dataValidation type="whole" allowBlank="1" showErrorMessage="1" errorTitle="ATTENTION" error="NOMBRE ENTIER UNIQUEMENT_x000a_COMPRIS ENTRE --&gt; 1 ET 8" sqref="L101:L112" xr:uid="{C0CBD8DD-037C-43CA-BB23-912FE7DA0AE0}">
      <formula1>1</formula1>
      <formula2>8</formula2>
    </dataValidation>
    <dataValidation type="whole" operator="greaterThanOrEqual" allowBlank="1" showErrorMessage="1" errorTitle="ATTENTION" error="NOMBRE ENTIER UNIQUEMENT_x000a_MINIMUM --&gt; 0" sqref="J1:J1048576" xr:uid="{B9271426-E451-465A-B668-C48C2D44ED23}">
      <formula1>0</formula1>
    </dataValidation>
    <dataValidation type="whole" allowBlank="1" showErrorMessage="1" errorTitle="ATTENTION" error="NOMBRE ENTIER UNIQUEMENT_x000a_COMPRIS ENTRE --&gt; 1 ET 40" sqref="L1:L100 L113:L1048576" xr:uid="{0B9B9AAD-B5B4-41E9-BF7F-A9A87A79B882}">
      <formula1>1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TRIPOULE">
              <controlPr defaultSize="0" print="0" autoFill="0" autoPict="0" macro="[0]!tp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112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C4PPClassement">
              <controlPr defaultSize="0" print="0" autoFill="0" autoPict="0" macro="[0]!'copyimage &quot;A2:J107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98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'copyimage &quot;A2:J13&quot;'">
                <anchor moveWithCells="1" sizeWithCells="1">
                  <from>
                    <xdr:col>17</xdr:col>
                    <xdr:colOff>0</xdr:colOff>
                    <xdr:row>100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4C132-38B9-4860-91D3-827C00E5EF9D}">
  <sheetPr codeName="Feuil5"/>
  <dimension ref="B1:C64"/>
  <sheetViews>
    <sheetView topLeftCell="A13" workbookViewId="0">
      <selection activeCell="C22" sqref="C22"/>
    </sheetView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3"/>
      <c r="C1" s="74" t="s">
        <v>98</v>
      </c>
    </row>
    <row r="2" spans="2:3" ht="15.75" x14ac:dyDescent="0.25">
      <c r="B2" s="166" t="s">
        <v>99</v>
      </c>
      <c r="C2" s="54" t="s">
        <v>44</v>
      </c>
    </row>
    <row r="3" spans="2:3" ht="15.75" x14ac:dyDescent="0.25">
      <c r="B3" s="167"/>
      <c r="C3" s="55" t="s">
        <v>45</v>
      </c>
    </row>
    <row r="4" spans="2:3" ht="15.75" x14ac:dyDescent="0.25">
      <c r="B4" s="167"/>
      <c r="C4" s="55" t="s">
        <v>46</v>
      </c>
    </row>
    <row r="5" spans="2:3" ht="15.75" x14ac:dyDescent="0.25">
      <c r="B5" s="167"/>
      <c r="C5" s="55" t="s">
        <v>100</v>
      </c>
    </row>
    <row r="6" spans="2:3" ht="15.75" x14ac:dyDescent="0.25">
      <c r="B6" s="167"/>
      <c r="C6" s="55" t="s">
        <v>101</v>
      </c>
    </row>
    <row r="7" spans="2:3" ht="15.75" x14ac:dyDescent="0.25">
      <c r="B7" s="167"/>
      <c r="C7" s="55" t="s">
        <v>225</v>
      </c>
    </row>
    <row r="8" spans="2:3" ht="15.75" x14ac:dyDescent="0.25">
      <c r="B8" s="167"/>
      <c r="C8" s="55" t="s">
        <v>223</v>
      </c>
    </row>
    <row r="9" spans="2:3" ht="15.75" x14ac:dyDescent="0.25">
      <c r="B9" s="167"/>
      <c r="C9" s="55" t="s">
        <v>224</v>
      </c>
    </row>
    <row r="10" spans="2:3" ht="15.75" x14ac:dyDescent="0.25">
      <c r="B10" s="167"/>
      <c r="C10" s="55" t="s">
        <v>226</v>
      </c>
    </row>
    <row r="11" spans="2:3" ht="15.75" x14ac:dyDescent="0.25">
      <c r="B11" s="167"/>
      <c r="C11" s="55" t="s">
        <v>227</v>
      </c>
    </row>
    <row r="12" spans="2:3" ht="15.75" x14ac:dyDescent="0.25">
      <c r="B12" s="167"/>
      <c r="C12" s="55" t="s">
        <v>237</v>
      </c>
    </row>
    <row r="13" spans="2:3" ht="15.75" x14ac:dyDescent="0.25">
      <c r="B13" s="167"/>
      <c r="C13" s="55" t="s">
        <v>238</v>
      </c>
    </row>
    <row r="14" spans="2:3" ht="15.75" x14ac:dyDescent="0.25">
      <c r="B14" s="167"/>
      <c r="C14" s="55" t="s">
        <v>239</v>
      </c>
    </row>
    <row r="15" spans="2:3" ht="15.75" x14ac:dyDescent="0.25">
      <c r="B15" s="167"/>
      <c r="C15" s="55" t="s">
        <v>240</v>
      </c>
    </row>
    <row r="16" spans="2:3" ht="15.75" x14ac:dyDescent="0.25">
      <c r="B16" s="167"/>
      <c r="C16" s="55" t="s">
        <v>241</v>
      </c>
    </row>
    <row r="17" spans="2:3" ht="16.5" thickBot="1" x14ac:dyDescent="0.3">
      <c r="B17" s="168"/>
      <c r="C17" s="56" t="s">
        <v>242</v>
      </c>
    </row>
    <row r="18" spans="2:3" ht="15.75" thickBot="1" x14ac:dyDescent="0.3">
      <c r="B18" s="73"/>
      <c r="C18" s="74" t="s">
        <v>98</v>
      </c>
    </row>
    <row r="19" spans="2:3" ht="15.75" x14ac:dyDescent="0.25">
      <c r="B19" s="169" t="s">
        <v>102</v>
      </c>
      <c r="C19" s="57" t="s">
        <v>47</v>
      </c>
    </row>
    <row r="20" spans="2:3" ht="15.75" x14ac:dyDescent="0.25">
      <c r="B20" s="170"/>
      <c r="C20" s="58" t="s">
        <v>48</v>
      </c>
    </row>
    <row r="21" spans="2:3" ht="15.75" x14ac:dyDescent="0.25">
      <c r="B21" s="170"/>
      <c r="C21" s="58" t="s">
        <v>49</v>
      </c>
    </row>
    <row r="22" spans="2:3" ht="15.75" x14ac:dyDescent="0.25">
      <c r="B22" s="170"/>
      <c r="C22" s="58" t="s">
        <v>103</v>
      </c>
    </row>
    <row r="23" spans="2:3" ht="15.75" x14ac:dyDescent="0.25">
      <c r="B23" s="170"/>
      <c r="C23" s="58" t="s">
        <v>104</v>
      </c>
    </row>
    <row r="24" spans="2:3" ht="15.75" x14ac:dyDescent="0.25">
      <c r="B24" s="170"/>
      <c r="C24" s="58" t="s">
        <v>243</v>
      </c>
    </row>
    <row r="25" spans="2:3" ht="15.75" x14ac:dyDescent="0.25">
      <c r="B25" s="170"/>
      <c r="C25" s="58" t="s">
        <v>244</v>
      </c>
    </row>
    <row r="26" spans="2:3" ht="15.75" x14ac:dyDescent="0.25">
      <c r="B26" s="170"/>
      <c r="C26" s="58" t="s">
        <v>245</v>
      </c>
    </row>
    <row r="27" spans="2:3" ht="15.75" x14ac:dyDescent="0.25">
      <c r="B27" s="170"/>
      <c r="C27" s="58" t="s">
        <v>246</v>
      </c>
    </row>
    <row r="28" spans="2:3" ht="15.75" x14ac:dyDescent="0.25">
      <c r="B28" s="170"/>
      <c r="C28" s="58" t="s">
        <v>247</v>
      </c>
    </row>
    <row r="29" spans="2:3" ht="15.75" x14ac:dyDescent="0.25">
      <c r="B29" s="170"/>
      <c r="C29" s="58" t="s">
        <v>248</v>
      </c>
    </row>
    <row r="30" spans="2:3" ht="15.75" x14ac:dyDescent="0.25">
      <c r="B30" s="170"/>
      <c r="C30" s="58" t="s">
        <v>249</v>
      </c>
    </row>
    <row r="31" spans="2:3" ht="15.75" x14ac:dyDescent="0.25">
      <c r="B31" s="170"/>
      <c r="C31" s="58" t="s">
        <v>250</v>
      </c>
    </row>
    <row r="32" spans="2:3" ht="15.75" x14ac:dyDescent="0.25">
      <c r="B32" s="170"/>
      <c r="C32" s="58" t="s">
        <v>251</v>
      </c>
    </row>
    <row r="33" spans="2:3" ht="15.75" x14ac:dyDescent="0.25">
      <c r="B33" s="170"/>
      <c r="C33" s="58" t="s">
        <v>252</v>
      </c>
    </row>
    <row r="34" spans="2:3" ht="16.5" thickBot="1" x14ac:dyDescent="0.3">
      <c r="B34" s="171"/>
      <c r="C34" s="59" t="s">
        <v>253</v>
      </c>
    </row>
    <row r="35" spans="2:3" ht="15.75" thickBot="1" x14ac:dyDescent="0.3">
      <c r="B35" s="73"/>
      <c r="C35" s="74" t="s">
        <v>135</v>
      </c>
    </row>
    <row r="36" spans="2:3" ht="15.75" x14ac:dyDescent="0.25">
      <c r="B36" s="172" t="s">
        <v>105</v>
      </c>
      <c r="C36" s="60" t="s">
        <v>106</v>
      </c>
    </row>
    <row r="37" spans="2:3" ht="15.75" x14ac:dyDescent="0.25">
      <c r="B37" s="173"/>
      <c r="C37" s="61" t="s">
        <v>107</v>
      </c>
    </row>
    <row r="38" spans="2:3" ht="15.75" x14ac:dyDescent="0.25">
      <c r="B38" s="173"/>
      <c r="C38" s="61" t="s">
        <v>108</v>
      </c>
    </row>
    <row r="39" spans="2:3" ht="15.75" x14ac:dyDescent="0.25">
      <c r="B39" s="173"/>
      <c r="C39" s="61" t="s">
        <v>109</v>
      </c>
    </row>
    <row r="40" spans="2:3" ht="15.75" x14ac:dyDescent="0.25">
      <c r="B40" s="173"/>
      <c r="C40" s="61" t="s">
        <v>110</v>
      </c>
    </row>
    <row r="41" spans="2:3" ht="15.75" x14ac:dyDescent="0.25">
      <c r="B41" s="173"/>
      <c r="C41" s="61" t="s">
        <v>254</v>
      </c>
    </row>
    <row r="42" spans="2:3" ht="15.75" x14ac:dyDescent="0.25">
      <c r="B42" s="173"/>
      <c r="C42" s="61" t="s">
        <v>255</v>
      </c>
    </row>
    <row r="43" spans="2:3" ht="15.75" x14ac:dyDescent="0.25">
      <c r="B43" s="173"/>
      <c r="C43" s="61" t="s">
        <v>256</v>
      </c>
    </row>
    <row r="44" spans="2:3" ht="15.75" x14ac:dyDescent="0.25">
      <c r="B44" s="173"/>
      <c r="C44" s="61" t="s">
        <v>257</v>
      </c>
    </row>
    <row r="45" spans="2:3" ht="15.75" x14ac:dyDescent="0.25">
      <c r="B45" s="173"/>
      <c r="C45" s="61" t="s">
        <v>258</v>
      </c>
    </row>
    <row r="46" spans="2:3" ht="15.75" x14ac:dyDescent="0.25">
      <c r="B46" s="173"/>
      <c r="C46" s="61" t="s">
        <v>259</v>
      </c>
    </row>
    <row r="47" spans="2:3" ht="15.75" x14ac:dyDescent="0.25">
      <c r="B47" s="173"/>
      <c r="C47" s="61" t="s">
        <v>260</v>
      </c>
    </row>
    <row r="48" spans="2:3" ht="15.75" x14ac:dyDescent="0.25">
      <c r="B48" s="173"/>
      <c r="C48" s="61" t="s">
        <v>261</v>
      </c>
    </row>
    <row r="49" spans="2:3" ht="15.75" x14ac:dyDescent="0.25">
      <c r="B49" s="173"/>
      <c r="C49" s="61" t="s">
        <v>262</v>
      </c>
    </row>
    <row r="50" spans="2:3" ht="15.75" x14ac:dyDescent="0.25">
      <c r="B50" s="173"/>
      <c r="C50" s="61" t="s">
        <v>263</v>
      </c>
    </row>
    <row r="51" spans="2:3" ht="16.5" thickBot="1" x14ac:dyDescent="0.3">
      <c r="B51" s="174"/>
      <c r="C51" s="62" t="s">
        <v>264</v>
      </c>
    </row>
    <row r="52" spans="2:3" ht="15.75" thickBot="1" x14ac:dyDescent="0.3">
      <c r="B52" s="73"/>
      <c r="C52" s="74" t="s">
        <v>154</v>
      </c>
    </row>
    <row r="53" spans="2:3" ht="15.75" x14ac:dyDescent="0.25">
      <c r="B53" s="183" t="s">
        <v>111</v>
      </c>
      <c r="C53" s="63" t="s">
        <v>112</v>
      </c>
    </row>
    <row r="54" spans="2:3" ht="15.75" x14ac:dyDescent="0.25">
      <c r="B54" s="184"/>
      <c r="C54" s="64" t="s">
        <v>113</v>
      </c>
    </row>
    <row r="55" spans="2:3" ht="15.75" x14ac:dyDescent="0.25">
      <c r="B55" s="184"/>
      <c r="C55" s="64" t="s">
        <v>114</v>
      </c>
    </row>
    <row r="56" spans="2:3" ht="15.75" x14ac:dyDescent="0.25">
      <c r="B56" s="184"/>
      <c r="C56" s="64" t="s">
        <v>115</v>
      </c>
    </row>
    <row r="57" spans="2:3" ht="15.75" x14ac:dyDescent="0.25">
      <c r="B57" s="184"/>
      <c r="C57" s="64" t="s">
        <v>116</v>
      </c>
    </row>
    <row r="58" spans="2:3" ht="15.75" x14ac:dyDescent="0.25">
      <c r="B58" s="184"/>
      <c r="C58" s="64" t="s">
        <v>265</v>
      </c>
    </row>
    <row r="59" spans="2:3" ht="15.75" x14ac:dyDescent="0.25">
      <c r="B59" s="184"/>
      <c r="C59" s="64" t="s">
        <v>266</v>
      </c>
    </row>
    <row r="60" spans="2:3" ht="15.75" x14ac:dyDescent="0.25">
      <c r="B60" s="184"/>
      <c r="C60" s="64" t="s">
        <v>267</v>
      </c>
    </row>
    <row r="61" spans="2:3" ht="15.75" x14ac:dyDescent="0.25">
      <c r="B61" s="184"/>
      <c r="C61" s="64" t="s">
        <v>268</v>
      </c>
    </row>
    <row r="62" spans="2:3" ht="15.75" x14ac:dyDescent="0.25">
      <c r="B62" s="184"/>
      <c r="C62" s="64" t="s">
        <v>269</v>
      </c>
    </row>
    <row r="63" spans="2:3" ht="15.75" x14ac:dyDescent="0.25">
      <c r="B63" s="184"/>
      <c r="C63" s="64" t="s">
        <v>270</v>
      </c>
    </row>
    <row r="64" spans="2:3" ht="16.5" thickBot="1" x14ac:dyDescent="0.3">
      <c r="B64" s="185"/>
      <c r="C64" s="65" t="s">
        <v>271</v>
      </c>
    </row>
  </sheetData>
  <mergeCells count="4">
    <mergeCell ref="B2:B17"/>
    <mergeCell ref="B19:B34"/>
    <mergeCell ref="B36:B51"/>
    <mergeCell ref="B53:B6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4PPinscript">
              <controlPr defaultSize="0" print="0" autoFill="0" autoPict="0" macro="[0]!'copyimage &quot;B2:C64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6FA5F-3996-41A6-A56D-A2756FDB08C1}">
  <sheetPr codeName="Feuil12"/>
  <dimension ref="B1:C15"/>
  <sheetViews>
    <sheetView workbookViewId="0">
      <selection activeCell="C12" sqref="C12"/>
    </sheetView>
  </sheetViews>
  <sheetFormatPr baseColWidth="10" defaultRowHeight="15" x14ac:dyDescent="0.25"/>
  <cols>
    <col min="1" max="2" width="11.42578125" style="47"/>
    <col min="3" max="3" width="75.7109375" style="47" customWidth="1"/>
    <col min="4" max="16384" width="11.42578125" style="47"/>
  </cols>
  <sheetData>
    <row r="1" spans="2:3" ht="15.75" thickBot="1" x14ac:dyDescent="0.3">
      <c r="B1" s="74"/>
      <c r="C1" s="74" t="s">
        <v>170</v>
      </c>
    </row>
    <row r="2" spans="2:3" ht="15.75" x14ac:dyDescent="0.25">
      <c r="B2" s="172" t="s">
        <v>171</v>
      </c>
      <c r="C2" s="60" t="s">
        <v>172</v>
      </c>
    </row>
    <row r="3" spans="2:3" ht="15.75" x14ac:dyDescent="0.25">
      <c r="B3" s="173"/>
      <c r="C3" s="61" t="s">
        <v>173</v>
      </c>
    </row>
    <row r="4" spans="2:3" ht="15.75" x14ac:dyDescent="0.25">
      <c r="B4" s="173"/>
      <c r="C4" s="61" t="s">
        <v>174</v>
      </c>
    </row>
    <row r="5" spans="2:3" ht="15.75" x14ac:dyDescent="0.25">
      <c r="B5" s="173"/>
      <c r="C5" s="61" t="s">
        <v>175</v>
      </c>
    </row>
    <row r="6" spans="2:3" ht="15.75" x14ac:dyDescent="0.25">
      <c r="B6" s="173"/>
      <c r="C6" s="61" t="s">
        <v>176</v>
      </c>
    </row>
    <row r="7" spans="2:3" ht="15.75" x14ac:dyDescent="0.25">
      <c r="B7" s="173"/>
      <c r="C7" s="61" t="s">
        <v>177</v>
      </c>
    </row>
    <row r="8" spans="2:3" ht="15.75" x14ac:dyDescent="0.25">
      <c r="B8" s="173"/>
      <c r="C8" s="61" t="s">
        <v>178</v>
      </c>
    </row>
    <row r="9" spans="2:3" ht="15.75" x14ac:dyDescent="0.25">
      <c r="B9" s="173"/>
      <c r="C9" s="61" t="s">
        <v>179</v>
      </c>
    </row>
    <row r="10" spans="2:3" ht="15.75" x14ac:dyDescent="0.25">
      <c r="B10" s="173"/>
      <c r="C10" s="61" t="s">
        <v>180</v>
      </c>
    </row>
    <row r="11" spans="2:3" ht="15.75" x14ac:dyDescent="0.25">
      <c r="B11" s="173"/>
      <c r="C11" s="61" t="s">
        <v>181</v>
      </c>
    </row>
    <row r="12" spans="2:3" ht="15.75" x14ac:dyDescent="0.25">
      <c r="B12" s="173"/>
      <c r="C12" s="61" t="s">
        <v>182</v>
      </c>
    </row>
    <row r="13" spans="2:3" ht="15.75" x14ac:dyDescent="0.25">
      <c r="B13" s="173"/>
      <c r="C13" s="61" t="s">
        <v>183</v>
      </c>
    </row>
    <row r="14" spans="2:3" ht="15.75" x14ac:dyDescent="0.25">
      <c r="B14" s="173"/>
      <c r="C14" s="61" t="s">
        <v>184</v>
      </c>
    </row>
    <row r="15" spans="2:3" ht="16.5" thickBot="1" x14ac:dyDescent="0.3">
      <c r="B15" s="174"/>
      <c r="C15" s="62" t="s">
        <v>185</v>
      </c>
    </row>
  </sheetData>
  <mergeCells count="1">
    <mergeCell ref="B2:B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4PPinscript">
              <controlPr defaultSize="0" print="0" autoFill="0" autoPict="0" macro="[0]!'copyimage &quot;B2:C15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5341-2F55-49DD-BBFE-E8ECE1EAEEC9}">
  <sheetPr codeName="Feuil13"/>
  <dimension ref="A1:G631"/>
  <sheetViews>
    <sheetView topLeftCell="B1" workbookViewId="0">
      <selection activeCell="F25" sqref="F25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16.7109375" style="47" customWidth="1"/>
    <col min="5" max="5" width="6" style="69" customWidth="1"/>
    <col min="6" max="6" width="43.5703125" style="47" customWidth="1"/>
    <col min="7" max="7" width="6" style="47" hidden="1" customWidth="1"/>
    <col min="8" max="16384" width="11.42578125" style="47"/>
  </cols>
  <sheetData>
    <row r="1" spans="1:7" x14ac:dyDescent="0.25">
      <c r="A1" s="78"/>
      <c r="B1" s="78"/>
      <c r="C1" s="67"/>
      <c r="D1" s="72">
        <v>0.875</v>
      </c>
      <c r="E1" s="67"/>
      <c r="F1" s="78"/>
      <c r="G1" s="78"/>
    </row>
    <row r="2" spans="1:7" x14ac:dyDescent="0.25">
      <c r="A2" s="79" t="s">
        <v>44</v>
      </c>
      <c r="B2" s="81" t="str">
        <f>INSCRIPTS_14!C2</f>
        <v>1M</v>
      </c>
      <c r="C2" s="71"/>
      <c r="D2" s="66" t="s">
        <v>78</v>
      </c>
      <c r="E2" s="71"/>
      <c r="F2" s="81" t="str">
        <f>INSCRIPTS_14!C12</f>
        <v>11M</v>
      </c>
      <c r="G2" s="79" t="s">
        <v>237</v>
      </c>
    </row>
    <row r="3" spans="1:7" x14ac:dyDescent="0.25">
      <c r="A3" s="79" t="s">
        <v>238</v>
      </c>
      <c r="B3" s="81" t="str">
        <f>INSCRIPTS_14!C13</f>
        <v>12M</v>
      </c>
      <c r="C3" s="71"/>
      <c r="D3" s="66" t="s">
        <v>79</v>
      </c>
      <c r="E3" s="71"/>
      <c r="F3" s="81" t="str">
        <f>INSCRIPTS_14!C11</f>
        <v>10M</v>
      </c>
      <c r="G3" s="79" t="s">
        <v>227</v>
      </c>
    </row>
    <row r="4" spans="1:7" x14ac:dyDescent="0.25">
      <c r="A4" s="79" t="s">
        <v>239</v>
      </c>
      <c r="B4" s="81" t="str">
        <f>INSCRIPTS_14!C14</f>
        <v>13M</v>
      </c>
      <c r="C4" s="71"/>
      <c r="D4" s="66" t="s">
        <v>80</v>
      </c>
      <c r="E4" s="71"/>
      <c r="F4" s="81" t="str">
        <f>INSCRIPTS_14!C10</f>
        <v>9M</v>
      </c>
      <c r="G4" s="79" t="s">
        <v>226</v>
      </c>
    </row>
    <row r="5" spans="1:7" x14ac:dyDescent="0.25">
      <c r="A5" s="79" t="s">
        <v>240</v>
      </c>
      <c r="B5" s="81" t="str">
        <f>INSCRIPTS_14!C15</f>
        <v>14M</v>
      </c>
      <c r="C5" s="71"/>
      <c r="D5" s="66" t="s">
        <v>81</v>
      </c>
      <c r="E5" s="71"/>
      <c r="F5" s="81" t="str">
        <f>INSCRIPTS_14!C9</f>
        <v>8M</v>
      </c>
      <c r="G5" s="79" t="s">
        <v>224</v>
      </c>
    </row>
    <row r="6" spans="1:7" x14ac:dyDescent="0.25">
      <c r="A6" s="79" t="s">
        <v>45</v>
      </c>
      <c r="B6" s="81" t="str">
        <f>INSCRIPTS_14!C3</f>
        <v>2M</v>
      </c>
      <c r="C6" s="71"/>
      <c r="D6" s="66" t="s">
        <v>82</v>
      </c>
      <c r="E6" s="71"/>
      <c r="F6" s="81" t="str">
        <f>INSCRIPTS_14!C8</f>
        <v>7M</v>
      </c>
      <c r="G6" s="79" t="s">
        <v>223</v>
      </c>
    </row>
    <row r="7" spans="1:7" x14ac:dyDescent="0.25">
      <c r="A7" s="79" t="s">
        <v>46</v>
      </c>
      <c r="B7" s="81" t="str">
        <f>INSCRIPTS_14!C4</f>
        <v>3M</v>
      </c>
      <c r="C7" s="71"/>
      <c r="D7" s="66" t="s">
        <v>83</v>
      </c>
      <c r="E7" s="71"/>
      <c r="F7" s="81" t="str">
        <f>INSCRIPTS_14!C7</f>
        <v>6M</v>
      </c>
      <c r="G7" s="79" t="s">
        <v>225</v>
      </c>
    </row>
    <row r="8" spans="1:7" x14ac:dyDescent="0.25">
      <c r="A8" s="78"/>
      <c r="B8" s="78"/>
      <c r="C8" s="67"/>
      <c r="D8" s="72">
        <f>0.875 + "00:20:00"</f>
        <v>0.88888888888888884</v>
      </c>
      <c r="E8" s="67"/>
      <c r="F8" s="78"/>
      <c r="G8" s="78"/>
    </row>
    <row r="9" spans="1:7" x14ac:dyDescent="0.25">
      <c r="A9" s="79" t="s">
        <v>44</v>
      </c>
      <c r="B9" s="81" t="str">
        <f>INSCRIPTS_14!C2</f>
        <v>1M</v>
      </c>
      <c r="C9" s="71"/>
      <c r="D9" s="66" t="s">
        <v>78</v>
      </c>
      <c r="E9" s="71"/>
      <c r="F9" s="81" t="str">
        <f>INSCRIPTS_14!C10</f>
        <v>9M</v>
      </c>
      <c r="G9" s="79" t="s">
        <v>226</v>
      </c>
    </row>
    <row r="10" spans="1:7" x14ac:dyDescent="0.25">
      <c r="A10" s="79" t="s">
        <v>227</v>
      </c>
      <c r="B10" s="81" t="str">
        <f>INSCRIPTS_14!C11</f>
        <v>10M</v>
      </c>
      <c r="C10" s="71"/>
      <c r="D10" s="66" t="s">
        <v>79</v>
      </c>
      <c r="E10" s="71"/>
      <c r="F10" s="81" t="str">
        <f>INSCRIPTS_14!C9</f>
        <v>8M</v>
      </c>
      <c r="G10" s="79" t="s">
        <v>224</v>
      </c>
    </row>
    <row r="11" spans="1:7" x14ac:dyDescent="0.25">
      <c r="A11" s="79" t="s">
        <v>237</v>
      </c>
      <c r="B11" s="81" t="str">
        <f>INSCRIPTS_14!C12</f>
        <v>11M</v>
      </c>
      <c r="C11" s="71"/>
      <c r="D11" s="66" t="s">
        <v>80</v>
      </c>
      <c r="E11" s="71"/>
      <c r="F11" s="81" t="str">
        <f>INSCRIPTS_14!C8</f>
        <v>7M</v>
      </c>
      <c r="G11" s="79" t="s">
        <v>223</v>
      </c>
    </row>
    <row r="12" spans="1:7" x14ac:dyDescent="0.25">
      <c r="A12" s="79" t="s">
        <v>238</v>
      </c>
      <c r="B12" s="81" t="str">
        <f>INSCRIPTS_14!C13</f>
        <v>12M</v>
      </c>
      <c r="C12" s="71"/>
      <c r="D12" s="66" t="s">
        <v>81</v>
      </c>
      <c r="E12" s="71"/>
      <c r="F12" s="81" t="str">
        <f>INSCRIPTS_14!C7</f>
        <v>6M</v>
      </c>
      <c r="G12" s="79" t="s">
        <v>225</v>
      </c>
    </row>
    <row r="13" spans="1:7" x14ac:dyDescent="0.25">
      <c r="A13" s="79" t="s">
        <v>239</v>
      </c>
      <c r="B13" s="81" t="str">
        <f>INSCRIPTS_14!C14</f>
        <v>13M</v>
      </c>
      <c r="C13" s="71"/>
      <c r="D13" s="66" t="s">
        <v>82</v>
      </c>
      <c r="E13" s="71"/>
      <c r="F13" s="81" t="str">
        <f>INSCRIPTS_14!C6</f>
        <v>5M</v>
      </c>
      <c r="G13" s="79" t="s">
        <v>101</v>
      </c>
    </row>
    <row r="14" spans="1:7" x14ac:dyDescent="0.25">
      <c r="A14" s="79" t="s">
        <v>240</v>
      </c>
      <c r="B14" s="81" t="str">
        <f>INSCRIPTS_14!C15</f>
        <v>14M</v>
      </c>
      <c r="C14" s="71"/>
      <c r="D14" s="66" t="s">
        <v>83</v>
      </c>
      <c r="E14" s="71"/>
      <c r="F14" s="81" t="str">
        <f>INSCRIPTS_14!C5</f>
        <v>4M</v>
      </c>
      <c r="G14" s="79" t="s">
        <v>100</v>
      </c>
    </row>
    <row r="15" spans="1:7" x14ac:dyDescent="0.25">
      <c r="A15" s="78"/>
      <c r="B15" s="78"/>
      <c r="C15" s="67"/>
      <c r="D15" s="72">
        <f>0.888888888888889 + "00:20:00"</f>
        <v>0.90277777777777779</v>
      </c>
      <c r="E15" s="67"/>
      <c r="F15" s="78"/>
      <c r="G15" s="78"/>
    </row>
    <row r="16" spans="1:7" x14ac:dyDescent="0.25">
      <c r="A16" s="79" t="s">
        <v>44</v>
      </c>
      <c r="B16" s="81" t="str">
        <f>INSCRIPTS_14!C2</f>
        <v>1M</v>
      </c>
      <c r="C16" s="71"/>
      <c r="D16" s="66" t="s">
        <v>78</v>
      </c>
      <c r="E16" s="71"/>
      <c r="F16" s="81" t="str">
        <f>INSCRIPTS_14!C8</f>
        <v>7M</v>
      </c>
      <c r="G16" s="79" t="s">
        <v>223</v>
      </c>
    </row>
    <row r="17" spans="1:7" x14ac:dyDescent="0.25">
      <c r="A17" s="79" t="s">
        <v>224</v>
      </c>
      <c r="B17" s="81" t="str">
        <f>INSCRIPTS_14!C9</f>
        <v>8M</v>
      </c>
      <c r="C17" s="71"/>
      <c r="D17" s="66" t="s">
        <v>79</v>
      </c>
      <c r="E17" s="71"/>
      <c r="F17" s="81" t="str">
        <f>INSCRIPTS_14!C7</f>
        <v>6M</v>
      </c>
      <c r="G17" s="79" t="s">
        <v>225</v>
      </c>
    </row>
    <row r="18" spans="1:7" x14ac:dyDescent="0.25">
      <c r="A18" s="79" t="s">
        <v>226</v>
      </c>
      <c r="B18" s="81" t="str">
        <f>INSCRIPTS_14!C10</f>
        <v>9M</v>
      </c>
      <c r="C18" s="71"/>
      <c r="D18" s="66" t="s">
        <v>80</v>
      </c>
      <c r="E18" s="71"/>
      <c r="F18" s="81" t="str">
        <f>INSCRIPTS_14!C6</f>
        <v>5M</v>
      </c>
      <c r="G18" s="79" t="s">
        <v>101</v>
      </c>
    </row>
    <row r="19" spans="1:7" x14ac:dyDescent="0.25">
      <c r="A19" s="79" t="s">
        <v>227</v>
      </c>
      <c r="B19" s="81" t="str">
        <f>INSCRIPTS_14!C11</f>
        <v>10M</v>
      </c>
      <c r="C19" s="71"/>
      <c r="D19" s="66" t="s">
        <v>81</v>
      </c>
      <c r="E19" s="71"/>
      <c r="F19" s="81" t="str">
        <f>INSCRIPTS_14!C5</f>
        <v>4M</v>
      </c>
      <c r="G19" s="79" t="s">
        <v>100</v>
      </c>
    </row>
    <row r="20" spans="1:7" x14ac:dyDescent="0.25">
      <c r="A20" s="79" t="s">
        <v>237</v>
      </c>
      <c r="B20" s="81" t="str">
        <f>INSCRIPTS_14!C12</f>
        <v>11M</v>
      </c>
      <c r="C20" s="71"/>
      <c r="D20" s="66" t="s">
        <v>82</v>
      </c>
      <c r="E20" s="71"/>
      <c r="F20" s="81" t="str">
        <f>INSCRIPTS_14!C4</f>
        <v>3M</v>
      </c>
      <c r="G20" s="79" t="s">
        <v>46</v>
      </c>
    </row>
    <row r="21" spans="1:7" x14ac:dyDescent="0.25">
      <c r="A21" s="79" t="s">
        <v>238</v>
      </c>
      <c r="B21" s="81" t="str">
        <f>INSCRIPTS_14!C13</f>
        <v>12M</v>
      </c>
      <c r="C21" s="71"/>
      <c r="D21" s="66" t="s">
        <v>83</v>
      </c>
      <c r="E21" s="71"/>
      <c r="F21" s="81" t="str">
        <f>INSCRIPTS_14!C3</f>
        <v>2M</v>
      </c>
      <c r="G21" s="79" t="s">
        <v>45</v>
      </c>
    </row>
    <row r="22" spans="1:7" x14ac:dyDescent="0.25">
      <c r="A22" s="78"/>
      <c r="B22" s="78"/>
      <c r="C22" s="67"/>
      <c r="D22" s="72">
        <f>0.902777777777778 + "00:20:00"</f>
        <v>0.91666666666666685</v>
      </c>
      <c r="E22" s="67"/>
      <c r="F22" s="78"/>
      <c r="G22" s="78"/>
    </row>
    <row r="23" spans="1:7" x14ac:dyDescent="0.25">
      <c r="A23" s="79" t="s">
        <v>44</v>
      </c>
      <c r="B23" s="81" t="str">
        <f>INSCRIPTS_14!C2</f>
        <v>1M</v>
      </c>
      <c r="C23" s="71"/>
      <c r="D23" s="66" t="s">
        <v>78</v>
      </c>
      <c r="E23" s="71"/>
      <c r="F23" s="81" t="str">
        <f>INSCRIPTS_14!C6</f>
        <v>5M</v>
      </c>
      <c r="G23" s="79" t="s">
        <v>101</v>
      </c>
    </row>
    <row r="24" spans="1:7" x14ac:dyDescent="0.25">
      <c r="A24" s="79" t="s">
        <v>225</v>
      </c>
      <c r="B24" s="81" t="str">
        <f>INSCRIPTS_14!C7</f>
        <v>6M</v>
      </c>
      <c r="C24" s="71"/>
      <c r="D24" s="66" t="s">
        <v>79</v>
      </c>
      <c r="E24" s="71"/>
      <c r="F24" s="81" t="str">
        <f>INSCRIPTS_14!C5</f>
        <v>4M</v>
      </c>
      <c r="G24" s="79" t="s">
        <v>100</v>
      </c>
    </row>
    <row r="25" spans="1:7" x14ac:dyDescent="0.25">
      <c r="A25" s="79" t="s">
        <v>223</v>
      </c>
      <c r="B25" s="81" t="str">
        <f>INSCRIPTS_14!C8</f>
        <v>7M</v>
      </c>
      <c r="C25" s="71"/>
      <c r="D25" s="66" t="s">
        <v>80</v>
      </c>
      <c r="E25" s="71"/>
      <c r="F25" s="81" t="str">
        <f>INSCRIPTS_14!C4</f>
        <v>3M</v>
      </c>
      <c r="G25" s="79" t="s">
        <v>46</v>
      </c>
    </row>
    <row r="26" spans="1:7" x14ac:dyDescent="0.25">
      <c r="A26" s="79" t="s">
        <v>224</v>
      </c>
      <c r="B26" s="81" t="str">
        <f>INSCRIPTS_14!C9</f>
        <v>8M</v>
      </c>
      <c r="C26" s="71"/>
      <c r="D26" s="66" t="s">
        <v>81</v>
      </c>
      <c r="E26" s="71"/>
      <c r="F26" s="81" t="str">
        <f>INSCRIPTS_14!C3</f>
        <v>2M</v>
      </c>
      <c r="G26" s="79" t="s">
        <v>45</v>
      </c>
    </row>
    <row r="27" spans="1:7" x14ac:dyDescent="0.25">
      <c r="A27" s="79" t="s">
        <v>226</v>
      </c>
      <c r="B27" s="81" t="str">
        <f>INSCRIPTS_14!C10</f>
        <v>9M</v>
      </c>
      <c r="C27" s="71"/>
      <c r="D27" s="66" t="s">
        <v>82</v>
      </c>
      <c r="E27" s="71"/>
      <c r="F27" s="81" t="str">
        <f>INSCRIPTS_14!C15</f>
        <v>14M</v>
      </c>
      <c r="G27" s="79" t="s">
        <v>240</v>
      </c>
    </row>
    <row r="28" spans="1:7" x14ac:dyDescent="0.25">
      <c r="A28" s="79" t="s">
        <v>227</v>
      </c>
      <c r="B28" s="81" t="str">
        <f>INSCRIPTS_14!C11</f>
        <v>10M</v>
      </c>
      <c r="C28" s="71"/>
      <c r="D28" s="66" t="s">
        <v>83</v>
      </c>
      <c r="E28" s="71"/>
      <c r="F28" s="81" t="str">
        <f>INSCRIPTS_14!C14</f>
        <v>13M</v>
      </c>
      <c r="G28" s="79" t="s">
        <v>239</v>
      </c>
    </row>
    <row r="29" spans="1:7" x14ac:dyDescent="0.25">
      <c r="A29" s="78"/>
      <c r="B29" s="78"/>
      <c r="C29" s="67"/>
      <c r="D29" s="72">
        <f>0.916666666666667 + "00:20:00"</f>
        <v>0.9305555555555558</v>
      </c>
      <c r="E29" s="67"/>
      <c r="F29" s="78"/>
      <c r="G29" s="78"/>
    </row>
    <row r="36" spans="4:4" x14ac:dyDescent="0.25">
      <c r="D36" s="47">
        <f>0.930555555555556 + "00:20:00"</f>
        <v>0.94444444444444486</v>
      </c>
    </row>
    <row r="43" spans="4:4" x14ac:dyDescent="0.25">
      <c r="D43" s="47">
        <f>0.944444444444445 + "00:20:00"</f>
        <v>0.95833333333333381</v>
      </c>
    </row>
    <row r="50" spans="4:4" x14ac:dyDescent="0.25">
      <c r="D50" s="47">
        <f>0.958333333333334 + "00:20:00"</f>
        <v>0.97222222222222288</v>
      </c>
    </row>
    <row r="57" spans="4:4" x14ac:dyDescent="0.25">
      <c r="D57" s="47">
        <f>0.972222222222223 + "00:20:00"</f>
        <v>0.98611111111111183</v>
      </c>
    </row>
    <row r="64" spans="4:4" x14ac:dyDescent="0.25">
      <c r="D64" s="47">
        <f>0.986111111111112 + "00:20:00"</f>
        <v>1.0000000000000009</v>
      </c>
    </row>
    <row r="71" spans="4:4" x14ac:dyDescent="0.25">
      <c r="D71" s="47">
        <f>1 + "00:20:00"</f>
        <v>1.0138888888888888</v>
      </c>
    </row>
    <row r="78" spans="4:4" x14ac:dyDescent="0.25">
      <c r="D78" s="47">
        <f>1.01388888888889 + "00:20:00"</f>
        <v>1.0277777777777788</v>
      </c>
    </row>
    <row r="85" spans="4:4" x14ac:dyDescent="0.25">
      <c r="D85" s="47">
        <f>1.02777777777778 + "00:20:00"</f>
        <v>1.0416666666666687</v>
      </c>
    </row>
    <row r="92" spans="4:4" x14ac:dyDescent="0.25">
      <c r="D92" s="47">
        <f>1.04166666666667 + "00:20:00"</f>
        <v>1.0555555555555589</v>
      </c>
    </row>
    <row r="99" spans="4:4" x14ac:dyDescent="0.25">
      <c r="D99" s="47">
        <f>1.05555555555556 + "00:20:00"</f>
        <v>1.0694444444444489</v>
      </c>
    </row>
    <row r="106" spans="4:4" x14ac:dyDescent="0.25">
      <c r="D106" s="47">
        <f>1.06944444444445 + "00:20:00"</f>
        <v>1.0833333333333388</v>
      </c>
    </row>
    <row r="113" spans="4:4" x14ac:dyDescent="0.25">
      <c r="D113" s="47">
        <f>1.08333333333334 + "00:20:00"</f>
        <v>1.0972222222222288</v>
      </c>
    </row>
    <row r="120" spans="4:4" x14ac:dyDescent="0.25">
      <c r="D120" s="47">
        <f>1.09722222222223 + "00:20:00"</f>
        <v>1.1111111111111189</v>
      </c>
    </row>
    <row r="127" spans="4:4" x14ac:dyDescent="0.25">
      <c r="D127" s="47">
        <f>1.11111111111112 + "00:20:00"</f>
        <v>1.1250000000000089</v>
      </c>
    </row>
    <row r="134" spans="4:4" x14ac:dyDescent="0.25">
      <c r="D134" s="47">
        <f>1.12500000000001 + "00:20:00"</f>
        <v>1.1388888888888988</v>
      </c>
    </row>
    <row r="141" spans="4:4" x14ac:dyDescent="0.25">
      <c r="D141" s="47">
        <f>1.1388888888889 + "00:20:00"</f>
        <v>1.1527777777777888</v>
      </c>
    </row>
    <row r="148" spans="4:4" x14ac:dyDescent="0.25">
      <c r="D148" s="47">
        <f>1.15277777777779 + "00:20:00"</f>
        <v>1.1666666666666787</v>
      </c>
    </row>
    <row r="155" spans="4:4" x14ac:dyDescent="0.25">
      <c r="D155" s="47">
        <f>1.16666666666668 + "00:20:00"</f>
        <v>1.1805555555555689</v>
      </c>
    </row>
    <row r="162" spans="4:4" x14ac:dyDescent="0.25">
      <c r="D162" s="47">
        <f>1.18055555555557 + "00:20:00"</f>
        <v>1.1944444444444589</v>
      </c>
    </row>
    <row r="169" spans="4:4" x14ac:dyDescent="0.25">
      <c r="D169" s="47">
        <f>1.19444444444446 + "00:20:00"</f>
        <v>1.2083333333333488</v>
      </c>
    </row>
    <row r="176" spans="4:4" x14ac:dyDescent="0.25">
      <c r="D176" s="47">
        <f>1.20833333333335 + "00:20:00"</f>
        <v>1.2222222222222388</v>
      </c>
    </row>
    <row r="183" spans="4:4" x14ac:dyDescent="0.25">
      <c r="D183" s="47">
        <f>1.22222222222224 + "00:20:00"</f>
        <v>1.2361111111111289</v>
      </c>
    </row>
    <row r="190" spans="4:4" x14ac:dyDescent="0.25">
      <c r="D190" s="47">
        <f>1.23611111111113 + "00:20:00"</f>
        <v>1.2500000000000189</v>
      </c>
    </row>
    <row r="197" spans="4:4" x14ac:dyDescent="0.25">
      <c r="D197" s="47">
        <f>1.25000000000002 + "00:20:00"</f>
        <v>1.2638888888889088</v>
      </c>
    </row>
    <row r="204" spans="4:4" x14ac:dyDescent="0.25">
      <c r="D204" s="47">
        <f>1.26388888888891 + "00:20:00"</f>
        <v>1.2777777777777988</v>
      </c>
    </row>
    <row r="211" spans="4:4" x14ac:dyDescent="0.25">
      <c r="D211" s="47">
        <f>1.2777777777778 + "00:20:00"</f>
        <v>1.2916666666666889</v>
      </c>
    </row>
    <row r="218" spans="4:4" x14ac:dyDescent="0.25">
      <c r="D218" s="47">
        <f>1.29166666666669 + "00:20:00"</f>
        <v>1.3055555555555789</v>
      </c>
    </row>
    <row r="225" spans="4:4" x14ac:dyDescent="0.25">
      <c r="D225" s="47">
        <f>1.30555555555558 + "00:20:00"</f>
        <v>1.3194444444444688</v>
      </c>
    </row>
    <row r="232" spans="4:4" x14ac:dyDescent="0.25">
      <c r="D232" s="47">
        <f>1.31944444444447 + "00:20:00"</f>
        <v>1.3333333333333588</v>
      </c>
    </row>
    <row r="239" spans="4:4" x14ac:dyDescent="0.25">
      <c r="D239" s="47">
        <f>1.33333333333336 + "00:20:00"</f>
        <v>1.3472222222222487</v>
      </c>
    </row>
    <row r="246" spans="4:4" x14ac:dyDescent="0.25">
      <c r="D246" s="47">
        <f>1.34722222222225 + "00:20:00"</f>
        <v>1.3611111111111389</v>
      </c>
    </row>
    <row r="253" spans="4:4" x14ac:dyDescent="0.25">
      <c r="D253" s="47">
        <f>1.36111111111114 + "00:20:00"</f>
        <v>1.3750000000000289</v>
      </c>
    </row>
    <row r="260" spans="4:4" x14ac:dyDescent="0.25">
      <c r="D260" s="47">
        <f>1.37500000000003 + "00:20:00"</f>
        <v>1.3888888888889188</v>
      </c>
    </row>
    <row r="267" spans="4:4" x14ac:dyDescent="0.25">
      <c r="D267" s="47">
        <f>1.38888888888892 + "00:20:00"</f>
        <v>1.4027777777778088</v>
      </c>
    </row>
    <row r="274" spans="4:4" x14ac:dyDescent="0.25">
      <c r="D274" s="47">
        <f>1.40277777777781 + "00:20:00"</f>
        <v>1.4166666666666989</v>
      </c>
    </row>
    <row r="281" spans="4:4" x14ac:dyDescent="0.25">
      <c r="D281" s="47">
        <f>1.4166666666667 + "00:20:00"</f>
        <v>1.4305555555555889</v>
      </c>
    </row>
    <row r="288" spans="4:4" x14ac:dyDescent="0.25">
      <c r="D288" s="47">
        <f>1.43055555555559 + "00:20:00"</f>
        <v>1.4444444444444788</v>
      </c>
    </row>
    <row r="295" spans="4:4" x14ac:dyDescent="0.25">
      <c r="D295" s="47">
        <f>1.44444444444448 + "00:20:00"</f>
        <v>1.4583333333333688</v>
      </c>
    </row>
    <row r="302" spans="4:4" x14ac:dyDescent="0.25">
      <c r="D302" s="47">
        <f>1.45833333333337 + "00:20:00"</f>
        <v>1.4722222222222587</v>
      </c>
    </row>
    <row r="309" spans="4:4" x14ac:dyDescent="0.25">
      <c r="D309" s="47">
        <f>1.47222222222226 + "00:20:00"</f>
        <v>1.4861111111111489</v>
      </c>
    </row>
    <row r="316" spans="4:4" x14ac:dyDescent="0.25">
      <c r="D316" s="47">
        <f>1.48611111111115 + "00:20:00"</f>
        <v>1.5000000000000389</v>
      </c>
    </row>
    <row r="323" spans="4:4" x14ac:dyDescent="0.25">
      <c r="D323" s="47">
        <f>1.50000000000004 + "00:20:00"</f>
        <v>1.5138888888889288</v>
      </c>
    </row>
    <row r="330" spans="4:4" x14ac:dyDescent="0.25">
      <c r="D330" s="47">
        <f>1.51388888888893 + "00:20:00"</f>
        <v>1.5277777777778188</v>
      </c>
    </row>
    <row r="337" spans="4:4" x14ac:dyDescent="0.25">
      <c r="D337" s="47">
        <f>1.52777777777782 + "00:20:00"</f>
        <v>1.5416666666667089</v>
      </c>
    </row>
    <row r="344" spans="4:4" x14ac:dyDescent="0.25">
      <c r="D344" s="47">
        <f>1.54166666666671 + "00:20:00"</f>
        <v>1.5555555555555989</v>
      </c>
    </row>
    <row r="351" spans="4:4" x14ac:dyDescent="0.25">
      <c r="D351" s="47">
        <f>1.5555555555556 + "00:20:00"</f>
        <v>1.5694444444444888</v>
      </c>
    </row>
    <row r="358" spans="4:4" x14ac:dyDescent="0.25">
      <c r="D358" s="47">
        <f>1.56944444444449 + "00:20:00"</f>
        <v>1.5833333333333788</v>
      </c>
    </row>
    <row r="365" spans="4:4" x14ac:dyDescent="0.25">
      <c r="D365" s="47">
        <f>1.58333333333338 + "00:20:00"</f>
        <v>1.597222222222269</v>
      </c>
    </row>
    <row r="372" spans="4:4" x14ac:dyDescent="0.25">
      <c r="D372" s="47">
        <f>1.59722222222227 + "00:20:00"</f>
        <v>1.6111111111111589</v>
      </c>
    </row>
    <row r="379" spans="4:4" x14ac:dyDescent="0.25">
      <c r="D379" s="47">
        <f>1.61111111111116 + "00:20:00"</f>
        <v>1.6250000000000488</v>
      </c>
    </row>
    <row r="386" spans="4:4" x14ac:dyDescent="0.25">
      <c r="D386" s="47">
        <f>1.62500000000005 + "00:20:00"</f>
        <v>1.6388888888889388</v>
      </c>
    </row>
    <row r="393" spans="4:4" x14ac:dyDescent="0.25">
      <c r="D393" s="47">
        <f>1.63888888888894 + "00:20:00"</f>
        <v>1.6527777777778287</v>
      </c>
    </row>
    <row r="400" spans="4:4" x14ac:dyDescent="0.25">
      <c r="D400" s="47">
        <f>1.65277777777783 + "00:20:00"</f>
        <v>1.6666666666667189</v>
      </c>
    </row>
    <row r="407" spans="4:4" x14ac:dyDescent="0.25">
      <c r="D407" s="47">
        <f>1.66666666666672 + "00:20:00"</f>
        <v>1.6805555555556089</v>
      </c>
    </row>
    <row r="414" spans="4:4" x14ac:dyDescent="0.25">
      <c r="D414" s="47">
        <f>1.68055555555561 + "00:20:00"</f>
        <v>1.6944444444444988</v>
      </c>
    </row>
    <row r="421" spans="4:4" x14ac:dyDescent="0.25">
      <c r="D421" s="47">
        <f>1.6944444444445 + "00:20:00"</f>
        <v>1.7083333333333888</v>
      </c>
    </row>
    <row r="428" spans="4:4" x14ac:dyDescent="0.25">
      <c r="D428" s="47">
        <f>1.70833333333339 + "00:20:00"</f>
        <v>1.7222222222222789</v>
      </c>
    </row>
    <row r="435" spans="4:4" x14ac:dyDescent="0.25">
      <c r="D435" s="47">
        <f>1.72222222222228 + "00:20:00"</f>
        <v>1.7361111111111689</v>
      </c>
    </row>
    <row r="442" spans="4:4" x14ac:dyDescent="0.25">
      <c r="D442" s="47">
        <f>1.73611111111117 + "00:20:00"</f>
        <v>1.7500000000000588</v>
      </c>
    </row>
    <row r="449" spans="4:4" x14ac:dyDescent="0.25">
      <c r="D449" s="47">
        <f>1.75000000000006 + "00:20:00"</f>
        <v>1.7638888888889488</v>
      </c>
    </row>
    <row r="456" spans="4:4" x14ac:dyDescent="0.25">
      <c r="D456" s="47">
        <f>1.76388888888895 + "00:20:00"</f>
        <v>1.7777777777778387</v>
      </c>
    </row>
    <row r="463" spans="4:4" x14ac:dyDescent="0.25">
      <c r="D463" s="47">
        <f>1.77777777777784 + "00:20:00"</f>
        <v>1.7916666666667289</v>
      </c>
    </row>
    <row r="470" spans="4:4" x14ac:dyDescent="0.25">
      <c r="D470" s="47">
        <f>1.79166666666673 + "00:20:00"</f>
        <v>1.8055555555556189</v>
      </c>
    </row>
    <row r="477" spans="4:4" x14ac:dyDescent="0.25">
      <c r="D477" s="47">
        <f>1.80555555555562 + "00:20:00"</f>
        <v>1.8194444444445088</v>
      </c>
    </row>
    <row r="484" spans="4:4" x14ac:dyDescent="0.25">
      <c r="D484" s="47">
        <f>1.81944444444451 + "00:20:00"</f>
        <v>1.8333333333333988</v>
      </c>
    </row>
    <row r="491" spans="4:4" x14ac:dyDescent="0.25">
      <c r="D491" s="47">
        <f>1.8333333333334 + "00:20:00"</f>
        <v>1.8472222222222889</v>
      </c>
    </row>
    <row r="498" spans="4:4" x14ac:dyDescent="0.25">
      <c r="D498" s="47">
        <f>1.84722222222229 + "00:20:00"</f>
        <v>1.8611111111111789</v>
      </c>
    </row>
    <row r="505" spans="4:4" x14ac:dyDescent="0.25">
      <c r="D505" s="47">
        <f>1.86111111111118 + "00:20:00"</f>
        <v>1.8750000000000688</v>
      </c>
    </row>
    <row r="512" spans="4:4" x14ac:dyDescent="0.25">
      <c r="D512" s="47">
        <f>1.87500000000007 + "00:20:00"</f>
        <v>1.8888888888889588</v>
      </c>
    </row>
    <row r="519" spans="4:4" x14ac:dyDescent="0.25">
      <c r="D519" s="47">
        <f>1.88888888888896 + "00:20:00"</f>
        <v>1.9027777777778487</v>
      </c>
    </row>
    <row r="526" spans="4:4" x14ac:dyDescent="0.25">
      <c r="D526" s="47">
        <f>1.90277777777785 + "00:20:00"</f>
        <v>1.9166666666667389</v>
      </c>
    </row>
    <row r="533" spans="4:4" x14ac:dyDescent="0.25">
      <c r="D533" s="47">
        <f>1.91666666666674 + "00:20:00"</f>
        <v>1.9305555555556289</v>
      </c>
    </row>
    <row r="540" spans="4:4" x14ac:dyDescent="0.25">
      <c r="D540" s="47">
        <f>1.93055555555563 + "00:20:00"</f>
        <v>1.9444444444445188</v>
      </c>
    </row>
    <row r="547" spans="4:4" x14ac:dyDescent="0.25">
      <c r="D547" s="47">
        <f>1.94444444444452 + "00:20:00"</f>
        <v>1.9583333333334088</v>
      </c>
    </row>
    <row r="554" spans="4:4" x14ac:dyDescent="0.25">
      <c r="D554" s="47">
        <f>1.95833333333341 + "00:20:00"</f>
        <v>1.9722222222222989</v>
      </c>
    </row>
    <row r="561" spans="4:4" x14ac:dyDescent="0.25">
      <c r="D561" s="47">
        <f>1.9722222222223 + "00:20:00"</f>
        <v>1.9861111111111889</v>
      </c>
    </row>
    <row r="568" spans="4:4" x14ac:dyDescent="0.25">
      <c r="D568" s="47">
        <f>1.98611111111119 + "00:20:00"</f>
        <v>2.000000000000079</v>
      </c>
    </row>
    <row r="575" spans="4:4" x14ac:dyDescent="0.25">
      <c r="D575" s="47">
        <f>2.00000000000008 + "00:20:00"</f>
        <v>2.0138888888889688</v>
      </c>
    </row>
    <row r="582" spans="4:4" x14ac:dyDescent="0.25">
      <c r="D582" s="47">
        <f>2.01388888888897 + "00:20:00"</f>
        <v>2.0277777777778589</v>
      </c>
    </row>
    <row r="589" spans="4:4" x14ac:dyDescent="0.25">
      <c r="D589" s="47">
        <f>2.02777777777786 + "00:20:00"</f>
        <v>2.0416666666667487</v>
      </c>
    </row>
    <row r="596" spans="4:4" x14ac:dyDescent="0.25">
      <c r="D596" s="47">
        <f>2.04166666666675 + "00:20:00"</f>
        <v>2.0555555555556388</v>
      </c>
    </row>
    <row r="603" spans="4:4" x14ac:dyDescent="0.25">
      <c r="D603" s="47">
        <f>2.05555555555564 + "00:20:00"</f>
        <v>2.069444444444529</v>
      </c>
    </row>
    <row r="610" spans="4:4" x14ac:dyDescent="0.25">
      <c r="D610" s="47">
        <f>2.06944444444453 + "00:20:00"</f>
        <v>2.0833333333334187</v>
      </c>
    </row>
    <row r="617" spans="4:4" x14ac:dyDescent="0.25">
      <c r="D617" s="47">
        <f>2.08333333333342 + "00:20:00"</f>
        <v>2.0972222222223089</v>
      </c>
    </row>
    <row r="624" spans="4:4" x14ac:dyDescent="0.25">
      <c r="D624" s="47">
        <f>2.09722222222231 + "00:20:00"</f>
        <v>2.1111111111111986</v>
      </c>
    </row>
    <row r="631" spans="4:4" x14ac:dyDescent="0.25">
      <c r="D631" s="47">
        <f>2.1111111111112 + "00:20:00"</f>
        <v>2.1250000000000888</v>
      </c>
    </row>
  </sheetData>
  <conditionalFormatting sqref="C2">
    <cfRule type="expression" dxfId="479" priority="95">
      <formula>$C2&lt;$E2</formula>
    </cfRule>
    <cfRule type="expression" dxfId="478" priority="96">
      <formula>$C2&gt;$E2</formula>
    </cfRule>
  </conditionalFormatting>
  <conditionalFormatting sqref="E2">
    <cfRule type="expression" dxfId="477" priority="93">
      <formula>$C2&gt;$E2</formula>
    </cfRule>
    <cfRule type="expression" dxfId="476" priority="94">
      <formula>$C2&lt;$E2</formula>
    </cfRule>
  </conditionalFormatting>
  <conditionalFormatting sqref="C3">
    <cfRule type="expression" dxfId="475" priority="91">
      <formula>$C3&lt;$E3</formula>
    </cfRule>
    <cfRule type="expression" dxfId="474" priority="92">
      <formula>$C3&gt;$E3</formula>
    </cfRule>
  </conditionalFormatting>
  <conditionalFormatting sqref="E3">
    <cfRule type="expression" dxfId="473" priority="89">
      <formula>$C3&gt;$E3</formula>
    </cfRule>
    <cfRule type="expression" dxfId="472" priority="90">
      <formula>$C3&lt;$E3</formula>
    </cfRule>
  </conditionalFormatting>
  <conditionalFormatting sqref="C4">
    <cfRule type="expression" dxfId="471" priority="87">
      <formula>$C4&lt;$E4</formula>
    </cfRule>
    <cfRule type="expression" dxfId="470" priority="88">
      <formula>$C4&gt;$E4</formula>
    </cfRule>
  </conditionalFormatting>
  <conditionalFormatting sqref="E4">
    <cfRule type="expression" dxfId="469" priority="85">
      <formula>$C4&gt;$E4</formula>
    </cfRule>
    <cfRule type="expression" dxfId="468" priority="86">
      <formula>$C4&lt;$E4</formula>
    </cfRule>
  </conditionalFormatting>
  <conditionalFormatting sqref="C5">
    <cfRule type="expression" dxfId="467" priority="83">
      <formula>$C5&lt;$E5</formula>
    </cfRule>
    <cfRule type="expression" dxfId="466" priority="84">
      <formula>$C5&gt;$E5</formula>
    </cfRule>
  </conditionalFormatting>
  <conditionalFormatting sqref="E5">
    <cfRule type="expression" dxfId="465" priority="81">
      <formula>$C5&gt;$E5</formula>
    </cfRule>
    <cfRule type="expression" dxfId="464" priority="82">
      <formula>$C5&lt;$E5</formula>
    </cfRule>
  </conditionalFormatting>
  <conditionalFormatting sqref="C6">
    <cfRule type="expression" dxfId="463" priority="79">
      <formula>$C6&lt;$E6</formula>
    </cfRule>
    <cfRule type="expression" dxfId="462" priority="80">
      <formula>$C6&gt;$E6</formula>
    </cfRule>
  </conditionalFormatting>
  <conditionalFormatting sqref="E6">
    <cfRule type="expression" dxfId="461" priority="77">
      <formula>$C6&gt;$E6</formula>
    </cfRule>
    <cfRule type="expression" dxfId="460" priority="78">
      <formula>$C6&lt;$E6</formula>
    </cfRule>
  </conditionalFormatting>
  <conditionalFormatting sqref="C7">
    <cfRule type="expression" dxfId="459" priority="75">
      <formula>$C7&lt;$E7</formula>
    </cfRule>
    <cfRule type="expression" dxfId="458" priority="76">
      <formula>$C7&gt;$E7</formula>
    </cfRule>
  </conditionalFormatting>
  <conditionalFormatting sqref="E7">
    <cfRule type="expression" dxfId="457" priority="73">
      <formula>$C7&gt;$E7</formula>
    </cfRule>
    <cfRule type="expression" dxfId="456" priority="74">
      <formula>$C7&lt;$E7</formula>
    </cfRule>
  </conditionalFormatting>
  <conditionalFormatting sqref="C9">
    <cfRule type="expression" dxfId="455" priority="71">
      <formula>$C9&lt;$E9</formula>
    </cfRule>
    <cfRule type="expression" dxfId="454" priority="72">
      <formula>$C9&gt;$E9</formula>
    </cfRule>
  </conditionalFormatting>
  <conditionalFormatting sqref="E9">
    <cfRule type="expression" dxfId="453" priority="69">
      <formula>$C9&gt;$E9</formula>
    </cfRule>
    <cfRule type="expression" dxfId="452" priority="70">
      <formula>$C9&lt;$E9</formula>
    </cfRule>
  </conditionalFormatting>
  <conditionalFormatting sqref="C10">
    <cfRule type="expression" dxfId="451" priority="67">
      <formula>$C10&lt;$E10</formula>
    </cfRule>
    <cfRule type="expression" dxfId="450" priority="68">
      <formula>$C10&gt;$E10</formula>
    </cfRule>
  </conditionalFormatting>
  <conditionalFormatting sqref="E10">
    <cfRule type="expression" dxfId="449" priority="65">
      <formula>$C10&gt;$E10</formula>
    </cfRule>
    <cfRule type="expression" dxfId="448" priority="66">
      <formula>$C10&lt;$E10</formula>
    </cfRule>
  </conditionalFormatting>
  <conditionalFormatting sqref="C11">
    <cfRule type="expression" dxfId="447" priority="63">
      <formula>$C11&lt;$E11</formula>
    </cfRule>
    <cfRule type="expression" dxfId="446" priority="64">
      <formula>$C11&gt;$E11</formula>
    </cfRule>
  </conditionalFormatting>
  <conditionalFormatting sqref="E11">
    <cfRule type="expression" dxfId="445" priority="61">
      <formula>$C11&gt;$E11</formula>
    </cfRule>
    <cfRule type="expression" dxfId="444" priority="62">
      <formula>$C11&lt;$E11</formula>
    </cfRule>
  </conditionalFormatting>
  <conditionalFormatting sqref="C12">
    <cfRule type="expression" dxfId="443" priority="59">
      <formula>$C12&lt;$E12</formula>
    </cfRule>
    <cfRule type="expression" dxfId="442" priority="60">
      <formula>$C12&gt;$E12</formula>
    </cfRule>
  </conditionalFormatting>
  <conditionalFormatting sqref="E12">
    <cfRule type="expression" dxfId="441" priority="57">
      <formula>$C12&gt;$E12</formula>
    </cfRule>
    <cfRule type="expression" dxfId="440" priority="58">
      <formula>$C12&lt;$E12</formula>
    </cfRule>
  </conditionalFormatting>
  <conditionalFormatting sqref="C13">
    <cfRule type="expression" dxfId="439" priority="55">
      <formula>$C13&lt;$E13</formula>
    </cfRule>
    <cfRule type="expression" dxfId="438" priority="56">
      <formula>$C13&gt;$E13</formula>
    </cfRule>
  </conditionalFormatting>
  <conditionalFormatting sqref="E13">
    <cfRule type="expression" dxfId="437" priority="53">
      <formula>$C13&gt;$E13</formula>
    </cfRule>
    <cfRule type="expression" dxfId="436" priority="54">
      <formula>$C13&lt;$E13</formula>
    </cfRule>
  </conditionalFormatting>
  <conditionalFormatting sqref="C14">
    <cfRule type="expression" dxfId="435" priority="51">
      <formula>$C14&lt;$E14</formula>
    </cfRule>
    <cfRule type="expression" dxfId="434" priority="52">
      <formula>$C14&gt;$E14</formula>
    </cfRule>
  </conditionalFormatting>
  <conditionalFormatting sqref="E14">
    <cfRule type="expression" dxfId="433" priority="49">
      <formula>$C14&gt;$E14</formula>
    </cfRule>
    <cfRule type="expression" dxfId="432" priority="50">
      <formula>$C14&lt;$E14</formula>
    </cfRule>
  </conditionalFormatting>
  <conditionalFormatting sqref="C16">
    <cfRule type="expression" dxfId="431" priority="47">
      <formula>$C16&lt;$E16</formula>
    </cfRule>
    <cfRule type="expression" dxfId="430" priority="48">
      <formula>$C16&gt;$E16</formula>
    </cfRule>
  </conditionalFormatting>
  <conditionalFormatting sqref="E16">
    <cfRule type="expression" dxfId="429" priority="45">
      <formula>$C16&gt;$E16</formula>
    </cfRule>
    <cfRule type="expression" dxfId="428" priority="46">
      <formula>$C16&lt;$E16</formula>
    </cfRule>
  </conditionalFormatting>
  <conditionalFormatting sqref="C17">
    <cfRule type="expression" dxfId="427" priority="43">
      <formula>$C17&lt;$E17</formula>
    </cfRule>
    <cfRule type="expression" dxfId="426" priority="44">
      <formula>$C17&gt;$E17</formula>
    </cfRule>
  </conditionalFormatting>
  <conditionalFormatting sqref="E17">
    <cfRule type="expression" dxfId="425" priority="41">
      <formula>$C17&gt;$E17</formula>
    </cfRule>
    <cfRule type="expression" dxfId="424" priority="42">
      <formula>$C17&lt;$E17</formula>
    </cfRule>
  </conditionalFormatting>
  <conditionalFormatting sqref="C18">
    <cfRule type="expression" dxfId="423" priority="39">
      <formula>$C18&lt;$E18</formula>
    </cfRule>
    <cfRule type="expression" dxfId="422" priority="40">
      <formula>$C18&gt;$E18</formula>
    </cfRule>
  </conditionalFormatting>
  <conditionalFormatting sqref="E18">
    <cfRule type="expression" dxfId="421" priority="37">
      <formula>$C18&gt;$E18</formula>
    </cfRule>
    <cfRule type="expression" dxfId="420" priority="38">
      <formula>$C18&lt;$E18</formula>
    </cfRule>
  </conditionalFormatting>
  <conditionalFormatting sqref="C19">
    <cfRule type="expression" dxfId="419" priority="35">
      <formula>$C19&lt;$E19</formula>
    </cfRule>
    <cfRule type="expression" dxfId="418" priority="36">
      <formula>$C19&gt;$E19</formula>
    </cfRule>
  </conditionalFormatting>
  <conditionalFormatting sqref="E19">
    <cfRule type="expression" dxfId="417" priority="33">
      <formula>$C19&gt;$E19</formula>
    </cfRule>
    <cfRule type="expression" dxfId="416" priority="34">
      <formula>$C19&lt;$E19</formula>
    </cfRule>
  </conditionalFormatting>
  <conditionalFormatting sqref="C20">
    <cfRule type="expression" dxfId="415" priority="31">
      <formula>$C20&lt;$E20</formula>
    </cfRule>
    <cfRule type="expression" dxfId="414" priority="32">
      <formula>$C20&gt;$E20</formula>
    </cfRule>
  </conditionalFormatting>
  <conditionalFormatting sqref="E20">
    <cfRule type="expression" dxfId="413" priority="29">
      <formula>$C20&gt;$E20</formula>
    </cfRule>
    <cfRule type="expression" dxfId="412" priority="30">
      <formula>$C20&lt;$E20</formula>
    </cfRule>
  </conditionalFormatting>
  <conditionalFormatting sqref="C21">
    <cfRule type="expression" dxfId="411" priority="27">
      <formula>$C21&lt;$E21</formula>
    </cfRule>
    <cfRule type="expression" dxfId="410" priority="28">
      <formula>$C21&gt;$E21</formula>
    </cfRule>
  </conditionalFormatting>
  <conditionalFormatting sqref="E21">
    <cfRule type="expression" dxfId="409" priority="25">
      <formula>$C21&gt;$E21</formula>
    </cfRule>
    <cfRule type="expression" dxfId="408" priority="26">
      <formula>$C21&lt;$E21</formula>
    </cfRule>
  </conditionalFormatting>
  <conditionalFormatting sqref="C23">
    <cfRule type="expression" dxfId="407" priority="23">
      <formula>$C23&lt;$E23</formula>
    </cfRule>
    <cfRule type="expression" dxfId="406" priority="24">
      <formula>$C23&gt;$E23</formula>
    </cfRule>
  </conditionalFormatting>
  <conditionalFormatting sqref="E23">
    <cfRule type="expression" dxfId="405" priority="21">
      <formula>$C23&gt;$E23</formula>
    </cfRule>
    <cfRule type="expression" dxfId="404" priority="22">
      <formula>$C23&lt;$E23</formula>
    </cfRule>
  </conditionalFormatting>
  <conditionalFormatting sqref="C24">
    <cfRule type="expression" dxfId="403" priority="19">
      <formula>$C24&lt;$E24</formula>
    </cfRule>
    <cfRule type="expression" dxfId="402" priority="20">
      <formula>$C24&gt;$E24</formula>
    </cfRule>
  </conditionalFormatting>
  <conditionalFormatting sqref="E24">
    <cfRule type="expression" dxfId="401" priority="17">
      <formula>$C24&gt;$E24</formula>
    </cfRule>
    <cfRule type="expression" dxfId="400" priority="18">
      <formula>$C24&lt;$E24</formula>
    </cfRule>
  </conditionalFormatting>
  <conditionalFormatting sqref="C25">
    <cfRule type="expression" dxfId="399" priority="15">
      <formula>$C25&lt;$E25</formula>
    </cfRule>
    <cfRule type="expression" dxfId="398" priority="16">
      <formula>$C25&gt;$E25</formula>
    </cfRule>
  </conditionalFormatting>
  <conditionalFormatting sqref="E25">
    <cfRule type="expression" dxfId="397" priority="13">
      <formula>$C25&gt;$E25</formula>
    </cfRule>
    <cfRule type="expression" dxfId="396" priority="14">
      <formula>$C25&lt;$E25</formula>
    </cfRule>
  </conditionalFormatting>
  <conditionalFormatting sqref="C26">
    <cfRule type="expression" dxfId="395" priority="11">
      <formula>$C26&lt;$E26</formula>
    </cfRule>
    <cfRule type="expression" dxfId="394" priority="12">
      <formula>$C26&gt;$E26</formula>
    </cfRule>
  </conditionalFormatting>
  <conditionalFormatting sqref="E26">
    <cfRule type="expression" dxfId="393" priority="9">
      <formula>$C26&gt;$E26</formula>
    </cfRule>
    <cfRule type="expression" dxfId="392" priority="10">
      <formula>$C26&lt;$E26</formula>
    </cfRule>
  </conditionalFormatting>
  <conditionalFormatting sqref="C27">
    <cfRule type="expression" dxfId="391" priority="7">
      <formula>$C27&lt;$E27</formula>
    </cfRule>
    <cfRule type="expression" dxfId="390" priority="8">
      <formula>$C27&gt;$E27</formula>
    </cfRule>
  </conditionalFormatting>
  <conditionalFormatting sqref="E27">
    <cfRule type="expression" dxfId="389" priority="5">
      <formula>$C27&gt;$E27</formula>
    </cfRule>
    <cfRule type="expression" dxfId="388" priority="6">
      <formula>$C27&lt;$E27</formula>
    </cfRule>
  </conditionalFormatting>
  <conditionalFormatting sqref="C28">
    <cfRule type="expression" dxfId="387" priority="3">
      <formula>$C28&lt;$E28</formula>
    </cfRule>
    <cfRule type="expression" dxfId="386" priority="4">
      <formula>$C28&gt;$E28</formula>
    </cfRule>
  </conditionalFormatting>
  <conditionalFormatting sqref="E28">
    <cfRule type="expression" dxfId="385" priority="1">
      <formula>$C28&gt;$E28</formula>
    </cfRule>
    <cfRule type="expression" dxfId="384" priority="2">
      <formula>$C28&lt;$E28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15B4A837-642A-4E31-A65E-2C134C1E3424}">
      <formula1>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339D7-309B-4A25-A4F1-ABDEA6688E9D}">
  <sheetPr codeName="Feuil10"/>
  <dimension ref="A1:M72"/>
  <sheetViews>
    <sheetView workbookViewId="0">
      <selection activeCell="D5" sqref="D5"/>
    </sheetView>
  </sheetViews>
  <sheetFormatPr baseColWidth="10" defaultRowHeight="15" x14ac:dyDescent="0.25"/>
  <cols>
    <col min="1" max="2" width="11.42578125" style="47"/>
    <col min="3" max="3" width="0" style="47" hidden="1" customWidth="1"/>
    <col min="4" max="4" width="43.5703125" style="47" customWidth="1"/>
    <col min="5" max="5" width="0" style="84" hidden="1" customWidth="1"/>
    <col min="6" max="11" width="0" style="47" hidden="1" customWidth="1"/>
    <col min="12" max="12" width="6" style="47" customWidth="1"/>
    <col min="13" max="16384" width="11.42578125" style="47"/>
  </cols>
  <sheetData>
    <row r="1" spans="1:13" ht="15.75" thickBot="1" x14ac:dyDescent="0.3"/>
    <row r="2" spans="1:13" ht="30.95" customHeight="1" thickBot="1" x14ac:dyDescent="0.3">
      <c r="C2" s="85" t="s">
        <v>228</v>
      </c>
      <c r="D2" s="85" t="s">
        <v>98</v>
      </c>
      <c r="E2" s="86" t="s">
        <v>229</v>
      </c>
      <c r="F2" s="85" t="s">
        <v>230</v>
      </c>
      <c r="G2" s="85" t="s">
        <v>231</v>
      </c>
      <c r="H2" s="85" t="s">
        <v>232</v>
      </c>
      <c r="I2" s="85" t="s">
        <v>233</v>
      </c>
      <c r="J2" s="48" t="s">
        <v>234</v>
      </c>
      <c r="K2" s="85" t="s">
        <v>235</v>
      </c>
      <c r="L2" s="48" t="s">
        <v>53</v>
      </c>
    </row>
    <row r="4" spans="1:13" ht="15.75" x14ac:dyDescent="0.25">
      <c r="A4" s="181" t="s">
        <v>99</v>
      </c>
      <c r="B4" s="49">
        <v>1</v>
      </c>
      <c r="C4" s="49" t="s">
        <v>44</v>
      </c>
      <c r="D4" s="49" t="str">
        <f>INSCRIPTS_PH!C2</f>
        <v>1A</v>
      </c>
      <c r="E4" s="87">
        <f ca="1">SUM(IF(INDIRECT(ADDRESS(2,3,,,"MATCHS"))&gt;INDIRECT(ADDRESS(2,5,,,"MATCHS")),1,0),,,,IF(INDIRECT(ADDRESS(42,3,,,"MATCHS"))&gt;INDIRECT(ADDRESS(42,5,,,"MATCHS")),1,0),,,,IF(INDIRECT(ADDRESS(82,3,,,"MATCHS"))&gt;INDIRECT(ADDRESS(82,5,,,"MATCHS")),1,0),,,,IF(INDIRECT(ADDRESS(122,3,,,"MATCHS"))&gt;INDIRECT(ADDRESS(122,5,,,"MATCHS")),1,0),,,,IF(INDIRECT(ADDRESS(162,3,,,"MATCHS"))&gt;INDIRECT(ADDRESS(162,5,,,"MATCHS")),1,0),,,,IF(INDIRECT(ADDRESS(202,3,,,"MATCHS"))&gt;INDIRECT(ADDRESS(202,5,,,"MATCHS")),1,0),,,,IF(INDIRECT(ADDRESS(242,3,,,"MATCHS"))&gt;INDIRECT(ADDRESS(242,5,,,"MATCHS")),1,0),,,,IF(INDIRECT(ADDRESS(282,3,,,"MATCHS"))&gt;INDIRECT(ADDRESS(282,5,,,"MATCHS")),1,0),,,,IF(INDIRECT(ADDRESS(322,3,,,"MATCHS"))&gt;INDIRECT(ADDRESS(322,5,,,"MATCHS")),1,0),,,,IF(INDIRECT(ADDRESS(362,3,,,"MATCHS"))&gt;INDIRECT(ADDRESS(362,5,,,"MATCHS")),1,0),,,,IF(INDIRECT(ADDRESS(402,3,,,"MATCHS"))&gt;INDIRECT(ADDRESS(402,5,,,"MATCHS")),1,0),,,,IF(INDIRECT(ADDRESS(442,3,,,"MATCHS"))&gt;INDIRECT(ADDRESS(442,5,,,"MATCHS")),1,0),,,IF(INDIRECT(ADDRESS(472,3,,,"MATCHS"))&gt;INDIRECT(ADDRESS(472,5,,,"MATCHS")),1,0)) + 0.1 * J4</f>
        <v>0</v>
      </c>
      <c r="F4" s="49">
        <f ca="1">SUM(IF(INDIRECT(ADDRESS(2,3,,,"MATCHS"))&lt;INDIRECT(ADDRESS(2,5,,,"MATCHS")),1,0),,,,IF(INDIRECT(ADDRESS(42,3,,,"MATCHS"))&lt;INDIRECT(ADDRESS(42,5,,,"MATCHS")),1,0),,,,IF(INDIRECT(ADDRESS(82,3,,,"MATCHS"))&lt;INDIRECT(ADDRESS(82,5,,,"MATCHS")),1,0),,,,IF(INDIRECT(ADDRESS(122,3,,,"MATCHS"))&lt;INDIRECT(ADDRESS(122,5,,,"MATCHS")),1,0),,,,IF(INDIRECT(ADDRESS(162,3,,,"MATCHS"))&lt;INDIRECT(ADDRESS(162,5,,,"MATCHS")),1,0),,,,IF(INDIRECT(ADDRESS(202,3,,,"MATCHS"))&lt;INDIRECT(ADDRESS(202,5,,,"MATCHS")),1,0),,,,IF(INDIRECT(ADDRESS(242,3,,,"MATCHS"))&lt;INDIRECT(ADDRESS(242,5,,,"MATCHS")),1,0),,,,IF(INDIRECT(ADDRESS(282,3,,,"MATCHS"))&lt;INDIRECT(ADDRESS(282,5,,,"MATCHS")),1,0),,,,IF(INDIRECT(ADDRESS(322,3,,,"MATCHS"))&lt;INDIRECT(ADDRESS(322,5,,,"MATCHS")),1,0),,,,IF(INDIRECT(ADDRESS(362,3,,,"MATCHS"))&lt;INDIRECT(ADDRESS(362,5,,,"MATCHS")),1,0),,,,IF(INDIRECT(ADDRESS(402,3,,,"MATCHS"))&lt;INDIRECT(ADDRESS(402,5,,,"MATCHS")),1,0),,,,IF(INDIRECT(ADDRESS(442,3,,,"MATCHS"))&lt;INDIRECT(ADDRESS(442,5,,,"MATCHS")),1,0),,,IF(INDIRECT(ADDRESS(472,3,,,"MATCHS"))&lt;INDIRECT(ADDRESS(472,5,,,"MATCHS")),1,0))</f>
        <v>0</v>
      </c>
      <c r="G4" s="49">
        <f ca="1">SUM(INDIRECT(ADDRESS(2,3,,,"MATCHS")),,,,INDIRECT(ADDRESS(42,3,,,"MATCHS")),,,,INDIRECT(ADDRESS(82,3,,,"MATCHS")),,,,INDIRECT(ADDRESS(122,3,,,"MATCHS")),,,,INDIRECT(ADDRESS(162,3,,,"MATCHS")),,,,INDIRECT(ADDRESS(202,3,,,"MATCHS")),,,,INDIRECT(ADDRESS(242,3,,,"MATCHS")),,,,INDIRECT(ADDRESS(282,3,,,"MATCHS")),,,,INDIRECT(ADDRESS(322,3,,,"MATCHS")),,,,INDIRECT(ADDRESS(362,3,,,"MATCHS")),,,,INDIRECT(ADDRESS(402,3,,,"MATCHS")),,,,INDIRECT(ADDRESS(442,3,,,"MATCHS")),,,INDIRECT(ADDRESS(472,3,,,"MATCHS")))</f>
        <v>0</v>
      </c>
      <c r="H4" s="49">
        <f ca="1">SUM(INDIRECT(ADDRESS(2,5,,,"MATCHS")),,,,INDIRECT(ADDRESS(42,5,,,"MATCHS")),,,,INDIRECT(ADDRESS(82,5,,,"MATCHS")),,,,INDIRECT(ADDRESS(122,5,,,"MATCHS")),,,,INDIRECT(ADDRESS(162,5,,,"MATCHS")),,,,INDIRECT(ADDRESS(202,5,,,"MATCHS")),,,,INDIRECT(ADDRESS(242,5,,,"MATCHS")),,,,INDIRECT(ADDRESS(282,5,,,"MATCHS")),,,,INDIRECT(ADDRESS(322,5,,,"MATCHS")),,,,INDIRECT(ADDRESS(362,5,,,"MATCHS")),,,,INDIRECT(ADDRESS(402,5,,,"MATCHS")),,,,INDIRECT(ADDRESS(442,5,,,"MATCHS")),,,INDIRECT(ADDRESS(472,5,,,"MATCHS")))</f>
        <v>0</v>
      </c>
      <c r="I4" s="49">
        <f t="shared" ref="I4:I19" ca="1" si="0">G4 - H4</f>
        <v>0</v>
      </c>
      <c r="J4" s="49">
        <v>0</v>
      </c>
      <c r="K4" s="49">
        <v>1</v>
      </c>
      <c r="L4" s="49">
        <v>1</v>
      </c>
      <c r="M4" s="69"/>
    </row>
    <row r="5" spans="1:13" ht="15.75" x14ac:dyDescent="0.25">
      <c r="A5" s="181"/>
      <c r="B5" s="49">
        <v>2</v>
      </c>
      <c r="C5" s="49" t="s">
        <v>45</v>
      </c>
      <c r="D5" s="49" t="str">
        <f>INSCRIPTS_PH!C3</f>
        <v>2A</v>
      </c>
      <c r="E5" s="87">
        <f ca="1">SUM(IF(INDIRECT(ADDRESS(2,5,,,"MATCHS"))&gt;INDIRECT(ADDRESS(2,3,,,"MATCHS")),1,0),,,,IF(INDIRECT(ADDRESS(43,3,,,"MATCHS"))&gt;INDIRECT(ADDRESS(43,5,,,"MATCHS")),1,0),,,,IF(INDIRECT(ADDRESS(83,3,,,"MATCHS"))&gt;INDIRECT(ADDRESS(83,5,,,"MATCHS")),1,0),,,,IF(INDIRECT(ADDRESS(123,3,,,"MATCHS"))&gt;INDIRECT(ADDRESS(123,5,,,"MATCHS")),1,0),,,,IF(INDIRECT(ADDRESS(163,3,,,"MATCHS"))&gt;INDIRECT(ADDRESS(163,5,,,"MATCHS")),1,0),,,,IF(INDIRECT(ADDRESS(203,3,,,"MATCHS"))&gt;INDIRECT(ADDRESS(203,5,,,"MATCHS")),1,0),,,,IF(INDIRECT(ADDRESS(243,3,,,"MATCHS"))&gt;INDIRECT(ADDRESS(243,5,,,"MATCHS")),1,0),,,,IF(INDIRECT(ADDRESS(283,3,,,"MATCHS"))&gt;INDIRECT(ADDRESS(283,5,,,"MATCHS")),1,0),,,,IF(INDIRECT(ADDRESS(323,3,,,"MATCHS"))&gt;INDIRECT(ADDRESS(323,5,,,"MATCHS")),1,0),,,,IF(INDIRECT(ADDRESS(363,3,,,"MATCHS"))&gt;INDIRECT(ADDRESS(363,5,,,"MATCHS")),1,0),,,,IF(INDIRECT(ADDRESS(403,3,,,"MATCHS"))&gt;INDIRECT(ADDRESS(403,5,,,"MATCHS")),1,0),,,,IF(INDIRECT(ADDRESS(443,3,,,"MATCHS"))&gt;INDIRECT(ADDRESS(443,5,,,"MATCHS")),1,0),,,IF(INDIRECT(ADDRESS(473,3,,,"MATCHS"))&gt;INDIRECT(ADDRESS(473,5,,,"MATCHS")),1,0)) + 0.1 * J5</f>
        <v>0</v>
      </c>
      <c r="F5" s="49">
        <f ca="1">SUM(IF(INDIRECT(ADDRESS(2,5,,,"MATCHS"))&lt;INDIRECT(ADDRESS(2,3,,,"MATCHS")),1,0),,,,IF(INDIRECT(ADDRESS(43,3,,,"MATCHS"))&lt;INDIRECT(ADDRESS(43,5,,,"MATCHS")),1,0),,,,IF(INDIRECT(ADDRESS(83,3,,,"MATCHS"))&lt;INDIRECT(ADDRESS(83,5,,,"MATCHS")),1,0),,,,IF(INDIRECT(ADDRESS(123,3,,,"MATCHS"))&lt;INDIRECT(ADDRESS(123,5,,,"MATCHS")),1,0),,,,IF(INDIRECT(ADDRESS(163,3,,,"MATCHS"))&lt;INDIRECT(ADDRESS(163,5,,,"MATCHS")),1,0),,,,IF(INDIRECT(ADDRESS(203,3,,,"MATCHS"))&lt;INDIRECT(ADDRESS(203,5,,,"MATCHS")),1,0),,,,IF(INDIRECT(ADDRESS(243,3,,,"MATCHS"))&lt;INDIRECT(ADDRESS(243,5,,,"MATCHS")),1,0),,,,IF(INDIRECT(ADDRESS(283,3,,,"MATCHS"))&lt;INDIRECT(ADDRESS(283,5,,,"MATCHS")),1,0),,,,IF(INDIRECT(ADDRESS(323,3,,,"MATCHS"))&lt;INDIRECT(ADDRESS(323,5,,,"MATCHS")),1,0),,,,IF(INDIRECT(ADDRESS(363,3,,,"MATCHS"))&lt;INDIRECT(ADDRESS(363,5,,,"MATCHS")),1,0),,,,IF(INDIRECT(ADDRESS(403,3,,,"MATCHS"))&lt;INDIRECT(ADDRESS(403,5,,,"MATCHS")),1,0),,,,IF(INDIRECT(ADDRESS(443,3,,,"MATCHS"))&lt;INDIRECT(ADDRESS(443,5,,,"MATCHS")),1,0),,,IF(INDIRECT(ADDRESS(473,3,,,"MATCHS"))&lt;INDIRECT(ADDRESS(473,5,,,"MATCHS")),1,0))</f>
        <v>0</v>
      </c>
      <c r="G5" s="49">
        <f ca="1">SUM(INDIRECT(ADDRESS(2,5,,,"MATCHS")),,,,INDIRECT(ADDRESS(43,3,,,"MATCHS")),,,,INDIRECT(ADDRESS(83,3,,,"MATCHS")),,,,INDIRECT(ADDRESS(123,3,,,"MATCHS")),,,,INDIRECT(ADDRESS(163,3,,,"MATCHS")),,,,INDIRECT(ADDRESS(203,3,,,"MATCHS")),,,,INDIRECT(ADDRESS(243,3,,,"MATCHS")),,,,INDIRECT(ADDRESS(283,3,,,"MATCHS")),,,,INDIRECT(ADDRESS(323,3,,,"MATCHS")),,,,INDIRECT(ADDRESS(363,3,,,"MATCHS")),,,,INDIRECT(ADDRESS(403,3,,,"MATCHS")),,,,INDIRECT(ADDRESS(443,3,,,"MATCHS")),,,INDIRECT(ADDRESS(473,3,,,"MATCHS")))</f>
        <v>0</v>
      </c>
      <c r="H5" s="49">
        <f ca="1">SUM(INDIRECT(ADDRESS(2,3,,,"MATCHS")),,,,INDIRECT(ADDRESS(43,5,,,"MATCHS")),,,,INDIRECT(ADDRESS(83,5,,,"MATCHS")),,,,INDIRECT(ADDRESS(123,5,,,"MATCHS")),,,,INDIRECT(ADDRESS(163,5,,,"MATCHS")),,,,INDIRECT(ADDRESS(203,5,,,"MATCHS")),,,,INDIRECT(ADDRESS(243,5,,,"MATCHS")),,,,INDIRECT(ADDRESS(283,5,,,"MATCHS")),,,,INDIRECT(ADDRESS(323,5,,,"MATCHS")),,,,INDIRECT(ADDRESS(363,5,,,"MATCHS")),,,,INDIRECT(ADDRESS(403,5,,,"MATCHS")),,,,INDIRECT(ADDRESS(443,5,,,"MATCHS")),,,INDIRECT(ADDRESS(473,5,,,"MATCHS")))</f>
        <v>0</v>
      </c>
      <c r="I5" s="49">
        <f t="shared" ca="1" si="0"/>
        <v>0</v>
      </c>
      <c r="J5" s="49">
        <v>0</v>
      </c>
      <c r="K5" s="49">
        <v>2</v>
      </c>
      <c r="L5" s="49">
        <v>2</v>
      </c>
      <c r="M5" s="69"/>
    </row>
    <row r="6" spans="1:13" ht="15.75" x14ac:dyDescent="0.25">
      <c r="A6" s="181"/>
      <c r="B6" s="49">
        <v>3</v>
      </c>
      <c r="C6" s="49" t="s">
        <v>46</v>
      </c>
      <c r="D6" s="49" t="str">
        <f>INSCRIPTS_PH!C4</f>
        <v>3A</v>
      </c>
      <c r="E6" s="87">
        <f ca="1">SUM(IF(INDIRECT(ADDRESS(3,3,,,"MATCHS"))&gt;INDIRECT(ADDRESS(3,5,,,"MATCHS")),1,0),,,,IF(INDIRECT(ADDRESS(42,5,,,"MATCHS"))&gt;INDIRECT(ADDRESS(42,3,,,"MATCHS")),1,0),,,,IF(INDIRECT(ADDRESS(83,5,,,"MATCHS"))&gt;INDIRECT(ADDRESS(83,3,,,"MATCHS")),1,0),,,,IF(INDIRECT(ADDRESS(124,3,,,"MATCHS"))&gt;INDIRECT(ADDRESS(124,5,,,"MATCHS")),1,0),,,,IF(INDIRECT(ADDRESS(164,3,,,"MATCHS"))&gt;INDIRECT(ADDRESS(164,5,,,"MATCHS")),1,0),,,,IF(INDIRECT(ADDRESS(204,3,,,"MATCHS"))&gt;INDIRECT(ADDRESS(204,5,,,"MATCHS")),1,0),,,,IF(INDIRECT(ADDRESS(244,3,,,"MATCHS"))&gt;INDIRECT(ADDRESS(244,5,,,"MATCHS")),1,0),,,,IF(INDIRECT(ADDRESS(284,3,,,"MATCHS"))&gt;INDIRECT(ADDRESS(284,5,,,"MATCHS")),1,0),,,,IF(INDIRECT(ADDRESS(324,3,,,"MATCHS"))&gt;INDIRECT(ADDRESS(324,5,,,"MATCHS")),1,0),,,,IF(INDIRECT(ADDRESS(364,3,,,"MATCHS"))&gt;INDIRECT(ADDRESS(364,5,,,"MATCHS")),1,0),,,,IF(INDIRECT(ADDRESS(404,3,,,"MATCHS"))&gt;INDIRECT(ADDRESS(404,5,,,"MATCHS")),1,0),,,,IF(INDIRECT(ADDRESS(444,3,,,"MATCHS"))&gt;INDIRECT(ADDRESS(444,5,,,"MATCHS")),1,0),,,IF(INDIRECT(ADDRESS(474,3,,,"MATCHS"))&gt;INDIRECT(ADDRESS(474,5,,,"MATCHS")),1,0)) + 0.1 * J6</f>
        <v>0</v>
      </c>
      <c r="F6" s="49">
        <f ca="1">SUM(IF(INDIRECT(ADDRESS(3,3,,,"MATCHS"))&lt;INDIRECT(ADDRESS(3,5,,,"MATCHS")),1,0),,,,IF(INDIRECT(ADDRESS(42,5,,,"MATCHS"))&lt;INDIRECT(ADDRESS(42,3,,,"MATCHS")),1,0),,,,IF(INDIRECT(ADDRESS(83,5,,,"MATCHS"))&lt;INDIRECT(ADDRESS(83,3,,,"MATCHS")),1,0),,,,IF(INDIRECT(ADDRESS(124,3,,,"MATCHS"))&lt;INDIRECT(ADDRESS(124,5,,,"MATCHS")),1,0),,,,IF(INDIRECT(ADDRESS(164,3,,,"MATCHS"))&lt;INDIRECT(ADDRESS(164,5,,,"MATCHS")),1,0),,,,IF(INDIRECT(ADDRESS(204,3,,,"MATCHS"))&lt;INDIRECT(ADDRESS(204,5,,,"MATCHS")),1,0),,,,IF(INDIRECT(ADDRESS(244,3,,,"MATCHS"))&lt;INDIRECT(ADDRESS(244,5,,,"MATCHS")),1,0),,,,IF(INDIRECT(ADDRESS(284,3,,,"MATCHS"))&lt;INDIRECT(ADDRESS(284,5,,,"MATCHS")),1,0),,,,IF(INDIRECT(ADDRESS(324,3,,,"MATCHS"))&lt;INDIRECT(ADDRESS(324,5,,,"MATCHS")),1,0),,,,IF(INDIRECT(ADDRESS(364,3,,,"MATCHS"))&lt;INDIRECT(ADDRESS(364,5,,,"MATCHS")),1,0),,,,IF(INDIRECT(ADDRESS(404,3,,,"MATCHS"))&lt;INDIRECT(ADDRESS(404,5,,,"MATCHS")),1,0),,,,IF(INDIRECT(ADDRESS(444,3,,,"MATCHS"))&lt;INDIRECT(ADDRESS(444,5,,,"MATCHS")),1,0),,,IF(INDIRECT(ADDRESS(474,3,,,"MATCHS"))&lt;INDIRECT(ADDRESS(474,5,,,"MATCHS")),1,0))</f>
        <v>0</v>
      </c>
      <c r="G6" s="49">
        <f ca="1">SUM(INDIRECT(ADDRESS(3,3,,,"MATCHS")),,,,INDIRECT(ADDRESS(42,5,,,"MATCHS")),,,,INDIRECT(ADDRESS(83,5,,,"MATCHS")),,,,INDIRECT(ADDRESS(124,3,,,"MATCHS")),,,,INDIRECT(ADDRESS(164,3,,,"MATCHS")),,,,INDIRECT(ADDRESS(204,3,,,"MATCHS")),,,,INDIRECT(ADDRESS(244,3,,,"MATCHS")),,,,INDIRECT(ADDRESS(284,3,,,"MATCHS")),,,,INDIRECT(ADDRESS(324,3,,,"MATCHS")),,,,INDIRECT(ADDRESS(364,3,,,"MATCHS")),,,,INDIRECT(ADDRESS(404,3,,,"MATCHS")),,,,INDIRECT(ADDRESS(444,3,,,"MATCHS")),,,INDIRECT(ADDRESS(474,3,,,"MATCHS")))</f>
        <v>0</v>
      </c>
      <c r="H6" s="49">
        <f ca="1">SUM(INDIRECT(ADDRESS(3,5,,,"MATCHS")),,,,INDIRECT(ADDRESS(42,3,,,"MATCHS")),,,,INDIRECT(ADDRESS(83,3,,,"MATCHS")),,,,INDIRECT(ADDRESS(124,5,,,"MATCHS")),,,,INDIRECT(ADDRESS(164,5,,,"MATCHS")),,,,INDIRECT(ADDRESS(204,5,,,"MATCHS")),,,,INDIRECT(ADDRESS(244,5,,,"MATCHS")),,,,INDIRECT(ADDRESS(284,5,,,"MATCHS")),,,,INDIRECT(ADDRESS(324,5,,,"MATCHS")),,,,INDIRECT(ADDRESS(364,5,,,"MATCHS")),,,,INDIRECT(ADDRESS(404,5,,,"MATCHS")),,,,INDIRECT(ADDRESS(444,5,,,"MATCHS")),,,INDIRECT(ADDRESS(474,5,,,"MATCHS")))</f>
        <v>0</v>
      </c>
      <c r="I6" s="49">
        <f t="shared" ca="1" si="0"/>
        <v>0</v>
      </c>
      <c r="J6" s="49">
        <v>0</v>
      </c>
      <c r="K6" s="49">
        <v>3</v>
      </c>
      <c r="L6" s="49">
        <v>3</v>
      </c>
      <c r="M6" s="69"/>
    </row>
    <row r="7" spans="1:13" ht="15.75" x14ac:dyDescent="0.25">
      <c r="A7" s="181"/>
      <c r="B7" s="49">
        <v>4</v>
      </c>
      <c r="C7" s="49" t="s">
        <v>100</v>
      </c>
      <c r="D7" s="49" t="str">
        <f>INSCRIPTS_PH!C5</f>
        <v>4A</v>
      </c>
      <c r="E7" s="87">
        <f ca="1">SUM(IF(INDIRECT(ADDRESS(3,5,,,"MATCHS"))&gt;INDIRECT(ADDRESS(3,3,,,"MATCHS")),1,0),,,,IF(INDIRECT(ADDRESS(43,5,,,"MATCHS"))&gt;INDIRECT(ADDRESS(43,3,,,"MATCHS")),1,0),,,,IF(INDIRECT(ADDRESS(82,5,,,"MATCHS"))&gt;INDIRECT(ADDRESS(82,3,,,"MATCHS")),1,0),,,,IF(INDIRECT(ADDRESS(125,3,,,"MATCHS"))&gt;INDIRECT(ADDRESS(125,5,,,"MATCHS")),1,0),,,,IF(INDIRECT(ADDRESS(165,3,,,"MATCHS"))&gt;INDIRECT(ADDRESS(165,5,,,"MATCHS")),1,0),,,,IF(INDIRECT(ADDRESS(205,3,,,"MATCHS"))&gt;INDIRECT(ADDRESS(205,5,,,"MATCHS")),1,0),,,,IF(INDIRECT(ADDRESS(245,3,,,"MATCHS"))&gt;INDIRECT(ADDRESS(245,5,,,"MATCHS")),1,0),,,,IF(INDIRECT(ADDRESS(285,3,,,"MATCHS"))&gt;INDIRECT(ADDRESS(285,5,,,"MATCHS")),1,0),,,,IF(INDIRECT(ADDRESS(325,3,,,"MATCHS"))&gt;INDIRECT(ADDRESS(325,5,,,"MATCHS")),1,0),,,,IF(INDIRECT(ADDRESS(365,3,,,"MATCHS"))&gt;INDIRECT(ADDRESS(365,5,,,"MATCHS")),1,0),,,,IF(INDIRECT(ADDRESS(405,3,,,"MATCHS"))&gt;INDIRECT(ADDRESS(405,5,,,"MATCHS")),1,0),,,,IF(INDIRECT(ADDRESS(445,3,,,"MATCHS"))&gt;INDIRECT(ADDRESS(445,5,,,"MATCHS")),1,0),,,IF(INDIRECT(ADDRESS(475,3,,,"MATCHS"))&gt;INDIRECT(ADDRESS(475,5,,,"MATCHS")),1,0)) + 0.1 * J7</f>
        <v>0</v>
      </c>
      <c r="F7" s="49">
        <f ca="1">SUM(IF(INDIRECT(ADDRESS(3,5,,,"MATCHS"))&lt;INDIRECT(ADDRESS(3,3,,,"MATCHS")),1,0),,,,IF(INDIRECT(ADDRESS(43,5,,,"MATCHS"))&lt;INDIRECT(ADDRESS(43,3,,,"MATCHS")),1,0),,,,IF(INDIRECT(ADDRESS(82,5,,,"MATCHS"))&lt;INDIRECT(ADDRESS(82,3,,,"MATCHS")),1,0),,,,IF(INDIRECT(ADDRESS(125,3,,,"MATCHS"))&lt;INDIRECT(ADDRESS(125,5,,,"MATCHS")),1,0),,,,IF(INDIRECT(ADDRESS(165,3,,,"MATCHS"))&lt;INDIRECT(ADDRESS(165,5,,,"MATCHS")),1,0),,,,IF(INDIRECT(ADDRESS(205,3,,,"MATCHS"))&lt;INDIRECT(ADDRESS(205,5,,,"MATCHS")),1,0),,,,IF(INDIRECT(ADDRESS(245,3,,,"MATCHS"))&lt;INDIRECT(ADDRESS(245,5,,,"MATCHS")),1,0),,,,IF(INDIRECT(ADDRESS(285,3,,,"MATCHS"))&lt;INDIRECT(ADDRESS(285,5,,,"MATCHS")),1,0),,,,IF(INDIRECT(ADDRESS(325,3,,,"MATCHS"))&lt;INDIRECT(ADDRESS(325,5,,,"MATCHS")),1,0),,,,IF(INDIRECT(ADDRESS(365,3,,,"MATCHS"))&lt;INDIRECT(ADDRESS(365,5,,,"MATCHS")),1,0),,,,IF(INDIRECT(ADDRESS(405,3,,,"MATCHS"))&lt;INDIRECT(ADDRESS(405,5,,,"MATCHS")),1,0),,,,IF(INDIRECT(ADDRESS(445,3,,,"MATCHS"))&lt;INDIRECT(ADDRESS(445,5,,,"MATCHS")),1,0),,,IF(INDIRECT(ADDRESS(475,3,,,"MATCHS"))&lt;INDIRECT(ADDRESS(475,5,,,"MATCHS")),1,0))</f>
        <v>0</v>
      </c>
      <c r="G7" s="49">
        <f ca="1">SUM(INDIRECT(ADDRESS(3,5,,,"MATCHS")),,,,INDIRECT(ADDRESS(43,5,,,"MATCHS")),,,,INDIRECT(ADDRESS(82,5,,,"MATCHS")),,,,INDIRECT(ADDRESS(125,3,,,"MATCHS")),,,,INDIRECT(ADDRESS(165,3,,,"MATCHS")),,,,INDIRECT(ADDRESS(205,3,,,"MATCHS")),,,,INDIRECT(ADDRESS(245,3,,,"MATCHS")),,,,INDIRECT(ADDRESS(285,3,,,"MATCHS")),,,,INDIRECT(ADDRESS(325,3,,,"MATCHS")),,,,INDIRECT(ADDRESS(365,3,,,"MATCHS")),,,,INDIRECT(ADDRESS(405,3,,,"MATCHS")),,,,INDIRECT(ADDRESS(445,3,,,"MATCHS")),,,INDIRECT(ADDRESS(475,3,,,"MATCHS")))</f>
        <v>0</v>
      </c>
      <c r="H7" s="49">
        <f ca="1">SUM(INDIRECT(ADDRESS(3,3,,,"MATCHS")),,,,INDIRECT(ADDRESS(43,3,,,"MATCHS")),,,,INDIRECT(ADDRESS(82,3,,,"MATCHS")),,,,INDIRECT(ADDRESS(125,5,,,"MATCHS")),,,,INDIRECT(ADDRESS(165,5,,,"MATCHS")),,,,INDIRECT(ADDRESS(205,5,,,"MATCHS")),,,,INDIRECT(ADDRESS(245,5,,,"MATCHS")),,,,INDIRECT(ADDRESS(285,5,,,"MATCHS")),,,,INDIRECT(ADDRESS(325,5,,,"MATCHS")),,,,INDIRECT(ADDRESS(365,5,,,"MATCHS")),,,,INDIRECT(ADDRESS(405,5,,,"MATCHS")),,,,INDIRECT(ADDRESS(445,5,,,"MATCHS")),,,INDIRECT(ADDRESS(475,5,,,"MATCHS")))</f>
        <v>0</v>
      </c>
      <c r="I7" s="49">
        <f t="shared" ca="1" si="0"/>
        <v>0</v>
      </c>
      <c r="J7" s="49">
        <v>0</v>
      </c>
      <c r="K7" s="49">
        <v>4</v>
      </c>
      <c r="L7" s="49">
        <v>4</v>
      </c>
      <c r="M7" s="69"/>
    </row>
    <row r="8" spans="1:13" ht="15.75" x14ac:dyDescent="0.25">
      <c r="A8" s="181"/>
      <c r="B8" s="49">
        <v>5</v>
      </c>
      <c r="C8" s="49" t="s">
        <v>101</v>
      </c>
      <c r="D8" s="49" t="str">
        <f>INSCRIPTS_PH!C6</f>
        <v>5A</v>
      </c>
      <c r="E8" s="87">
        <f ca="1">SUM(IF(INDIRECT(ADDRESS(4,3,,,"MATCHS"))&gt;INDIRECT(ADDRESS(4,5,,,"MATCHS")),1,0),,,,IF(INDIRECT(ADDRESS(44,3,,,"MATCHS"))&gt;INDIRECT(ADDRESS(44,5,,,"MATCHS")),1,0),,,,IF(INDIRECT(ADDRESS(84,3,,,"MATCHS"))&gt;INDIRECT(ADDRESS(84,5,,,"MATCHS")),1,0),,,,IF(INDIRECT(ADDRESS(122,5,,,"MATCHS"))&gt;INDIRECT(ADDRESS(122,3,,,"MATCHS")),1,0),,,,IF(INDIRECT(ADDRESS(163,5,,,"MATCHS"))&gt;INDIRECT(ADDRESS(163,3,,,"MATCHS")),1,0),,,,IF(INDIRECT(ADDRESS(204,5,,,"MATCHS"))&gt;INDIRECT(ADDRESS(204,3,,,"MATCHS")),1,0),,,,IF(INDIRECT(ADDRESS(245,5,,,"MATCHS"))&gt;INDIRECT(ADDRESS(245,3,,,"MATCHS")),1,0),,,,IF(INDIRECT(ADDRESS(286,3,,,"MATCHS"))&gt;INDIRECT(ADDRESS(286,5,,,"MATCHS")),1,0),,,,IF(INDIRECT(ADDRESS(326,3,,,"MATCHS"))&gt;INDIRECT(ADDRESS(326,5,,,"MATCHS")),1,0),,,,IF(INDIRECT(ADDRESS(366,3,,,"MATCHS"))&gt;INDIRECT(ADDRESS(366,5,,,"MATCHS")),1,0),,,,IF(INDIRECT(ADDRESS(406,3,,,"MATCHS"))&gt;INDIRECT(ADDRESS(406,5,,,"MATCHS")),1,0),,,,IF(INDIRECT(ADDRESS(446,3,,,"MATCHS"))&gt;INDIRECT(ADDRESS(446,5,,,"MATCHS")),1,0),,,IF(INDIRECT(ADDRESS(476,3,,,"MATCHS"))&gt;INDIRECT(ADDRESS(476,5,,,"MATCHS")),1,0)) + 0.1 * J8</f>
        <v>0</v>
      </c>
      <c r="F8" s="49">
        <f ca="1">SUM(IF(INDIRECT(ADDRESS(4,3,,,"MATCHS"))&lt;INDIRECT(ADDRESS(4,5,,,"MATCHS")),1,0),,,,IF(INDIRECT(ADDRESS(44,3,,,"MATCHS"))&lt;INDIRECT(ADDRESS(44,5,,,"MATCHS")),1,0),,,,IF(INDIRECT(ADDRESS(84,3,,,"MATCHS"))&lt;INDIRECT(ADDRESS(84,5,,,"MATCHS")),1,0),,,,IF(INDIRECT(ADDRESS(122,5,,,"MATCHS"))&lt;INDIRECT(ADDRESS(122,3,,,"MATCHS")),1,0),,,,IF(INDIRECT(ADDRESS(163,5,,,"MATCHS"))&lt;INDIRECT(ADDRESS(163,3,,,"MATCHS")),1,0),,,,IF(INDIRECT(ADDRESS(204,5,,,"MATCHS"))&lt;INDIRECT(ADDRESS(204,3,,,"MATCHS")),1,0),,,,IF(INDIRECT(ADDRESS(245,5,,,"MATCHS"))&lt;INDIRECT(ADDRESS(245,3,,,"MATCHS")),1,0),,,,IF(INDIRECT(ADDRESS(286,3,,,"MATCHS"))&lt;INDIRECT(ADDRESS(286,5,,,"MATCHS")),1,0),,,,IF(INDIRECT(ADDRESS(326,3,,,"MATCHS"))&lt;INDIRECT(ADDRESS(326,5,,,"MATCHS")),1,0),,,,IF(INDIRECT(ADDRESS(366,3,,,"MATCHS"))&lt;INDIRECT(ADDRESS(366,5,,,"MATCHS")),1,0),,,,IF(INDIRECT(ADDRESS(406,3,,,"MATCHS"))&lt;INDIRECT(ADDRESS(406,5,,,"MATCHS")),1,0),,,,IF(INDIRECT(ADDRESS(446,3,,,"MATCHS"))&lt;INDIRECT(ADDRESS(446,5,,,"MATCHS")),1,0),,,IF(INDIRECT(ADDRESS(476,3,,,"MATCHS"))&lt;INDIRECT(ADDRESS(476,5,,,"MATCHS")),1,0))</f>
        <v>0</v>
      </c>
      <c r="G8" s="49">
        <f ca="1">SUM(INDIRECT(ADDRESS(4,3,,,"MATCHS")),,,,INDIRECT(ADDRESS(44,3,,,"MATCHS")),,,,INDIRECT(ADDRESS(84,3,,,"MATCHS")),,,,INDIRECT(ADDRESS(122,5,,,"MATCHS")),,,,INDIRECT(ADDRESS(163,5,,,"MATCHS")),,,,INDIRECT(ADDRESS(204,5,,,"MATCHS")),,,,INDIRECT(ADDRESS(245,5,,,"MATCHS")),,,,INDIRECT(ADDRESS(286,3,,,"MATCHS")),,,,INDIRECT(ADDRESS(326,3,,,"MATCHS")),,,,INDIRECT(ADDRESS(366,3,,,"MATCHS")),,,,INDIRECT(ADDRESS(406,3,,,"MATCHS")),,,,INDIRECT(ADDRESS(446,3,,,"MATCHS")),,,INDIRECT(ADDRESS(476,3,,,"MATCHS")))</f>
        <v>0</v>
      </c>
      <c r="H8" s="49">
        <f ca="1">SUM(INDIRECT(ADDRESS(4,5,,,"MATCHS")),,,,INDIRECT(ADDRESS(44,5,,,"MATCHS")),,,,INDIRECT(ADDRESS(84,5,,,"MATCHS")),,,,INDIRECT(ADDRESS(122,3,,,"MATCHS")),,,,INDIRECT(ADDRESS(163,3,,,"MATCHS")),,,,INDIRECT(ADDRESS(204,3,,,"MATCHS")),,,,INDIRECT(ADDRESS(245,3,,,"MATCHS")),,,,INDIRECT(ADDRESS(286,5,,,"MATCHS")),,,,INDIRECT(ADDRESS(326,5,,,"MATCHS")),,,,INDIRECT(ADDRESS(366,5,,,"MATCHS")),,,,INDIRECT(ADDRESS(406,5,,,"MATCHS")),,,,INDIRECT(ADDRESS(446,5,,,"MATCHS")),,,INDIRECT(ADDRESS(476,5,,,"MATCHS")))</f>
        <v>0</v>
      </c>
      <c r="I8" s="49">
        <f t="shared" ca="1" si="0"/>
        <v>0</v>
      </c>
      <c r="J8" s="49">
        <v>0</v>
      </c>
      <c r="K8" s="49">
        <v>5</v>
      </c>
      <c r="L8" s="49">
        <v>4</v>
      </c>
      <c r="M8" s="69"/>
    </row>
    <row r="9" spans="1:13" ht="15.75" x14ac:dyDescent="0.25">
      <c r="A9" s="181"/>
      <c r="B9" s="49">
        <v>6</v>
      </c>
      <c r="C9" s="49" t="s">
        <v>225</v>
      </c>
      <c r="D9" s="49" t="str">
        <f>INSCRIPTS_PH!C7</f>
        <v>6A</v>
      </c>
      <c r="E9" s="87">
        <f ca="1">SUM(IF(INDIRECT(ADDRESS(4,5,,,"MATCHS"))&gt;INDIRECT(ADDRESS(4,3,,,"MATCHS")),1,0),,,,IF(INDIRECT(ADDRESS(45,3,,,"MATCHS"))&gt;INDIRECT(ADDRESS(45,5,,,"MATCHS")),1,0),,,,IF(INDIRECT(ADDRESS(85,3,,,"MATCHS"))&gt;INDIRECT(ADDRESS(85,5,,,"MATCHS")),1,0),,,,IF(INDIRECT(ADDRESS(123,5,,,"MATCHS"))&gt;INDIRECT(ADDRESS(123,3,,,"MATCHS")),1,0),,,,IF(INDIRECT(ADDRESS(162,5,,,"MATCHS"))&gt;INDIRECT(ADDRESS(162,3,,,"MATCHS")),1,0),,,,IF(INDIRECT(ADDRESS(205,5,,,"MATCHS"))&gt;INDIRECT(ADDRESS(205,3,,,"MATCHS")),1,0),,,,IF(INDIRECT(ADDRESS(244,5,,,"MATCHS"))&gt;INDIRECT(ADDRESS(244,3,,,"MATCHS")),1,0),,,,IF(INDIRECT(ADDRESS(287,3,,,"MATCHS"))&gt;INDIRECT(ADDRESS(287,5,,,"MATCHS")),1,0),,,,IF(INDIRECT(ADDRESS(327,3,,,"MATCHS"))&gt;INDIRECT(ADDRESS(327,5,,,"MATCHS")),1,0),,,,IF(INDIRECT(ADDRESS(367,3,,,"MATCHS"))&gt;INDIRECT(ADDRESS(367,5,,,"MATCHS")),1,0),,,,IF(INDIRECT(ADDRESS(407,3,,,"MATCHS"))&gt;INDIRECT(ADDRESS(407,5,,,"MATCHS")),1,0),,,,IF(INDIRECT(ADDRESS(447,3,,,"MATCHS"))&gt;INDIRECT(ADDRESS(447,5,,,"MATCHS")),1,0),,,IF(INDIRECT(ADDRESS(477,3,,,"MATCHS"))&gt;INDIRECT(ADDRESS(477,5,,,"MATCHS")),1,0)) + 0.1 * J9</f>
        <v>0</v>
      </c>
      <c r="F9" s="49">
        <f ca="1">SUM(IF(INDIRECT(ADDRESS(4,5,,,"MATCHS"))&lt;INDIRECT(ADDRESS(4,3,,,"MATCHS")),1,0),,,,IF(INDIRECT(ADDRESS(45,3,,,"MATCHS"))&lt;INDIRECT(ADDRESS(45,5,,,"MATCHS")),1,0),,,,IF(INDIRECT(ADDRESS(85,3,,,"MATCHS"))&lt;INDIRECT(ADDRESS(85,5,,,"MATCHS")),1,0),,,,IF(INDIRECT(ADDRESS(123,5,,,"MATCHS"))&lt;INDIRECT(ADDRESS(123,3,,,"MATCHS")),1,0),,,,IF(INDIRECT(ADDRESS(162,5,,,"MATCHS"))&lt;INDIRECT(ADDRESS(162,3,,,"MATCHS")),1,0),,,,IF(INDIRECT(ADDRESS(205,5,,,"MATCHS"))&lt;INDIRECT(ADDRESS(205,3,,,"MATCHS")),1,0),,,,IF(INDIRECT(ADDRESS(244,5,,,"MATCHS"))&lt;INDIRECT(ADDRESS(244,3,,,"MATCHS")),1,0),,,,IF(INDIRECT(ADDRESS(287,3,,,"MATCHS"))&lt;INDIRECT(ADDRESS(287,5,,,"MATCHS")),1,0),,,,IF(INDIRECT(ADDRESS(327,3,,,"MATCHS"))&lt;INDIRECT(ADDRESS(327,5,,,"MATCHS")),1,0),,,,IF(INDIRECT(ADDRESS(367,3,,,"MATCHS"))&lt;INDIRECT(ADDRESS(367,5,,,"MATCHS")),1,0),,,,IF(INDIRECT(ADDRESS(407,3,,,"MATCHS"))&lt;INDIRECT(ADDRESS(407,5,,,"MATCHS")),1,0),,,,IF(INDIRECT(ADDRESS(447,3,,,"MATCHS"))&lt;INDIRECT(ADDRESS(447,5,,,"MATCHS")),1,0),,,IF(INDIRECT(ADDRESS(477,3,,,"MATCHS"))&lt;INDIRECT(ADDRESS(477,5,,,"MATCHS")),1,0))</f>
        <v>0</v>
      </c>
      <c r="G9" s="49">
        <f ca="1">SUM(INDIRECT(ADDRESS(4,5,,,"MATCHS")),,,,INDIRECT(ADDRESS(45,3,,,"MATCHS")),,,,INDIRECT(ADDRESS(85,3,,,"MATCHS")),,,,INDIRECT(ADDRESS(123,5,,,"MATCHS")),,,,INDIRECT(ADDRESS(162,5,,,"MATCHS")),,,,INDIRECT(ADDRESS(205,5,,,"MATCHS")),,,,INDIRECT(ADDRESS(244,5,,,"MATCHS")),,,,INDIRECT(ADDRESS(287,3,,,"MATCHS")),,,,INDIRECT(ADDRESS(327,3,,,"MATCHS")),,,,INDIRECT(ADDRESS(367,3,,,"MATCHS")),,,,INDIRECT(ADDRESS(407,3,,,"MATCHS")),,,,INDIRECT(ADDRESS(447,3,,,"MATCHS")),,,INDIRECT(ADDRESS(477,3,,,"MATCHS")))</f>
        <v>0</v>
      </c>
      <c r="H9" s="49">
        <f ca="1">SUM(INDIRECT(ADDRESS(4,3,,,"MATCHS")),,,,INDIRECT(ADDRESS(45,5,,,"MATCHS")),,,,INDIRECT(ADDRESS(85,5,,,"MATCHS")),,,,INDIRECT(ADDRESS(123,3,,,"MATCHS")),,,,INDIRECT(ADDRESS(162,3,,,"MATCHS")),,,,INDIRECT(ADDRESS(205,3,,,"MATCHS")),,,,INDIRECT(ADDRESS(244,3,,,"MATCHS")),,,,INDIRECT(ADDRESS(287,5,,,"MATCHS")),,,,INDIRECT(ADDRESS(327,5,,,"MATCHS")),,,,INDIRECT(ADDRESS(367,5,,,"MATCHS")),,,,INDIRECT(ADDRESS(407,5,,,"MATCHS")),,,,INDIRECT(ADDRESS(447,5,,,"MATCHS")),,,INDIRECT(ADDRESS(477,5,,,"MATCHS")))</f>
        <v>0</v>
      </c>
      <c r="I9" s="49">
        <f t="shared" ca="1" si="0"/>
        <v>0</v>
      </c>
      <c r="J9" s="49">
        <v>0</v>
      </c>
      <c r="K9" s="49">
        <v>6</v>
      </c>
      <c r="L9" s="49">
        <v>3</v>
      </c>
      <c r="M9" s="69"/>
    </row>
    <row r="10" spans="1:13" ht="15.75" x14ac:dyDescent="0.25">
      <c r="A10" s="181"/>
      <c r="B10" s="49">
        <v>7</v>
      </c>
      <c r="C10" s="49" t="s">
        <v>223</v>
      </c>
      <c r="D10" s="49" t="str">
        <f>INSCRIPTS_PH!C8</f>
        <v>7A</v>
      </c>
      <c r="E10" s="87">
        <f ca="1">SUM(IF(INDIRECT(ADDRESS(5,3,,,"MATCHS"))&gt;INDIRECT(ADDRESS(5,5,,,"MATCHS")),1,0),,,,IF(INDIRECT(ADDRESS(44,5,,,"MATCHS"))&gt;INDIRECT(ADDRESS(44,3,,,"MATCHS")),1,0),,,,IF(INDIRECT(ADDRESS(85,5,,,"MATCHS"))&gt;INDIRECT(ADDRESS(85,3,,,"MATCHS")),1,0),,,,IF(INDIRECT(ADDRESS(124,5,,,"MATCHS"))&gt;INDIRECT(ADDRESS(124,3,,,"MATCHS")),1,0),,,,IF(INDIRECT(ADDRESS(165,5,,,"MATCHS"))&gt;INDIRECT(ADDRESS(165,3,,,"MATCHS")),1,0),,,,IF(INDIRECT(ADDRESS(202,5,,,"MATCHS"))&gt;INDIRECT(ADDRESS(202,3,,,"MATCHS")),1,0),,,,IF(INDIRECT(ADDRESS(243,5,,,"MATCHS"))&gt;INDIRECT(ADDRESS(243,3,,,"MATCHS")),1,0),,,,IF(INDIRECT(ADDRESS(288,3,,,"MATCHS"))&gt;INDIRECT(ADDRESS(288,5,,,"MATCHS")),1,0),,,,IF(INDIRECT(ADDRESS(328,3,,,"MATCHS"))&gt;INDIRECT(ADDRESS(328,5,,,"MATCHS")),1,0),,,,IF(INDIRECT(ADDRESS(368,3,,,"MATCHS"))&gt;INDIRECT(ADDRESS(368,5,,,"MATCHS")),1,0),,,,IF(INDIRECT(ADDRESS(408,3,,,"MATCHS"))&gt;INDIRECT(ADDRESS(408,5,,,"MATCHS")),1,0),,,,IF(INDIRECT(ADDRESS(448,3,,,"MATCHS"))&gt;INDIRECT(ADDRESS(448,5,,,"MATCHS")),1,0),,,IF(INDIRECT(ADDRESS(478,3,,,"MATCHS"))&gt;INDIRECT(ADDRESS(478,5,,,"MATCHS")),1,0)) + 0.1 * J10</f>
        <v>0</v>
      </c>
      <c r="F10" s="49">
        <f ca="1">SUM(IF(INDIRECT(ADDRESS(5,3,,,"MATCHS"))&lt;INDIRECT(ADDRESS(5,5,,,"MATCHS")),1,0),,,,IF(INDIRECT(ADDRESS(44,5,,,"MATCHS"))&lt;INDIRECT(ADDRESS(44,3,,,"MATCHS")),1,0),,,,IF(INDIRECT(ADDRESS(85,5,,,"MATCHS"))&lt;INDIRECT(ADDRESS(85,3,,,"MATCHS")),1,0),,,,IF(INDIRECT(ADDRESS(124,5,,,"MATCHS"))&lt;INDIRECT(ADDRESS(124,3,,,"MATCHS")),1,0),,,,IF(INDIRECT(ADDRESS(165,5,,,"MATCHS"))&lt;INDIRECT(ADDRESS(165,3,,,"MATCHS")),1,0),,,,IF(INDIRECT(ADDRESS(202,5,,,"MATCHS"))&lt;INDIRECT(ADDRESS(202,3,,,"MATCHS")),1,0),,,,IF(INDIRECT(ADDRESS(243,5,,,"MATCHS"))&lt;INDIRECT(ADDRESS(243,3,,,"MATCHS")),1,0),,,,IF(INDIRECT(ADDRESS(288,3,,,"MATCHS"))&lt;INDIRECT(ADDRESS(288,5,,,"MATCHS")),1,0),,,,IF(INDIRECT(ADDRESS(328,3,,,"MATCHS"))&lt;INDIRECT(ADDRESS(328,5,,,"MATCHS")),1,0),,,,IF(INDIRECT(ADDRESS(368,3,,,"MATCHS"))&lt;INDIRECT(ADDRESS(368,5,,,"MATCHS")),1,0),,,,IF(INDIRECT(ADDRESS(408,3,,,"MATCHS"))&lt;INDIRECT(ADDRESS(408,5,,,"MATCHS")),1,0),,,,IF(INDIRECT(ADDRESS(448,3,,,"MATCHS"))&lt;INDIRECT(ADDRESS(448,5,,,"MATCHS")),1,0),,,IF(INDIRECT(ADDRESS(478,3,,,"MATCHS"))&lt;INDIRECT(ADDRESS(478,5,,,"MATCHS")),1,0))</f>
        <v>0</v>
      </c>
      <c r="G10" s="49">
        <f ca="1">SUM(INDIRECT(ADDRESS(5,3,,,"MATCHS")),,,,INDIRECT(ADDRESS(44,5,,,"MATCHS")),,,,INDIRECT(ADDRESS(85,5,,,"MATCHS")),,,,INDIRECT(ADDRESS(124,5,,,"MATCHS")),,,,INDIRECT(ADDRESS(165,5,,,"MATCHS")),,,,INDIRECT(ADDRESS(202,5,,,"MATCHS")),,,,INDIRECT(ADDRESS(243,5,,,"MATCHS")),,,,INDIRECT(ADDRESS(288,3,,,"MATCHS")),,,,INDIRECT(ADDRESS(328,3,,,"MATCHS")),,,,INDIRECT(ADDRESS(368,3,,,"MATCHS")),,,,INDIRECT(ADDRESS(408,3,,,"MATCHS")),,,,INDIRECT(ADDRESS(448,3,,,"MATCHS")),,,INDIRECT(ADDRESS(478,3,,,"MATCHS")))</f>
        <v>0</v>
      </c>
      <c r="H10" s="49">
        <f ca="1">SUM(INDIRECT(ADDRESS(5,5,,,"MATCHS")),,,,INDIRECT(ADDRESS(44,3,,,"MATCHS")),,,,INDIRECT(ADDRESS(85,3,,,"MATCHS")),,,,INDIRECT(ADDRESS(124,3,,,"MATCHS")),,,,INDIRECT(ADDRESS(165,3,,,"MATCHS")),,,,INDIRECT(ADDRESS(202,3,,,"MATCHS")),,,,INDIRECT(ADDRESS(243,3,,,"MATCHS")),,,,INDIRECT(ADDRESS(288,5,,,"MATCHS")),,,,INDIRECT(ADDRESS(328,5,,,"MATCHS")),,,,INDIRECT(ADDRESS(368,5,,,"MATCHS")),,,,INDIRECT(ADDRESS(408,5,,,"MATCHS")),,,,INDIRECT(ADDRESS(448,5,,,"MATCHS")),,,INDIRECT(ADDRESS(478,5,,,"MATCHS")))</f>
        <v>0</v>
      </c>
      <c r="I10" s="49">
        <f t="shared" ca="1" si="0"/>
        <v>0</v>
      </c>
      <c r="J10" s="49">
        <v>0</v>
      </c>
      <c r="K10" s="49">
        <v>7</v>
      </c>
      <c r="L10" s="49">
        <v>2</v>
      </c>
      <c r="M10" s="69"/>
    </row>
    <row r="11" spans="1:13" ht="15.75" x14ac:dyDescent="0.25">
      <c r="A11" s="181"/>
      <c r="B11" s="49">
        <v>8</v>
      </c>
      <c r="C11" s="49" t="s">
        <v>224</v>
      </c>
      <c r="D11" s="49" t="str">
        <f>INSCRIPTS_PH!C9</f>
        <v>8A</v>
      </c>
      <c r="E11" s="87">
        <f ca="1">SUM(IF(INDIRECT(ADDRESS(5,5,,,"MATCHS"))&gt;INDIRECT(ADDRESS(5,3,,,"MATCHS")),1,0),,,,IF(INDIRECT(ADDRESS(45,5,,,"MATCHS"))&gt;INDIRECT(ADDRESS(45,3,,,"MATCHS")),1,0),,,,IF(INDIRECT(ADDRESS(84,5,,,"MATCHS"))&gt;INDIRECT(ADDRESS(84,3,,,"MATCHS")),1,0),,,,IF(INDIRECT(ADDRESS(125,5,,,"MATCHS"))&gt;INDIRECT(ADDRESS(125,3,,,"MATCHS")),1,0),,,,IF(INDIRECT(ADDRESS(164,5,,,"MATCHS"))&gt;INDIRECT(ADDRESS(164,3,,,"MATCHS")),1,0),,,,IF(INDIRECT(ADDRESS(203,5,,,"MATCHS"))&gt;INDIRECT(ADDRESS(203,3,,,"MATCHS")),1,0),,,,IF(INDIRECT(ADDRESS(242,5,,,"MATCHS"))&gt;INDIRECT(ADDRESS(242,3,,,"MATCHS")),1,0),,,,IF(INDIRECT(ADDRESS(289,3,,,"MATCHS"))&gt;INDIRECT(ADDRESS(289,5,,,"MATCHS")),1,0),,,,IF(INDIRECT(ADDRESS(329,3,,,"MATCHS"))&gt;INDIRECT(ADDRESS(329,5,,,"MATCHS")),1,0),,,,IF(INDIRECT(ADDRESS(369,3,,,"MATCHS"))&gt;INDIRECT(ADDRESS(369,5,,,"MATCHS")),1,0),,,,IF(INDIRECT(ADDRESS(409,3,,,"MATCHS"))&gt;INDIRECT(ADDRESS(409,5,,,"MATCHS")),1,0),,,,IF(INDIRECT(ADDRESS(449,3,,,"MATCHS"))&gt;INDIRECT(ADDRESS(449,5,,,"MATCHS")),1,0),,,IF(INDIRECT(ADDRESS(479,3,,,"MATCHS"))&gt;INDIRECT(ADDRESS(479,5,,,"MATCHS")),1,0)) + 0.1 * J11</f>
        <v>0</v>
      </c>
      <c r="F11" s="49">
        <f ca="1">SUM(IF(INDIRECT(ADDRESS(5,5,,,"MATCHS"))&lt;INDIRECT(ADDRESS(5,3,,,"MATCHS")),1,0),,,,IF(INDIRECT(ADDRESS(45,5,,,"MATCHS"))&lt;INDIRECT(ADDRESS(45,3,,,"MATCHS")),1,0),,,,IF(INDIRECT(ADDRESS(84,5,,,"MATCHS"))&lt;INDIRECT(ADDRESS(84,3,,,"MATCHS")),1,0),,,,IF(INDIRECT(ADDRESS(125,5,,,"MATCHS"))&lt;INDIRECT(ADDRESS(125,3,,,"MATCHS")),1,0),,,,IF(INDIRECT(ADDRESS(164,5,,,"MATCHS"))&lt;INDIRECT(ADDRESS(164,3,,,"MATCHS")),1,0),,,,IF(INDIRECT(ADDRESS(203,5,,,"MATCHS"))&lt;INDIRECT(ADDRESS(203,3,,,"MATCHS")),1,0),,,,IF(INDIRECT(ADDRESS(242,5,,,"MATCHS"))&lt;INDIRECT(ADDRESS(242,3,,,"MATCHS")),1,0),,,,IF(INDIRECT(ADDRESS(289,3,,,"MATCHS"))&lt;INDIRECT(ADDRESS(289,5,,,"MATCHS")),1,0),,,,IF(INDIRECT(ADDRESS(329,3,,,"MATCHS"))&lt;INDIRECT(ADDRESS(329,5,,,"MATCHS")),1,0),,,,IF(INDIRECT(ADDRESS(369,3,,,"MATCHS"))&lt;INDIRECT(ADDRESS(369,5,,,"MATCHS")),1,0),,,,IF(INDIRECT(ADDRESS(409,3,,,"MATCHS"))&lt;INDIRECT(ADDRESS(409,5,,,"MATCHS")),1,0),,,,IF(INDIRECT(ADDRESS(449,3,,,"MATCHS"))&lt;INDIRECT(ADDRESS(449,5,,,"MATCHS")),1,0),,,IF(INDIRECT(ADDRESS(479,3,,,"MATCHS"))&lt;INDIRECT(ADDRESS(479,5,,,"MATCHS")),1,0))</f>
        <v>0</v>
      </c>
      <c r="G11" s="49">
        <f ca="1">SUM(INDIRECT(ADDRESS(5,5,,,"MATCHS")),,,,INDIRECT(ADDRESS(45,5,,,"MATCHS")),,,,INDIRECT(ADDRESS(84,5,,,"MATCHS")),,,,INDIRECT(ADDRESS(125,5,,,"MATCHS")),,,,INDIRECT(ADDRESS(164,5,,,"MATCHS")),,,,INDIRECT(ADDRESS(203,5,,,"MATCHS")),,,,INDIRECT(ADDRESS(242,5,,,"MATCHS")),,,,INDIRECT(ADDRESS(289,3,,,"MATCHS")),,,,INDIRECT(ADDRESS(329,3,,,"MATCHS")),,,,INDIRECT(ADDRESS(369,3,,,"MATCHS")),,,,INDIRECT(ADDRESS(409,3,,,"MATCHS")),,,,INDIRECT(ADDRESS(449,3,,,"MATCHS")),,,INDIRECT(ADDRESS(479,3,,,"MATCHS")))</f>
        <v>0</v>
      </c>
      <c r="H11" s="49">
        <f ca="1">SUM(INDIRECT(ADDRESS(5,3,,,"MATCHS")),,,,INDIRECT(ADDRESS(45,3,,,"MATCHS")),,,,INDIRECT(ADDRESS(84,3,,,"MATCHS")),,,,INDIRECT(ADDRESS(125,3,,,"MATCHS")),,,,INDIRECT(ADDRESS(164,3,,,"MATCHS")),,,,INDIRECT(ADDRESS(203,3,,,"MATCHS")),,,,INDIRECT(ADDRESS(242,3,,,"MATCHS")),,,,INDIRECT(ADDRESS(289,5,,,"MATCHS")),,,,INDIRECT(ADDRESS(329,5,,,"MATCHS")),,,,INDIRECT(ADDRESS(369,5,,,"MATCHS")),,,,INDIRECT(ADDRESS(409,5,,,"MATCHS")),,,,INDIRECT(ADDRESS(449,5,,,"MATCHS")),,,INDIRECT(ADDRESS(479,5,,,"MATCHS")))</f>
        <v>0</v>
      </c>
      <c r="I11" s="49">
        <f t="shared" ca="1" si="0"/>
        <v>0</v>
      </c>
      <c r="J11" s="49">
        <v>0</v>
      </c>
      <c r="K11" s="49">
        <v>8</v>
      </c>
      <c r="L11" s="49">
        <v>1</v>
      </c>
      <c r="M11" s="69"/>
    </row>
    <row r="12" spans="1:13" ht="15.75" x14ac:dyDescent="0.25">
      <c r="A12" s="181"/>
      <c r="B12" s="49">
        <v>9</v>
      </c>
      <c r="C12" s="49" t="s">
        <v>226</v>
      </c>
      <c r="D12" s="49" t="str">
        <f>INSCRIPTS_PH!C10</f>
        <v>9A</v>
      </c>
      <c r="E12" s="87">
        <f ca="1">SUM(IF(INDIRECT(ADDRESS(6,3,,,"MATCHS"))&gt;INDIRECT(ADDRESS(6,5,,,"MATCHS")),1,0),,,,IF(INDIRECT(ADDRESS(46,3,,,"MATCHS"))&gt;INDIRECT(ADDRESS(46,5,,,"MATCHS")),1,0),,,,IF(INDIRECT(ADDRESS(86,3,,,"MATCHS"))&gt;INDIRECT(ADDRESS(86,5,,,"MATCHS")),1,0),,,,IF(INDIRECT(ADDRESS(126,3,,,"MATCHS"))&gt;INDIRECT(ADDRESS(126,5,,,"MATCHS")),1,0),,,,IF(INDIRECT(ADDRESS(166,3,,,"MATCHS"))&gt;INDIRECT(ADDRESS(166,5,,,"MATCHS")),1,0),,,,IF(INDIRECT(ADDRESS(206,3,,,"MATCHS"))&gt;INDIRECT(ADDRESS(206,5,,,"MATCHS")),1,0),,,,IF(INDIRECT(ADDRESS(246,3,,,"MATCHS"))&gt;INDIRECT(ADDRESS(246,5,,,"MATCHS")),1,0),,,,IF(INDIRECT(ADDRESS(282,5,,,"MATCHS"))&gt;INDIRECT(ADDRESS(282,3,,,"MATCHS")),1,0),,,,IF(INDIRECT(ADDRESS(323,5,,,"MATCHS"))&gt;INDIRECT(ADDRESS(323,3,,,"MATCHS")),1,0),,,,IF(INDIRECT(ADDRESS(364,5,,,"MATCHS"))&gt;INDIRECT(ADDRESS(364,3,,,"MATCHS")),1,0),,,,IF(INDIRECT(ADDRESS(405,5,,,"MATCHS"))&gt;INDIRECT(ADDRESS(405,3,,,"MATCHS")),1,0),,,,IF(INDIRECT(ADDRESS(446,5,,,"MATCHS"))&gt;INDIRECT(ADDRESS(446,3,,,"MATCHS")),1,0),,,IF(INDIRECT(ADDRESS(477,5,,,"MATCHS"))&gt;INDIRECT(ADDRESS(477,3,,,"MATCHS")),1,0)) + 0.1 * J12</f>
        <v>0</v>
      </c>
      <c r="F12" s="49">
        <f ca="1">SUM(IF(INDIRECT(ADDRESS(6,3,,,"MATCHS"))&lt;INDIRECT(ADDRESS(6,5,,,"MATCHS")),1,0),,,,IF(INDIRECT(ADDRESS(46,3,,,"MATCHS"))&lt;INDIRECT(ADDRESS(46,5,,,"MATCHS")),1,0),,,,IF(INDIRECT(ADDRESS(86,3,,,"MATCHS"))&lt;INDIRECT(ADDRESS(86,5,,,"MATCHS")),1,0),,,,IF(INDIRECT(ADDRESS(126,3,,,"MATCHS"))&lt;INDIRECT(ADDRESS(126,5,,,"MATCHS")),1,0),,,,IF(INDIRECT(ADDRESS(166,3,,,"MATCHS"))&lt;INDIRECT(ADDRESS(166,5,,,"MATCHS")),1,0),,,,IF(INDIRECT(ADDRESS(206,3,,,"MATCHS"))&lt;INDIRECT(ADDRESS(206,5,,,"MATCHS")),1,0),,,,IF(INDIRECT(ADDRESS(246,3,,,"MATCHS"))&lt;INDIRECT(ADDRESS(246,5,,,"MATCHS")),1,0),,,,IF(INDIRECT(ADDRESS(282,5,,,"MATCHS"))&lt;INDIRECT(ADDRESS(282,3,,,"MATCHS")),1,0),,,,IF(INDIRECT(ADDRESS(323,5,,,"MATCHS"))&lt;INDIRECT(ADDRESS(323,3,,,"MATCHS")),1,0),,,,IF(INDIRECT(ADDRESS(364,5,,,"MATCHS"))&lt;INDIRECT(ADDRESS(364,3,,,"MATCHS")),1,0),,,,IF(INDIRECT(ADDRESS(405,5,,,"MATCHS"))&lt;INDIRECT(ADDRESS(405,3,,,"MATCHS")),1,0),,,,IF(INDIRECT(ADDRESS(446,5,,,"MATCHS"))&lt;INDIRECT(ADDRESS(446,3,,,"MATCHS")),1,0),,,IF(INDIRECT(ADDRESS(477,5,,,"MATCHS"))&lt;INDIRECT(ADDRESS(477,3,,,"MATCHS")),1,0))</f>
        <v>0</v>
      </c>
      <c r="G12" s="49">
        <f ca="1">SUM(INDIRECT(ADDRESS(6,3,,,"MATCHS")),,,,INDIRECT(ADDRESS(46,3,,,"MATCHS")),,,,INDIRECT(ADDRESS(86,3,,,"MATCHS")),,,,INDIRECT(ADDRESS(126,3,,,"MATCHS")),,,,INDIRECT(ADDRESS(166,3,,,"MATCHS")),,,,INDIRECT(ADDRESS(206,3,,,"MATCHS")),,,,INDIRECT(ADDRESS(246,3,,,"MATCHS")),,,,INDIRECT(ADDRESS(282,5,,,"MATCHS")),,,,INDIRECT(ADDRESS(323,5,,,"MATCHS")),,,,INDIRECT(ADDRESS(364,5,,,"MATCHS")),,,,INDIRECT(ADDRESS(405,5,,,"MATCHS")),,,,INDIRECT(ADDRESS(446,5,,,"MATCHS")),,,INDIRECT(ADDRESS(477,5,,,"MATCHS")))</f>
        <v>0</v>
      </c>
      <c r="H12" s="49">
        <f ca="1">SUM(INDIRECT(ADDRESS(6,5,,,"MATCHS")),,,,INDIRECT(ADDRESS(46,5,,,"MATCHS")),,,,INDIRECT(ADDRESS(86,5,,,"MATCHS")),,,,INDIRECT(ADDRESS(126,5,,,"MATCHS")),,,,INDIRECT(ADDRESS(166,5,,,"MATCHS")),,,,INDIRECT(ADDRESS(206,5,,,"MATCHS")),,,,INDIRECT(ADDRESS(246,5,,,"MATCHS")),,,,INDIRECT(ADDRESS(282,3,,,"MATCHS")),,,,INDIRECT(ADDRESS(323,3,,,"MATCHS")),,,,INDIRECT(ADDRESS(364,3,,,"MATCHS")),,,,INDIRECT(ADDRESS(405,3,,,"MATCHS")),,,,INDIRECT(ADDRESS(446,3,,,"MATCHS")),,,INDIRECT(ADDRESS(477,3,,,"MATCHS")))</f>
        <v>0</v>
      </c>
      <c r="I12" s="49">
        <f t="shared" ca="1" si="0"/>
        <v>0</v>
      </c>
      <c r="J12" s="49">
        <v>0</v>
      </c>
      <c r="K12" s="49">
        <v>9</v>
      </c>
      <c r="L12" s="49">
        <f>L4+4</f>
        <v>5</v>
      </c>
      <c r="M12" s="69"/>
    </row>
    <row r="13" spans="1:13" ht="15.75" x14ac:dyDescent="0.25">
      <c r="A13" s="181"/>
      <c r="B13" s="49">
        <v>10</v>
      </c>
      <c r="C13" s="49" t="s">
        <v>227</v>
      </c>
      <c r="D13" s="49" t="str">
        <f>INSCRIPTS_PH!C11</f>
        <v>10A</v>
      </c>
      <c r="E13" s="87">
        <f ca="1">SUM(IF(INDIRECT(ADDRESS(6,5,,,"MATCHS"))&gt;INDIRECT(ADDRESS(6,3,,,"MATCHS")),1,0),,,,IF(INDIRECT(ADDRESS(47,3,,,"MATCHS"))&gt;INDIRECT(ADDRESS(47,5,,,"MATCHS")),1,0),,,,IF(INDIRECT(ADDRESS(87,3,,,"MATCHS"))&gt;INDIRECT(ADDRESS(87,5,,,"MATCHS")),1,0),,,,IF(INDIRECT(ADDRESS(127,3,,,"MATCHS"))&gt;INDIRECT(ADDRESS(127,5,,,"MATCHS")),1,0),,,,IF(INDIRECT(ADDRESS(167,3,,,"MATCHS"))&gt;INDIRECT(ADDRESS(167,5,,,"MATCHS")),1,0),,,,IF(INDIRECT(ADDRESS(207,3,,,"MATCHS"))&gt;INDIRECT(ADDRESS(207,5,,,"MATCHS")),1,0),,,,IF(INDIRECT(ADDRESS(247,3,,,"MATCHS"))&gt;INDIRECT(ADDRESS(247,5,,,"MATCHS")),1,0),,,,IF(INDIRECT(ADDRESS(283,5,,,"MATCHS"))&gt;INDIRECT(ADDRESS(283,3,,,"MATCHS")),1,0),,,,IF(INDIRECT(ADDRESS(322,5,,,"MATCHS"))&gt;INDIRECT(ADDRESS(322,3,,,"MATCHS")),1,0),,,,IF(INDIRECT(ADDRESS(365,5,,,"MATCHS"))&gt;INDIRECT(ADDRESS(365,3,,,"MATCHS")),1,0),,,,IF(INDIRECT(ADDRESS(404,5,,,"MATCHS"))&gt;INDIRECT(ADDRESS(404,3,,,"MATCHS")),1,0),,,,IF(INDIRECT(ADDRESS(447,5,,,"MATCHS"))&gt;INDIRECT(ADDRESS(447,3,,,"MATCHS")),1,0),,,IF(INDIRECT(ADDRESS(476,5,,,"MATCHS"))&gt;INDIRECT(ADDRESS(476,3,,,"MATCHS")),1,0)) + 0.1 * J13</f>
        <v>0</v>
      </c>
      <c r="F13" s="49">
        <f ca="1">SUM(IF(INDIRECT(ADDRESS(6,5,,,"MATCHS"))&lt;INDIRECT(ADDRESS(6,3,,,"MATCHS")),1,0),,,,IF(INDIRECT(ADDRESS(47,3,,,"MATCHS"))&lt;INDIRECT(ADDRESS(47,5,,,"MATCHS")),1,0),,,,IF(INDIRECT(ADDRESS(87,3,,,"MATCHS"))&lt;INDIRECT(ADDRESS(87,5,,,"MATCHS")),1,0),,,,IF(INDIRECT(ADDRESS(127,3,,,"MATCHS"))&lt;INDIRECT(ADDRESS(127,5,,,"MATCHS")),1,0),,,,IF(INDIRECT(ADDRESS(167,3,,,"MATCHS"))&lt;INDIRECT(ADDRESS(167,5,,,"MATCHS")),1,0),,,,IF(INDIRECT(ADDRESS(207,3,,,"MATCHS"))&lt;INDIRECT(ADDRESS(207,5,,,"MATCHS")),1,0),,,,IF(INDIRECT(ADDRESS(247,3,,,"MATCHS"))&lt;INDIRECT(ADDRESS(247,5,,,"MATCHS")),1,0),,,,IF(INDIRECT(ADDRESS(283,5,,,"MATCHS"))&lt;INDIRECT(ADDRESS(283,3,,,"MATCHS")),1,0),,,,IF(INDIRECT(ADDRESS(322,5,,,"MATCHS"))&lt;INDIRECT(ADDRESS(322,3,,,"MATCHS")),1,0),,,,IF(INDIRECT(ADDRESS(365,5,,,"MATCHS"))&lt;INDIRECT(ADDRESS(365,3,,,"MATCHS")),1,0),,,,IF(INDIRECT(ADDRESS(404,5,,,"MATCHS"))&lt;INDIRECT(ADDRESS(404,3,,,"MATCHS")),1,0),,,,IF(INDIRECT(ADDRESS(447,5,,,"MATCHS"))&lt;INDIRECT(ADDRESS(447,3,,,"MATCHS")),1,0),,,IF(INDIRECT(ADDRESS(476,5,,,"MATCHS"))&lt;INDIRECT(ADDRESS(476,3,,,"MATCHS")),1,0))</f>
        <v>0</v>
      </c>
      <c r="G13" s="49">
        <f ca="1">SUM(INDIRECT(ADDRESS(6,5,,,"MATCHS")),,,,INDIRECT(ADDRESS(47,3,,,"MATCHS")),,,,INDIRECT(ADDRESS(87,3,,,"MATCHS")),,,,INDIRECT(ADDRESS(127,3,,,"MATCHS")),,,,INDIRECT(ADDRESS(167,3,,,"MATCHS")),,,,INDIRECT(ADDRESS(207,3,,,"MATCHS")),,,,INDIRECT(ADDRESS(247,3,,,"MATCHS")),,,,INDIRECT(ADDRESS(283,5,,,"MATCHS")),,,,INDIRECT(ADDRESS(322,5,,,"MATCHS")),,,,INDIRECT(ADDRESS(365,5,,,"MATCHS")),,,,INDIRECT(ADDRESS(404,5,,,"MATCHS")),,,,INDIRECT(ADDRESS(447,5,,,"MATCHS")),,,INDIRECT(ADDRESS(476,5,,,"MATCHS")))</f>
        <v>0</v>
      </c>
      <c r="H13" s="49">
        <f ca="1">SUM(INDIRECT(ADDRESS(6,3,,,"MATCHS")),,,,INDIRECT(ADDRESS(47,5,,,"MATCHS")),,,,INDIRECT(ADDRESS(87,5,,,"MATCHS")),,,,INDIRECT(ADDRESS(127,5,,,"MATCHS")),,,,INDIRECT(ADDRESS(167,5,,,"MATCHS")),,,,INDIRECT(ADDRESS(207,5,,,"MATCHS")),,,,INDIRECT(ADDRESS(247,5,,,"MATCHS")),,,,INDIRECT(ADDRESS(283,3,,,"MATCHS")),,,,INDIRECT(ADDRESS(322,3,,,"MATCHS")),,,,INDIRECT(ADDRESS(365,3,,,"MATCHS")),,,,INDIRECT(ADDRESS(404,3,,,"MATCHS")),,,,INDIRECT(ADDRESS(447,3,,,"MATCHS")),,,INDIRECT(ADDRESS(476,3,,,"MATCHS")))</f>
        <v>0</v>
      </c>
      <c r="I13" s="49">
        <f t="shared" ca="1" si="0"/>
        <v>0</v>
      </c>
      <c r="J13" s="49">
        <v>0</v>
      </c>
      <c r="K13" s="49">
        <v>10</v>
      </c>
      <c r="L13" s="49">
        <f t="shared" ref="L13:L19" si="1">L5+4</f>
        <v>6</v>
      </c>
      <c r="M13" s="69"/>
    </row>
    <row r="14" spans="1:13" ht="15.75" x14ac:dyDescent="0.25">
      <c r="A14" s="181"/>
      <c r="B14" s="49">
        <v>11</v>
      </c>
      <c r="C14" s="49" t="s">
        <v>237</v>
      </c>
      <c r="D14" s="49" t="str">
        <f>INSCRIPTS_PH!C12</f>
        <v>11A</v>
      </c>
      <c r="E14" s="87">
        <f ca="1">SUM(IF(INDIRECT(ADDRESS(7,3,,,"MATCHS"))&gt;INDIRECT(ADDRESS(7,5,,,"MATCHS")),1,0),,,,IF(INDIRECT(ADDRESS(46,5,,,"MATCHS"))&gt;INDIRECT(ADDRESS(46,3,,,"MATCHS")),1,0),,,,IF(INDIRECT(ADDRESS(87,5,,,"MATCHS"))&gt;INDIRECT(ADDRESS(87,3,,,"MATCHS")),1,0),,,,IF(INDIRECT(ADDRESS(128,3,,,"MATCHS"))&gt;INDIRECT(ADDRESS(128,5,,,"MATCHS")),1,0),,,,IF(INDIRECT(ADDRESS(168,3,,,"MATCHS"))&gt;INDIRECT(ADDRESS(168,5,,,"MATCHS")),1,0),,,,IF(INDIRECT(ADDRESS(208,3,,,"MATCHS"))&gt;INDIRECT(ADDRESS(208,5,,,"MATCHS")),1,0),,,,IF(INDIRECT(ADDRESS(248,3,,,"MATCHS"))&gt;INDIRECT(ADDRESS(248,5,,,"MATCHS")),1,0),,,,IF(INDIRECT(ADDRESS(284,5,,,"MATCHS"))&gt;INDIRECT(ADDRESS(284,3,,,"MATCHS")),1,0),,,,IF(INDIRECT(ADDRESS(325,5,,,"MATCHS"))&gt;INDIRECT(ADDRESS(325,3,,,"MATCHS")),1,0),,,,IF(INDIRECT(ADDRESS(362,5,,,"MATCHS"))&gt;INDIRECT(ADDRESS(362,3,,,"MATCHS")),1,0),,,,IF(INDIRECT(ADDRESS(403,5,,,"MATCHS"))&gt;INDIRECT(ADDRESS(403,3,,,"MATCHS")),1,0),,,,IF(INDIRECT(ADDRESS(448,5,,,"MATCHS"))&gt;INDIRECT(ADDRESS(448,3,,,"MATCHS")),1,0),,,IF(INDIRECT(ADDRESS(479,5,,,"MATCHS"))&gt;INDIRECT(ADDRESS(479,3,,,"MATCHS")),1,0)) + 0.1 * J14</f>
        <v>0</v>
      </c>
      <c r="F14" s="49">
        <f ca="1">SUM(IF(INDIRECT(ADDRESS(7,3,,,"MATCHS"))&lt;INDIRECT(ADDRESS(7,5,,,"MATCHS")),1,0),,,,IF(INDIRECT(ADDRESS(46,5,,,"MATCHS"))&lt;INDIRECT(ADDRESS(46,3,,,"MATCHS")),1,0),,,,IF(INDIRECT(ADDRESS(87,5,,,"MATCHS"))&lt;INDIRECT(ADDRESS(87,3,,,"MATCHS")),1,0),,,,IF(INDIRECT(ADDRESS(128,3,,,"MATCHS"))&lt;INDIRECT(ADDRESS(128,5,,,"MATCHS")),1,0),,,,IF(INDIRECT(ADDRESS(168,3,,,"MATCHS"))&lt;INDIRECT(ADDRESS(168,5,,,"MATCHS")),1,0),,,,IF(INDIRECT(ADDRESS(208,3,,,"MATCHS"))&lt;INDIRECT(ADDRESS(208,5,,,"MATCHS")),1,0),,,,IF(INDIRECT(ADDRESS(248,3,,,"MATCHS"))&lt;INDIRECT(ADDRESS(248,5,,,"MATCHS")),1,0),,,,IF(INDIRECT(ADDRESS(284,5,,,"MATCHS"))&lt;INDIRECT(ADDRESS(284,3,,,"MATCHS")),1,0),,,,IF(INDIRECT(ADDRESS(325,5,,,"MATCHS"))&lt;INDIRECT(ADDRESS(325,3,,,"MATCHS")),1,0),,,,IF(INDIRECT(ADDRESS(362,5,,,"MATCHS"))&lt;INDIRECT(ADDRESS(362,3,,,"MATCHS")),1,0),,,,IF(INDIRECT(ADDRESS(403,5,,,"MATCHS"))&lt;INDIRECT(ADDRESS(403,3,,,"MATCHS")),1,0),,,,IF(INDIRECT(ADDRESS(448,5,,,"MATCHS"))&lt;INDIRECT(ADDRESS(448,3,,,"MATCHS")),1,0),,,IF(INDIRECT(ADDRESS(479,5,,,"MATCHS"))&lt;INDIRECT(ADDRESS(479,3,,,"MATCHS")),1,0))</f>
        <v>0</v>
      </c>
      <c r="G14" s="49">
        <f ca="1">SUM(INDIRECT(ADDRESS(7,3,,,"MATCHS")),,,,INDIRECT(ADDRESS(46,5,,,"MATCHS")),,,,INDIRECT(ADDRESS(87,5,,,"MATCHS")),,,,INDIRECT(ADDRESS(128,3,,,"MATCHS")),,,,INDIRECT(ADDRESS(168,3,,,"MATCHS")),,,,INDIRECT(ADDRESS(208,3,,,"MATCHS")),,,,INDIRECT(ADDRESS(248,3,,,"MATCHS")),,,,INDIRECT(ADDRESS(284,5,,,"MATCHS")),,,,INDIRECT(ADDRESS(325,5,,,"MATCHS")),,,,INDIRECT(ADDRESS(362,5,,,"MATCHS")),,,,INDIRECT(ADDRESS(403,5,,,"MATCHS")),,,,INDIRECT(ADDRESS(448,5,,,"MATCHS")),,,INDIRECT(ADDRESS(479,5,,,"MATCHS")))</f>
        <v>0</v>
      </c>
      <c r="H14" s="49">
        <f ca="1">SUM(INDIRECT(ADDRESS(7,5,,,"MATCHS")),,,,INDIRECT(ADDRESS(46,3,,,"MATCHS")),,,,INDIRECT(ADDRESS(87,3,,,"MATCHS")),,,,INDIRECT(ADDRESS(128,5,,,"MATCHS")),,,,INDIRECT(ADDRESS(168,5,,,"MATCHS")),,,,INDIRECT(ADDRESS(208,5,,,"MATCHS")),,,,INDIRECT(ADDRESS(248,5,,,"MATCHS")),,,,INDIRECT(ADDRESS(284,3,,,"MATCHS")),,,,INDIRECT(ADDRESS(325,3,,,"MATCHS")),,,,INDIRECT(ADDRESS(362,3,,,"MATCHS")),,,,INDIRECT(ADDRESS(403,3,,,"MATCHS")),,,,INDIRECT(ADDRESS(448,3,,,"MATCHS")),,,INDIRECT(ADDRESS(479,3,,,"MATCHS")))</f>
        <v>0</v>
      </c>
      <c r="I14" s="49">
        <f t="shared" ca="1" si="0"/>
        <v>0</v>
      </c>
      <c r="J14" s="49">
        <v>0</v>
      </c>
      <c r="K14" s="49">
        <v>11</v>
      </c>
      <c r="L14" s="49">
        <f t="shared" si="1"/>
        <v>7</v>
      </c>
      <c r="M14" s="69"/>
    </row>
    <row r="15" spans="1:13" ht="15.75" x14ac:dyDescent="0.25">
      <c r="A15" s="181"/>
      <c r="B15" s="49">
        <v>12</v>
      </c>
      <c r="C15" s="49" t="s">
        <v>238</v>
      </c>
      <c r="D15" s="49" t="str">
        <f>INSCRIPTS_PH!C13</f>
        <v>12A</v>
      </c>
      <c r="E15" s="87">
        <f ca="1">SUM(IF(INDIRECT(ADDRESS(7,5,,,"MATCHS"))&gt;INDIRECT(ADDRESS(7,3,,,"MATCHS")),1,0),,,,IF(INDIRECT(ADDRESS(47,5,,,"MATCHS"))&gt;INDIRECT(ADDRESS(47,3,,,"MATCHS")),1,0),,,,IF(INDIRECT(ADDRESS(86,5,,,"MATCHS"))&gt;INDIRECT(ADDRESS(86,3,,,"MATCHS")),1,0),,,,IF(INDIRECT(ADDRESS(129,3,,,"MATCHS"))&gt;INDIRECT(ADDRESS(129,5,,,"MATCHS")),1,0),,,,IF(INDIRECT(ADDRESS(169,3,,,"MATCHS"))&gt;INDIRECT(ADDRESS(169,5,,,"MATCHS")),1,0),,,,IF(INDIRECT(ADDRESS(209,3,,,"MATCHS"))&gt;INDIRECT(ADDRESS(209,5,,,"MATCHS")),1,0),,,,IF(INDIRECT(ADDRESS(249,3,,,"MATCHS"))&gt;INDIRECT(ADDRESS(249,5,,,"MATCHS")),1,0),,,,IF(INDIRECT(ADDRESS(285,5,,,"MATCHS"))&gt;INDIRECT(ADDRESS(285,3,,,"MATCHS")),1,0),,,,IF(INDIRECT(ADDRESS(324,5,,,"MATCHS"))&gt;INDIRECT(ADDRESS(324,3,,,"MATCHS")),1,0),,,,IF(INDIRECT(ADDRESS(363,5,,,"MATCHS"))&gt;INDIRECT(ADDRESS(363,3,,,"MATCHS")),1,0),,,,IF(INDIRECT(ADDRESS(402,5,,,"MATCHS"))&gt;INDIRECT(ADDRESS(402,3,,,"MATCHS")),1,0),,,,IF(INDIRECT(ADDRESS(449,5,,,"MATCHS"))&gt;INDIRECT(ADDRESS(449,3,,,"MATCHS")),1,0),,,IF(INDIRECT(ADDRESS(478,5,,,"MATCHS"))&gt;INDIRECT(ADDRESS(478,3,,,"MATCHS")),1,0)) + 0.1 * J15</f>
        <v>0</v>
      </c>
      <c r="F15" s="49">
        <f ca="1">SUM(IF(INDIRECT(ADDRESS(7,5,,,"MATCHS"))&lt;INDIRECT(ADDRESS(7,3,,,"MATCHS")),1,0),,,,IF(INDIRECT(ADDRESS(47,5,,,"MATCHS"))&lt;INDIRECT(ADDRESS(47,3,,,"MATCHS")),1,0),,,,IF(INDIRECT(ADDRESS(86,5,,,"MATCHS"))&lt;INDIRECT(ADDRESS(86,3,,,"MATCHS")),1,0),,,,IF(INDIRECT(ADDRESS(129,3,,,"MATCHS"))&lt;INDIRECT(ADDRESS(129,5,,,"MATCHS")),1,0),,,,IF(INDIRECT(ADDRESS(169,3,,,"MATCHS"))&lt;INDIRECT(ADDRESS(169,5,,,"MATCHS")),1,0),,,,IF(INDIRECT(ADDRESS(209,3,,,"MATCHS"))&lt;INDIRECT(ADDRESS(209,5,,,"MATCHS")),1,0),,,,IF(INDIRECT(ADDRESS(249,3,,,"MATCHS"))&lt;INDIRECT(ADDRESS(249,5,,,"MATCHS")),1,0),,,,IF(INDIRECT(ADDRESS(285,5,,,"MATCHS"))&lt;INDIRECT(ADDRESS(285,3,,,"MATCHS")),1,0),,,,IF(INDIRECT(ADDRESS(324,5,,,"MATCHS"))&lt;INDIRECT(ADDRESS(324,3,,,"MATCHS")),1,0),,,,IF(INDIRECT(ADDRESS(363,5,,,"MATCHS"))&lt;INDIRECT(ADDRESS(363,3,,,"MATCHS")),1,0),,,,IF(INDIRECT(ADDRESS(402,5,,,"MATCHS"))&lt;INDIRECT(ADDRESS(402,3,,,"MATCHS")),1,0),,,,IF(INDIRECT(ADDRESS(449,5,,,"MATCHS"))&lt;INDIRECT(ADDRESS(449,3,,,"MATCHS")),1,0),,,IF(INDIRECT(ADDRESS(478,5,,,"MATCHS"))&lt;INDIRECT(ADDRESS(478,3,,,"MATCHS")),1,0))</f>
        <v>0</v>
      </c>
      <c r="G15" s="49">
        <f ca="1">SUM(INDIRECT(ADDRESS(7,5,,,"MATCHS")),,,,INDIRECT(ADDRESS(47,5,,,"MATCHS")),,,,INDIRECT(ADDRESS(86,5,,,"MATCHS")),,,,INDIRECT(ADDRESS(129,3,,,"MATCHS")),,,,INDIRECT(ADDRESS(169,3,,,"MATCHS")),,,,INDIRECT(ADDRESS(209,3,,,"MATCHS")),,,,INDIRECT(ADDRESS(249,3,,,"MATCHS")),,,,INDIRECT(ADDRESS(285,5,,,"MATCHS")),,,,INDIRECT(ADDRESS(324,5,,,"MATCHS")),,,,INDIRECT(ADDRESS(363,5,,,"MATCHS")),,,,INDIRECT(ADDRESS(402,5,,,"MATCHS")),,,,INDIRECT(ADDRESS(449,5,,,"MATCHS")),,,INDIRECT(ADDRESS(478,5,,,"MATCHS")))</f>
        <v>0</v>
      </c>
      <c r="H15" s="49">
        <f ca="1">SUM(INDIRECT(ADDRESS(7,3,,,"MATCHS")),,,,INDIRECT(ADDRESS(47,3,,,"MATCHS")),,,,INDIRECT(ADDRESS(86,3,,,"MATCHS")),,,,INDIRECT(ADDRESS(129,5,,,"MATCHS")),,,,INDIRECT(ADDRESS(169,5,,,"MATCHS")),,,,INDIRECT(ADDRESS(209,5,,,"MATCHS")),,,,INDIRECT(ADDRESS(249,5,,,"MATCHS")),,,,INDIRECT(ADDRESS(285,3,,,"MATCHS")),,,,INDIRECT(ADDRESS(324,3,,,"MATCHS")),,,,INDIRECT(ADDRESS(363,3,,,"MATCHS")),,,,INDIRECT(ADDRESS(402,3,,,"MATCHS")),,,,INDIRECT(ADDRESS(449,3,,,"MATCHS")),,,INDIRECT(ADDRESS(478,3,,,"MATCHS")))</f>
        <v>0</v>
      </c>
      <c r="I15" s="49">
        <f t="shared" ca="1" si="0"/>
        <v>0</v>
      </c>
      <c r="J15" s="49">
        <v>0</v>
      </c>
      <c r="K15" s="49">
        <v>12</v>
      </c>
      <c r="L15" s="49">
        <f t="shared" si="1"/>
        <v>8</v>
      </c>
      <c r="M15" s="69"/>
    </row>
    <row r="16" spans="1:13" ht="15.75" x14ac:dyDescent="0.25">
      <c r="A16" s="181"/>
      <c r="B16" s="49">
        <v>13</v>
      </c>
      <c r="C16" s="49" t="s">
        <v>239</v>
      </c>
      <c r="D16" s="49" t="str">
        <f>INSCRIPTS_PH!C14</f>
        <v>13A</v>
      </c>
      <c r="E16" s="87">
        <f ca="1">SUM(IF(INDIRECT(ADDRESS(8,3,,,"MATCHS"))&gt;INDIRECT(ADDRESS(8,5,,,"MATCHS")),1,0),,,,IF(INDIRECT(ADDRESS(48,3,,,"MATCHS"))&gt;INDIRECT(ADDRESS(48,5,,,"MATCHS")),1,0),,,,IF(INDIRECT(ADDRESS(88,3,,,"MATCHS"))&gt;INDIRECT(ADDRESS(88,5,,,"MATCHS")),1,0),,,,IF(INDIRECT(ADDRESS(126,5,,,"MATCHS"))&gt;INDIRECT(ADDRESS(126,3,,,"MATCHS")),1,0),,,,IF(INDIRECT(ADDRESS(167,5,,,"MATCHS"))&gt;INDIRECT(ADDRESS(167,3,,,"MATCHS")),1,0),,,,IF(INDIRECT(ADDRESS(208,5,,,"MATCHS"))&gt;INDIRECT(ADDRESS(208,3,,,"MATCHS")),1,0),,,,IF(INDIRECT(ADDRESS(249,5,,,"MATCHS"))&gt;INDIRECT(ADDRESS(249,3,,,"MATCHS")),1,0),,,,IF(INDIRECT(ADDRESS(286,5,,,"MATCHS"))&gt;INDIRECT(ADDRESS(286,3,,,"MATCHS")),1,0),,,,IF(INDIRECT(ADDRESS(327,5,,,"MATCHS"))&gt;INDIRECT(ADDRESS(327,3,,,"MATCHS")),1,0),,,,IF(INDIRECT(ADDRESS(368,5,,,"MATCHS"))&gt;INDIRECT(ADDRESS(368,3,,,"MATCHS")),1,0),,,,IF(INDIRECT(ADDRESS(409,5,,,"MATCHS"))&gt;INDIRECT(ADDRESS(409,3,,,"MATCHS")),1,0),,,,IF(INDIRECT(ADDRESS(442,5,,,"MATCHS"))&gt;INDIRECT(ADDRESS(442,3,,,"MATCHS")),1,0),,,IF(INDIRECT(ADDRESS(473,5,,,"MATCHS"))&gt;INDIRECT(ADDRESS(473,3,,,"MATCHS")),1,0)) + 0.1 * J16</f>
        <v>0</v>
      </c>
      <c r="F16" s="49">
        <f ca="1">SUM(IF(INDIRECT(ADDRESS(8,3,,,"MATCHS"))&lt;INDIRECT(ADDRESS(8,5,,,"MATCHS")),1,0),,,,IF(INDIRECT(ADDRESS(48,3,,,"MATCHS"))&lt;INDIRECT(ADDRESS(48,5,,,"MATCHS")),1,0),,,,IF(INDIRECT(ADDRESS(88,3,,,"MATCHS"))&lt;INDIRECT(ADDRESS(88,5,,,"MATCHS")),1,0),,,,IF(INDIRECT(ADDRESS(126,5,,,"MATCHS"))&lt;INDIRECT(ADDRESS(126,3,,,"MATCHS")),1,0),,,,IF(INDIRECT(ADDRESS(167,5,,,"MATCHS"))&lt;INDIRECT(ADDRESS(167,3,,,"MATCHS")),1,0),,,,IF(INDIRECT(ADDRESS(208,5,,,"MATCHS"))&lt;INDIRECT(ADDRESS(208,3,,,"MATCHS")),1,0),,,,IF(INDIRECT(ADDRESS(249,5,,,"MATCHS"))&lt;INDIRECT(ADDRESS(249,3,,,"MATCHS")),1,0),,,,IF(INDIRECT(ADDRESS(286,5,,,"MATCHS"))&lt;INDIRECT(ADDRESS(286,3,,,"MATCHS")),1,0),,,,IF(INDIRECT(ADDRESS(327,5,,,"MATCHS"))&lt;INDIRECT(ADDRESS(327,3,,,"MATCHS")),1,0),,,,IF(INDIRECT(ADDRESS(368,5,,,"MATCHS"))&lt;INDIRECT(ADDRESS(368,3,,,"MATCHS")),1,0),,,,IF(INDIRECT(ADDRESS(409,5,,,"MATCHS"))&lt;INDIRECT(ADDRESS(409,3,,,"MATCHS")),1,0),,,,IF(INDIRECT(ADDRESS(442,5,,,"MATCHS"))&lt;INDIRECT(ADDRESS(442,3,,,"MATCHS")),1,0),,,IF(INDIRECT(ADDRESS(473,5,,,"MATCHS"))&lt;INDIRECT(ADDRESS(473,3,,,"MATCHS")),1,0))</f>
        <v>0</v>
      </c>
      <c r="G16" s="49">
        <f ca="1">SUM(INDIRECT(ADDRESS(8,3,,,"MATCHS")),,,,INDIRECT(ADDRESS(48,3,,,"MATCHS")),,,,INDIRECT(ADDRESS(88,3,,,"MATCHS")),,,,INDIRECT(ADDRESS(126,5,,,"MATCHS")),,,,INDIRECT(ADDRESS(167,5,,,"MATCHS")),,,,INDIRECT(ADDRESS(208,5,,,"MATCHS")),,,,INDIRECT(ADDRESS(249,5,,,"MATCHS")),,,,INDIRECT(ADDRESS(286,5,,,"MATCHS")),,,,INDIRECT(ADDRESS(327,5,,,"MATCHS")),,,,INDIRECT(ADDRESS(368,5,,,"MATCHS")),,,,INDIRECT(ADDRESS(409,5,,,"MATCHS")),,,,INDIRECT(ADDRESS(442,5,,,"MATCHS")),,,INDIRECT(ADDRESS(473,5,,,"MATCHS")))</f>
        <v>0</v>
      </c>
      <c r="H16" s="49">
        <f ca="1">SUM(INDIRECT(ADDRESS(8,5,,,"MATCHS")),,,,INDIRECT(ADDRESS(48,5,,,"MATCHS")),,,,INDIRECT(ADDRESS(88,5,,,"MATCHS")),,,,INDIRECT(ADDRESS(126,3,,,"MATCHS")),,,,INDIRECT(ADDRESS(167,3,,,"MATCHS")),,,,INDIRECT(ADDRESS(208,3,,,"MATCHS")),,,,INDIRECT(ADDRESS(249,3,,,"MATCHS")),,,,INDIRECT(ADDRESS(286,3,,,"MATCHS")),,,,INDIRECT(ADDRESS(327,3,,,"MATCHS")),,,,INDIRECT(ADDRESS(368,3,,,"MATCHS")),,,,INDIRECT(ADDRESS(409,3,,,"MATCHS")),,,,INDIRECT(ADDRESS(442,3,,,"MATCHS")),,,INDIRECT(ADDRESS(473,3,,,"MATCHS")))</f>
        <v>0</v>
      </c>
      <c r="I16" s="49">
        <f t="shared" ca="1" si="0"/>
        <v>0</v>
      </c>
      <c r="J16" s="49">
        <v>0</v>
      </c>
      <c r="K16" s="49">
        <v>13</v>
      </c>
      <c r="L16" s="49">
        <f t="shared" si="1"/>
        <v>8</v>
      </c>
      <c r="M16" s="69"/>
    </row>
    <row r="17" spans="1:13" ht="15.75" x14ac:dyDescent="0.25">
      <c r="A17" s="181"/>
      <c r="B17" s="49">
        <v>14</v>
      </c>
      <c r="C17" s="49" t="s">
        <v>240</v>
      </c>
      <c r="D17" s="49" t="str">
        <f>INSCRIPTS_PH!C15</f>
        <v>14A</v>
      </c>
      <c r="E17" s="87">
        <f ca="1">SUM(IF(INDIRECT(ADDRESS(8,5,,,"MATCHS"))&gt;INDIRECT(ADDRESS(8,3,,,"MATCHS")),1,0),,,,IF(INDIRECT(ADDRESS(49,3,,,"MATCHS"))&gt;INDIRECT(ADDRESS(49,5,,,"MATCHS")),1,0),,,,IF(INDIRECT(ADDRESS(89,3,,,"MATCHS"))&gt;INDIRECT(ADDRESS(89,5,,,"MATCHS")),1,0),,,,IF(INDIRECT(ADDRESS(127,5,,,"MATCHS"))&gt;INDIRECT(ADDRESS(127,3,,,"MATCHS")),1,0),,,,IF(INDIRECT(ADDRESS(166,5,,,"MATCHS"))&gt;INDIRECT(ADDRESS(166,3,,,"MATCHS")),1,0),,,,IF(INDIRECT(ADDRESS(209,5,,,"MATCHS"))&gt;INDIRECT(ADDRESS(209,3,,,"MATCHS")),1,0),,,,IF(INDIRECT(ADDRESS(248,5,,,"MATCHS"))&gt;INDIRECT(ADDRESS(248,3,,,"MATCHS")),1,0),,,,IF(INDIRECT(ADDRESS(287,5,,,"MATCHS"))&gt;INDIRECT(ADDRESS(287,3,,,"MATCHS")),1,0),,,,IF(INDIRECT(ADDRESS(326,5,,,"MATCHS"))&gt;INDIRECT(ADDRESS(326,3,,,"MATCHS")),1,0),,,,IF(INDIRECT(ADDRESS(369,5,,,"MATCHS"))&gt;INDIRECT(ADDRESS(369,3,,,"MATCHS")),1,0),,,,IF(INDIRECT(ADDRESS(408,5,,,"MATCHS"))&gt;INDIRECT(ADDRESS(408,3,,,"MATCHS")),1,0),,,,IF(INDIRECT(ADDRESS(443,5,,,"MATCHS"))&gt;INDIRECT(ADDRESS(443,3,,,"MATCHS")),1,0),,,IF(INDIRECT(ADDRESS(472,5,,,"MATCHS"))&gt;INDIRECT(ADDRESS(472,3,,,"MATCHS")),1,0)) + 0.1 * J17</f>
        <v>0</v>
      </c>
      <c r="F17" s="49">
        <f ca="1">SUM(IF(INDIRECT(ADDRESS(8,5,,,"MATCHS"))&lt;INDIRECT(ADDRESS(8,3,,,"MATCHS")),1,0),,,,IF(INDIRECT(ADDRESS(49,3,,,"MATCHS"))&lt;INDIRECT(ADDRESS(49,5,,,"MATCHS")),1,0),,,,IF(INDIRECT(ADDRESS(89,3,,,"MATCHS"))&lt;INDIRECT(ADDRESS(89,5,,,"MATCHS")),1,0),,,,IF(INDIRECT(ADDRESS(127,5,,,"MATCHS"))&lt;INDIRECT(ADDRESS(127,3,,,"MATCHS")),1,0),,,,IF(INDIRECT(ADDRESS(166,5,,,"MATCHS"))&lt;INDIRECT(ADDRESS(166,3,,,"MATCHS")),1,0),,,,IF(INDIRECT(ADDRESS(209,5,,,"MATCHS"))&lt;INDIRECT(ADDRESS(209,3,,,"MATCHS")),1,0),,,,IF(INDIRECT(ADDRESS(248,5,,,"MATCHS"))&lt;INDIRECT(ADDRESS(248,3,,,"MATCHS")),1,0),,,,IF(INDIRECT(ADDRESS(287,5,,,"MATCHS"))&lt;INDIRECT(ADDRESS(287,3,,,"MATCHS")),1,0),,,,IF(INDIRECT(ADDRESS(326,5,,,"MATCHS"))&lt;INDIRECT(ADDRESS(326,3,,,"MATCHS")),1,0),,,,IF(INDIRECT(ADDRESS(369,5,,,"MATCHS"))&lt;INDIRECT(ADDRESS(369,3,,,"MATCHS")),1,0),,,,IF(INDIRECT(ADDRESS(408,5,,,"MATCHS"))&lt;INDIRECT(ADDRESS(408,3,,,"MATCHS")),1,0),,,,IF(INDIRECT(ADDRESS(443,5,,,"MATCHS"))&lt;INDIRECT(ADDRESS(443,3,,,"MATCHS")),1,0),,,IF(INDIRECT(ADDRESS(472,5,,,"MATCHS"))&lt;INDIRECT(ADDRESS(472,3,,,"MATCHS")),1,0))</f>
        <v>0</v>
      </c>
      <c r="G17" s="49">
        <f ca="1">SUM(INDIRECT(ADDRESS(8,5,,,"MATCHS")),,,,INDIRECT(ADDRESS(49,3,,,"MATCHS")),,,,INDIRECT(ADDRESS(89,3,,,"MATCHS")),,,,INDIRECT(ADDRESS(127,5,,,"MATCHS")),,,,INDIRECT(ADDRESS(166,5,,,"MATCHS")),,,,INDIRECT(ADDRESS(209,5,,,"MATCHS")),,,,INDIRECT(ADDRESS(248,5,,,"MATCHS")),,,,INDIRECT(ADDRESS(287,5,,,"MATCHS")),,,,INDIRECT(ADDRESS(326,5,,,"MATCHS")),,,,INDIRECT(ADDRESS(369,5,,,"MATCHS")),,,,INDIRECT(ADDRESS(408,5,,,"MATCHS")),,,,INDIRECT(ADDRESS(443,5,,,"MATCHS")),,,INDIRECT(ADDRESS(472,5,,,"MATCHS")))</f>
        <v>0</v>
      </c>
      <c r="H17" s="49">
        <f ca="1">SUM(INDIRECT(ADDRESS(8,3,,,"MATCHS")),,,,INDIRECT(ADDRESS(49,5,,,"MATCHS")),,,,INDIRECT(ADDRESS(89,5,,,"MATCHS")),,,,INDIRECT(ADDRESS(127,3,,,"MATCHS")),,,,INDIRECT(ADDRESS(166,3,,,"MATCHS")),,,,INDIRECT(ADDRESS(209,3,,,"MATCHS")),,,,INDIRECT(ADDRESS(248,3,,,"MATCHS")),,,,INDIRECT(ADDRESS(287,3,,,"MATCHS")),,,,INDIRECT(ADDRESS(326,3,,,"MATCHS")),,,,INDIRECT(ADDRESS(369,3,,,"MATCHS")),,,,INDIRECT(ADDRESS(408,3,,,"MATCHS")),,,,INDIRECT(ADDRESS(443,3,,,"MATCHS")),,,INDIRECT(ADDRESS(472,3,,,"MATCHS")))</f>
        <v>0</v>
      </c>
      <c r="I17" s="49">
        <f t="shared" ca="1" si="0"/>
        <v>0</v>
      </c>
      <c r="J17" s="49">
        <v>0</v>
      </c>
      <c r="K17" s="49">
        <v>14</v>
      </c>
      <c r="L17" s="49">
        <f t="shared" si="1"/>
        <v>7</v>
      </c>
      <c r="M17" s="69"/>
    </row>
    <row r="18" spans="1:13" ht="15.75" x14ac:dyDescent="0.25">
      <c r="A18" s="181"/>
      <c r="B18" s="49">
        <v>15</v>
      </c>
      <c r="C18" s="49" t="s">
        <v>241</v>
      </c>
      <c r="D18" s="49" t="str">
        <f>INSCRIPTS_PH!C16</f>
        <v>15A</v>
      </c>
      <c r="E18" s="87">
        <f ca="1">SUM(IF(INDIRECT(ADDRESS(9,3,,,"MATCHS"))&gt;INDIRECT(ADDRESS(9,5,,,"MATCHS")),1,0),,,,IF(INDIRECT(ADDRESS(48,5,,,"MATCHS"))&gt;INDIRECT(ADDRESS(48,3,,,"MATCHS")),1,0),,,,IF(INDIRECT(ADDRESS(89,5,,,"MATCHS"))&gt;INDIRECT(ADDRESS(89,3,,,"MATCHS")),1,0),,,,IF(INDIRECT(ADDRESS(128,5,,,"MATCHS"))&gt;INDIRECT(ADDRESS(128,3,,,"MATCHS")),1,0),,,,IF(INDIRECT(ADDRESS(169,5,,,"MATCHS"))&gt;INDIRECT(ADDRESS(169,3,,,"MATCHS")),1,0),,,,IF(INDIRECT(ADDRESS(206,5,,,"MATCHS"))&gt;INDIRECT(ADDRESS(206,3,,,"MATCHS")),1,0),,,,IF(INDIRECT(ADDRESS(247,5,,,"MATCHS"))&gt;INDIRECT(ADDRESS(247,3,,,"MATCHS")),1,0),,,,IF(INDIRECT(ADDRESS(288,5,,,"MATCHS"))&gt;INDIRECT(ADDRESS(288,3,,,"MATCHS")),1,0),,,,IF(INDIRECT(ADDRESS(329,5,,,"MATCHS"))&gt;INDIRECT(ADDRESS(329,3,,,"MATCHS")),1,0),,,,IF(INDIRECT(ADDRESS(366,5,,,"MATCHS"))&gt;INDIRECT(ADDRESS(366,3,,,"MATCHS")),1,0),,,,IF(INDIRECT(ADDRESS(407,5,,,"MATCHS"))&gt;INDIRECT(ADDRESS(407,3,,,"MATCHS")),1,0),,,,IF(INDIRECT(ADDRESS(444,5,,,"MATCHS"))&gt;INDIRECT(ADDRESS(444,3,,,"MATCHS")),1,0),,,IF(INDIRECT(ADDRESS(475,5,,,"MATCHS"))&gt;INDIRECT(ADDRESS(475,3,,,"MATCHS")),1,0)) + 0.1 * J18</f>
        <v>0</v>
      </c>
      <c r="F18" s="49">
        <f ca="1">SUM(IF(INDIRECT(ADDRESS(9,3,,,"MATCHS"))&lt;INDIRECT(ADDRESS(9,5,,,"MATCHS")),1,0),,,,IF(INDIRECT(ADDRESS(48,5,,,"MATCHS"))&lt;INDIRECT(ADDRESS(48,3,,,"MATCHS")),1,0),,,,IF(INDIRECT(ADDRESS(89,5,,,"MATCHS"))&lt;INDIRECT(ADDRESS(89,3,,,"MATCHS")),1,0),,,,IF(INDIRECT(ADDRESS(128,5,,,"MATCHS"))&lt;INDIRECT(ADDRESS(128,3,,,"MATCHS")),1,0),,,,IF(INDIRECT(ADDRESS(169,5,,,"MATCHS"))&lt;INDIRECT(ADDRESS(169,3,,,"MATCHS")),1,0),,,,IF(INDIRECT(ADDRESS(206,5,,,"MATCHS"))&lt;INDIRECT(ADDRESS(206,3,,,"MATCHS")),1,0),,,,IF(INDIRECT(ADDRESS(247,5,,,"MATCHS"))&lt;INDIRECT(ADDRESS(247,3,,,"MATCHS")),1,0),,,,IF(INDIRECT(ADDRESS(288,5,,,"MATCHS"))&lt;INDIRECT(ADDRESS(288,3,,,"MATCHS")),1,0),,,,IF(INDIRECT(ADDRESS(329,5,,,"MATCHS"))&lt;INDIRECT(ADDRESS(329,3,,,"MATCHS")),1,0),,,,IF(INDIRECT(ADDRESS(366,5,,,"MATCHS"))&lt;INDIRECT(ADDRESS(366,3,,,"MATCHS")),1,0),,,,IF(INDIRECT(ADDRESS(407,5,,,"MATCHS"))&lt;INDIRECT(ADDRESS(407,3,,,"MATCHS")),1,0),,,,IF(INDIRECT(ADDRESS(444,5,,,"MATCHS"))&lt;INDIRECT(ADDRESS(444,3,,,"MATCHS")),1,0),,,IF(INDIRECT(ADDRESS(475,5,,,"MATCHS"))&lt;INDIRECT(ADDRESS(475,3,,,"MATCHS")),1,0))</f>
        <v>0</v>
      </c>
      <c r="G18" s="49">
        <f ca="1">SUM(INDIRECT(ADDRESS(9,3,,,"MATCHS")),,,,INDIRECT(ADDRESS(48,5,,,"MATCHS")),,,,INDIRECT(ADDRESS(89,5,,,"MATCHS")),,,,INDIRECT(ADDRESS(128,5,,,"MATCHS")),,,,INDIRECT(ADDRESS(169,5,,,"MATCHS")),,,,INDIRECT(ADDRESS(206,5,,,"MATCHS")),,,,INDIRECT(ADDRESS(247,5,,,"MATCHS")),,,,INDIRECT(ADDRESS(288,5,,,"MATCHS")),,,,INDIRECT(ADDRESS(329,5,,,"MATCHS")),,,,INDIRECT(ADDRESS(366,5,,,"MATCHS")),,,,INDIRECT(ADDRESS(407,5,,,"MATCHS")),,,,INDIRECT(ADDRESS(444,5,,,"MATCHS")),,,INDIRECT(ADDRESS(475,5,,,"MATCHS")))</f>
        <v>0</v>
      </c>
      <c r="H18" s="49">
        <f ca="1">SUM(INDIRECT(ADDRESS(9,5,,,"MATCHS")),,,,INDIRECT(ADDRESS(48,3,,,"MATCHS")),,,,INDIRECT(ADDRESS(89,3,,,"MATCHS")),,,,INDIRECT(ADDRESS(128,3,,,"MATCHS")),,,,INDIRECT(ADDRESS(169,3,,,"MATCHS")),,,,INDIRECT(ADDRESS(206,3,,,"MATCHS")),,,,INDIRECT(ADDRESS(247,3,,,"MATCHS")),,,,INDIRECT(ADDRESS(288,3,,,"MATCHS")),,,,INDIRECT(ADDRESS(329,3,,,"MATCHS")),,,,INDIRECT(ADDRESS(366,3,,,"MATCHS")),,,,INDIRECT(ADDRESS(407,3,,,"MATCHS")),,,,INDIRECT(ADDRESS(444,3,,,"MATCHS")),,,INDIRECT(ADDRESS(475,3,,,"MATCHS")))</f>
        <v>0</v>
      </c>
      <c r="I18" s="49">
        <f t="shared" ca="1" si="0"/>
        <v>0</v>
      </c>
      <c r="J18" s="49">
        <v>0</v>
      </c>
      <c r="K18" s="49">
        <v>15</v>
      </c>
      <c r="L18" s="49">
        <f t="shared" si="1"/>
        <v>6</v>
      </c>
      <c r="M18" s="69"/>
    </row>
    <row r="19" spans="1:13" ht="15.75" x14ac:dyDescent="0.25">
      <c r="A19" s="181"/>
      <c r="B19" s="49">
        <v>16</v>
      </c>
      <c r="C19" s="49" t="s">
        <v>242</v>
      </c>
      <c r="D19" s="49" t="str">
        <f>INSCRIPTS_PH!C17</f>
        <v>16A</v>
      </c>
      <c r="E19" s="87">
        <f ca="1">SUM(IF(INDIRECT(ADDRESS(9,5,,,"MATCHS"))&gt;INDIRECT(ADDRESS(9,3,,,"MATCHS")),1,0),,,,IF(INDIRECT(ADDRESS(49,5,,,"MATCHS"))&gt;INDIRECT(ADDRESS(49,3,,,"MATCHS")),1,0),,,,IF(INDIRECT(ADDRESS(88,5,,,"MATCHS"))&gt;INDIRECT(ADDRESS(88,3,,,"MATCHS")),1,0),,,,IF(INDIRECT(ADDRESS(129,5,,,"MATCHS"))&gt;INDIRECT(ADDRESS(129,3,,,"MATCHS")),1,0),,,,IF(INDIRECT(ADDRESS(168,5,,,"MATCHS"))&gt;INDIRECT(ADDRESS(168,3,,,"MATCHS")),1,0),,,,IF(INDIRECT(ADDRESS(207,5,,,"MATCHS"))&gt;INDIRECT(ADDRESS(207,3,,,"MATCHS")),1,0),,,,IF(INDIRECT(ADDRESS(246,5,,,"MATCHS"))&gt;INDIRECT(ADDRESS(246,3,,,"MATCHS")),1,0),,,,IF(INDIRECT(ADDRESS(289,5,,,"MATCHS"))&gt;INDIRECT(ADDRESS(289,3,,,"MATCHS")),1,0),,,,IF(INDIRECT(ADDRESS(328,5,,,"MATCHS"))&gt;INDIRECT(ADDRESS(328,3,,,"MATCHS")),1,0),,,,IF(INDIRECT(ADDRESS(367,5,,,"MATCHS"))&gt;INDIRECT(ADDRESS(367,3,,,"MATCHS")),1,0),,,,IF(INDIRECT(ADDRESS(406,5,,,"MATCHS"))&gt;INDIRECT(ADDRESS(406,3,,,"MATCHS")),1,0),,,,IF(INDIRECT(ADDRESS(445,5,,,"MATCHS"))&gt;INDIRECT(ADDRESS(445,3,,,"MATCHS")),1,0),,,IF(INDIRECT(ADDRESS(474,5,,,"MATCHS"))&gt;INDIRECT(ADDRESS(474,3,,,"MATCHS")),1,0)) + 0.1 * J19</f>
        <v>0</v>
      </c>
      <c r="F19" s="49">
        <f ca="1">SUM(IF(INDIRECT(ADDRESS(9,5,,,"MATCHS"))&lt;INDIRECT(ADDRESS(9,3,,,"MATCHS")),1,0),,,,IF(INDIRECT(ADDRESS(49,5,,,"MATCHS"))&lt;INDIRECT(ADDRESS(49,3,,,"MATCHS")),1,0),,,,IF(INDIRECT(ADDRESS(88,5,,,"MATCHS"))&lt;INDIRECT(ADDRESS(88,3,,,"MATCHS")),1,0),,,,IF(INDIRECT(ADDRESS(129,5,,,"MATCHS"))&lt;INDIRECT(ADDRESS(129,3,,,"MATCHS")),1,0),,,,IF(INDIRECT(ADDRESS(168,5,,,"MATCHS"))&lt;INDIRECT(ADDRESS(168,3,,,"MATCHS")),1,0),,,,IF(INDIRECT(ADDRESS(207,5,,,"MATCHS"))&lt;INDIRECT(ADDRESS(207,3,,,"MATCHS")),1,0),,,,IF(INDIRECT(ADDRESS(246,5,,,"MATCHS"))&lt;INDIRECT(ADDRESS(246,3,,,"MATCHS")),1,0),,,,IF(INDIRECT(ADDRESS(289,5,,,"MATCHS"))&lt;INDIRECT(ADDRESS(289,3,,,"MATCHS")),1,0),,,,IF(INDIRECT(ADDRESS(328,5,,,"MATCHS"))&lt;INDIRECT(ADDRESS(328,3,,,"MATCHS")),1,0),,,,IF(INDIRECT(ADDRESS(367,5,,,"MATCHS"))&lt;INDIRECT(ADDRESS(367,3,,,"MATCHS")),1,0),,,,IF(INDIRECT(ADDRESS(406,5,,,"MATCHS"))&lt;INDIRECT(ADDRESS(406,3,,,"MATCHS")),1,0),,,,IF(INDIRECT(ADDRESS(445,5,,,"MATCHS"))&lt;INDIRECT(ADDRESS(445,3,,,"MATCHS")),1,0),,,IF(INDIRECT(ADDRESS(474,5,,,"MATCHS"))&lt;INDIRECT(ADDRESS(474,3,,,"MATCHS")),1,0))</f>
        <v>0</v>
      </c>
      <c r="G19" s="49">
        <f ca="1">SUM(INDIRECT(ADDRESS(9,5,,,"MATCHS")),,,,INDIRECT(ADDRESS(49,5,,,"MATCHS")),,,,INDIRECT(ADDRESS(88,5,,,"MATCHS")),,,,INDIRECT(ADDRESS(129,5,,,"MATCHS")),,,,INDIRECT(ADDRESS(168,5,,,"MATCHS")),,,,INDIRECT(ADDRESS(207,5,,,"MATCHS")),,,,INDIRECT(ADDRESS(246,5,,,"MATCHS")),,,,INDIRECT(ADDRESS(289,5,,,"MATCHS")),,,,INDIRECT(ADDRESS(328,5,,,"MATCHS")),,,,INDIRECT(ADDRESS(367,5,,,"MATCHS")),,,,INDIRECT(ADDRESS(406,5,,,"MATCHS")),,,,INDIRECT(ADDRESS(445,5,,,"MATCHS")),,,INDIRECT(ADDRESS(474,5,,,"MATCHS")))</f>
        <v>0</v>
      </c>
      <c r="H19" s="49">
        <f ca="1">SUM(INDIRECT(ADDRESS(9,3,,,"MATCHS")),,,,INDIRECT(ADDRESS(49,3,,,"MATCHS")),,,,INDIRECT(ADDRESS(88,3,,,"MATCHS")),,,,INDIRECT(ADDRESS(129,3,,,"MATCHS")),,,,INDIRECT(ADDRESS(168,3,,,"MATCHS")),,,,INDIRECT(ADDRESS(207,3,,,"MATCHS")),,,,INDIRECT(ADDRESS(246,3,,,"MATCHS")),,,,INDIRECT(ADDRESS(289,3,,,"MATCHS")),,,,INDIRECT(ADDRESS(328,3,,,"MATCHS")),,,,INDIRECT(ADDRESS(367,3,,,"MATCHS")),,,,INDIRECT(ADDRESS(406,3,,,"MATCHS")),,,,INDIRECT(ADDRESS(445,3,,,"MATCHS")),,,INDIRECT(ADDRESS(474,3,,,"MATCHS")))</f>
        <v>0</v>
      </c>
      <c r="I19" s="49">
        <f t="shared" ca="1" si="0"/>
        <v>0</v>
      </c>
      <c r="J19" s="49">
        <v>0</v>
      </c>
      <c r="K19" s="49">
        <v>16</v>
      </c>
      <c r="L19" s="49">
        <f t="shared" si="1"/>
        <v>5</v>
      </c>
      <c r="M19" s="69"/>
    </row>
    <row r="20" spans="1:13" ht="15.75" thickBot="1" x14ac:dyDescent="0.3"/>
    <row r="21" spans="1:13" ht="30.95" customHeight="1" thickBot="1" x14ac:dyDescent="0.3">
      <c r="C21" s="85" t="s">
        <v>228</v>
      </c>
      <c r="D21" s="85" t="s">
        <v>98</v>
      </c>
      <c r="E21" s="86" t="s">
        <v>229</v>
      </c>
      <c r="F21" s="85" t="s">
        <v>230</v>
      </c>
      <c r="G21" s="85" t="s">
        <v>231</v>
      </c>
      <c r="H21" s="85" t="s">
        <v>232</v>
      </c>
      <c r="I21" s="85" t="s">
        <v>233</v>
      </c>
      <c r="J21" s="48" t="s">
        <v>234</v>
      </c>
      <c r="K21" s="85" t="s">
        <v>235</v>
      </c>
      <c r="L21" s="48" t="s">
        <v>53</v>
      </c>
    </row>
    <row r="23" spans="1:13" ht="15.75" x14ac:dyDescent="0.25">
      <c r="A23" s="182" t="s">
        <v>102</v>
      </c>
      <c r="B23" s="50">
        <v>1</v>
      </c>
      <c r="C23" s="50" t="s">
        <v>47</v>
      </c>
      <c r="D23" s="50" t="str">
        <f>INSCRIPTS_PH!C19</f>
        <v>1B</v>
      </c>
      <c r="E23" s="88">
        <f ca="1">SUM(IF(INDIRECT(ADDRESS(10,3,,,"MATCHS"))&gt;INDIRECT(ADDRESS(10,5,,,"MATCHS")),1,0),,,,IF(INDIRECT(ADDRESS(50,3,,,"MATCHS"))&gt;INDIRECT(ADDRESS(50,5,,,"MATCHS")),1,0),,,,IF(INDIRECT(ADDRESS(90,3,,,"MATCHS"))&gt;INDIRECT(ADDRESS(90,5,,,"MATCHS")),1,0),,,,IF(INDIRECT(ADDRESS(130,3,,,"MATCHS"))&gt;INDIRECT(ADDRESS(130,5,,,"MATCHS")),1,0),,,,IF(INDIRECT(ADDRESS(170,3,,,"MATCHS"))&gt;INDIRECT(ADDRESS(170,5,,,"MATCHS")),1,0),,,,IF(INDIRECT(ADDRESS(210,3,,,"MATCHS"))&gt;INDIRECT(ADDRESS(210,5,,,"MATCHS")),1,0),,,,IF(INDIRECT(ADDRESS(250,3,,,"MATCHS"))&gt;INDIRECT(ADDRESS(250,5,,,"MATCHS")),1,0),,,,IF(INDIRECT(ADDRESS(290,3,,,"MATCHS"))&gt;INDIRECT(ADDRESS(290,5,,,"MATCHS")),1,0),,,,IF(INDIRECT(ADDRESS(330,3,,,"MATCHS"))&gt;INDIRECT(ADDRESS(330,5,,,"MATCHS")),1,0),,,,IF(INDIRECT(ADDRESS(370,3,,,"MATCHS"))&gt;INDIRECT(ADDRESS(370,5,,,"MATCHS")),1,0),,,,IF(INDIRECT(ADDRESS(410,3,,,"MATCHS"))&gt;INDIRECT(ADDRESS(410,5,,,"MATCHS")),1,0),,,,IF(INDIRECT(ADDRESS(450,3,,,"MATCHS"))&gt;INDIRECT(ADDRESS(450,5,,,"MATCHS")),1,0),,,IF(INDIRECT(ADDRESS(480,3,,,"MATCHS"))&gt;INDIRECT(ADDRESS(480,5,,,"MATCHS")),1,0)) + 0.1 * J23</f>
        <v>0</v>
      </c>
      <c r="F23" s="50">
        <f ca="1">SUM(IF(INDIRECT(ADDRESS(10,3,,,"MATCHS"))&lt;INDIRECT(ADDRESS(10,5,,,"MATCHS")),1,0),,,,IF(INDIRECT(ADDRESS(50,3,,,"MATCHS"))&lt;INDIRECT(ADDRESS(50,5,,,"MATCHS")),1,0),,,,IF(INDIRECT(ADDRESS(90,3,,,"MATCHS"))&lt;INDIRECT(ADDRESS(90,5,,,"MATCHS")),1,0),,,,IF(INDIRECT(ADDRESS(130,3,,,"MATCHS"))&lt;INDIRECT(ADDRESS(130,5,,,"MATCHS")),1,0),,,,IF(INDIRECT(ADDRESS(170,3,,,"MATCHS"))&lt;INDIRECT(ADDRESS(170,5,,,"MATCHS")),1,0),,,,IF(INDIRECT(ADDRESS(210,3,,,"MATCHS"))&lt;INDIRECT(ADDRESS(210,5,,,"MATCHS")),1,0),,,,IF(INDIRECT(ADDRESS(250,3,,,"MATCHS"))&lt;INDIRECT(ADDRESS(250,5,,,"MATCHS")),1,0),,,,IF(INDIRECT(ADDRESS(290,3,,,"MATCHS"))&lt;INDIRECT(ADDRESS(290,5,,,"MATCHS")),1,0),,,,IF(INDIRECT(ADDRESS(330,3,,,"MATCHS"))&lt;INDIRECT(ADDRESS(330,5,,,"MATCHS")),1,0),,,,IF(INDIRECT(ADDRESS(370,3,,,"MATCHS"))&lt;INDIRECT(ADDRESS(370,5,,,"MATCHS")),1,0),,,,IF(INDIRECT(ADDRESS(410,3,,,"MATCHS"))&lt;INDIRECT(ADDRESS(410,5,,,"MATCHS")),1,0),,,,IF(INDIRECT(ADDRESS(450,3,,,"MATCHS"))&lt;INDIRECT(ADDRESS(450,5,,,"MATCHS")),1,0),,,IF(INDIRECT(ADDRESS(480,3,,,"MATCHS"))&lt;INDIRECT(ADDRESS(480,5,,,"MATCHS")),1,0))</f>
        <v>0</v>
      </c>
      <c r="G23" s="50">
        <f ca="1">SUM(INDIRECT(ADDRESS(10,3,,,"MATCHS")),,,,INDIRECT(ADDRESS(50,3,,,"MATCHS")),,,,INDIRECT(ADDRESS(90,3,,,"MATCHS")),,,,INDIRECT(ADDRESS(130,3,,,"MATCHS")),,,,INDIRECT(ADDRESS(170,3,,,"MATCHS")),,,,INDIRECT(ADDRESS(210,3,,,"MATCHS")),,,,INDIRECT(ADDRESS(250,3,,,"MATCHS")),,,,INDIRECT(ADDRESS(290,3,,,"MATCHS")),,,,INDIRECT(ADDRESS(330,3,,,"MATCHS")),,,,INDIRECT(ADDRESS(370,3,,,"MATCHS")),,,,INDIRECT(ADDRESS(410,3,,,"MATCHS")),,,,INDIRECT(ADDRESS(450,3,,,"MATCHS")),,,INDIRECT(ADDRESS(480,3,,,"MATCHS")))</f>
        <v>0</v>
      </c>
      <c r="H23" s="50">
        <f ca="1">SUM(INDIRECT(ADDRESS(10,5,,,"MATCHS")),,,,INDIRECT(ADDRESS(50,5,,,"MATCHS")),,,,INDIRECT(ADDRESS(90,5,,,"MATCHS")),,,,INDIRECT(ADDRESS(130,5,,,"MATCHS")),,,,INDIRECT(ADDRESS(170,5,,,"MATCHS")),,,,INDIRECT(ADDRESS(210,5,,,"MATCHS")),,,,INDIRECT(ADDRESS(250,5,,,"MATCHS")),,,,INDIRECT(ADDRESS(290,5,,,"MATCHS")),,,,INDIRECT(ADDRESS(330,5,,,"MATCHS")),,,,INDIRECT(ADDRESS(370,5,,,"MATCHS")),,,,INDIRECT(ADDRESS(410,5,,,"MATCHS")),,,,INDIRECT(ADDRESS(450,5,,,"MATCHS")),,,INDIRECT(ADDRESS(480,5,,,"MATCHS")))</f>
        <v>0</v>
      </c>
      <c r="I23" s="50">
        <f t="shared" ref="I23:I38" ca="1" si="2">G23 - H23</f>
        <v>0</v>
      </c>
      <c r="J23" s="50">
        <v>0</v>
      </c>
      <c r="K23" s="50">
        <v>1</v>
      </c>
      <c r="L23" s="50">
        <f>L4+8</f>
        <v>9</v>
      </c>
      <c r="M23" s="69"/>
    </row>
    <row r="24" spans="1:13" ht="15.75" x14ac:dyDescent="0.25">
      <c r="A24" s="182"/>
      <c r="B24" s="50">
        <v>2</v>
      </c>
      <c r="C24" s="50" t="s">
        <v>48</v>
      </c>
      <c r="D24" s="50" t="str">
        <f>INSCRIPTS_PH!C20</f>
        <v>2B</v>
      </c>
      <c r="E24" s="88">
        <f ca="1">SUM(IF(INDIRECT(ADDRESS(10,5,,,"MATCHS"))&gt;INDIRECT(ADDRESS(10,3,,,"MATCHS")),1,0),,,,,IF(INDIRECT(ADDRESS(52,3,,,"MATCHS"))&gt;INDIRECT(ADDRESS(52,5,,,"MATCHS")),1,0),,,,IF(INDIRECT(ADDRESS(92,3,,,"MATCHS"))&gt;INDIRECT(ADDRESS(92,5,,,"MATCHS")),1,0),,,,IF(INDIRECT(ADDRESS(132,3,,,"MATCHS"))&gt;INDIRECT(ADDRESS(132,5,,,"MATCHS")),1,0),,,,IF(INDIRECT(ADDRESS(172,3,,,"MATCHS"))&gt;INDIRECT(ADDRESS(172,5,,,"MATCHS")),1,0),,,,IF(INDIRECT(ADDRESS(212,3,,,"MATCHS"))&gt;INDIRECT(ADDRESS(212,5,,,"MATCHS")),1,0),,,,IF(INDIRECT(ADDRESS(252,3,,,"MATCHS"))&gt;INDIRECT(ADDRESS(252,5,,,"MATCHS")),1,0),,,,IF(INDIRECT(ADDRESS(292,3,,,"MATCHS"))&gt;INDIRECT(ADDRESS(292,5,,,"MATCHS")),1,0),,,,IF(INDIRECT(ADDRESS(332,3,,,"MATCHS"))&gt;INDIRECT(ADDRESS(332,5,,,"MATCHS")),1,0),,,,IF(INDIRECT(ADDRESS(372,3,,,"MATCHS"))&gt;INDIRECT(ADDRESS(372,5,,,"MATCHS")),1,0),,,,IF(INDIRECT(ADDRESS(412,3,,,"MATCHS"))&gt;INDIRECT(ADDRESS(412,5,,,"MATCHS")),1,0),,,,IF(INDIRECT(ADDRESS(452,3,,,"MATCHS"))&gt;INDIRECT(ADDRESS(452,5,,,"MATCHS")),1,0),,) + 0.1 * J24</f>
        <v>0</v>
      </c>
      <c r="F24" s="50">
        <f ca="1">SUM(IF(INDIRECT(ADDRESS(10,5,,,"MATCHS"))&lt;INDIRECT(ADDRESS(10,3,,,"MATCHS")),1,0),,,,,IF(INDIRECT(ADDRESS(52,3,,,"MATCHS"))&lt;INDIRECT(ADDRESS(52,5,,,"MATCHS")),1,0),,,,IF(INDIRECT(ADDRESS(92,3,,,"MATCHS"))&lt;INDIRECT(ADDRESS(92,5,,,"MATCHS")),1,0),,,,IF(INDIRECT(ADDRESS(132,3,,,"MATCHS"))&lt;INDIRECT(ADDRESS(132,5,,,"MATCHS")),1,0),,,,IF(INDIRECT(ADDRESS(172,3,,,"MATCHS"))&lt;INDIRECT(ADDRESS(172,5,,,"MATCHS")),1,0),,,,IF(INDIRECT(ADDRESS(212,3,,,"MATCHS"))&lt;INDIRECT(ADDRESS(212,5,,,"MATCHS")),1,0),,,,IF(INDIRECT(ADDRESS(252,3,,,"MATCHS"))&lt;INDIRECT(ADDRESS(252,5,,,"MATCHS")),1,0),,,,IF(INDIRECT(ADDRESS(292,3,,,"MATCHS"))&lt;INDIRECT(ADDRESS(292,5,,,"MATCHS")),1,0),,,,IF(INDIRECT(ADDRESS(332,3,,,"MATCHS"))&lt;INDIRECT(ADDRESS(332,5,,,"MATCHS")),1,0),,,,IF(INDIRECT(ADDRESS(372,3,,,"MATCHS"))&lt;INDIRECT(ADDRESS(372,5,,,"MATCHS")),1,0),,,,IF(INDIRECT(ADDRESS(412,3,,,"MATCHS"))&lt;INDIRECT(ADDRESS(412,5,,,"MATCHS")),1,0),,,,IF(INDIRECT(ADDRESS(452,3,,,"MATCHS"))&lt;INDIRECT(ADDRESS(452,5,,,"MATCHS")),1,0),,)</f>
        <v>0</v>
      </c>
      <c r="G24" s="50">
        <f ca="1">SUM(INDIRECT(ADDRESS(10,5,,,"MATCHS")),,,,,INDIRECT(ADDRESS(52,3,,,"MATCHS")),,,,INDIRECT(ADDRESS(92,3,,,"MATCHS")),,,,INDIRECT(ADDRESS(132,3,,,"MATCHS")),,,,INDIRECT(ADDRESS(172,3,,,"MATCHS")),,,,INDIRECT(ADDRESS(212,3,,,"MATCHS")),,,,INDIRECT(ADDRESS(252,3,,,"MATCHS")),,,,INDIRECT(ADDRESS(292,3,,,"MATCHS")),,,,INDIRECT(ADDRESS(332,3,,,"MATCHS")),,,,INDIRECT(ADDRESS(372,3,,,"MATCHS")),,,,INDIRECT(ADDRESS(412,3,,,"MATCHS")),,,,INDIRECT(ADDRESS(452,3,,,"MATCHS")),,)</f>
        <v>0</v>
      </c>
      <c r="H24" s="50">
        <f ca="1">SUM(INDIRECT(ADDRESS(10,3,,,"MATCHS")),,,,,INDIRECT(ADDRESS(52,5,,,"MATCHS")),,,,INDIRECT(ADDRESS(92,5,,,"MATCHS")),,,,INDIRECT(ADDRESS(132,5,,,"MATCHS")),,,,INDIRECT(ADDRESS(172,5,,,"MATCHS")),,,,INDIRECT(ADDRESS(212,5,,,"MATCHS")),,,,INDIRECT(ADDRESS(252,5,,,"MATCHS")),,,,INDIRECT(ADDRESS(292,5,,,"MATCHS")),,,,INDIRECT(ADDRESS(332,5,,,"MATCHS")),,,,INDIRECT(ADDRESS(372,5,,,"MATCHS")),,,,INDIRECT(ADDRESS(412,5,,,"MATCHS")),,,,INDIRECT(ADDRESS(452,5,,,"MATCHS")),,)</f>
        <v>0</v>
      </c>
      <c r="I24" s="50">
        <f t="shared" ca="1" si="2"/>
        <v>0</v>
      </c>
      <c r="J24" s="50">
        <v>0</v>
      </c>
      <c r="K24" s="50">
        <v>2</v>
      </c>
      <c r="L24" s="50">
        <f t="shared" ref="L24:L38" si="3">L5+8</f>
        <v>10</v>
      </c>
      <c r="M24" s="69"/>
    </row>
    <row r="25" spans="1:13" ht="15.75" x14ac:dyDescent="0.25">
      <c r="A25" s="182"/>
      <c r="B25" s="50">
        <v>3</v>
      </c>
      <c r="C25" s="50" t="s">
        <v>49</v>
      </c>
      <c r="D25" s="50" t="str">
        <f>INSCRIPTS_PH!C21</f>
        <v>3B</v>
      </c>
      <c r="E25" s="88">
        <f ca="1">SUM(,IF(INDIRECT(ADDRESS(12,3,,,"MATCHS"))&gt;INDIRECT(ADDRESS(12,5,,,"MATCHS")),1,0),,,IF(INDIRECT(ADDRESS(50,5,,,"MATCHS"))&gt;INDIRECT(ADDRESS(50,3,,,"MATCHS")),1,0),,,,,IF(INDIRECT(ADDRESS(92,5,,,"MATCHS"))&gt;INDIRECT(ADDRESS(92,3,,,"MATCHS")),1,0),,,,IF(INDIRECT(ADDRESS(133,3,,,"MATCHS"))&gt;INDIRECT(ADDRESS(133,5,,,"MATCHS")),1,0),,,,IF(INDIRECT(ADDRESS(173,3,,,"MATCHS"))&gt;INDIRECT(ADDRESS(173,5,,,"MATCHS")),1,0),,,,IF(INDIRECT(ADDRESS(213,3,,,"MATCHS"))&gt;INDIRECT(ADDRESS(213,5,,,"MATCHS")),1,0),,,,IF(INDIRECT(ADDRESS(253,3,,,"MATCHS"))&gt;INDIRECT(ADDRESS(253,5,,,"MATCHS")),1,0),,,,IF(INDIRECT(ADDRESS(293,3,,,"MATCHS"))&gt;INDIRECT(ADDRESS(293,5,,,"MATCHS")),1,0),,,,IF(INDIRECT(ADDRESS(333,3,,,"MATCHS"))&gt;INDIRECT(ADDRESS(333,5,,,"MATCHS")),1,0),,,,IF(INDIRECT(ADDRESS(373,3,,,"MATCHS"))&gt;INDIRECT(ADDRESS(373,5,,,"MATCHS")),1,0),,,,IF(INDIRECT(ADDRESS(413,3,,,"MATCHS"))&gt;INDIRECT(ADDRESS(413,5,,,"MATCHS")),1,0),,,,IF(INDIRECT(ADDRESS(453,3,,,"MATCHS"))&gt;INDIRECT(ADDRESS(453,5,,,"MATCHS")),1,0),,) + 0.1 * J25</f>
        <v>0</v>
      </c>
      <c r="F25" s="50">
        <f ca="1">SUM(,IF(INDIRECT(ADDRESS(12,3,,,"MATCHS"))&lt;INDIRECT(ADDRESS(12,5,,,"MATCHS")),1,0),,,IF(INDIRECT(ADDRESS(50,5,,,"MATCHS"))&lt;INDIRECT(ADDRESS(50,3,,,"MATCHS")),1,0),,,,,IF(INDIRECT(ADDRESS(92,5,,,"MATCHS"))&lt;INDIRECT(ADDRESS(92,3,,,"MATCHS")),1,0),,,,IF(INDIRECT(ADDRESS(133,3,,,"MATCHS"))&lt;INDIRECT(ADDRESS(133,5,,,"MATCHS")),1,0),,,,IF(INDIRECT(ADDRESS(173,3,,,"MATCHS"))&lt;INDIRECT(ADDRESS(173,5,,,"MATCHS")),1,0),,,,IF(INDIRECT(ADDRESS(213,3,,,"MATCHS"))&lt;INDIRECT(ADDRESS(213,5,,,"MATCHS")),1,0),,,,IF(INDIRECT(ADDRESS(253,3,,,"MATCHS"))&lt;INDIRECT(ADDRESS(253,5,,,"MATCHS")),1,0),,,,IF(INDIRECT(ADDRESS(293,3,,,"MATCHS"))&lt;INDIRECT(ADDRESS(293,5,,,"MATCHS")),1,0),,,,IF(INDIRECT(ADDRESS(333,3,,,"MATCHS"))&lt;INDIRECT(ADDRESS(333,5,,,"MATCHS")),1,0),,,,IF(INDIRECT(ADDRESS(373,3,,,"MATCHS"))&lt;INDIRECT(ADDRESS(373,5,,,"MATCHS")),1,0),,,,IF(INDIRECT(ADDRESS(413,3,,,"MATCHS"))&lt;INDIRECT(ADDRESS(413,5,,,"MATCHS")),1,0),,,,IF(INDIRECT(ADDRESS(453,3,,,"MATCHS"))&lt;INDIRECT(ADDRESS(453,5,,,"MATCHS")),1,0),,)</f>
        <v>0</v>
      </c>
      <c r="G25" s="50">
        <f ca="1">SUM(,INDIRECT(ADDRESS(12,3,,,"MATCHS")),,,INDIRECT(ADDRESS(50,5,,,"MATCHS")),,,,,INDIRECT(ADDRESS(92,5,,,"MATCHS")),,,,INDIRECT(ADDRESS(133,3,,,"MATCHS")),,,,INDIRECT(ADDRESS(173,3,,,"MATCHS")),,,,INDIRECT(ADDRESS(213,3,,,"MATCHS")),,,,INDIRECT(ADDRESS(253,3,,,"MATCHS")),,,,INDIRECT(ADDRESS(293,3,,,"MATCHS")),,,,INDIRECT(ADDRESS(333,3,,,"MATCHS")),,,,INDIRECT(ADDRESS(373,3,,,"MATCHS")),,,,INDIRECT(ADDRESS(413,3,,,"MATCHS")),,,,INDIRECT(ADDRESS(453,3,,,"MATCHS")),,)</f>
        <v>0</v>
      </c>
      <c r="H25" s="50">
        <f ca="1">SUM(,INDIRECT(ADDRESS(12,5,,,"MATCHS")),,,INDIRECT(ADDRESS(50,3,,,"MATCHS")),,,,,INDIRECT(ADDRESS(92,3,,,"MATCHS")),,,,INDIRECT(ADDRESS(133,5,,,"MATCHS")),,,,INDIRECT(ADDRESS(173,5,,,"MATCHS")),,,,INDIRECT(ADDRESS(213,5,,,"MATCHS")),,,,INDIRECT(ADDRESS(253,5,,,"MATCHS")),,,,INDIRECT(ADDRESS(293,5,,,"MATCHS")),,,,INDIRECT(ADDRESS(333,5,,,"MATCHS")),,,,INDIRECT(ADDRESS(373,5,,,"MATCHS")),,,,INDIRECT(ADDRESS(413,5,,,"MATCHS")),,,,INDIRECT(ADDRESS(453,5,,,"MATCHS")),,)</f>
        <v>0</v>
      </c>
      <c r="I25" s="50">
        <f t="shared" ca="1" si="2"/>
        <v>0</v>
      </c>
      <c r="J25" s="50">
        <v>0</v>
      </c>
      <c r="K25" s="50">
        <v>3</v>
      </c>
      <c r="L25" s="50">
        <f t="shared" si="3"/>
        <v>11</v>
      </c>
      <c r="M25" s="69"/>
    </row>
    <row r="26" spans="1:13" ht="15.75" x14ac:dyDescent="0.25">
      <c r="A26" s="182"/>
      <c r="B26" s="50">
        <v>4</v>
      </c>
      <c r="C26" s="50" t="s">
        <v>103</v>
      </c>
      <c r="D26" s="50" t="str">
        <f>INSCRIPTS_PH!C22</f>
        <v>4B</v>
      </c>
      <c r="E26" s="88">
        <f ca="1">SUM(,IF(INDIRECT(ADDRESS(12,5,,,"MATCHS"))&gt;INDIRECT(ADDRESS(12,3,,,"MATCHS")),1,0),,,,IF(INDIRECT(ADDRESS(52,5,,,"MATCHS"))&gt;INDIRECT(ADDRESS(52,3,,,"MATCHS")),1,0),,,IF(INDIRECT(ADDRESS(90,5,,,"MATCHS"))&gt;INDIRECT(ADDRESS(90,3,,,"MATCHS")),1,0),,,,,IF(INDIRECT(ADDRESS(134,3,,,"MATCHS"))&gt;INDIRECT(ADDRESS(134,5,,,"MATCHS")),1,0),,,,IF(INDIRECT(ADDRESS(174,3,,,"MATCHS"))&gt;INDIRECT(ADDRESS(174,5,,,"MATCHS")),1,0),,,,IF(INDIRECT(ADDRESS(214,3,,,"MATCHS"))&gt;INDIRECT(ADDRESS(214,5,,,"MATCHS")),1,0),,,,IF(INDIRECT(ADDRESS(254,3,,,"MATCHS"))&gt;INDIRECT(ADDRESS(254,5,,,"MATCHS")),1,0),,,,IF(INDIRECT(ADDRESS(294,3,,,"MATCHS"))&gt;INDIRECT(ADDRESS(294,5,,,"MATCHS")),1,0),,,,IF(INDIRECT(ADDRESS(334,3,,,"MATCHS"))&gt;INDIRECT(ADDRESS(334,5,,,"MATCHS")),1,0),,,,IF(INDIRECT(ADDRESS(374,3,,,"MATCHS"))&gt;INDIRECT(ADDRESS(374,5,,,"MATCHS")),1,0),,,,IF(INDIRECT(ADDRESS(414,3,,,"MATCHS"))&gt;INDIRECT(ADDRESS(414,5,,,"MATCHS")),1,0),,,,IF(INDIRECT(ADDRESS(454,3,,,"MATCHS"))&gt;INDIRECT(ADDRESS(454,5,,,"MATCHS")),1,0),,) + 0.1 * J26</f>
        <v>0</v>
      </c>
      <c r="F26" s="50">
        <f ca="1">SUM(,IF(INDIRECT(ADDRESS(12,5,,,"MATCHS"))&lt;INDIRECT(ADDRESS(12,3,,,"MATCHS")),1,0),,,,IF(INDIRECT(ADDRESS(52,5,,,"MATCHS"))&lt;INDIRECT(ADDRESS(52,3,,,"MATCHS")),1,0),,,IF(INDIRECT(ADDRESS(90,5,,,"MATCHS"))&lt;INDIRECT(ADDRESS(90,3,,,"MATCHS")),1,0),,,,,IF(INDIRECT(ADDRESS(134,3,,,"MATCHS"))&lt;INDIRECT(ADDRESS(134,5,,,"MATCHS")),1,0),,,,IF(INDIRECT(ADDRESS(174,3,,,"MATCHS"))&lt;INDIRECT(ADDRESS(174,5,,,"MATCHS")),1,0),,,,IF(INDIRECT(ADDRESS(214,3,,,"MATCHS"))&lt;INDIRECT(ADDRESS(214,5,,,"MATCHS")),1,0),,,,IF(INDIRECT(ADDRESS(254,3,,,"MATCHS"))&lt;INDIRECT(ADDRESS(254,5,,,"MATCHS")),1,0),,,,IF(INDIRECT(ADDRESS(294,3,,,"MATCHS"))&lt;INDIRECT(ADDRESS(294,5,,,"MATCHS")),1,0),,,,IF(INDIRECT(ADDRESS(334,3,,,"MATCHS"))&lt;INDIRECT(ADDRESS(334,5,,,"MATCHS")),1,0),,,,IF(INDIRECT(ADDRESS(374,3,,,"MATCHS"))&lt;INDIRECT(ADDRESS(374,5,,,"MATCHS")),1,0),,,,IF(INDIRECT(ADDRESS(414,3,,,"MATCHS"))&lt;INDIRECT(ADDRESS(414,5,,,"MATCHS")),1,0),,,,IF(INDIRECT(ADDRESS(454,3,,,"MATCHS"))&lt;INDIRECT(ADDRESS(454,5,,,"MATCHS")),1,0),,)</f>
        <v>0</v>
      </c>
      <c r="G26" s="50">
        <f ca="1">SUM(,INDIRECT(ADDRESS(12,5,,,"MATCHS")),,,,INDIRECT(ADDRESS(52,5,,,"MATCHS")),,,INDIRECT(ADDRESS(90,5,,,"MATCHS")),,,,,INDIRECT(ADDRESS(134,3,,,"MATCHS")),,,,INDIRECT(ADDRESS(174,3,,,"MATCHS")),,,,INDIRECT(ADDRESS(214,3,,,"MATCHS")),,,,INDIRECT(ADDRESS(254,3,,,"MATCHS")),,,,INDIRECT(ADDRESS(294,3,,,"MATCHS")),,,,INDIRECT(ADDRESS(334,3,,,"MATCHS")),,,,INDIRECT(ADDRESS(374,3,,,"MATCHS")),,,,INDIRECT(ADDRESS(414,3,,,"MATCHS")),,,,INDIRECT(ADDRESS(454,3,,,"MATCHS")),,)</f>
        <v>0</v>
      </c>
      <c r="H26" s="50">
        <f ca="1">SUM(,INDIRECT(ADDRESS(12,3,,,"MATCHS")),,,,INDIRECT(ADDRESS(52,3,,,"MATCHS")),,,INDIRECT(ADDRESS(90,3,,,"MATCHS")),,,,,INDIRECT(ADDRESS(134,5,,,"MATCHS")),,,,INDIRECT(ADDRESS(174,5,,,"MATCHS")),,,,INDIRECT(ADDRESS(214,5,,,"MATCHS")),,,,INDIRECT(ADDRESS(254,5,,,"MATCHS")),,,,INDIRECT(ADDRESS(294,5,,,"MATCHS")),,,,INDIRECT(ADDRESS(334,5,,,"MATCHS")),,,,INDIRECT(ADDRESS(374,5,,,"MATCHS")),,,,INDIRECT(ADDRESS(414,5,,,"MATCHS")),,,,INDIRECT(ADDRESS(454,5,,,"MATCHS")),,)</f>
        <v>0</v>
      </c>
      <c r="I26" s="50">
        <f t="shared" ca="1" si="2"/>
        <v>0</v>
      </c>
      <c r="J26" s="50">
        <v>0</v>
      </c>
      <c r="K26" s="50">
        <v>4</v>
      </c>
      <c r="L26" s="50">
        <f t="shared" si="3"/>
        <v>12</v>
      </c>
      <c r="M26" s="69"/>
    </row>
    <row r="27" spans="1:13" ht="15.75" x14ac:dyDescent="0.25">
      <c r="A27" s="182"/>
      <c r="B27" s="50">
        <v>5</v>
      </c>
      <c r="C27" s="50" t="s">
        <v>104</v>
      </c>
      <c r="D27" s="50" t="str">
        <f>INSCRIPTS_PH!C23</f>
        <v>5B</v>
      </c>
      <c r="E27" s="88">
        <f ca="1">SUM(,IF(INDIRECT(ADDRESS(13,3,,,"MATCHS"))&gt;INDIRECT(ADDRESS(13,5,,,"MATCHS")),1,0),,,,IF(INDIRECT(ADDRESS(53,3,,,"MATCHS"))&gt;INDIRECT(ADDRESS(53,5,,,"MATCHS")),1,0),,,,IF(INDIRECT(ADDRESS(93,3,,,"MATCHS"))&gt;INDIRECT(ADDRESS(93,5,,,"MATCHS")),1,0),,,IF(INDIRECT(ADDRESS(130,5,,,"MATCHS"))&gt;INDIRECT(ADDRESS(130,3,,,"MATCHS")),1,0),,,,,IF(INDIRECT(ADDRESS(172,5,,,"MATCHS"))&gt;INDIRECT(ADDRESS(172,3,,,"MATCHS")),1,0),,,,IF(INDIRECT(ADDRESS(213,5,,,"MATCHS"))&gt;INDIRECT(ADDRESS(213,3,,,"MATCHS")),1,0),,,,IF(INDIRECT(ADDRESS(254,5,,,"MATCHS"))&gt;INDIRECT(ADDRESS(254,3,,,"MATCHS")),1,0),,,,IF(INDIRECT(ADDRESS(295,3,,,"MATCHS"))&gt;INDIRECT(ADDRESS(295,5,,,"MATCHS")),1,0),,,,IF(INDIRECT(ADDRESS(335,3,,,"MATCHS"))&gt;INDIRECT(ADDRESS(335,5,,,"MATCHS")),1,0),,,,IF(INDIRECT(ADDRESS(375,3,,,"MATCHS"))&gt;INDIRECT(ADDRESS(375,5,,,"MATCHS")),1,0),,,,IF(INDIRECT(ADDRESS(415,3,,,"MATCHS"))&gt;INDIRECT(ADDRESS(415,5,,,"MATCHS")),1,0),,,,IF(INDIRECT(ADDRESS(455,3,,,"MATCHS"))&gt;INDIRECT(ADDRESS(455,5,,,"MATCHS")),1,0),,) + 0.1 * J27</f>
        <v>0</v>
      </c>
      <c r="F27" s="50">
        <f ca="1">SUM(,IF(INDIRECT(ADDRESS(13,3,,,"MATCHS"))&lt;INDIRECT(ADDRESS(13,5,,,"MATCHS")),1,0),,,,IF(INDIRECT(ADDRESS(53,3,,,"MATCHS"))&lt;INDIRECT(ADDRESS(53,5,,,"MATCHS")),1,0),,,,IF(INDIRECT(ADDRESS(93,3,,,"MATCHS"))&lt;INDIRECT(ADDRESS(93,5,,,"MATCHS")),1,0),,,IF(INDIRECT(ADDRESS(130,5,,,"MATCHS"))&lt;INDIRECT(ADDRESS(130,3,,,"MATCHS")),1,0),,,,,IF(INDIRECT(ADDRESS(172,5,,,"MATCHS"))&lt;INDIRECT(ADDRESS(172,3,,,"MATCHS")),1,0),,,,IF(INDIRECT(ADDRESS(213,5,,,"MATCHS"))&lt;INDIRECT(ADDRESS(213,3,,,"MATCHS")),1,0),,,,IF(INDIRECT(ADDRESS(254,5,,,"MATCHS"))&lt;INDIRECT(ADDRESS(254,3,,,"MATCHS")),1,0),,,,IF(INDIRECT(ADDRESS(295,3,,,"MATCHS"))&lt;INDIRECT(ADDRESS(295,5,,,"MATCHS")),1,0),,,,IF(INDIRECT(ADDRESS(335,3,,,"MATCHS"))&lt;INDIRECT(ADDRESS(335,5,,,"MATCHS")),1,0),,,,IF(INDIRECT(ADDRESS(375,3,,,"MATCHS"))&lt;INDIRECT(ADDRESS(375,5,,,"MATCHS")),1,0),,,,IF(INDIRECT(ADDRESS(415,3,,,"MATCHS"))&lt;INDIRECT(ADDRESS(415,5,,,"MATCHS")),1,0),,,,IF(INDIRECT(ADDRESS(455,3,,,"MATCHS"))&lt;INDIRECT(ADDRESS(455,5,,,"MATCHS")),1,0),,)</f>
        <v>0</v>
      </c>
      <c r="G27" s="50">
        <f ca="1">SUM(,INDIRECT(ADDRESS(13,3,,,"MATCHS")),,,,INDIRECT(ADDRESS(53,3,,,"MATCHS")),,,,INDIRECT(ADDRESS(93,3,,,"MATCHS")),,,INDIRECT(ADDRESS(130,5,,,"MATCHS")),,,,,INDIRECT(ADDRESS(172,5,,,"MATCHS")),,,,INDIRECT(ADDRESS(213,5,,,"MATCHS")),,,,INDIRECT(ADDRESS(254,5,,,"MATCHS")),,,,INDIRECT(ADDRESS(295,3,,,"MATCHS")),,,,INDIRECT(ADDRESS(335,3,,,"MATCHS")),,,,INDIRECT(ADDRESS(375,3,,,"MATCHS")),,,,INDIRECT(ADDRESS(415,3,,,"MATCHS")),,,,INDIRECT(ADDRESS(455,3,,,"MATCHS")),,)</f>
        <v>0</v>
      </c>
      <c r="H27" s="50">
        <f ca="1">SUM(,INDIRECT(ADDRESS(13,5,,,"MATCHS")),,,,INDIRECT(ADDRESS(53,5,,,"MATCHS")),,,,INDIRECT(ADDRESS(93,5,,,"MATCHS")),,,INDIRECT(ADDRESS(130,3,,,"MATCHS")),,,,,INDIRECT(ADDRESS(172,3,,,"MATCHS")),,,,INDIRECT(ADDRESS(213,3,,,"MATCHS")),,,,INDIRECT(ADDRESS(254,3,,,"MATCHS")),,,,INDIRECT(ADDRESS(295,5,,,"MATCHS")),,,,INDIRECT(ADDRESS(335,5,,,"MATCHS")),,,,INDIRECT(ADDRESS(375,5,,,"MATCHS")),,,,INDIRECT(ADDRESS(415,5,,,"MATCHS")),,,,INDIRECT(ADDRESS(455,5,,,"MATCHS")),,)</f>
        <v>0</v>
      </c>
      <c r="I27" s="50">
        <f t="shared" ca="1" si="2"/>
        <v>0</v>
      </c>
      <c r="J27" s="50">
        <v>0</v>
      </c>
      <c r="K27" s="50">
        <v>5</v>
      </c>
      <c r="L27" s="50">
        <f t="shared" si="3"/>
        <v>12</v>
      </c>
      <c r="M27" s="69"/>
    </row>
    <row r="28" spans="1:13" ht="15.75" x14ac:dyDescent="0.25">
      <c r="A28" s="182"/>
      <c r="B28" s="50">
        <v>6</v>
      </c>
      <c r="C28" s="50" t="s">
        <v>243</v>
      </c>
      <c r="D28" s="50" t="str">
        <f>INSCRIPTS_PH!C24</f>
        <v>6B</v>
      </c>
      <c r="E28" s="88">
        <f ca="1">SUM(,IF(INDIRECT(ADDRESS(13,5,,,"MATCHS"))&gt;INDIRECT(ADDRESS(13,3,,,"MATCHS")),1,0),,,,IF(INDIRECT(ADDRESS(54,3,,,"MATCHS"))&gt;INDIRECT(ADDRESS(54,5,,,"MATCHS")),1,0),,,,IF(INDIRECT(ADDRESS(94,3,,,"MATCHS"))&gt;INDIRECT(ADDRESS(94,5,,,"MATCHS")),1,0),,,,IF(INDIRECT(ADDRESS(132,5,,,"MATCHS"))&gt;INDIRECT(ADDRESS(132,3,,,"MATCHS")),1,0),,,IF(INDIRECT(ADDRESS(170,5,,,"MATCHS"))&gt;INDIRECT(ADDRESS(170,3,,,"MATCHS")),1,0),,,,,IF(INDIRECT(ADDRESS(214,5,,,"MATCHS"))&gt;INDIRECT(ADDRESS(214,3,,,"MATCHS")),1,0),,,,IF(INDIRECT(ADDRESS(253,5,,,"MATCHS"))&gt;INDIRECT(ADDRESS(253,3,,,"MATCHS")),1,0),,,,IF(INDIRECT(ADDRESS(296,3,,,"MATCHS"))&gt;INDIRECT(ADDRESS(296,5,,,"MATCHS")),1,0),,,,IF(INDIRECT(ADDRESS(336,3,,,"MATCHS"))&gt;INDIRECT(ADDRESS(336,5,,,"MATCHS")),1,0),,,,IF(INDIRECT(ADDRESS(376,3,,,"MATCHS"))&gt;INDIRECT(ADDRESS(376,5,,,"MATCHS")),1,0),,,,IF(INDIRECT(ADDRESS(416,3,,,"MATCHS"))&gt;INDIRECT(ADDRESS(416,5,,,"MATCHS")),1,0),,,,IF(INDIRECT(ADDRESS(456,3,,,"MATCHS"))&gt;INDIRECT(ADDRESS(456,5,,,"MATCHS")),1,0),,) + 0.1 * J28</f>
        <v>0</v>
      </c>
      <c r="F28" s="50">
        <f ca="1">SUM(,IF(INDIRECT(ADDRESS(13,5,,,"MATCHS"))&lt;INDIRECT(ADDRESS(13,3,,,"MATCHS")),1,0),,,,IF(INDIRECT(ADDRESS(54,3,,,"MATCHS"))&lt;INDIRECT(ADDRESS(54,5,,,"MATCHS")),1,0),,,,IF(INDIRECT(ADDRESS(94,3,,,"MATCHS"))&lt;INDIRECT(ADDRESS(94,5,,,"MATCHS")),1,0),,,,IF(INDIRECT(ADDRESS(132,5,,,"MATCHS"))&lt;INDIRECT(ADDRESS(132,3,,,"MATCHS")),1,0),,,IF(INDIRECT(ADDRESS(170,5,,,"MATCHS"))&lt;INDIRECT(ADDRESS(170,3,,,"MATCHS")),1,0),,,,,IF(INDIRECT(ADDRESS(214,5,,,"MATCHS"))&lt;INDIRECT(ADDRESS(214,3,,,"MATCHS")),1,0),,,,IF(INDIRECT(ADDRESS(253,5,,,"MATCHS"))&lt;INDIRECT(ADDRESS(253,3,,,"MATCHS")),1,0),,,,IF(INDIRECT(ADDRESS(296,3,,,"MATCHS"))&lt;INDIRECT(ADDRESS(296,5,,,"MATCHS")),1,0),,,,IF(INDIRECT(ADDRESS(336,3,,,"MATCHS"))&lt;INDIRECT(ADDRESS(336,5,,,"MATCHS")),1,0),,,,IF(INDIRECT(ADDRESS(376,3,,,"MATCHS"))&lt;INDIRECT(ADDRESS(376,5,,,"MATCHS")),1,0),,,,IF(INDIRECT(ADDRESS(416,3,,,"MATCHS"))&lt;INDIRECT(ADDRESS(416,5,,,"MATCHS")),1,0),,,,IF(INDIRECT(ADDRESS(456,3,,,"MATCHS"))&lt;INDIRECT(ADDRESS(456,5,,,"MATCHS")),1,0),,)</f>
        <v>0</v>
      </c>
      <c r="G28" s="50">
        <f ca="1">SUM(,INDIRECT(ADDRESS(13,5,,,"MATCHS")),,,,INDIRECT(ADDRESS(54,3,,,"MATCHS")),,,,INDIRECT(ADDRESS(94,3,,,"MATCHS")),,,,INDIRECT(ADDRESS(132,5,,,"MATCHS")),,,INDIRECT(ADDRESS(170,5,,,"MATCHS")),,,,,INDIRECT(ADDRESS(214,5,,,"MATCHS")),,,,INDIRECT(ADDRESS(253,5,,,"MATCHS")),,,,INDIRECT(ADDRESS(296,3,,,"MATCHS")),,,,INDIRECT(ADDRESS(336,3,,,"MATCHS")),,,,INDIRECT(ADDRESS(376,3,,,"MATCHS")),,,,INDIRECT(ADDRESS(416,3,,,"MATCHS")),,,,INDIRECT(ADDRESS(456,3,,,"MATCHS")),,)</f>
        <v>0</v>
      </c>
      <c r="H28" s="50">
        <f ca="1">SUM(,INDIRECT(ADDRESS(13,3,,,"MATCHS")),,,,INDIRECT(ADDRESS(54,5,,,"MATCHS")),,,,INDIRECT(ADDRESS(94,5,,,"MATCHS")),,,,INDIRECT(ADDRESS(132,3,,,"MATCHS")),,,INDIRECT(ADDRESS(170,3,,,"MATCHS")),,,,,INDIRECT(ADDRESS(214,3,,,"MATCHS")),,,,INDIRECT(ADDRESS(253,3,,,"MATCHS")),,,,INDIRECT(ADDRESS(296,5,,,"MATCHS")),,,,INDIRECT(ADDRESS(336,5,,,"MATCHS")),,,,INDIRECT(ADDRESS(376,5,,,"MATCHS")),,,,INDIRECT(ADDRESS(416,5,,,"MATCHS")),,,,INDIRECT(ADDRESS(456,5,,,"MATCHS")),,)</f>
        <v>0</v>
      </c>
      <c r="I28" s="50">
        <f t="shared" ca="1" si="2"/>
        <v>0</v>
      </c>
      <c r="J28" s="50">
        <v>0</v>
      </c>
      <c r="K28" s="50">
        <v>6</v>
      </c>
      <c r="L28" s="50">
        <f t="shared" si="3"/>
        <v>11</v>
      </c>
      <c r="M28" s="69"/>
    </row>
    <row r="29" spans="1:13" ht="15.75" x14ac:dyDescent="0.25">
      <c r="A29" s="182"/>
      <c r="B29" s="50">
        <v>7</v>
      </c>
      <c r="C29" s="50" t="s">
        <v>244</v>
      </c>
      <c r="D29" s="50" t="str">
        <f>INSCRIPTS_PH!C25</f>
        <v>7B</v>
      </c>
      <c r="E29" s="88">
        <f ca="1">SUM(,IF(INDIRECT(ADDRESS(14,3,,,"MATCHS"))&gt;INDIRECT(ADDRESS(14,5,,,"MATCHS")),1,0),,,,IF(INDIRECT(ADDRESS(53,5,,,"MATCHS"))&gt;INDIRECT(ADDRESS(53,3,,,"MATCHS")),1,0),,,,IF(INDIRECT(ADDRESS(94,5,,,"MATCHS"))&gt;INDIRECT(ADDRESS(94,3,,,"MATCHS")),1,0),,,,IF(INDIRECT(ADDRESS(133,5,,,"MATCHS"))&gt;INDIRECT(ADDRESS(133,3,,,"MATCHS")),1,0),,,,IF(INDIRECT(ADDRESS(174,5,,,"MATCHS"))&gt;INDIRECT(ADDRESS(174,3,,,"MATCHS")),1,0),,,IF(INDIRECT(ADDRESS(210,5,,,"MATCHS"))&gt;INDIRECT(ADDRESS(210,3,,,"MATCHS")),1,0),,,,,IF(INDIRECT(ADDRESS(252,5,,,"MATCHS"))&gt;INDIRECT(ADDRESS(252,3,,,"MATCHS")),1,0),,,,IF(INDIRECT(ADDRESS(297,3,,,"MATCHS"))&gt;INDIRECT(ADDRESS(297,5,,,"MATCHS")),1,0),,,,IF(INDIRECT(ADDRESS(337,3,,,"MATCHS"))&gt;INDIRECT(ADDRESS(337,5,,,"MATCHS")),1,0),,,,IF(INDIRECT(ADDRESS(377,3,,,"MATCHS"))&gt;INDIRECT(ADDRESS(377,5,,,"MATCHS")),1,0),,,,IF(INDIRECT(ADDRESS(417,3,,,"MATCHS"))&gt;INDIRECT(ADDRESS(417,5,,,"MATCHS")),1,0),,,,IF(INDIRECT(ADDRESS(457,3,,,"MATCHS"))&gt;INDIRECT(ADDRESS(457,5,,,"MATCHS")),1,0),,) + 0.1 * J29</f>
        <v>0</v>
      </c>
      <c r="F29" s="50">
        <f ca="1">SUM(,IF(INDIRECT(ADDRESS(14,3,,,"MATCHS"))&lt;INDIRECT(ADDRESS(14,5,,,"MATCHS")),1,0),,,,IF(INDIRECT(ADDRESS(53,5,,,"MATCHS"))&lt;INDIRECT(ADDRESS(53,3,,,"MATCHS")),1,0),,,,IF(INDIRECT(ADDRESS(94,5,,,"MATCHS"))&lt;INDIRECT(ADDRESS(94,3,,,"MATCHS")),1,0),,,,IF(INDIRECT(ADDRESS(133,5,,,"MATCHS"))&lt;INDIRECT(ADDRESS(133,3,,,"MATCHS")),1,0),,,,IF(INDIRECT(ADDRESS(174,5,,,"MATCHS"))&lt;INDIRECT(ADDRESS(174,3,,,"MATCHS")),1,0),,,IF(INDIRECT(ADDRESS(210,5,,,"MATCHS"))&lt;INDIRECT(ADDRESS(210,3,,,"MATCHS")),1,0),,,,,IF(INDIRECT(ADDRESS(252,5,,,"MATCHS"))&lt;INDIRECT(ADDRESS(252,3,,,"MATCHS")),1,0),,,,IF(INDIRECT(ADDRESS(297,3,,,"MATCHS"))&lt;INDIRECT(ADDRESS(297,5,,,"MATCHS")),1,0),,,,IF(INDIRECT(ADDRESS(337,3,,,"MATCHS"))&lt;INDIRECT(ADDRESS(337,5,,,"MATCHS")),1,0),,,,IF(INDIRECT(ADDRESS(377,3,,,"MATCHS"))&lt;INDIRECT(ADDRESS(377,5,,,"MATCHS")),1,0),,,,IF(INDIRECT(ADDRESS(417,3,,,"MATCHS"))&lt;INDIRECT(ADDRESS(417,5,,,"MATCHS")),1,0),,,,IF(INDIRECT(ADDRESS(457,3,,,"MATCHS"))&lt;INDIRECT(ADDRESS(457,5,,,"MATCHS")),1,0),,)</f>
        <v>0</v>
      </c>
      <c r="G29" s="50">
        <f ca="1">SUM(,INDIRECT(ADDRESS(14,3,,,"MATCHS")),,,,INDIRECT(ADDRESS(53,5,,,"MATCHS")),,,,INDIRECT(ADDRESS(94,5,,,"MATCHS")),,,,INDIRECT(ADDRESS(133,5,,,"MATCHS")),,,,INDIRECT(ADDRESS(174,5,,,"MATCHS")),,,INDIRECT(ADDRESS(210,5,,,"MATCHS")),,,,,INDIRECT(ADDRESS(252,5,,,"MATCHS")),,,,INDIRECT(ADDRESS(297,3,,,"MATCHS")),,,,INDIRECT(ADDRESS(337,3,,,"MATCHS")),,,,INDIRECT(ADDRESS(377,3,,,"MATCHS")),,,,INDIRECT(ADDRESS(417,3,,,"MATCHS")),,,,INDIRECT(ADDRESS(457,3,,,"MATCHS")),,)</f>
        <v>0</v>
      </c>
      <c r="H29" s="50">
        <f ca="1">SUM(,INDIRECT(ADDRESS(14,5,,,"MATCHS")),,,,INDIRECT(ADDRESS(53,3,,,"MATCHS")),,,,INDIRECT(ADDRESS(94,3,,,"MATCHS")),,,,INDIRECT(ADDRESS(133,3,,,"MATCHS")),,,,INDIRECT(ADDRESS(174,3,,,"MATCHS")),,,INDIRECT(ADDRESS(210,3,,,"MATCHS")),,,,,INDIRECT(ADDRESS(252,3,,,"MATCHS")),,,,INDIRECT(ADDRESS(297,5,,,"MATCHS")),,,,INDIRECT(ADDRESS(337,5,,,"MATCHS")),,,,INDIRECT(ADDRESS(377,5,,,"MATCHS")),,,,INDIRECT(ADDRESS(417,5,,,"MATCHS")),,,,INDIRECT(ADDRESS(457,5,,,"MATCHS")),,)</f>
        <v>0</v>
      </c>
      <c r="I29" s="50">
        <f t="shared" ca="1" si="2"/>
        <v>0</v>
      </c>
      <c r="J29" s="50">
        <v>0</v>
      </c>
      <c r="K29" s="50">
        <v>7</v>
      </c>
      <c r="L29" s="50">
        <f t="shared" si="3"/>
        <v>10</v>
      </c>
      <c r="M29" s="69"/>
    </row>
    <row r="30" spans="1:13" ht="15.75" x14ac:dyDescent="0.25">
      <c r="A30" s="182"/>
      <c r="B30" s="50">
        <v>8</v>
      </c>
      <c r="C30" s="50" t="s">
        <v>245</v>
      </c>
      <c r="D30" s="50" t="str">
        <f>INSCRIPTS_PH!C26</f>
        <v>8B</v>
      </c>
      <c r="E30" s="88">
        <f ca="1">SUM(,IF(INDIRECT(ADDRESS(14,5,,,"MATCHS"))&gt;INDIRECT(ADDRESS(14,3,,,"MATCHS")),1,0),,,,IF(INDIRECT(ADDRESS(54,5,,,"MATCHS"))&gt;INDIRECT(ADDRESS(54,3,,,"MATCHS")),1,0),,,,IF(INDIRECT(ADDRESS(93,5,,,"MATCHS"))&gt;INDIRECT(ADDRESS(93,3,,,"MATCHS")),1,0),,,,IF(INDIRECT(ADDRESS(134,5,,,"MATCHS"))&gt;INDIRECT(ADDRESS(134,3,,,"MATCHS")),1,0),,,,IF(INDIRECT(ADDRESS(173,5,,,"MATCHS"))&gt;INDIRECT(ADDRESS(173,3,,,"MATCHS")),1,0),,,,IF(INDIRECT(ADDRESS(212,5,,,"MATCHS"))&gt;INDIRECT(ADDRESS(212,3,,,"MATCHS")),1,0),,,IF(INDIRECT(ADDRESS(250,5,,,"MATCHS"))&gt;INDIRECT(ADDRESS(250,3,,,"MATCHS")),1,0),,,,,IF(INDIRECT(ADDRESS(298,3,,,"MATCHS"))&gt;INDIRECT(ADDRESS(298,5,,,"MATCHS")),1,0),,,,IF(INDIRECT(ADDRESS(338,3,,,"MATCHS"))&gt;INDIRECT(ADDRESS(338,5,,,"MATCHS")),1,0),,,,IF(INDIRECT(ADDRESS(378,3,,,"MATCHS"))&gt;INDIRECT(ADDRESS(378,5,,,"MATCHS")),1,0),,,,IF(INDIRECT(ADDRESS(418,3,,,"MATCHS"))&gt;INDIRECT(ADDRESS(418,5,,,"MATCHS")),1,0),,,,IF(INDIRECT(ADDRESS(458,3,,,"MATCHS"))&gt;INDIRECT(ADDRESS(458,5,,,"MATCHS")),1,0),,) + 0.1 * J30</f>
        <v>0</v>
      </c>
      <c r="F30" s="50">
        <f ca="1">SUM(,IF(INDIRECT(ADDRESS(14,5,,,"MATCHS"))&lt;INDIRECT(ADDRESS(14,3,,,"MATCHS")),1,0),,,,IF(INDIRECT(ADDRESS(54,5,,,"MATCHS"))&lt;INDIRECT(ADDRESS(54,3,,,"MATCHS")),1,0),,,,IF(INDIRECT(ADDRESS(93,5,,,"MATCHS"))&lt;INDIRECT(ADDRESS(93,3,,,"MATCHS")),1,0),,,,IF(INDIRECT(ADDRESS(134,5,,,"MATCHS"))&lt;INDIRECT(ADDRESS(134,3,,,"MATCHS")),1,0),,,,IF(INDIRECT(ADDRESS(173,5,,,"MATCHS"))&lt;INDIRECT(ADDRESS(173,3,,,"MATCHS")),1,0),,,,IF(INDIRECT(ADDRESS(212,5,,,"MATCHS"))&lt;INDIRECT(ADDRESS(212,3,,,"MATCHS")),1,0),,,IF(INDIRECT(ADDRESS(250,5,,,"MATCHS"))&lt;INDIRECT(ADDRESS(250,3,,,"MATCHS")),1,0),,,,,IF(INDIRECT(ADDRESS(298,3,,,"MATCHS"))&lt;INDIRECT(ADDRESS(298,5,,,"MATCHS")),1,0),,,,IF(INDIRECT(ADDRESS(338,3,,,"MATCHS"))&lt;INDIRECT(ADDRESS(338,5,,,"MATCHS")),1,0),,,,IF(INDIRECT(ADDRESS(378,3,,,"MATCHS"))&lt;INDIRECT(ADDRESS(378,5,,,"MATCHS")),1,0),,,,IF(INDIRECT(ADDRESS(418,3,,,"MATCHS"))&lt;INDIRECT(ADDRESS(418,5,,,"MATCHS")),1,0),,,,IF(INDIRECT(ADDRESS(458,3,,,"MATCHS"))&lt;INDIRECT(ADDRESS(458,5,,,"MATCHS")),1,0),,)</f>
        <v>0</v>
      </c>
      <c r="G30" s="50">
        <f ca="1">SUM(,INDIRECT(ADDRESS(14,5,,,"MATCHS")),,,,INDIRECT(ADDRESS(54,5,,,"MATCHS")),,,,INDIRECT(ADDRESS(93,5,,,"MATCHS")),,,,INDIRECT(ADDRESS(134,5,,,"MATCHS")),,,,INDIRECT(ADDRESS(173,5,,,"MATCHS")),,,,INDIRECT(ADDRESS(212,5,,,"MATCHS")),,,INDIRECT(ADDRESS(250,5,,,"MATCHS")),,,,,INDIRECT(ADDRESS(298,3,,,"MATCHS")),,,,INDIRECT(ADDRESS(338,3,,,"MATCHS")),,,,INDIRECT(ADDRESS(378,3,,,"MATCHS")),,,,INDIRECT(ADDRESS(418,3,,,"MATCHS")),,,,INDIRECT(ADDRESS(458,3,,,"MATCHS")),,)</f>
        <v>0</v>
      </c>
      <c r="H30" s="50">
        <f ca="1">SUM(,INDIRECT(ADDRESS(14,3,,,"MATCHS")),,,,INDIRECT(ADDRESS(54,3,,,"MATCHS")),,,,INDIRECT(ADDRESS(93,3,,,"MATCHS")),,,,INDIRECT(ADDRESS(134,3,,,"MATCHS")),,,,INDIRECT(ADDRESS(173,3,,,"MATCHS")),,,,INDIRECT(ADDRESS(212,3,,,"MATCHS")),,,INDIRECT(ADDRESS(250,3,,,"MATCHS")),,,,,INDIRECT(ADDRESS(298,5,,,"MATCHS")),,,,INDIRECT(ADDRESS(338,5,,,"MATCHS")),,,,INDIRECT(ADDRESS(378,5,,,"MATCHS")),,,,INDIRECT(ADDRESS(418,5,,,"MATCHS")),,,,INDIRECT(ADDRESS(458,5,,,"MATCHS")),,)</f>
        <v>0</v>
      </c>
      <c r="I30" s="50">
        <f t="shared" ca="1" si="2"/>
        <v>0</v>
      </c>
      <c r="J30" s="50">
        <v>0</v>
      </c>
      <c r="K30" s="50">
        <v>8</v>
      </c>
      <c r="L30" s="50">
        <f t="shared" si="3"/>
        <v>9</v>
      </c>
      <c r="M30" s="69"/>
    </row>
    <row r="31" spans="1:13" ht="15.75" x14ac:dyDescent="0.25">
      <c r="A31" s="182"/>
      <c r="B31" s="50">
        <v>9</v>
      </c>
      <c r="C31" s="50" t="s">
        <v>246</v>
      </c>
      <c r="D31" s="50" t="str">
        <f>INSCRIPTS_PH!C27</f>
        <v>9B</v>
      </c>
      <c r="E31" s="88">
        <f ca="1">SUM(,IF(INDIRECT(ADDRESS(15,3,,,"MATCHS"))&gt;INDIRECT(ADDRESS(15,5,,,"MATCHS")),1,0),,,,IF(INDIRECT(ADDRESS(55,3,,,"MATCHS"))&gt;INDIRECT(ADDRESS(55,5,,,"MATCHS")),1,0),,,,IF(INDIRECT(ADDRESS(95,3,,,"MATCHS"))&gt;INDIRECT(ADDRESS(95,5,,,"MATCHS")),1,0),,,,IF(INDIRECT(ADDRESS(135,3,,,"MATCHS"))&gt;INDIRECT(ADDRESS(135,5,,,"MATCHS")),1,0),,,,IF(INDIRECT(ADDRESS(175,3,,,"MATCHS"))&gt;INDIRECT(ADDRESS(175,5,,,"MATCHS")),1,0),,,,IF(INDIRECT(ADDRESS(215,3,,,"MATCHS"))&gt;INDIRECT(ADDRESS(215,5,,,"MATCHS")),1,0),,,,IF(INDIRECT(ADDRESS(255,3,,,"MATCHS"))&gt;INDIRECT(ADDRESS(255,5,,,"MATCHS")),1,0),,,IF(INDIRECT(ADDRESS(290,5,,,"MATCHS"))&gt;INDIRECT(ADDRESS(290,3,,,"MATCHS")),1,0),,,,,IF(INDIRECT(ADDRESS(332,5,,,"MATCHS"))&gt;INDIRECT(ADDRESS(332,3,,,"MATCHS")),1,0),,,,IF(INDIRECT(ADDRESS(373,5,,,"MATCHS"))&gt;INDIRECT(ADDRESS(373,3,,,"MATCHS")),1,0),,,,IF(INDIRECT(ADDRESS(414,5,,,"MATCHS"))&gt;INDIRECT(ADDRESS(414,3,,,"MATCHS")),1,0),,,,IF(INDIRECT(ADDRESS(455,5,,,"MATCHS"))&gt;INDIRECT(ADDRESS(455,3,,,"MATCHS")),1,0),,) + 0.1 * J31</f>
        <v>0</v>
      </c>
      <c r="F31" s="50">
        <f ca="1">SUM(,IF(INDIRECT(ADDRESS(15,3,,,"MATCHS"))&lt;INDIRECT(ADDRESS(15,5,,,"MATCHS")),1,0),,,,IF(INDIRECT(ADDRESS(55,3,,,"MATCHS"))&lt;INDIRECT(ADDRESS(55,5,,,"MATCHS")),1,0),,,,IF(INDIRECT(ADDRESS(95,3,,,"MATCHS"))&lt;INDIRECT(ADDRESS(95,5,,,"MATCHS")),1,0),,,,IF(INDIRECT(ADDRESS(135,3,,,"MATCHS"))&lt;INDIRECT(ADDRESS(135,5,,,"MATCHS")),1,0),,,,IF(INDIRECT(ADDRESS(175,3,,,"MATCHS"))&lt;INDIRECT(ADDRESS(175,5,,,"MATCHS")),1,0),,,,IF(INDIRECT(ADDRESS(215,3,,,"MATCHS"))&lt;INDIRECT(ADDRESS(215,5,,,"MATCHS")),1,0),,,,IF(INDIRECT(ADDRESS(255,3,,,"MATCHS"))&lt;INDIRECT(ADDRESS(255,5,,,"MATCHS")),1,0),,,IF(INDIRECT(ADDRESS(290,5,,,"MATCHS"))&lt;INDIRECT(ADDRESS(290,3,,,"MATCHS")),1,0),,,,,IF(INDIRECT(ADDRESS(332,5,,,"MATCHS"))&lt;INDIRECT(ADDRESS(332,3,,,"MATCHS")),1,0),,,,IF(INDIRECT(ADDRESS(373,5,,,"MATCHS"))&lt;INDIRECT(ADDRESS(373,3,,,"MATCHS")),1,0),,,,IF(INDIRECT(ADDRESS(414,5,,,"MATCHS"))&lt;INDIRECT(ADDRESS(414,3,,,"MATCHS")),1,0),,,,IF(INDIRECT(ADDRESS(455,5,,,"MATCHS"))&lt;INDIRECT(ADDRESS(455,3,,,"MATCHS")),1,0),,)</f>
        <v>0</v>
      </c>
      <c r="G31" s="50">
        <f ca="1">SUM(,INDIRECT(ADDRESS(15,3,,,"MATCHS")),,,,INDIRECT(ADDRESS(55,3,,,"MATCHS")),,,,INDIRECT(ADDRESS(95,3,,,"MATCHS")),,,,INDIRECT(ADDRESS(135,3,,,"MATCHS")),,,,INDIRECT(ADDRESS(175,3,,,"MATCHS")),,,,INDIRECT(ADDRESS(215,3,,,"MATCHS")),,,,INDIRECT(ADDRESS(255,3,,,"MATCHS")),,,INDIRECT(ADDRESS(290,5,,,"MATCHS")),,,,,INDIRECT(ADDRESS(332,5,,,"MATCHS")),,,,INDIRECT(ADDRESS(373,5,,,"MATCHS")),,,,INDIRECT(ADDRESS(414,5,,,"MATCHS")),,,,INDIRECT(ADDRESS(455,5,,,"MATCHS")),,)</f>
        <v>0</v>
      </c>
      <c r="H31" s="50">
        <f ca="1">SUM(,INDIRECT(ADDRESS(15,5,,,"MATCHS")),,,,INDIRECT(ADDRESS(55,5,,,"MATCHS")),,,,INDIRECT(ADDRESS(95,5,,,"MATCHS")),,,,INDIRECT(ADDRESS(135,5,,,"MATCHS")),,,,INDIRECT(ADDRESS(175,5,,,"MATCHS")),,,,INDIRECT(ADDRESS(215,5,,,"MATCHS")),,,,INDIRECT(ADDRESS(255,5,,,"MATCHS")),,,INDIRECT(ADDRESS(290,3,,,"MATCHS")),,,,,INDIRECT(ADDRESS(332,3,,,"MATCHS")),,,,INDIRECT(ADDRESS(373,3,,,"MATCHS")),,,,INDIRECT(ADDRESS(414,3,,,"MATCHS")),,,,INDIRECT(ADDRESS(455,3,,,"MATCHS")),,)</f>
        <v>0</v>
      </c>
      <c r="I31" s="50">
        <f t="shared" ca="1" si="2"/>
        <v>0</v>
      </c>
      <c r="J31" s="50">
        <v>0</v>
      </c>
      <c r="K31" s="50">
        <v>9</v>
      </c>
      <c r="L31" s="50">
        <f t="shared" si="3"/>
        <v>13</v>
      </c>
      <c r="M31" s="69"/>
    </row>
    <row r="32" spans="1:13" ht="15.75" x14ac:dyDescent="0.25">
      <c r="A32" s="182"/>
      <c r="B32" s="50">
        <v>10</v>
      </c>
      <c r="C32" s="50" t="s">
        <v>247</v>
      </c>
      <c r="D32" s="50" t="str">
        <f>INSCRIPTS_PH!C28</f>
        <v>10B</v>
      </c>
      <c r="E32" s="88">
        <f ca="1">SUM(,IF(INDIRECT(ADDRESS(15,5,,,"MATCHS"))&gt;INDIRECT(ADDRESS(15,3,,,"MATCHS")),1,0),,,,IF(INDIRECT(ADDRESS(56,3,,,"MATCHS"))&gt;INDIRECT(ADDRESS(56,5,,,"MATCHS")),1,0),,,,IF(INDIRECT(ADDRESS(96,3,,,"MATCHS"))&gt;INDIRECT(ADDRESS(96,5,,,"MATCHS")),1,0),,,,IF(INDIRECT(ADDRESS(136,3,,,"MATCHS"))&gt;INDIRECT(ADDRESS(136,5,,,"MATCHS")),1,0),,,,IF(INDIRECT(ADDRESS(176,3,,,"MATCHS"))&gt;INDIRECT(ADDRESS(176,5,,,"MATCHS")),1,0),,,,IF(INDIRECT(ADDRESS(216,3,,,"MATCHS"))&gt;INDIRECT(ADDRESS(216,5,,,"MATCHS")),1,0),,,,IF(INDIRECT(ADDRESS(256,3,,,"MATCHS"))&gt;INDIRECT(ADDRESS(256,5,,,"MATCHS")),1,0),,,,IF(INDIRECT(ADDRESS(292,5,,,"MATCHS"))&gt;INDIRECT(ADDRESS(292,3,,,"MATCHS")),1,0),,,IF(INDIRECT(ADDRESS(330,5,,,"MATCHS"))&gt;INDIRECT(ADDRESS(330,3,,,"MATCHS")),1,0),,,,,IF(INDIRECT(ADDRESS(374,5,,,"MATCHS"))&gt;INDIRECT(ADDRESS(374,3,,,"MATCHS")),1,0),,,,IF(INDIRECT(ADDRESS(413,5,,,"MATCHS"))&gt;INDIRECT(ADDRESS(413,3,,,"MATCHS")),1,0),,,,IF(INDIRECT(ADDRESS(456,5,,,"MATCHS"))&gt;INDIRECT(ADDRESS(456,3,,,"MATCHS")),1,0),,) + 0.1 * J32</f>
        <v>0</v>
      </c>
      <c r="F32" s="50">
        <f ca="1">SUM(,IF(INDIRECT(ADDRESS(15,5,,,"MATCHS"))&lt;INDIRECT(ADDRESS(15,3,,,"MATCHS")),1,0),,,,IF(INDIRECT(ADDRESS(56,3,,,"MATCHS"))&lt;INDIRECT(ADDRESS(56,5,,,"MATCHS")),1,0),,,,IF(INDIRECT(ADDRESS(96,3,,,"MATCHS"))&lt;INDIRECT(ADDRESS(96,5,,,"MATCHS")),1,0),,,,IF(INDIRECT(ADDRESS(136,3,,,"MATCHS"))&lt;INDIRECT(ADDRESS(136,5,,,"MATCHS")),1,0),,,,IF(INDIRECT(ADDRESS(176,3,,,"MATCHS"))&lt;INDIRECT(ADDRESS(176,5,,,"MATCHS")),1,0),,,,IF(INDIRECT(ADDRESS(216,3,,,"MATCHS"))&lt;INDIRECT(ADDRESS(216,5,,,"MATCHS")),1,0),,,,IF(INDIRECT(ADDRESS(256,3,,,"MATCHS"))&lt;INDIRECT(ADDRESS(256,5,,,"MATCHS")),1,0),,,,IF(INDIRECT(ADDRESS(292,5,,,"MATCHS"))&lt;INDIRECT(ADDRESS(292,3,,,"MATCHS")),1,0),,,IF(INDIRECT(ADDRESS(330,5,,,"MATCHS"))&lt;INDIRECT(ADDRESS(330,3,,,"MATCHS")),1,0),,,,,IF(INDIRECT(ADDRESS(374,5,,,"MATCHS"))&lt;INDIRECT(ADDRESS(374,3,,,"MATCHS")),1,0),,,,IF(INDIRECT(ADDRESS(413,5,,,"MATCHS"))&lt;INDIRECT(ADDRESS(413,3,,,"MATCHS")),1,0),,,,IF(INDIRECT(ADDRESS(456,5,,,"MATCHS"))&lt;INDIRECT(ADDRESS(456,3,,,"MATCHS")),1,0),,)</f>
        <v>0</v>
      </c>
      <c r="G32" s="50">
        <f ca="1">SUM(,INDIRECT(ADDRESS(15,5,,,"MATCHS")),,,,INDIRECT(ADDRESS(56,3,,,"MATCHS")),,,,INDIRECT(ADDRESS(96,3,,,"MATCHS")),,,,INDIRECT(ADDRESS(136,3,,,"MATCHS")),,,,INDIRECT(ADDRESS(176,3,,,"MATCHS")),,,,INDIRECT(ADDRESS(216,3,,,"MATCHS")),,,,INDIRECT(ADDRESS(256,3,,,"MATCHS")),,,,INDIRECT(ADDRESS(292,5,,,"MATCHS")),,,INDIRECT(ADDRESS(330,5,,,"MATCHS")),,,,,INDIRECT(ADDRESS(374,5,,,"MATCHS")),,,,INDIRECT(ADDRESS(413,5,,,"MATCHS")),,,,INDIRECT(ADDRESS(456,5,,,"MATCHS")),,)</f>
        <v>0</v>
      </c>
      <c r="H32" s="50">
        <f ca="1">SUM(,INDIRECT(ADDRESS(15,3,,,"MATCHS")),,,,INDIRECT(ADDRESS(56,5,,,"MATCHS")),,,,INDIRECT(ADDRESS(96,5,,,"MATCHS")),,,,INDIRECT(ADDRESS(136,5,,,"MATCHS")),,,,INDIRECT(ADDRESS(176,5,,,"MATCHS")),,,,INDIRECT(ADDRESS(216,5,,,"MATCHS")),,,,INDIRECT(ADDRESS(256,5,,,"MATCHS")),,,,INDIRECT(ADDRESS(292,3,,,"MATCHS")),,,INDIRECT(ADDRESS(330,3,,,"MATCHS")),,,,,INDIRECT(ADDRESS(374,3,,,"MATCHS")),,,,INDIRECT(ADDRESS(413,3,,,"MATCHS")),,,,INDIRECT(ADDRESS(456,3,,,"MATCHS")),,)</f>
        <v>0</v>
      </c>
      <c r="I32" s="50">
        <f t="shared" ca="1" si="2"/>
        <v>0</v>
      </c>
      <c r="J32" s="50">
        <v>0</v>
      </c>
      <c r="K32" s="50">
        <v>10</v>
      </c>
      <c r="L32" s="50">
        <f t="shared" si="3"/>
        <v>14</v>
      </c>
      <c r="M32" s="69"/>
    </row>
    <row r="33" spans="1:13" ht="15.75" x14ac:dyDescent="0.25">
      <c r="A33" s="182"/>
      <c r="B33" s="50">
        <v>11</v>
      </c>
      <c r="C33" s="50" t="s">
        <v>248</v>
      </c>
      <c r="D33" s="50" t="str">
        <f>INSCRIPTS_PH!C29</f>
        <v>11B</v>
      </c>
      <c r="E33" s="88">
        <f ca="1">SUM(,IF(INDIRECT(ADDRESS(16,3,,,"MATCHS"))&gt;INDIRECT(ADDRESS(16,5,,,"MATCHS")),1,0),,,,IF(INDIRECT(ADDRESS(55,5,,,"MATCHS"))&gt;INDIRECT(ADDRESS(55,3,,,"MATCHS")),1,0),,,,IF(INDIRECT(ADDRESS(96,5,,,"MATCHS"))&gt;INDIRECT(ADDRESS(96,3,,,"MATCHS")),1,0),,,,IF(INDIRECT(ADDRESS(137,3,,,"MATCHS"))&gt;INDIRECT(ADDRESS(137,5,,,"MATCHS")),1,0),,,,IF(INDIRECT(ADDRESS(177,3,,,"MATCHS"))&gt;INDIRECT(ADDRESS(177,5,,,"MATCHS")),1,0),,,,IF(INDIRECT(ADDRESS(217,3,,,"MATCHS"))&gt;INDIRECT(ADDRESS(217,5,,,"MATCHS")),1,0),,,,IF(INDIRECT(ADDRESS(257,3,,,"MATCHS"))&gt;INDIRECT(ADDRESS(257,5,,,"MATCHS")),1,0),,,,IF(INDIRECT(ADDRESS(293,5,,,"MATCHS"))&gt;INDIRECT(ADDRESS(293,3,,,"MATCHS")),1,0),,,,IF(INDIRECT(ADDRESS(334,5,,,"MATCHS"))&gt;INDIRECT(ADDRESS(334,3,,,"MATCHS")),1,0),,,IF(INDIRECT(ADDRESS(370,5,,,"MATCHS"))&gt;INDIRECT(ADDRESS(370,3,,,"MATCHS")),1,0),,,,,IF(INDIRECT(ADDRESS(412,5,,,"MATCHS"))&gt;INDIRECT(ADDRESS(412,3,,,"MATCHS")),1,0),,,,IF(INDIRECT(ADDRESS(457,5,,,"MATCHS"))&gt;INDIRECT(ADDRESS(457,3,,,"MATCHS")),1,0),,) + 0.1 * J33</f>
        <v>0</v>
      </c>
      <c r="F33" s="50">
        <f ca="1">SUM(,IF(INDIRECT(ADDRESS(16,3,,,"MATCHS"))&lt;INDIRECT(ADDRESS(16,5,,,"MATCHS")),1,0),,,,IF(INDIRECT(ADDRESS(55,5,,,"MATCHS"))&lt;INDIRECT(ADDRESS(55,3,,,"MATCHS")),1,0),,,,IF(INDIRECT(ADDRESS(96,5,,,"MATCHS"))&lt;INDIRECT(ADDRESS(96,3,,,"MATCHS")),1,0),,,,IF(INDIRECT(ADDRESS(137,3,,,"MATCHS"))&lt;INDIRECT(ADDRESS(137,5,,,"MATCHS")),1,0),,,,IF(INDIRECT(ADDRESS(177,3,,,"MATCHS"))&lt;INDIRECT(ADDRESS(177,5,,,"MATCHS")),1,0),,,,IF(INDIRECT(ADDRESS(217,3,,,"MATCHS"))&lt;INDIRECT(ADDRESS(217,5,,,"MATCHS")),1,0),,,,IF(INDIRECT(ADDRESS(257,3,,,"MATCHS"))&lt;INDIRECT(ADDRESS(257,5,,,"MATCHS")),1,0),,,,IF(INDIRECT(ADDRESS(293,5,,,"MATCHS"))&lt;INDIRECT(ADDRESS(293,3,,,"MATCHS")),1,0),,,,IF(INDIRECT(ADDRESS(334,5,,,"MATCHS"))&lt;INDIRECT(ADDRESS(334,3,,,"MATCHS")),1,0),,,IF(INDIRECT(ADDRESS(370,5,,,"MATCHS"))&lt;INDIRECT(ADDRESS(370,3,,,"MATCHS")),1,0),,,,,IF(INDIRECT(ADDRESS(412,5,,,"MATCHS"))&lt;INDIRECT(ADDRESS(412,3,,,"MATCHS")),1,0),,,,IF(INDIRECT(ADDRESS(457,5,,,"MATCHS"))&lt;INDIRECT(ADDRESS(457,3,,,"MATCHS")),1,0),,)</f>
        <v>0</v>
      </c>
      <c r="G33" s="50">
        <f ca="1">SUM(,INDIRECT(ADDRESS(16,3,,,"MATCHS")),,,,INDIRECT(ADDRESS(55,5,,,"MATCHS")),,,,INDIRECT(ADDRESS(96,5,,,"MATCHS")),,,,INDIRECT(ADDRESS(137,3,,,"MATCHS")),,,,INDIRECT(ADDRESS(177,3,,,"MATCHS")),,,,INDIRECT(ADDRESS(217,3,,,"MATCHS")),,,,INDIRECT(ADDRESS(257,3,,,"MATCHS")),,,,INDIRECT(ADDRESS(293,5,,,"MATCHS")),,,,INDIRECT(ADDRESS(334,5,,,"MATCHS")),,,INDIRECT(ADDRESS(370,5,,,"MATCHS")),,,,,INDIRECT(ADDRESS(412,5,,,"MATCHS")),,,,INDIRECT(ADDRESS(457,5,,,"MATCHS")),,)</f>
        <v>0</v>
      </c>
      <c r="H33" s="50">
        <f ca="1">SUM(,INDIRECT(ADDRESS(16,5,,,"MATCHS")),,,,INDIRECT(ADDRESS(55,3,,,"MATCHS")),,,,INDIRECT(ADDRESS(96,3,,,"MATCHS")),,,,INDIRECT(ADDRESS(137,5,,,"MATCHS")),,,,INDIRECT(ADDRESS(177,5,,,"MATCHS")),,,,INDIRECT(ADDRESS(217,5,,,"MATCHS")),,,,INDIRECT(ADDRESS(257,5,,,"MATCHS")),,,,INDIRECT(ADDRESS(293,3,,,"MATCHS")),,,,INDIRECT(ADDRESS(334,3,,,"MATCHS")),,,INDIRECT(ADDRESS(370,3,,,"MATCHS")),,,,,INDIRECT(ADDRESS(412,3,,,"MATCHS")),,,,INDIRECT(ADDRESS(457,3,,,"MATCHS")),,)</f>
        <v>0</v>
      </c>
      <c r="I33" s="50">
        <f t="shared" ca="1" si="2"/>
        <v>0</v>
      </c>
      <c r="J33" s="50">
        <v>0</v>
      </c>
      <c r="K33" s="50">
        <v>11</v>
      </c>
      <c r="L33" s="50">
        <f t="shared" si="3"/>
        <v>15</v>
      </c>
      <c r="M33" s="69"/>
    </row>
    <row r="34" spans="1:13" ht="15.75" x14ac:dyDescent="0.25">
      <c r="A34" s="182"/>
      <c r="B34" s="50">
        <v>12</v>
      </c>
      <c r="C34" s="50" t="s">
        <v>249</v>
      </c>
      <c r="D34" s="50" t="str">
        <f>INSCRIPTS_PH!C30</f>
        <v>12B</v>
      </c>
      <c r="E34" s="88">
        <f ca="1">SUM(,IF(INDIRECT(ADDRESS(16,5,,,"MATCHS"))&gt;INDIRECT(ADDRESS(16,3,,,"MATCHS")),1,0),,,,IF(INDIRECT(ADDRESS(56,5,,,"MATCHS"))&gt;INDIRECT(ADDRESS(56,3,,,"MATCHS")),1,0),,,,IF(INDIRECT(ADDRESS(95,5,,,"MATCHS"))&gt;INDIRECT(ADDRESS(95,3,,,"MATCHS")),1,0),,,,IF(INDIRECT(ADDRESS(138,3,,,"MATCHS"))&gt;INDIRECT(ADDRESS(138,5,,,"MATCHS")),1,0),,,,IF(INDIRECT(ADDRESS(178,3,,,"MATCHS"))&gt;INDIRECT(ADDRESS(178,5,,,"MATCHS")),1,0),,,,IF(INDIRECT(ADDRESS(218,3,,,"MATCHS"))&gt;INDIRECT(ADDRESS(218,5,,,"MATCHS")),1,0),,,,IF(INDIRECT(ADDRESS(258,3,,,"MATCHS"))&gt;INDIRECT(ADDRESS(258,5,,,"MATCHS")),1,0),,,,IF(INDIRECT(ADDRESS(294,5,,,"MATCHS"))&gt;INDIRECT(ADDRESS(294,3,,,"MATCHS")),1,0),,,,IF(INDIRECT(ADDRESS(333,5,,,"MATCHS"))&gt;INDIRECT(ADDRESS(333,3,,,"MATCHS")),1,0),,,,IF(INDIRECT(ADDRESS(372,5,,,"MATCHS"))&gt;INDIRECT(ADDRESS(372,3,,,"MATCHS")),1,0),,,IF(INDIRECT(ADDRESS(410,5,,,"MATCHS"))&gt;INDIRECT(ADDRESS(410,3,,,"MATCHS")),1,0),,,,,IF(INDIRECT(ADDRESS(458,5,,,"MATCHS"))&gt;INDIRECT(ADDRESS(458,3,,,"MATCHS")),1,0),,) + 0.1 * J34</f>
        <v>0</v>
      </c>
      <c r="F34" s="50">
        <f ca="1">SUM(,IF(INDIRECT(ADDRESS(16,5,,,"MATCHS"))&lt;INDIRECT(ADDRESS(16,3,,,"MATCHS")),1,0),,,,IF(INDIRECT(ADDRESS(56,5,,,"MATCHS"))&lt;INDIRECT(ADDRESS(56,3,,,"MATCHS")),1,0),,,,IF(INDIRECT(ADDRESS(95,5,,,"MATCHS"))&lt;INDIRECT(ADDRESS(95,3,,,"MATCHS")),1,0),,,,IF(INDIRECT(ADDRESS(138,3,,,"MATCHS"))&lt;INDIRECT(ADDRESS(138,5,,,"MATCHS")),1,0),,,,IF(INDIRECT(ADDRESS(178,3,,,"MATCHS"))&lt;INDIRECT(ADDRESS(178,5,,,"MATCHS")),1,0),,,,IF(INDIRECT(ADDRESS(218,3,,,"MATCHS"))&lt;INDIRECT(ADDRESS(218,5,,,"MATCHS")),1,0),,,,IF(INDIRECT(ADDRESS(258,3,,,"MATCHS"))&lt;INDIRECT(ADDRESS(258,5,,,"MATCHS")),1,0),,,,IF(INDIRECT(ADDRESS(294,5,,,"MATCHS"))&lt;INDIRECT(ADDRESS(294,3,,,"MATCHS")),1,0),,,,IF(INDIRECT(ADDRESS(333,5,,,"MATCHS"))&lt;INDIRECT(ADDRESS(333,3,,,"MATCHS")),1,0),,,,IF(INDIRECT(ADDRESS(372,5,,,"MATCHS"))&lt;INDIRECT(ADDRESS(372,3,,,"MATCHS")),1,0),,,IF(INDIRECT(ADDRESS(410,5,,,"MATCHS"))&lt;INDIRECT(ADDRESS(410,3,,,"MATCHS")),1,0),,,,,IF(INDIRECT(ADDRESS(458,5,,,"MATCHS"))&lt;INDIRECT(ADDRESS(458,3,,,"MATCHS")),1,0),,)</f>
        <v>0</v>
      </c>
      <c r="G34" s="50">
        <f ca="1">SUM(,INDIRECT(ADDRESS(16,5,,,"MATCHS")),,,,INDIRECT(ADDRESS(56,5,,,"MATCHS")),,,,INDIRECT(ADDRESS(95,5,,,"MATCHS")),,,,INDIRECT(ADDRESS(138,3,,,"MATCHS")),,,,INDIRECT(ADDRESS(178,3,,,"MATCHS")),,,,INDIRECT(ADDRESS(218,3,,,"MATCHS")),,,,INDIRECT(ADDRESS(258,3,,,"MATCHS")),,,,INDIRECT(ADDRESS(294,5,,,"MATCHS")),,,,INDIRECT(ADDRESS(333,5,,,"MATCHS")),,,,INDIRECT(ADDRESS(372,5,,,"MATCHS")),,,INDIRECT(ADDRESS(410,5,,,"MATCHS")),,,,,INDIRECT(ADDRESS(458,5,,,"MATCHS")),,)</f>
        <v>0</v>
      </c>
      <c r="H34" s="50">
        <f ca="1">SUM(,INDIRECT(ADDRESS(16,3,,,"MATCHS")),,,,INDIRECT(ADDRESS(56,3,,,"MATCHS")),,,,INDIRECT(ADDRESS(95,3,,,"MATCHS")),,,,INDIRECT(ADDRESS(138,5,,,"MATCHS")),,,,INDIRECT(ADDRESS(178,5,,,"MATCHS")),,,,INDIRECT(ADDRESS(218,5,,,"MATCHS")),,,,INDIRECT(ADDRESS(258,5,,,"MATCHS")),,,,INDIRECT(ADDRESS(294,3,,,"MATCHS")),,,,INDIRECT(ADDRESS(333,3,,,"MATCHS")),,,,INDIRECT(ADDRESS(372,3,,,"MATCHS")),,,INDIRECT(ADDRESS(410,3,,,"MATCHS")),,,,,INDIRECT(ADDRESS(458,3,,,"MATCHS")),,)</f>
        <v>0</v>
      </c>
      <c r="I34" s="50">
        <f t="shared" ca="1" si="2"/>
        <v>0</v>
      </c>
      <c r="J34" s="50">
        <v>0</v>
      </c>
      <c r="K34" s="50">
        <v>12</v>
      </c>
      <c r="L34" s="50">
        <f t="shared" si="3"/>
        <v>16</v>
      </c>
      <c r="M34" s="69"/>
    </row>
    <row r="35" spans="1:13" ht="15.75" x14ac:dyDescent="0.25">
      <c r="A35" s="182"/>
      <c r="B35" s="50">
        <v>13</v>
      </c>
      <c r="C35" s="50" t="s">
        <v>250</v>
      </c>
      <c r="D35" s="50" t="str">
        <f>INSCRIPTS_PH!C31</f>
        <v>13B</v>
      </c>
      <c r="E35" s="88">
        <f ca="1">SUM(,IF(INDIRECT(ADDRESS(17,3,,,"MATCHS"))&gt;INDIRECT(ADDRESS(17,5,,,"MATCHS")),1,0),,,,IF(INDIRECT(ADDRESS(57,3,,,"MATCHS"))&gt;INDIRECT(ADDRESS(57,5,,,"MATCHS")),1,0),,,,IF(INDIRECT(ADDRESS(97,3,,,"MATCHS"))&gt;INDIRECT(ADDRESS(97,5,,,"MATCHS")),1,0),,,,IF(INDIRECT(ADDRESS(135,5,,,"MATCHS"))&gt;INDIRECT(ADDRESS(135,3,,,"MATCHS")),1,0),,,,IF(INDIRECT(ADDRESS(176,5,,,"MATCHS"))&gt;INDIRECT(ADDRESS(176,3,,,"MATCHS")),1,0),,,,IF(INDIRECT(ADDRESS(217,5,,,"MATCHS"))&gt;INDIRECT(ADDRESS(217,3,,,"MATCHS")),1,0),,,,IF(INDIRECT(ADDRESS(258,5,,,"MATCHS"))&gt;INDIRECT(ADDRESS(258,3,,,"MATCHS")),1,0),,,,IF(INDIRECT(ADDRESS(295,5,,,"MATCHS"))&gt;INDIRECT(ADDRESS(295,3,,,"MATCHS")),1,0),,,,IF(INDIRECT(ADDRESS(336,5,,,"MATCHS"))&gt;INDIRECT(ADDRESS(336,3,,,"MATCHS")),1,0),,,,IF(INDIRECT(ADDRESS(377,5,,,"MATCHS"))&gt;INDIRECT(ADDRESS(377,3,,,"MATCHS")),1,0),,,,IF(INDIRECT(ADDRESS(418,5,,,"MATCHS"))&gt;INDIRECT(ADDRESS(418,3,,,"MATCHS")),1,0),,,IF(INDIRECT(ADDRESS(450,5,,,"MATCHS"))&gt;INDIRECT(ADDRESS(450,3,,,"MATCHS")),1,0),,,) + 0.1 * J35</f>
        <v>0</v>
      </c>
      <c r="F35" s="50">
        <f ca="1">SUM(,IF(INDIRECT(ADDRESS(17,3,,,"MATCHS"))&lt;INDIRECT(ADDRESS(17,5,,,"MATCHS")),1,0),,,,IF(INDIRECT(ADDRESS(57,3,,,"MATCHS"))&lt;INDIRECT(ADDRESS(57,5,,,"MATCHS")),1,0),,,,IF(INDIRECT(ADDRESS(97,3,,,"MATCHS"))&lt;INDIRECT(ADDRESS(97,5,,,"MATCHS")),1,0),,,,IF(INDIRECT(ADDRESS(135,5,,,"MATCHS"))&lt;INDIRECT(ADDRESS(135,3,,,"MATCHS")),1,0),,,,IF(INDIRECT(ADDRESS(176,5,,,"MATCHS"))&lt;INDIRECT(ADDRESS(176,3,,,"MATCHS")),1,0),,,,IF(INDIRECT(ADDRESS(217,5,,,"MATCHS"))&lt;INDIRECT(ADDRESS(217,3,,,"MATCHS")),1,0),,,,IF(INDIRECT(ADDRESS(258,5,,,"MATCHS"))&lt;INDIRECT(ADDRESS(258,3,,,"MATCHS")),1,0),,,,IF(INDIRECT(ADDRESS(295,5,,,"MATCHS"))&lt;INDIRECT(ADDRESS(295,3,,,"MATCHS")),1,0),,,,IF(INDIRECT(ADDRESS(336,5,,,"MATCHS"))&lt;INDIRECT(ADDRESS(336,3,,,"MATCHS")),1,0),,,,IF(INDIRECT(ADDRESS(377,5,,,"MATCHS"))&lt;INDIRECT(ADDRESS(377,3,,,"MATCHS")),1,0),,,,IF(INDIRECT(ADDRESS(418,5,,,"MATCHS"))&lt;INDIRECT(ADDRESS(418,3,,,"MATCHS")),1,0),,,IF(INDIRECT(ADDRESS(450,5,,,"MATCHS"))&lt;INDIRECT(ADDRESS(450,3,,,"MATCHS")),1,0),,,)</f>
        <v>0</v>
      </c>
      <c r="G35" s="50">
        <f ca="1">SUM(,INDIRECT(ADDRESS(17,3,,,"MATCHS")),,,,INDIRECT(ADDRESS(57,3,,,"MATCHS")),,,,INDIRECT(ADDRESS(97,3,,,"MATCHS")),,,,INDIRECT(ADDRESS(135,5,,,"MATCHS")),,,,INDIRECT(ADDRESS(176,5,,,"MATCHS")),,,,INDIRECT(ADDRESS(217,5,,,"MATCHS")),,,,INDIRECT(ADDRESS(258,5,,,"MATCHS")),,,,INDIRECT(ADDRESS(295,5,,,"MATCHS")),,,,INDIRECT(ADDRESS(336,5,,,"MATCHS")),,,,INDIRECT(ADDRESS(377,5,,,"MATCHS")),,,,INDIRECT(ADDRESS(418,5,,,"MATCHS")),,,INDIRECT(ADDRESS(450,5,,,"MATCHS")),,,)</f>
        <v>0</v>
      </c>
      <c r="H35" s="50">
        <f ca="1">SUM(,INDIRECT(ADDRESS(17,5,,,"MATCHS")),,,,INDIRECT(ADDRESS(57,5,,,"MATCHS")),,,,INDIRECT(ADDRESS(97,5,,,"MATCHS")),,,,INDIRECT(ADDRESS(135,3,,,"MATCHS")),,,,INDIRECT(ADDRESS(176,3,,,"MATCHS")),,,,INDIRECT(ADDRESS(217,3,,,"MATCHS")),,,,INDIRECT(ADDRESS(258,3,,,"MATCHS")),,,,INDIRECT(ADDRESS(295,3,,,"MATCHS")),,,,INDIRECT(ADDRESS(336,3,,,"MATCHS")),,,,INDIRECT(ADDRESS(377,3,,,"MATCHS")),,,,INDIRECT(ADDRESS(418,3,,,"MATCHS")),,,INDIRECT(ADDRESS(450,3,,,"MATCHS")),,,)</f>
        <v>0</v>
      </c>
      <c r="I35" s="50">
        <f t="shared" ca="1" si="2"/>
        <v>0</v>
      </c>
      <c r="J35" s="50">
        <v>0</v>
      </c>
      <c r="K35" s="50">
        <v>13</v>
      </c>
      <c r="L35" s="50">
        <f t="shared" si="3"/>
        <v>16</v>
      </c>
      <c r="M35" s="69"/>
    </row>
    <row r="36" spans="1:13" ht="15.75" x14ac:dyDescent="0.25">
      <c r="A36" s="182"/>
      <c r="B36" s="50">
        <v>14</v>
      </c>
      <c r="C36" s="50" t="s">
        <v>251</v>
      </c>
      <c r="D36" s="50" t="str">
        <f>INSCRIPTS_PH!C32</f>
        <v>14B</v>
      </c>
      <c r="E36" s="88">
        <f ca="1">SUM(,IF(INDIRECT(ADDRESS(17,5,,,"MATCHS"))&gt;INDIRECT(ADDRESS(17,3,,,"MATCHS")),1,0),,,,IF(INDIRECT(ADDRESS(58,3,,,"MATCHS"))&gt;INDIRECT(ADDRESS(58,5,,,"MATCHS")),1,0),,,,IF(INDIRECT(ADDRESS(98,3,,,"MATCHS"))&gt;INDIRECT(ADDRESS(98,5,,,"MATCHS")),1,0),,,,IF(INDIRECT(ADDRESS(136,5,,,"MATCHS"))&gt;INDIRECT(ADDRESS(136,3,,,"MATCHS")),1,0),,,,IF(INDIRECT(ADDRESS(175,5,,,"MATCHS"))&gt;INDIRECT(ADDRESS(175,3,,,"MATCHS")),1,0),,,,IF(INDIRECT(ADDRESS(218,5,,,"MATCHS"))&gt;INDIRECT(ADDRESS(218,3,,,"MATCHS")),1,0),,,,IF(INDIRECT(ADDRESS(257,5,,,"MATCHS"))&gt;INDIRECT(ADDRESS(257,3,,,"MATCHS")),1,0),,,,IF(INDIRECT(ADDRESS(296,5,,,"MATCHS"))&gt;INDIRECT(ADDRESS(296,3,,,"MATCHS")),1,0),,,,IF(INDIRECT(ADDRESS(335,5,,,"MATCHS"))&gt;INDIRECT(ADDRESS(335,3,,,"MATCHS")),1,0),,,,IF(INDIRECT(ADDRESS(378,5,,,"MATCHS"))&gt;INDIRECT(ADDRESS(378,3,,,"MATCHS")),1,0),,,,IF(INDIRECT(ADDRESS(417,5,,,"MATCHS"))&gt;INDIRECT(ADDRESS(417,3,,,"MATCHS")),1,0),,,,IF(INDIRECT(ADDRESS(452,5,,,"MATCHS"))&gt;INDIRECT(ADDRESS(452,3,,,"MATCHS")),1,0),,IF(INDIRECT(ADDRESS(480,5,,,"MATCHS"))&gt;INDIRECT(ADDRESS(480,3,,,"MATCHS")),1,0)) + 0.1 * J36</f>
        <v>0</v>
      </c>
      <c r="F36" s="50">
        <f ca="1">SUM(,IF(INDIRECT(ADDRESS(17,5,,,"MATCHS"))&lt;INDIRECT(ADDRESS(17,3,,,"MATCHS")),1,0),,,,IF(INDIRECT(ADDRESS(58,3,,,"MATCHS"))&lt;INDIRECT(ADDRESS(58,5,,,"MATCHS")),1,0),,,,IF(INDIRECT(ADDRESS(98,3,,,"MATCHS"))&lt;INDIRECT(ADDRESS(98,5,,,"MATCHS")),1,0),,,,IF(INDIRECT(ADDRESS(136,5,,,"MATCHS"))&lt;INDIRECT(ADDRESS(136,3,,,"MATCHS")),1,0),,,,IF(INDIRECT(ADDRESS(175,5,,,"MATCHS"))&lt;INDIRECT(ADDRESS(175,3,,,"MATCHS")),1,0),,,,IF(INDIRECT(ADDRESS(218,5,,,"MATCHS"))&lt;INDIRECT(ADDRESS(218,3,,,"MATCHS")),1,0),,,,IF(INDIRECT(ADDRESS(257,5,,,"MATCHS"))&lt;INDIRECT(ADDRESS(257,3,,,"MATCHS")),1,0),,,,IF(INDIRECT(ADDRESS(296,5,,,"MATCHS"))&lt;INDIRECT(ADDRESS(296,3,,,"MATCHS")),1,0),,,,IF(INDIRECT(ADDRESS(335,5,,,"MATCHS"))&lt;INDIRECT(ADDRESS(335,3,,,"MATCHS")),1,0),,,,IF(INDIRECT(ADDRESS(378,5,,,"MATCHS"))&lt;INDIRECT(ADDRESS(378,3,,,"MATCHS")),1,0),,,,IF(INDIRECT(ADDRESS(417,5,,,"MATCHS"))&lt;INDIRECT(ADDRESS(417,3,,,"MATCHS")),1,0),,,,IF(INDIRECT(ADDRESS(452,5,,,"MATCHS"))&lt;INDIRECT(ADDRESS(452,3,,,"MATCHS")),1,0),,IF(INDIRECT(ADDRESS(480,5,,,"MATCHS"))&lt;INDIRECT(ADDRESS(480,3,,,"MATCHS")),1,0))</f>
        <v>0</v>
      </c>
      <c r="G36" s="50">
        <f ca="1">SUM(,INDIRECT(ADDRESS(17,5,,,"MATCHS")),,,,INDIRECT(ADDRESS(58,3,,,"MATCHS")),,,,INDIRECT(ADDRESS(98,3,,,"MATCHS")),,,,INDIRECT(ADDRESS(136,5,,,"MATCHS")),,,,INDIRECT(ADDRESS(175,5,,,"MATCHS")),,,,INDIRECT(ADDRESS(218,5,,,"MATCHS")),,,,INDIRECT(ADDRESS(257,5,,,"MATCHS")),,,,INDIRECT(ADDRESS(296,5,,,"MATCHS")),,,,INDIRECT(ADDRESS(335,5,,,"MATCHS")),,,,INDIRECT(ADDRESS(378,5,,,"MATCHS")),,,,INDIRECT(ADDRESS(417,5,,,"MATCHS")),,,,INDIRECT(ADDRESS(452,5,,,"MATCHS")),,INDIRECT(ADDRESS(480,5,,,"MATCHS")))</f>
        <v>0</v>
      </c>
      <c r="H36" s="50">
        <f ca="1">SUM(,INDIRECT(ADDRESS(17,3,,,"MATCHS")),,,,INDIRECT(ADDRESS(58,5,,,"MATCHS")),,,,INDIRECT(ADDRESS(98,5,,,"MATCHS")),,,,INDIRECT(ADDRESS(136,3,,,"MATCHS")),,,,INDIRECT(ADDRESS(175,3,,,"MATCHS")),,,,INDIRECT(ADDRESS(218,3,,,"MATCHS")),,,,INDIRECT(ADDRESS(257,3,,,"MATCHS")),,,,INDIRECT(ADDRESS(296,3,,,"MATCHS")),,,,INDIRECT(ADDRESS(335,3,,,"MATCHS")),,,,INDIRECT(ADDRESS(378,3,,,"MATCHS")),,,,INDIRECT(ADDRESS(417,3,,,"MATCHS")),,,,INDIRECT(ADDRESS(452,3,,,"MATCHS")),,INDIRECT(ADDRESS(480,3,,,"MATCHS")))</f>
        <v>0</v>
      </c>
      <c r="I36" s="50">
        <f t="shared" ca="1" si="2"/>
        <v>0</v>
      </c>
      <c r="J36" s="50">
        <v>0</v>
      </c>
      <c r="K36" s="50">
        <v>14</v>
      </c>
      <c r="L36" s="50">
        <f t="shared" si="3"/>
        <v>15</v>
      </c>
      <c r="M36" s="69"/>
    </row>
    <row r="37" spans="1:13" ht="15.75" x14ac:dyDescent="0.25">
      <c r="A37" s="182"/>
      <c r="B37" s="50">
        <v>15</v>
      </c>
      <c r="C37" s="50" t="s">
        <v>252</v>
      </c>
      <c r="D37" s="50" t="str">
        <f>INSCRIPTS_PH!C33</f>
        <v>15B</v>
      </c>
      <c r="E37" s="88">
        <f ca="1">SUM(,IF(INDIRECT(ADDRESS(18,3,,,"MATCHS"))&gt;INDIRECT(ADDRESS(18,5,,,"MATCHS")),1,0),,,,IF(INDIRECT(ADDRESS(57,5,,,"MATCHS"))&gt;INDIRECT(ADDRESS(57,3,,,"MATCHS")),1,0),,,,IF(INDIRECT(ADDRESS(98,5,,,"MATCHS"))&gt;INDIRECT(ADDRESS(98,3,,,"MATCHS")),1,0),,,,IF(INDIRECT(ADDRESS(137,5,,,"MATCHS"))&gt;INDIRECT(ADDRESS(137,3,,,"MATCHS")),1,0),,,,IF(INDIRECT(ADDRESS(178,5,,,"MATCHS"))&gt;INDIRECT(ADDRESS(178,3,,,"MATCHS")),1,0),,,,IF(INDIRECT(ADDRESS(215,5,,,"MATCHS"))&gt;INDIRECT(ADDRESS(215,3,,,"MATCHS")),1,0),,,,IF(INDIRECT(ADDRESS(256,5,,,"MATCHS"))&gt;INDIRECT(ADDRESS(256,3,,,"MATCHS")),1,0),,,,IF(INDIRECT(ADDRESS(297,5,,,"MATCHS"))&gt;INDIRECT(ADDRESS(297,3,,,"MATCHS")),1,0),,,,IF(INDIRECT(ADDRESS(338,5,,,"MATCHS"))&gt;INDIRECT(ADDRESS(338,3,,,"MATCHS")),1,0),,,,IF(INDIRECT(ADDRESS(375,5,,,"MATCHS"))&gt;INDIRECT(ADDRESS(375,3,,,"MATCHS")),1,0),,,,IF(INDIRECT(ADDRESS(416,5,,,"MATCHS"))&gt;INDIRECT(ADDRESS(416,3,,,"MATCHS")),1,0),,,,IF(INDIRECT(ADDRESS(453,5,,,"MATCHS"))&gt;INDIRECT(ADDRESS(453,3,,,"MATCHS")),1,0),,) + 0.1 * J37</f>
        <v>0</v>
      </c>
      <c r="F37" s="50">
        <f ca="1">SUM(,IF(INDIRECT(ADDRESS(18,3,,,"MATCHS"))&lt;INDIRECT(ADDRESS(18,5,,,"MATCHS")),1,0),,,,IF(INDIRECT(ADDRESS(57,5,,,"MATCHS"))&lt;INDIRECT(ADDRESS(57,3,,,"MATCHS")),1,0),,,,IF(INDIRECT(ADDRESS(98,5,,,"MATCHS"))&lt;INDIRECT(ADDRESS(98,3,,,"MATCHS")),1,0),,,,IF(INDIRECT(ADDRESS(137,5,,,"MATCHS"))&lt;INDIRECT(ADDRESS(137,3,,,"MATCHS")),1,0),,,,IF(INDIRECT(ADDRESS(178,5,,,"MATCHS"))&lt;INDIRECT(ADDRESS(178,3,,,"MATCHS")),1,0),,,,IF(INDIRECT(ADDRESS(215,5,,,"MATCHS"))&lt;INDIRECT(ADDRESS(215,3,,,"MATCHS")),1,0),,,,IF(INDIRECT(ADDRESS(256,5,,,"MATCHS"))&lt;INDIRECT(ADDRESS(256,3,,,"MATCHS")),1,0),,,,IF(INDIRECT(ADDRESS(297,5,,,"MATCHS"))&lt;INDIRECT(ADDRESS(297,3,,,"MATCHS")),1,0),,,,IF(INDIRECT(ADDRESS(338,5,,,"MATCHS"))&lt;INDIRECT(ADDRESS(338,3,,,"MATCHS")),1,0),,,,IF(INDIRECT(ADDRESS(375,5,,,"MATCHS"))&lt;INDIRECT(ADDRESS(375,3,,,"MATCHS")),1,0),,,,IF(INDIRECT(ADDRESS(416,5,,,"MATCHS"))&lt;INDIRECT(ADDRESS(416,3,,,"MATCHS")),1,0),,,,IF(INDIRECT(ADDRESS(453,5,,,"MATCHS"))&lt;INDIRECT(ADDRESS(453,3,,,"MATCHS")),1,0),,)</f>
        <v>0</v>
      </c>
      <c r="G37" s="50">
        <f ca="1">SUM(,INDIRECT(ADDRESS(18,3,,,"MATCHS")),,,,INDIRECT(ADDRESS(57,5,,,"MATCHS")),,,,INDIRECT(ADDRESS(98,5,,,"MATCHS")),,,,INDIRECT(ADDRESS(137,5,,,"MATCHS")),,,,INDIRECT(ADDRESS(178,5,,,"MATCHS")),,,,INDIRECT(ADDRESS(215,5,,,"MATCHS")),,,,INDIRECT(ADDRESS(256,5,,,"MATCHS")),,,,INDIRECT(ADDRESS(297,5,,,"MATCHS")),,,,INDIRECT(ADDRESS(338,5,,,"MATCHS")),,,,INDIRECT(ADDRESS(375,5,,,"MATCHS")),,,,INDIRECT(ADDRESS(416,5,,,"MATCHS")),,,,INDIRECT(ADDRESS(453,5,,,"MATCHS")),,)</f>
        <v>0</v>
      </c>
      <c r="H37" s="50">
        <f ca="1">SUM(,INDIRECT(ADDRESS(18,5,,,"MATCHS")),,,,INDIRECT(ADDRESS(57,3,,,"MATCHS")),,,,INDIRECT(ADDRESS(98,3,,,"MATCHS")),,,,INDIRECT(ADDRESS(137,3,,,"MATCHS")),,,,INDIRECT(ADDRESS(178,3,,,"MATCHS")),,,,INDIRECT(ADDRESS(215,3,,,"MATCHS")),,,,INDIRECT(ADDRESS(256,3,,,"MATCHS")),,,,INDIRECT(ADDRESS(297,3,,,"MATCHS")),,,,INDIRECT(ADDRESS(338,3,,,"MATCHS")),,,,INDIRECT(ADDRESS(375,3,,,"MATCHS")),,,,INDIRECT(ADDRESS(416,3,,,"MATCHS")),,,,INDIRECT(ADDRESS(453,3,,,"MATCHS")),,)</f>
        <v>0</v>
      </c>
      <c r="I37" s="50">
        <f t="shared" ca="1" si="2"/>
        <v>0</v>
      </c>
      <c r="J37" s="50">
        <v>0</v>
      </c>
      <c r="K37" s="50">
        <v>15</v>
      </c>
      <c r="L37" s="50">
        <f t="shared" si="3"/>
        <v>14</v>
      </c>
      <c r="M37" s="69"/>
    </row>
    <row r="38" spans="1:13" ht="15.75" x14ac:dyDescent="0.25">
      <c r="A38" s="182"/>
      <c r="B38" s="50">
        <v>16</v>
      </c>
      <c r="C38" s="50" t="s">
        <v>253</v>
      </c>
      <c r="D38" s="50" t="str">
        <f>INSCRIPTS_PH!C34</f>
        <v>16B</v>
      </c>
      <c r="E38" s="88">
        <f ca="1">SUM(,IF(INDIRECT(ADDRESS(18,5,,,"MATCHS"))&gt;INDIRECT(ADDRESS(18,3,,,"MATCHS")),1,0),,,,IF(INDIRECT(ADDRESS(58,5,,,"MATCHS"))&gt;INDIRECT(ADDRESS(58,3,,,"MATCHS")),1,0),,,,IF(INDIRECT(ADDRESS(97,5,,,"MATCHS"))&gt;INDIRECT(ADDRESS(97,3,,,"MATCHS")),1,0),,,,IF(INDIRECT(ADDRESS(138,5,,,"MATCHS"))&gt;INDIRECT(ADDRESS(138,3,,,"MATCHS")),1,0),,,,IF(INDIRECT(ADDRESS(177,5,,,"MATCHS"))&gt;INDIRECT(ADDRESS(177,3,,,"MATCHS")),1,0),,,,IF(INDIRECT(ADDRESS(216,5,,,"MATCHS"))&gt;INDIRECT(ADDRESS(216,3,,,"MATCHS")),1,0),,,,IF(INDIRECT(ADDRESS(255,5,,,"MATCHS"))&gt;INDIRECT(ADDRESS(255,3,,,"MATCHS")),1,0),,,,IF(INDIRECT(ADDRESS(298,5,,,"MATCHS"))&gt;INDIRECT(ADDRESS(298,3,,,"MATCHS")),1,0),,,,IF(INDIRECT(ADDRESS(337,5,,,"MATCHS"))&gt;INDIRECT(ADDRESS(337,3,,,"MATCHS")),1,0),,,,IF(INDIRECT(ADDRESS(376,5,,,"MATCHS"))&gt;INDIRECT(ADDRESS(376,3,,,"MATCHS")),1,0),,,,IF(INDIRECT(ADDRESS(415,5,,,"MATCHS"))&gt;INDIRECT(ADDRESS(415,3,,,"MATCHS")),1,0),,,,IF(INDIRECT(ADDRESS(454,5,,,"MATCHS"))&gt;INDIRECT(ADDRESS(454,3,,,"MATCHS")),1,0),,) + 0.1 * J38</f>
        <v>0</v>
      </c>
      <c r="F38" s="50">
        <f ca="1">SUM(,IF(INDIRECT(ADDRESS(18,5,,,"MATCHS"))&lt;INDIRECT(ADDRESS(18,3,,,"MATCHS")),1,0),,,,IF(INDIRECT(ADDRESS(58,5,,,"MATCHS"))&lt;INDIRECT(ADDRESS(58,3,,,"MATCHS")),1,0),,,,IF(INDIRECT(ADDRESS(97,5,,,"MATCHS"))&lt;INDIRECT(ADDRESS(97,3,,,"MATCHS")),1,0),,,,IF(INDIRECT(ADDRESS(138,5,,,"MATCHS"))&lt;INDIRECT(ADDRESS(138,3,,,"MATCHS")),1,0),,,,IF(INDIRECT(ADDRESS(177,5,,,"MATCHS"))&lt;INDIRECT(ADDRESS(177,3,,,"MATCHS")),1,0),,,,IF(INDIRECT(ADDRESS(216,5,,,"MATCHS"))&lt;INDIRECT(ADDRESS(216,3,,,"MATCHS")),1,0),,,,IF(INDIRECT(ADDRESS(255,5,,,"MATCHS"))&lt;INDIRECT(ADDRESS(255,3,,,"MATCHS")),1,0),,,,IF(INDIRECT(ADDRESS(298,5,,,"MATCHS"))&lt;INDIRECT(ADDRESS(298,3,,,"MATCHS")),1,0),,,,IF(INDIRECT(ADDRESS(337,5,,,"MATCHS"))&lt;INDIRECT(ADDRESS(337,3,,,"MATCHS")),1,0),,,,IF(INDIRECT(ADDRESS(376,5,,,"MATCHS"))&lt;INDIRECT(ADDRESS(376,3,,,"MATCHS")),1,0),,,,IF(INDIRECT(ADDRESS(415,5,,,"MATCHS"))&lt;INDIRECT(ADDRESS(415,3,,,"MATCHS")),1,0),,,,IF(INDIRECT(ADDRESS(454,5,,,"MATCHS"))&lt;INDIRECT(ADDRESS(454,3,,,"MATCHS")),1,0),,)</f>
        <v>0</v>
      </c>
      <c r="G38" s="50">
        <f ca="1">SUM(,INDIRECT(ADDRESS(18,5,,,"MATCHS")),,,,INDIRECT(ADDRESS(58,5,,,"MATCHS")),,,,INDIRECT(ADDRESS(97,5,,,"MATCHS")),,,,INDIRECT(ADDRESS(138,5,,,"MATCHS")),,,,INDIRECT(ADDRESS(177,5,,,"MATCHS")),,,,INDIRECT(ADDRESS(216,5,,,"MATCHS")),,,,INDIRECT(ADDRESS(255,5,,,"MATCHS")),,,,INDIRECT(ADDRESS(298,5,,,"MATCHS")),,,,INDIRECT(ADDRESS(337,5,,,"MATCHS")),,,,INDIRECT(ADDRESS(376,5,,,"MATCHS")),,,,INDIRECT(ADDRESS(415,5,,,"MATCHS")),,,,INDIRECT(ADDRESS(454,5,,,"MATCHS")),,)</f>
        <v>0</v>
      </c>
      <c r="H38" s="50">
        <f ca="1">SUM(,INDIRECT(ADDRESS(18,3,,,"MATCHS")),,,,INDIRECT(ADDRESS(58,3,,,"MATCHS")),,,,INDIRECT(ADDRESS(97,3,,,"MATCHS")),,,,INDIRECT(ADDRESS(138,3,,,"MATCHS")),,,,INDIRECT(ADDRESS(177,3,,,"MATCHS")),,,,INDIRECT(ADDRESS(216,3,,,"MATCHS")),,,,INDIRECT(ADDRESS(255,3,,,"MATCHS")),,,,INDIRECT(ADDRESS(298,3,,,"MATCHS")),,,,INDIRECT(ADDRESS(337,3,,,"MATCHS")),,,,INDIRECT(ADDRESS(376,3,,,"MATCHS")),,,,INDIRECT(ADDRESS(415,3,,,"MATCHS")),,,,INDIRECT(ADDRESS(454,3,,,"MATCHS")),,)</f>
        <v>0</v>
      </c>
      <c r="I38" s="50">
        <f t="shared" ca="1" si="2"/>
        <v>0</v>
      </c>
      <c r="J38" s="50">
        <v>0</v>
      </c>
      <c r="K38" s="50">
        <v>16</v>
      </c>
      <c r="L38" s="50">
        <f t="shared" si="3"/>
        <v>13</v>
      </c>
      <c r="M38" s="69"/>
    </row>
    <row r="39" spans="1:13" ht="15.75" thickBot="1" x14ac:dyDescent="0.3"/>
    <row r="40" spans="1:13" ht="30.95" customHeight="1" thickBot="1" x14ac:dyDescent="0.3">
      <c r="C40" s="85" t="s">
        <v>228</v>
      </c>
      <c r="D40" s="85" t="s">
        <v>135</v>
      </c>
      <c r="E40" s="86" t="s">
        <v>229</v>
      </c>
      <c r="F40" s="85" t="s">
        <v>230</v>
      </c>
      <c r="G40" s="85" t="s">
        <v>231</v>
      </c>
      <c r="H40" s="85" t="s">
        <v>232</v>
      </c>
      <c r="I40" s="85" t="s">
        <v>233</v>
      </c>
      <c r="J40" s="48" t="s">
        <v>234</v>
      </c>
      <c r="K40" s="85" t="s">
        <v>235</v>
      </c>
      <c r="L40" s="48" t="s">
        <v>53</v>
      </c>
    </row>
    <row r="42" spans="1:13" ht="15.75" x14ac:dyDescent="0.25">
      <c r="A42" s="186" t="s">
        <v>105</v>
      </c>
      <c r="B42" s="51">
        <v>1</v>
      </c>
      <c r="C42" s="51" t="s">
        <v>106</v>
      </c>
      <c r="D42" s="51" t="str">
        <f>INSCRIPTS_PH!C36</f>
        <v>1C</v>
      </c>
      <c r="E42" s="89">
        <f ca="1">SUM(,IF(INDIRECT(ADDRESS(19,3,,,"MATCHS"))&gt;INDIRECT(ADDRESS(19,5,,,"MATCHS")),1,0),,,,IF(INDIRECT(ADDRESS(59,3,,,"MATCHS"))&gt;INDIRECT(ADDRESS(59,5,,,"MATCHS")),1,0),,,,IF(INDIRECT(ADDRESS(99,3,,,"MATCHS"))&gt;INDIRECT(ADDRESS(99,5,,,"MATCHS")),1,0),,,,IF(INDIRECT(ADDRESS(139,3,,,"MATCHS"))&gt;INDIRECT(ADDRESS(139,5,,,"MATCHS")),1,0),,,,IF(INDIRECT(ADDRESS(179,3,,,"MATCHS"))&gt;INDIRECT(ADDRESS(179,5,,,"MATCHS")),1,0),,,,IF(INDIRECT(ADDRESS(219,3,,,"MATCHS"))&gt;INDIRECT(ADDRESS(219,5,,,"MATCHS")),1,0),,,,IF(INDIRECT(ADDRESS(259,3,,,"MATCHS"))&gt;INDIRECT(ADDRESS(259,5,,,"MATCHS")),1,0),,,,IF(INDIRECT(ADDRESS(299,3,,,"MATCHS"))&gt;INDIRECT(ADDRESS(299,5,,,"MATCHS")),1,0),,,,IF(INDIRECT(ADDRESS(339,3,,,"MATCHS"))&gt;INDIRECT(ADDRESS(339,5,,,"MATCHS")),1,0),,,,IF(INDIRECT(ADDRESS(379,3,,,"MATCHS"))&gt;INDIRECT(ADDRESS(379,5,,,"MATCHS")),1,0),,,,IF(INDIRECT(ADDRESS(419,3,,,"MATCHS"))&gt;INDIRECT(ADDRESS(419,5,,,"MATCHS")),1,0),,,,IF(INDIRECT(ADDRESS(459,3,,,"MATCHS"))&gt;INDIRECT(ADDRESS(459,5,,,"MATCHS")),1,0),,) + 0.1 * J42</f>
        <v>0</v>
      </c>
      <c r="F42" s="51">
        <f ca="1">SUM(,IF(INDIRECT(ADDRESS(19,3,,,"MATCHS"))&lt;INDIRECT(ADDRESS(19,5,,,"MATCHS")),1,0),,,,IF(INDIRECT(ADDRESS(59,3,,,"MATCHS"))&lt;INDIRECT(ADDRESS(59,5,,,"MATCHS")),1,0),,,,IF(INDIRECT(ADDRESS(99,3,,,"MATCHS"))&lt;INDIRECT(ADDRESS(99,5,,,"MATCHS")),1,0),,,,IF(INDIRECT(ADDRESS(139,3,,,"MATCHS"))&lt;INDIRECT(ADDRESS(139,5,,,"MATCHS")),1,0),,,,IF(INDIRECT(ADDRESS(179,3,,,"MATCHS"))&lt;INDIRECT(ADDRESS(179,5,,,"MATCHS")),1,0),,,,IF(INDIRECT(ADDRESS(219,3,,,"MATCHS"))&lt;INDIRECT(ADDRESS(219,5,,,"MATCHS")),1,0),,,,IF(INDIRECT(ADDRESS(259,3,,,"MATCHS"))&lt;INDIRECT(ADDRESS(259,5,,,"MATCHS")),1,0),,,,IF(INDIRECT(ADDRESS(299,3,,,"MATCHS"))&lt;INDIRECT(ADDRESS(299,5,,,"MATCHS")),1,0),,,,IF(INDIRECT(ADDRESS(339,3,,,"MATCHS"))&lt;INDIRECT(ADDRESS(339,5,,,"MATCHS")),1,0),,,,IF(INDIRECT(ADDRESS(379,3,,,"MATCHS"))&lt;INDIRECT(ADDRESS(379,5,,,"MATCHS")),1,0),,,,IF(INDIRECT(ADDRESS(419,3,,,"MATCHS"))&lt;INDIRECT(ADDRESS(419,5,,,"MATCHS")),1,0),,,,IF(INDIRECT(ADDRESS(459,3,,,"MATCHS"))&lt;INDIRECT(ADDRESS(459,5,,,"MATCHS")),1,0),,)</f>
        <v>0</v>
      </c>
      <c r="G42" s="51">
        <f ca="1">SUM(,INDIRECT(ADDRESS(19,3,,,"MATCHS")),,,,INDIRECT(ADDRESS(59,3,,,"MATCHS")),,,,INDIRECT(ADDRESS(99,3,,,"MATCHS")),,,,INDIRECT(ADDRESS(139,3,,,"MATCHS")),,,,INDIRECT(ADDRESS(179,3,,,"MATCHS")),,,,INDIRECT(ADDRESS(219,3,,,"MATCHS")),,,,INDIRECT(ADDRESS(259,3,,,"MATCHS")),,,,INDIRECT(ADDRESS(299,3,,,"MATCHS")),,,,INDIRECT(ADDRESS(339,3,,,"MATCHS")),,,,INDIRECT(ADDRESS(379,3,,,"MATCHS")),,,,INDIRECT(ADDRESS(419,3,,,"MATCHS")),,,,INDIRECT(ADDRESS(459,3,,,"MATCHS")),,)</f>
        <v>0</v>
      </c>
      <c r="H42" s="51">
        <f ca="1">SUM(,INDIRECT(ADDRESS(19,5,,,"MATCHS")),,,,INDIRECT(ADDRESS(59,5,,,"MATCHS")),,,,INDIRECT(ADDRESS(99,5,,,"MATCHS")),,,,INDIRECT(ADDRESS(139,5,,,"MATCHS")),,,,INDIRECT(ADDRESS(179,5,,,"MATCHS")),,,,INDIRECT(ADDRESS(219,5,,,"MATCHS")),,,,INDIRECT(ADDRESS(259,5,,,"MATCHS")),,,,INDIRECT(ADDRESS(299,5,,,"MATCHS")),,,,INDIRECT(ADDRESS(339,5,,,"MATCHS")),,,,INDIRECT(ADDRESS(379,5,,,"MATCHS")),,,,INDIRECT(ADDRESS(419,5,,,"MATCHS")),,,,INDIRECT(ADDRESS(459,5,,,"MATCHS")),,)</f>
        <v>0</v>
      </c>
      <c r="I42" s="51">
        <f t="shared" ref="I42:I57" ca="1" si="4">G42 - H42</f>
        <v>0</v>
      </c>
      <c r="J42" s="51">
        <v>0</v>
      </c>
      <c r="K42" s="51">
        <v>1</v>
      </c>
      <c r="L42" s="51">
        <v>1</v>
      </c>
      <c r="M42" s="69"/>
    </row>
    <row r="43" spans="1:13" ht="15.75" x14ac:dyDescent="0.25">
      <c r="A43" s="186"/>
      <c r="B43" s="51">
        <v>2</v>
      </c>
      <c r="C43" s="51" t="s">
        <v>107</v>
      </c>
      <c r="D43" s="51" t="str">
        <f>INSCRIPTS_PH!C37</f>
        <v>2C</v>
      </c>
      <c r="E43" s="89">
        <f ca="1">SUM(,IF(INDIRECT(ADDRESS(19,5,,,"MATCHS"))&gt;INDIRECT(ADDRESS(19,3,,,"MATCHS")),1,0),,,,IF(INDIRECT(ADDRESS(60,3,,,"MATCHS"))&gt;INDIRECT(ADDRESS(60,5,,,"MATCHS")),1,0),,,,IF(INDIRECT(ADDRESS(100,3,,,"MATCHS"))&gt;INDIRECT(ADDRESS(100,5,,,"MATCHS")),1,0),,,,IF(INDIRECT(ADDRESS(140,3,,,"MATCHS"))&gt;INDIRECT(ADDRESS(140,5,,,"MATCHS")),1,0),,,,IF(INDIRECT(ADDRESS(180,3,,,"MATCHS"))&gt;INDIRECT(ADDRESS(180,5,,,"MATCHS")),1,0),,,,IF(INDIRECT(ADDRESS(220,3,,,"MATCHS"))&gt;INDIRECT(ADDRESS(220,5,,,"MATCHS")),1,0),,,,IF(INDIRECT(ADDRESS(260,3,,,"MATCHS"))&gt;INDIRECT(ADDRESS(260,5,,,"MATCHS")),1,0),,,,IF(INDIRECT(ADDRESS(300,3,,,"MATCHS"))&gt;INDIRECT(ADDRESS(300,5,,,"MATCHS")),1,0),,,,IF(INDIRECT(ADDRESS(340,3,,,"MATCHS"))&gt;INDIRECT(ADDRESS(340,5,,,"MATCHS")),1,0),,,,IF(INDIRECT(ADDRESS(380,3,,,"MATCHS"))&gt;INDIRECT(ADDRESS(380,5,,,"MATCHS")),1,0),,,,IF(INDIRECT(ADDRESS(420,3,,,"MATCHS"))&gt;INDIRECT(ADDRESS(420,5,,,"MATCHS")),1,0),,,,IF(INDIRECT(ADDRESS(460,3,,,"MATCHS"))&gt;INDIRECT(ADDRESS(460,5,,,"MATCHS")),1,0),,) + 0.1 * J43</f>
        <v>0</v>
      </c>
      <c r="F43" s="51">
        <f ca="1">SUM(,IF(INDIRECT(ADDRESS(19,5,,,"MATCHS"))&lt;INDIRECT(ADDRESS(19,3,,,"MATCHS")),1,0),,,,IF(INDIRECT(ADDRESS(60,3,,,"MATCHS"))&lt;INDIRECT(ADDRESS(60,5,,,"MATCHS")),1,0),,,,IF(INDIRECT(ADDRESS(100,3,,,"MATCHS"))&lt;INDIRECT(ADDRESS(100,5,,,"MATCHS")),1,0),,,,IF(INDIRECT(ADDRESS(140,3,,,"MATCHS"))&lt;INDIRECT(ADDRESS(140,5,,,"MATCHS")),1,0),,,,IF(INDIRECT(ADDRESS(180,3,,,"MATCHS"))&lt;INDIRECT(ADDRESS(180,5,,,"MATCHS")),1,0),,,,IF(INDIRECT(ADDRESS(220,3,,,"MATCHS"))&lt;INDIRECT(ADDRESS(220,5,,,"MATCHS")),1,0),,,,IF(INDIRECT(ADDRESS(260,3,,,"MATCHS"))&lt;INDIRECT(ADDRESS(260,5,,,"MATCHS")),1,0),,,,IF(INDIRECT(ADDRESS(300,3,,,"MATCHS"))&lt;INDIRECT(ADDRESS(300,5,,,"MATCHS")),1,0),,,,IF(INDIRECT(ADDRESS(340,3,,,"MATCHS"))&lt;INDIRECT(ADDRESS(340,5,,,"MATCHS")),1,0),,,,IF(INDIRECT(ADDRESS(380,3,,,"MATCHS"))&lt;INDIRECT(ADDRESS(380,5,,,"MATCHS")),1,0),,,,IF(INDIRECT(ADDRESS(420,3,,,"MATCHS"))&lt;INDIRECT(ADDRESS(420,5,,,"MATCHS")),1,0),,,,IF(INDIRECT(ADDRESS(460,3,,,"MATCHS"))&lt;INDIRECT(ADDRESS(460,5,,,"MATCHS")),1,0),,)</f>
        <v>0</v>
      </c>
      <c r="G43" s="51">
        <f ca="1">SUM(,INDIRECT(ADDRESS(19,5,,,"MATCHS")),,,,INDIRECT(ADDRESS(60,3,,,"MATCHS")),,,,INDIRECT(ADDRESS(100,3,,,"MATCHS")),,,,INDIRECT(ADDRESS(140,3,,,"MATCHS")),,,,INDIRECT(ADDRESS(180,3,,,"MATCHS")),,,,INDIRECT(ADDRESS(220,3,,,"MATCHS")),,,,INDIRECT(ADDRESS(260,3,,,"MATCHS")),,,,INDIRECT(ADDRESS(300,3,,,"MATCHS")),,,,INDIRECT(ADDRESS(340,3,,,"MATCHS")),,,,INDIRECT(ADDRESS(380,3,,,"MATCHS")),,,,INDIRECT(ADDRESS(420,3,,,"MATCHS")),,,,INDIRECT(ADDRESS(460,3,,,"MATCHS")),,)</f>
        <v>0</v>
      </c>
      <c r="H43" s="51">
        <f ca="1">SUM(,INDIRECT(ADDRESS(19,3,,,"MATCHS")),,,,INDIRECT(ADDRESS(60,5,,,"MATCHS")),,,,INDIRECT(ADDRESS(100,5,,,"MATCHS")),,,,INDIRECT(ADDRESS(140,5,,,"MATCHS")),,,,INDIRECT(ADDRESS(180,5,,,"MATCHS")),,,,INDIRECT(ADDRESS(220,5,,,"MATCHS")),,,,INDIRECT(ADDRESS(260,5,,,"MATCHS")),,,,INDIRECT(ADDRESS(300,5,,,"MATCHS")),,,,INDIRECT(ADDRESS(340,5,,,"MATCHS")),,,,INDIRECT(ADDRESS(380,5,,,"MATCHS")),,,,INDIRECT(ADDRESS(420,5,,,"MATCHS")),,,,INDIRECT(ADDRESS(460,5,,,"MATCHS")),,)</f>
        <v>0</v>
      </c>
      <c r="I43" s="51">
        <f t="shared" ca="1" si="4"/>
        <v>0</v>
      </c>
      <c r="J43" s="51">
        <v>0</v>
      </c>
      <c r="K43" s="51">
        <v>2</v>
      </c>
      <c r="L43" s="51">
        <v>2</v>
      </c>
      <c r="M43" s="69"/>
    </row>
    <row r="44" spans="1:13" ht="15.75" x14ac:dyDescent="0.25">
      <c r="A44" s="186"/>
      <c r="B44" s="51">
        <v>3</v>
      </c>
      <c r="C44" s="51" t="s">
        <v>108</v>
      </c>
      <c r="D44" s="51" t="str">
        <f>INSCRIPTS_PH!C38</f>
        <v>3C</v>
      </c>
      <c r="E44" s="89">
        <f ca="1">SUM(,IF(INDIRECT(ADDRESS(20,3,,,"MATCHS"))&gt;INDIRECT(ADDRESS(20,5,,,"MATCHS")),1,0),,,,IF(INDIRECT(ADDRESS(59,5,,,"MATCHS"))&gt;INDIRECT(ADDRESS(59,3,,,"MATCHS")),1,0),,,,IF(INDIRECT(ADDRESS(100,5,,,"MATCHS"))&gt;INDIRECT(ADDRESS(100,3,,,"MATCHS")),1,0),,,,,IF(INDIRECT(ADDRESS(142,3,,,"MATCHS"))&gt;INDIRECT(ADDRESS(142,5,,,"MATCHS")),1,0),,,,IF(INDIRECT(ADDRESS(182,3,,,"MATCHS"))&gt;INDIRECT(ADDRESS(182,5,,,"MATCHS")),1,0),,,,IF(INDIRECT(ADDRESS(222,3,,,"MATCHS"))&gt;INDIRECT(ADDRESS(222,5,,,"MATCHS")),1,0),,,,IF(INDIRECT(ADDRESS(262,3,,,"MATCHS"))&gt;INDIRECT(ADDRESS(262,5,,,"MATCHS")),1,0),,,,IF(INDIRECT(ADDRESS(302,3,,,"MATCHS"))&gt;INDIRECT(ADDRESS(302,5,,,"MATCHS")),1,0),,,,IF(INDIRECT(ADDRESS(342,3,,,"MATCHS"))&gt;INDIRECT(ADDRESS(342,5,,,"MATCHS")),1,0),,,,IF(INDIRECT(ADDRESS(382,3,,,"MATCHS"))&gt;INDIRECT(ADDRESS(382,5,,,"MATCHS")),1,0),,,,IF(INDIRECT(ADDRESS(422,3,,,"MATCHS"))&gt;INDIRECT(ADDRESS(422,5,,,"MATCHS")),1,0),,,,IF(INDIRECT(ADDRESS(462,3,,,"MATCHS"))&gt;INDIRECT(ADDRESS(462,5,,,"MATCHS")),1,0),) + 0.1 * J44</f>
        <v>0</v>
      </c>
      <c r="F44" s="51">
        <f ca="1">SUM(,IF(INDIRECT(ADDRESS(20,3,,,"MATCHS"))&lt;INDIRECT(ADDRESS(20,5,,,"MATCHS")),1,0),,,,IF(INDIRECT(ADDRESS(59,5,,,"MATCHS"))&lt;INDIRECT(ADDRESS(59,3,,,"MATCHS")),1,0),,,,IF(INDIRECT(ADDRESS(100,5,,,"MATCHS"))&lt;INDIRECT(ADDRESS(100,3,,,"MATCHS")),1,0),,,,,IF(INDIRECT(ADDRESS(142,3,,,"MATCHS"))&lt;INDIRECT(ADDRESS(142,5,,,"MATCHS")),1,0),,,,IF(INDIRECT(ADDRESS(182,3,,,"MATCHS"))&lt;INDIRECT(ADDRESS(182,5,,,"MATCHS")),1,0),,,,IF(INDIRECT(ADDRESS(222,3,,,"MATCHS"))&lt;INDIRECT(ADDRESS(222,5,,,"MATCHS")),1,0),,,,IF(INDIRECT(ADDRESS(262,3,,,"MATCHS"))&lt;INDIRECT(ADDRESS(262,5,,,"MATCHS")),1,0),,,,IF(INDIRECT(ADDRESS(302,3,,,"MATCHS"))&lt;INDIRECT(ADDRESS(302,5,,,"MATCHS")),1,0),,,,IF(INDIRECT(ADDRESS(342,3,,,"MATCHS"))&lt;INDIRECT(ADDRESS(342,5,,,"MATCHS")),1,0),,,,IF(INDIRECT(ADDRESS(382,3,,,"MATCHS"))&lt;INDIRECT(ADDRESS(382,5,,,"MATCHS")),1,0),,,,IF(INDIRECT(ADDRESS(422,3,,,"MATCHS"))&lt;INDIRECT(ADDRESS(422,5,,,"MATCHS")),1,0),,,,IF(INDIRECT(ADDRESS(462,3,,,"MATCHS"))&lt;INDIRECT(ADDRESS(462,5,,,"MATCHS")),1,0),)</f>
        <v>0</v>
      </c>
      <c r="G44" s="51">
        <f ca="1">SUM(,INDIRECT(ADDRESS(20,3,,,"MATCHS")),,,,INDIRECT(ADDRESS(59,5,,,"MATCHS")),,,,INDIRECT(ADDRESS(100,5,,,"MATCHS")),,,,,INDIRECT(ADDRESS(142,3,,,"MATCHS")),,,,INDIRECT(ADDRESS(182,3,,,"MATCHS")),,,,INDIRECT(ADDRESS(222,3,,,"MATCHS")),,,,INDIRECT(ADDRESS(262,3,,,"MATCHS")),,,,INDIRECT(ADDRESS(302,3,,,"MATCHS")),,,,INDIRECT(ADDRESS(342,3,,,"MATCHS")),,,,INDIRECT(ADDRESS(382,3,,,"MATCHS")),,,,INDIRECT(ADDRESS(422,3,,,"MATCHS")),,,,INDIRECT(ADDRESS(462,3,,,"MATCHS")),)</f>
        <v>0</v>
      </c>
      <c r="H44" s="51">
        <f ca="1">SUM(,INDIRECT(ADDRESS(20,5,,,"MATCHS")),,,,INDIRECT(ADDRESS(59,3,,,"MATCHS")),,,,INDIRECT(ADDRESS(100,3,,,"MATCHS")),,,,,INDIRECT(ADDRESS(142,5,,,"MATCHS")),,,,INDIRECT(ADDRESS(182,5,,,"MATCHS")),,,,INDIRECT(ADDRESS(222,5,,,"MATCHS")),,,,INDIRECT(ADDRESS(262,5,,,"MATCHS")),,,,INDIRECT(ADDRESS(302,5,,,"MATCHS")),,,,INDIRECT(ADDRESS(342,5,,,"MATCHS")),,,,INDIRECT(ADDRESS(382,5,,,"MATCHS")),,,,INDIRECT(ADDRESS(422,5,,,"MATCHS")),,,,INDIRECT(ADDRESS(462,5,,,"MATCHS")),)</f>
        <v>0</v>
      </c>
      <c r="I44" s="51">
        <f t="shared" ca="1" si="4"/>
        <v>0</v>
      </c>
      <c r="J44" s="51">
        <v>0</v>
      </c>
      <c r="K44" s="51">
        <v>3</v>
      </c>
      <c r="L44" s="51">
        <v>3</v>
      </c>
      <c r="M44" s="69"/>
    </row>
    <row r="45" spans="1:13" ht="15.75" x14ac:dyDescent="0.25">
      <c r="A45" s="186"/>
      <c r="B45" s="51">
        <v>4</v>
      </c>
      <c r="C45" s="51" t="s">
        <v>109</v>
      </c>
      <c r="D45" s="51" t="str">
        <f>INSCRIPTS_PH!C39</f>
        <v>4C</v>
      </c>
      <c r="E45" s="89">
        <f ca="1">SUM(,IF(INDIRECT(ADDRESS(20,5,,,"MATCHS"))&gt;INDIRECT(ADDRESS(20,3,,,"MATCHS")),1,0),,,,IF(INDIRECT(ADDRESS(60,5,,,"MATCHS"))&gt;INDIRECT(ADDRESS(60,3,,,"MATCHS")),1,0),,,,IF(INDIRECT(ADDRESS(99,5,,,"MATCHS"))&gt;INDIRECT(ADDRESS(99,3,,,"MATCHS")),1,0),,,,,IF(INDIRECT(ADDRESS(143,3,,,"MATCHS"))&gt;INDIRECT(ADDRESS(143,5,,,"MATCHS")),1,0),,,,IF(INDIRECT(ADDRESS(183,3,,,"MATCHS"))&gt;INDIRECT(ADDRESS(183,5,,,"MATCHS")),1,0),,,,IF(INDIRECT(ADDRESS(223,3,,,"MATCHS"))&gt;INDIRECT(ADDRESS(223,5,,,"MATCHS")),1,0),,,,IF(INDIRECT(ADDRESS(263,3,,,"MATCHS"))&gt;INDIRECT(ADDRESS(263,5,,,"MATCHS")),1,0),,,,IF(INDIRECT(ADDRESS(303,3,,,"MATCHS"))&gt;INDIRECT(ADDRESS(303,5,,,"MATCHS")),1,0),,,,IF(INDIRECT(ADDRESS(343,3,,,"MATCHS"))&gt;INDIRECT(ADDRESS(343,5,,,"MATCHS")),1,0),,,,IF(INDIRECT(ADDRESS(383,3,,,"MATCHS"))&gt;INDIRECT(ADDRESS(383,5,,,"MATCHS")),1,0),,,,IF(INDIRECT(ADDRESS(423,3,,,"MATCHS"))&gt;INDIRECT(ADDRESS(423,5,,,"MATCHS")),1,0),,,,IF(INDIRECT(ADDRESS(463,3,,,"MATCHS"))&gt;INDIRECT(ADDRESS(463,5,,,"MATCHS")),1,0),) + 0.1 * J45</f>
        <v>0</v>
      </c>
      <c r="F45" s="51">
        <f ca="1">SUM(,IF(INDIRECT(ADDRESS(20,5,,,"MATCHS"))&lt;INDIRECT(ADDRESS(20,3,,,"MATCHS")),1,0),,,,IF(INDIRECT(ADDRESS(60,5,,,"MATCHS"))&lt;INDIRECT(ADDRESS(60,3,,,"MATCHS")),1,0),,,,IF(INDIRECT(ADDRESS(99,5,,,"MATCHS"))&lt;INDIRECT(ADDRESS(99,3,,,"MATCHS")),1,0),,,,,IF(INDIRECT(ADDRESS(143,3,,,"MATCHS"))&lt;INDIRECT(ADDRESS(143,5,,,"MATCHS")),1,0),,,,IF(INDIRECT(ADDRESS(183,3,,,"MATCHS"))&lt;INDIRECT(ADDRESS(183,5,,,"MATCHS")),1,0),,,,IF(INDIRECT(ADDRESS(223,3,,,"MATCHS"))&lt;INDIRECT(ADDRESS(223,5,,,"MATCHS")),1,0),,,,IF(INDIRECT(ADDRESS(263,3,,,"MATCHS"))&lt;INDIRECT(ADDRESS(263,5,,,"MATCHS")),1,0),,,,IF(INDIRECT(ADDRESS(303,3,,,"MATCHS"))&lt;INDIRECT(ADDRESS(303,5,,,"MATCHS")),1,0),,,,IF(INDIRECT(ADDRESS(343,3,,,"MATCHS"))&lt;INDIRECT(ADDRESS(343,5,,,"MATCHS")),1,0),,,,IF(INDIRECT(ADDRESS(383,3,,,"MATCHS"))&lt;INDIRECT(ADDRESS(383,5,,,"MATCHS")),1,0),,,,IF(INDIRECT(ADDRESS(423,3,,,"MATCHS"))&lt;INDIRECT(ADDRESS(423,5,,,"MATCHS")),1,0),,,,IF(INDIRECT(ADDRESS(463,3,,,"MATCHS"))&lt;INDIRECT(ADDRESS(463,5,,,"MATCHS")),1,0),)</f>
        <v>0</v>
      </c>
      <c r="G45" s="51">
        <f ca="1">SUM(,INDIRECT(ADDRESS(20,5,,,"MATCHS")),,,,INDIRECT(ADDRESS(60,5,,,"MATCHS")),,,,INDIRECT(ADDRESS(99,5,,,"MATCHS")),,,,,INDIRECT(ADDRESS(143,3,,,"MATCHS")),,,,INDIRECT(ADDRESS(183,3,,,"MATCHS")),,,,INDIRECT(ADDRESS(223,3,,,"MATCHS")),,,,INDIRECT(ADDRESS(263,3,,,"MATCHS")),,,,INDIRECT(ADDRESS(303,3,,,"MATCHS")),,,,INDIRECT(ADDRESS(343,3,,,"MATCHS")),,,,INDIRECT(ADDRESS(383,3,,,"MATCHS")),,,,INDIRECT(ADDRESS(423,3,,,"MATCHS")),,,,INDIRECT(ADDRESS(463,3,,,"MATCHS")),)</f>
        <v>0</v>
      </c>
      <c r="H45" s="51">
        <f ca="1">SUM(,INDIRECT(ADDRESS(20,3,,,"MATCHS")),,,,INDIRECT(ADDRESS(60,3,,,"MATCHS")),,,,INDIRECT(ADDRESS(99,3,,,"MATCHS")),,,,,INDIRECT(ADDRESS(143,5,,,"MATCHS")),,,,INDIRECT(ADDRESS(183,5,,,"MATCHS")),,,,INDIRECT(ADDRESS(223,5,,,"MATCHS")),,,,INDIRECT(ADDRESS(263,5,,,"MATCHS")),,,,INDIRECT(ADDRESS(303,5,,,"MATCHS")),,,,INDIRECT(ADDRESS(343,5,,,"MATCHS")),,,,INDIRECT(ADDRESS(383,5,,,"MATCHS")),,,,INDIRECT(ADDRESS(423,5,,,"MATCHS")),,,,INDIRECT(ADDRESS(463,5,,,"MATCHS")),)</f>
        <v>0</v>
      </c>
      <c r="I45" s="51">
        <f t="shared" ca="1" si="4"/>
        <v>0</v>
      </c>
      <c r="J45" s="51">
        <v>0</v>
      </c>
      <c r="K45" s="51">
        <v>4</v>
      </c>
      <c r="L45" s="51">
        <v>4</v>
      </c>
      <c r="M45" s="69"/>
    </row>
    <row r="46" spans="1:13" ht="15.75" x14ac:dyDescent="0.25">
      <c r="A46" s="186"/>
      <c r="B46" s="51">
        <v>5</v>
      </c>
      <c r="C46" s="51" t="s">
        <v>110</v>
      </c>
      <c r="D46" s="51" t="str">
        <f>INSCRIPTS_PH!C40</f>
        <v>5C</v>
      </c>
      <c r="E46" s="89">
        <f ca="1">SUM(,,IF(INDIRECT(ADDRESS(22,3,,,"MATCHS"))&gt;INDIRECT(ADDRESS(22,5,,,"MATCHS")),1,0),,,,IF(INDIRECT(ADDRESS(62,3,,,"MATCHS"))&gt;INDIRECT(ADDRESS(62,5,,,"MATCHS")),1,0),,,,IF(INDIRECT(ADDRESS(102,3,,,"MATCHS"))&gt;INDIRECT(ADDRESS(102,5,,,"MATCHS")),1,0),,,IF(INDIRECT(ADDRESS(139,5,,,"MATCHS"))&gt;INDIRECT(ADDRESS(139,3,,,"MATCHS")),1,0),,,,IF(INDIRECT(ADDRESS(180,5,,,"MATCHS"))&gt;INDIRECT(ADDRESS(180,3,,,"MATCHS")),1,0),,,,,IF(INDIRECT(ADDRESS(222,5,,,"MATCHS"))&gt;INDIRECT(ADDRESS(222,3,,,"MATCHS")),1,0),,,,IF(INDIRECT(ADDRESS(263,5,,,"MATCHS"))&gt;INDIRECT(ADDRESS(263,3,,,"MATCHS")),1,0),,,,IF(INDIRECT(ADDRESS(304,3,,,"MATCHS"))&gt;INDIRECT(ADDRESS(304,5,,,"MATCHS")),1,0),,,,IF(INDIRECT(ADDRESS(344,3,,,"MATCHS"))&gt;INDIRECT(ADDRESS(344,5,,,"MATCHS")),1,0),,,,IF(INDIRECT(ADDRESS(384,3,,,"MATCHS"))&gt;INDIRECT(ADDRESS(384,5,,,"MATCHS")),1,0),,,,IF(INDIRECT(ADDRESS(424,3,,,"MATCHS"))&gt;INDIRECT(ADDRESS(424,5,,,"MATCHS")),1,0),,,,IF(INDIRECT(ADDRESS(464,3,,,"MATCHS"))&gt;INDIRECT(ADDRESS(464,5,,,"MATCHS")),1,0),) + 0.1 * J46</f>
        <v>0</v>
      </c>
      <c r="F46" s="51">
        <f ca="1">SUM(,,IF(INDIRECT(ADDRESS(22,3,,,"MATCHS"))&lt;INDIRECT(ADDRESS(22,5,,,"MATCHS")),1,0),,,,IF(INDIRECT(ADDRESS(62,3,,,"MATCHS"))&lt;INDIRECT(ADDRESS(62,5,,,"MATCHS")),1,0),,,,IF(INDIRECT(ADDRESS(102,3,,,"MATCHS"))&lt;INDIRECT(ADDRESS(102,5,,,"MATCHS")),1,0),,,IF(INDIRECT(ADDRESS(139,5,,,"MATCHS"))&lt;INDIRECT(ADDRESS(139,3,,,"MATCHS")),1,0),,,,IF(INDIRECT(ADDRESS(180,5,,,"MATCHS"))&lt;INDIRECT(ADDRESS(180,3,,,"MATCHS")),1,0),,,,,IF(INDIRECT(ADDRESS(222,5,,,"MATCHS"))&lt;INDIRECT(ADDRESS(222,3,,,"MATCHS")),1,0),,,,IF(INDIRECT(ADDRESS(263,5,,,"MATCHS"))&lt;INDIRECT(ADDRESS(263,3,,,"MATCHS")),1,0),,,,IF(INDIRECT(ADDRESS(304,3,,,"MATCHS"))&lt;INDIRECT(ADDRESS(304,5,,,"MATCHS")),1,0),,,,IF(INDIRECT(ADDRESS(344,3,,,"MATCHS"))&lt;INDIRECT(ADDRESS(344,5,,,"MATCHS")),1,0),,,,IF(INDIRECT(ADDRESS(384,3,,,"MATCHS"))&lt;INDIRECT(ADDRESS(384,5,,,"MATCHS")),1,0),,,,IF(INDIRECT(ADDRESS(424,3,,,"MATCHS"))&lt;INDIRECT(ADDRESS(424,5,,,"MATCHS")),1,0),,,,IF(INDIRECT(ADDRESS(464,3,,,"MATCHS"))&lt;INDIRECT(ADDRESS(464,5,,,"MATCHS")),1,0),)</f>
        <v>0</v>
      </c>
      <c r="G46" s="51">
        <f ca="1">SUM(,,INDIRECT(ADDRESS(22,3,,,"MATCHS")),,,,INDIRECT(ADDRESS(62,3,,,"MATCHS")),,,,INDIRECT(ADDRESS(102,3,,,"MATCHS")),,,INDIRECT(ADDRESS(139,5,,,"MATCHS")),,,,INDIRECT(ADDRESS(180,5,,,"MATCHS")),,,,,INDIRECT(ADDRESS(222,5,,,"MATCHS")),,,,INDIRECT(ADDRESS(263,5,,,"MATCHS")),,,,INDIRECT(ADDRESS(304,3,,,"MATCHS")),,,,INDIRECT(ADDRESS(344,3,,,"MATCHS")),,,,INDIRECT(ADDRESS(384,3,,,"MATCHS")),,,,INDIRECT(ADDRESS(424,3,,,"MATCHS")),,,,INDIRECT(ADDRESS(464,3,,,"MATCHS")),)</f>
        <v>0</v>
      </c>
      <c r="H46" s="51">
        <f ca="1">SUM(,,INDIRECT(ADDRESS(22,5,,,"MATCHS")),,,,INDIRECT(ADDRESS(62,5,,,"MATCHS")),,,,INDIRECT(ADDRESS(102,5,,,"MATCHS")),,,INDIRECT(ADDRESS(139,3,,,"MATCHS")),,,,INDIRECT(ADDRESS(180,3,,,"MATCHS")),,,,,INDIRECT(ADDRESS(222,3,,,"MATCHS")),,,,INDIRECT(ADDRESS(263,3,,,"MATCHS")),,,,INDIRECT(ADDRESS(304,5,,,"MATCHS")),,,,INDIRECT(ADDRESS(344,5,,,"MATCHS")),,,,INDIRECT(ADDRESS(384,5,,,"MATCHS")),,,,INDIRECT(ADDRESS(424,5,,,"MATCHS")),,,,INDIRECT(ADDRESS(464,5,,,"MATCHS")),)</f>
        <v>0</v>
      </c>
      <c r="I46" s="51">
        <f t="shared" ca="1" si="4"/>
        <v>0</v>
      </c>
      <c r="J46" s="51">
        <v>0</v>
      </c>
      <c r="K46" s="51">
        <v>5</v>
      </c>
      <c r="L46" s="51">
        <v>4</v>
      </c>
      <c r="M46" s="69"/>
    </row>
    <row r="47" spans="1:13" ht="15.75" x14ac:dyDescent="0.25">
      <c r="A47" s="186"/>
      <c r="B47" s="51">
        <v>6</v>
      </c>
      <c r="C47" s="51" t="s">
        <v>254</v>
      </c>
      <c r="D47" s="51" t="str">
        <f>INSCRIPTS_PH!C41</f>
        <v>6C</v>
      </c>
      <c r="E47" s="89">
        <f ca="1">SUM(,,IF(INDIRECT(ADDRESS(22,5,,,"MATCHS"))&gt;INDIRECT(ADDRESS(22,3,,,"MATCHS")),1,0),,,,IF(INDIRECT(ADDRESS(63,3,,,"MATCHS"))&gt;INDIRECT(ADDRESS(63,5,,,"MATCHS")),1,0),,,,IF(INDIRECT(ADDRESS(103,3,,,"MATCHS"))&gt;INDIRECT(ADDRESS(103,5,,,"MATCHS")),1,0),,,IF(INDIRECT(ADDRESS(140,5,,,"MATCHS"))&gt;INDIRECT(ADDRESS(140,3,,,"MATCHS")),1,0),,,,IF(INDIRECT(ADDRESS(179,5,,,"MATCHS"))&gt;INDIRECT(ADDRESS(179,3,,,"MATCHS")),1,0),,,,,IF(INDIRECT(ADDRESS(223,5,,,"MATCHS"))&gt;INDIRECT(ADDRESS(223,3,,,"MATCHS")),1,0),,,,IF(INDIRECT(ADDRESS(262,5,,,"MATCHS"))&gt;INDIRECT(ADDRESS(262,3,,,"MATCHS")),1,0),,,,IF(INDIRECT(ADDRESS(305,3,,,"MATCHS"))&gt;INDIRECT(ADDRESS(305,5,,,"MATCHS")),1,0),,,,IF(INDIRECT(ADDRESS(345,3,,,"MATCHS"))&gt;INDIRECT(ADDRESS(345,5,,,"MATCHS")),1,0),,,,IF(INDIRECT(ADDRESS(385,3,,,"MATCHS"))&gt;INDIRECT(ADDRESS(385,5,,,"MATCHS")),1,0),,,,IF(INDIRECT(ADDRESS(425,3,,,"MATCHS"))&gt;INDIRECT(ADDRESS(425,5,,,"MATCHS")),1,0),,,,IF(INDIRECT(ADDRESS(465,3,,,"MATCHS"))&gt;INDIRECT(ADDRESS(465,5,,,"MATCHS")),1,0),) + 0.1 * J47</f>
        <v>0</v>
      </c>
      <c r="F47" s="51">
        <f ca="1">SUM(,,IF(INDIRECT(ADDRESS(22,5,,,"MATCHS"))&lt;INDIRECT(ADDRESS(22,3,,,"MATCHS")),1,0),,,,IF(INDIRECT(ADDRESS(63,3,,,"MATCHS"))&lt;INDIRECT(ADDRESS(63,5,,,"MATCHS")),1,0),,,,IF(INDIRECT(ADDRESS(103,3,,,"MATCHS"))&lt;INDIRECT(ADDRESS(103,5,,,"MATCHS")),1,0),,,IF(INDIRECT(ADDRESS(140,5,,,"MATCHS"))&lt;INDIRECT(ADDRESS(140,3,,,"MATCHS")),1,0),,,,IF(INDIRECT(ADDRESS(179,5,,,"MATCHS"))&lt;INDIRECT(ADDRESS(179,3,,,"MATCHS")),1,0),,,,,IF(INDIRECT(ADDRESS(223,5,,,"MATCHS"))&lt;INDIRECT(ADDRESS(223,3,,,"MATCHS")),1,0),,,,IF(INDIRECT(ADDRESS(262,5,,,"MATCHS"))&lt;INDIRECT(ADDRESS(262,3,,,"MATCHS")),1,0),,,,IF(INDIRECT(ADDRESS(305,3,,,"MATCHS"))&lt;INDIRECT(ADDRESS(305,5,,,"MATCHS")),1,0),,,,IF(INDIRECT(ADDRESS(345,3,,,"MATCHS"))&lt;INDIRECT(ADDRESS(345,5,,,"MATCHS")),1,0),,,,IF(INDIRECT(ADDRESS(385,3,,,"MATCHS"))&lt;INDIRECT(ADDRESS(385,5,,,"MATCHS")),1,0),,,,IF(INDIRECT(ADDRESS(425,3,,,"MATCHS"))&lt;INDIRECT(ADDRESS(425,5,,,"MATCHS")),1,0),,,,IF(INDIRECT(ADDRESS(465,3,,,"MATCHS"))&lt;INDIRECT(ADDRESS(465,5,,,"MATCHS")),1,0),)</f>
        <v>0</v>
      </c>
      <c r="G47" s="51">
        <f ca="1">SUM(,,INDIRECT(ADDRESS(22,5,,,"MATCHS")),,,,INDIRECT(ADDRESS(63,3,,,"MATCHS")),,,,INDIRECT(ADDRESS(103,3,,,"MATCHS")),,,INDIRECT(ADDRESS(140,5,,,"MATCHS")),,,,INDIRECT(ADDRESS(179,5,,,"MATCHS")),,,,,INDIRECT(ADDRESS(223,5,,,"MATCHS")),,,,INDIRECT(ADDRESS(262,5,,,"MATCHS")),,,,INDIRECT(ADDRESS(305,3,,,"MATCHS")),,,,INDIRECT(ADDRESS(345,3,,,"MATCHS")),,,,INDIRECT(ADDRESS(385,3,,,"MATCHS")),,,,INDIRECT(ADDRESS(425,3,,,"MATCHS")),,,,INDIRECT(ADDRESS(465,3,,,"MATCHS")),)</f>
        <v>0</v>
      </c>
      <c r="H47" s="51">
        <f ca="1">SUM(,,INDIRECT(ADDRESS(22,3,,,"MATCHS")),,,,INDIRECT(ADDRESS(63,5,,,"MATCHS")),,,,INDIRECT(ADDRESS(103,5,,,"MATCHS")),,,INDIRECT(ADDRESS(140,3,,,"MATCHS")),,,,INDIRECT(ADDRESS(179,3,,,"MATCHS")),,,,,INDIRECT(ADDRESS(223,3,,,"MATCHS")),,,,INDIRECT(ADDRESS(262,3,,,"MATCHS")),,,,INDIRECT(ADDRESS(305,5,,,"MATCHS")),,,,INDIRECT(ADDRESS(345,5,,,"MATCHS")),,,,INDIRECT(ADDRESS(385,5,,,"MATCHS")),,,,INDIRECT(ADDRESS(425,5,,,"MATCHS")),,,,INDIRECT(ADDRESS(465,5,,,"MATCHS")),)</f>
        <v>0</v>
      </c>
      <c r="I47" s="51">
        <f t="shared" ca="1" si="4"/>
        <v>0</v>
      </c>
      <c r="J47" s="51">
        <v>0</v>
      </c>
      <c r="K47" s="51">
        <v>6</v>
      </c>
      <c r="L47" s="51">
        <v>3</v>
      </c>
      <c r="M47" s="69"/>
    </row>
    <row r="48" spans="1:13" ht="15.75" x14ac:dyDescent="0.25">
      <c r="A48" s="186"/>
      <c r="B48" s="51">
        <v>7</v>
      </c>
      <c r="C48" s="51" t="s">
        <v>255</v>
      </c>
      <c r="D48" s="51" t="str">
        <f>INSCRIPTS_PH!C42</f>
        <v>7C</v>
      </c>
      <c r="E48" s="89">
        <f ca="1">SUM(,,IF(INDIRECT(ADDRESS(23,3,,,"MATCHS"))&gt;INDIRECT(ADDRESS(23,5,,,"MATCHS")),1,0),,,,IF(INDIRECT(ADDRESS(62,5,,,"MATCHS"))&gt;INDIRECT(ADDRESS(62,3,,,"MATCHS")),1,0),,,,IF(INDIRECT(ADDRESS(103,5,,,"MATCHS"))&gt;INDIRECT(ADDRESS(103,3,,,"MATCHS")),1,0),,,,IF(INDIRECT(ADDRESS(142,5,,,"MATCHS"))&gt;INDIRECT(ADDRESS(142,3,,,"MATCHS")),1,0),,,,IF(INDIRECT(ADDRESS(183,5,,,"MATCHS"))&gt;INDIRECT(ADDRESS(183,3,,,"MATCHS")),1,0),,,IF(INDIRECT(ADDRESS(219,5,,,"MATCHS"))&gt;INDIRECT(ADDRESS(219,3,,,"MATCHS")),1,0),,,,IF(INDIRECT(ADDRESS(260,5,,,"MATCHS"))&gt;INDIRECT(ADDRESS(260,3,,,"MATCHS")),1,0),,,,,IF(INDIRECT(ADDRESS(306,3,,,"MATCHS"))&gt;INDIRECT(ADDRESS(306,5,,,"MATCHS")),1,0),,,,IF(INDIRECT(ADDRESS(346,3,,,"MATCHS"))&gt;INDIRECT(ADDRESS(346,5,,,"MATCHS")),1,0),,,,IF(INDIRECT(ADDRESS(386,3,,,"MATCHS"))&gt;INDIRECT(ADDRESS(386,5,,,"MATCHS")),1,0),,,,IF(INDIRECT(ADDRESS(426,3,,,"MATCHS"))&gt;INDIRECT(ADDRESS(426,5,,,"MATCHS")),1,0),,,,IF(INDIRECT(ADDRESS(466,3,,,"MATCHS"))&gt;INDIRECT(ADDRESS(466,5,,,"MATCHS")),1,0),) + 0.1 * J48</f>
        <v>0</v>
      </c>
      <c r="F48" s="51">
        <f ca="1">SUM(,,IF(INDIRECT(ADDRESS(23,3,,,"MATCHS"))&lt;INDIRECT(ADDRESS(23,5,,,"MATCHS")),1,0),,,,IF(INDIRECT(ADDRESS(62,5,,,"MATCHS"))&lt;INDIRECT(ADDRESS(62,3,,,"MATCHS")),1,0),,,,IF(INDIRECT(ADDRESS(103,5,,,"MATCHS"))&lt;INDIRECT(ADDRESS(103,3,,,"MATCHS")),1,0),,,,IF(INDIRECT(ADDRESS(142,5,,,"MATCHS"))&lt;INDIRECT(ADDRESS(142,3,,,"MATCHS")),1,0),,,,IF(INDIRECT(ADDRESS(183,5,,,"MATCHS"))&lt;INDIRECT(ADDRESS(183,3,,,"MATCHS")),1,0),,,IF(INDIRECT(ADDRESS(219,5,,,"MATCHS"))&lt;INDIRECT(ADDRESS(219,3,,,"MATCHS")),1,0),,,,IF(INDIRECT(ADDRESS(260,5,,,"MATCHS"))&lt;INDIRECT(ADDRESS(260,3,,,"MATCHS")),1,0),,,,,IF(INDIRECT(ADDRESS(306,3,,,"MATCHS"))&lt;INDIRECT(ADDRESS(306,5,,,"MATCHS")),1,0),,,,IF(INDIRECT(ADDRESS(346,3,,,"MATCHS"))&lt;INDIRECT(ADDRESS(346,5,,,"MATCHS")),1,0),,,,IF(INDIRECT(ADDRESS(386,3,,,"MATCHS"))&lt;INDIRECT(ADDRESS(386,5,,,"MATCHS")),1,0),,,,IF(INDIRECT(ADDRESS(426,3,,,"MATCHS"))&lt;INDIRECT(ADDRESS(426,5,,,"MATCHS")),1,0),,,,IF(INDIRECT(ADDRESS(466,3,,,"MATCHS"))&lt;INDIRECT(ADDRESS(466,5,,,"MATCHS")),1,0),)</f>
        <v>0</v>
      </c>
      <c r="G48" s="51">
        <f ca="1">SUM(,,INDIRECT(ADDRESS(23,3,,,"MATCHS")),,,,INDIRECT(ADDRESS(62,5,,,"MATCHS")),,,,INDIRECT(ADDRESS(103,5,,,"MATCHS")),,,,INDIRECT(ADDRESS(142,5,,,"MATCHS")),,,,INDIRECT(ADDRESS(183,5,,,"MATCHS")),,,INDIRECT(ADDRESS(219,5,,,"MATCHS")),,,,INDIRECT(ADDRESS(260,5,,,"MATCHS")),,,,,INDIRECT(ADDRESS(306,3,,,"MATCHS")),,,,INDIRECT(ADDRESS(346,3,,,"MATCHS")),,,,INDIRECT(ADDRESS(386,3,,,"MATCHS")),,,,INDIRECT(ADDRESS(426,3,,,"MATCHS")),,,,INDIRECT(ADDRESS(466,3,,,"MATCHS")),)</f>
        <v>0</v>
      </c>
      <c r="H48" s="51">
        <f ca="1">SUM(,,INDIRECT(ADDRESS(23,5,,,"MATCHS")),,,,INDIRECT(ADDRESS(62,3,,,"MATCHS")),,,,INDIRECT(ADDRESS(103,3,,,"MATCHS")),,,,INDIRECT(ADDRESS(142,3,,,"MATCHS")),,,,INDIRECT(ADDRESS(183,3,,,"MATCHS")),,,INDIRECT(ADDRESS(219,3,,,"MATCHS")),,,,INDIRECT(ADDRESS(260,3,,,"MATCHS")),,,,,INDIRECT(ADDRESS(306,5,,,"MATCHS")),,,,INDIRECT(ADDRESS(346,5,,,"MATCHS")),,,,INDIRECT(ADDRESS(386,5,,,"MATCHS")),,,,INDIRECT(ADDRESS(426,5,,,"MATCHS")),,,,INDIRECT(ADDRESS(466,5,,,"MATCHS")),)</f>
        <v>0</v>
      </c>
      <c r="I48" s="51">
        <f t="shared" ca="1" si="4"/>
        <v>0</v>
      </c>
      <c r="J48" s="51">
        <v>0</v>
      </c>
      <c r="K48" s="51">
        <v>7</v>
      </c>
      <c r="L48" s="51">
        <v>2</v>
      </c>
      <c r="M48" s="69"/>
    </row>
    <row r="49" spans="1:13" ht="15.75" x14ac:dyDescent="0.25">
      <c r="A49" s="186"/>
      <c r="B49" s="51">
        <v>8</v>
      </c>
      <c r="C49" s="51" t="s">
        <v>256</v>
      </c>
      <c r="D49" s="51" t="str">
        <f>INSCRIPTS_PH!C43</f>
        <v>8C</v>
      </c>
      <c r="E49" s="89">
        <f ca="1">SUM(,,IF(INDIRECT(ADDRESS(23,5,,,"MATCHS"))&gt;INDIRECT(ADDRESS(23,3,,,"MATCHS")),1,0),,,,IF(INDIRECT(ADDRESS(63,5,,,"MATCHS"))&gt;INDIRECT(ADDRESS(63,3,,,"MATCHS")),1,0),,,,IF(INDIRECT(ADDRESS(102,5,,,"MATCHS"))&gt;INDIRECT(ADDRESS(102,3,,,"MATCHS")),1,0),,,,IF(INDIRECT(ADDRESS(143,5,,,"MATCHS"))&gt;INDIRECT(ADDRESS(143,3,,,"MATCHS")),1,0),,,,IF(INDIRECT(ADDRESS(182,5,,,"MATCHS"))&gt;INDIRECT(ADDRESS(182,3,,,"MATCHS")),1,0),,,IF(INDIRECT(ADDRESS(220,5,,,"MATCHS"))&gt;INDIRECT(ADDRESS(220,3,,,"MATCHS")),1,0),,,,IF(INDIRECT(ADDRESS(259,5,,,"MATCHS"))&gt;INDIRECT(ADDRESS(259,3,,,"MATCHS")),1,0),,,,,IF(INDIRECT(ADDRESS(307,3,,,"MATCHS"))&gt;INDIRECT(ADDRESS(307,5,,,"MATCHS")),1,0),,,,IF(INDIRECT(ADDRESS(347,3,,,"MATCHS"))&gt;INDIRECT(ADDRESS(347,5,,,"MATCHS")),1,0),,,,IF(INDIRECT(ADDRESS(387,3,,,"MATCHS"))&gt;INDIRECT(ADDRESS(387,5,,,"MATCHS")),1,0),,,,IF(INDIRECT(ADDRESS(427,3,,,"MATCHS"))&gt;INDIRECT(ADDRESS(427,5,,,"MATCHS")),1,0),,,,IF(INDIRECT(ADDRESS(467,3,,,"MATCHS"))&gt;INDIRECT(ADDRESS(467,5,,,"MATCHS")),1,0),) + 0.1 * J49</f>
        <v>0</v>
      </c>
      <c r="F49" s="51">
        <f ca="1">SUM(,,IF(INDIRECT(ADDRESS(23,5,,,"MATCHS"))&lt;INDIRECT(ADDRESS(23,3,,,"MATCHS")),1,0),,,,IF(INDIRECT(ADDRESS(63,5,,,"MATCHS"))&lt;INDIRECT(ADDRESS(63,3,,,"MATCHS")),1,0),,,,IF(INDIRECT(ADDRESS(102,5,,,"MATCHS"))&lt;INDIRECT(ADDRESS(102,3,,,"MATCHS")),1,0),,,,IF(INDIRECT(ADDRESS(143,5,,,"MATCHS"))&lt;INDIRECT(ADDRESS(143,3,,,"MATCHS")),1,0),,,,IF(INDIRECT(ADDRESS(182,5,,,"MATCHS"))&lt;INDIRECT(ADDRESS(182,3,,,"MATCHS")),1,0),,,IF(INDIRECT(ADDRESS(220,5,,,"MATCHS"))&lt;INDIRECT(ADDRESS(220,3,,,"MATCHS")),1,0),,,,IF(INDIRECT(ADDRESS(259,5,,,"MATCHS"))&lt;INDIRECT(ADDRESS(259,3,,,"MATCHS")),1,0),,,,,IF(INDIRECT(ADDRESS(307,3,,,"MATCHS"))&lt;INDIRECT(ADDRESS(307,5,,,"MATCHS")),1,0),,,,IF(INDIRECT(ADDRESS(347,3,,,"MATCHS"))&lt;INDIRECT(ADDRESS(347,5,,,"MATCHS")),1,0),,,,IF(INDIRECT(ADDRESS(387,3,,,"MATCHS"))&lt;INDIRECT(ADDRESS(387,5,,,"MATCHS")),1,0),,,,IF(INDIRECT(ADDRESS(427,3,,,"MATCHS"))&lt;INDIRECT(ADDRESS(427,5,,,"MATCHS")),1,0),,,,IF(INDIRECT(ADDRESS(467,3,,,"MATCHS"))&lt;INDIRECT(ADDRESS(467,5,,,"MATCHS")),1,0),)</f>
        <v>0</v>
      </c>
      <c r="G49" s="51">
        <f ca="1">SUM(,,INDIRECT(ADDRESS(23,5,,,"MATCHS")),,,,INDIRECT(ADDRESS(63,5,,,"MATCHS")),,,,INDIRECT(ADDRESS(102,5,,,"MATCHS")),,,,INDIRECT(ADDRESS(143,5,,,"MATCHS")),,,,INDIRECT(ADDRESS(182,5,,,"MATCHS")),,,INDIRECT(ADDRESS(220,5,,,"MATCHS")),,,,INDIRECT(ADDRESS(259,5,,,"MATCHS")),,,,,INDIRECT(ADDRESS(307,3,,,"MATCHS")),,,,INDIRECT(ADDRESS(347,3,,,"MATCHS")),,,,INDIRECT(ADDRESS(387,3,,,"MATCHS")),,,,INDIRECT(ADDRESS(427,3,,,"MATCHS")),,,,INDIRECT(ADDRESS(467,3,,,"MATCHS")),)</f>
        <v>0</v>
      </c>
      <c r="H49" s="51">
        <f ca="1">SUM(,,INDIRECT(ADDRESS(23,3,,,"MATCHS")),,,,INDIRECT(ADDRESS(63,3,,,"MATCHS")),,,,INDIRECT(ADDRESS(102,3,,,"MATCHS")),,,,INDIRECT(ADDRESS(143,3,,,"MATCHS")),,,,INDIRECT(ADDRESS(182,3,,,"MATCHS")),,,INDIRECT(ADDRESS(220,3,,,"MATCHS")),,,,INDIRECT(ADDRESS(259,3,,,"MATCHS")),,,,,INDIRECT(ADDRESS(307,5,,,"MATCHS")),,,,INDIRECT(ADDRESS(347,5,,,"MATCHS")),,,,INDIRECT(ADDRESS(387,5,,,"MATCHS")),,,,INDIRECT(ADDRESS(427,5,,,"MATCHS")),,,,INDIRECT(ADDRESS(467,5,,,"MATCHS")),)</f>
        <v>0</v>
      </c>
      <c r="I49" s="51">
        <f t="shared" ca="1" si="4"/>
        <v>0</v>
      </c>
      <c r="J49" s="51">
        <v>0</v>
      </c>
      <c r="K49" s="51">
        <v>8</v>
      </c>
      <c r="L49" s="51">
        <v>1</v>
      </c>
      <c r="M49" s="69"/>
    </row>
    <row r="50" spans="1:13" ht="15.75" x14ac:dyDescent="0.25">
      <c r="A50" s="186"/>
      <c r="B50" s="51">
        <v>9</v>
      </c>
      <c r="C50" s="51" t="s">
        <v>257</v>
      </c>
      <c r="D50" s="51" t="str">
        <f>INSCRIPTS_PH!C44</f>
        <v>9C</v>
      </c>
      <c r="E50" s="89">
        <f ca="1">SUM(,,IF(INDIRECT(ADDRESS(24,3,,,"MATCHS"))&gt;INDIRECT(ADDRESS(24,5,,,"MATCHS")),1,0),,,,IF(INDIRECT(ADDRESS(64,3,,,"MATCHS"))&gt;INDIRECT(ADDRESS(64,5,,,"MATCHS")),1,0),,,,IF(INDIRECT(ADDRESS(104,3,,,"MATCHS"))&gt;INDIRECT(ADDRESS(104,5,,,"MATCHS")),1,0),,,,IF(INDIRECT(ADDRESS(144,3,,,"MATCHS"))&gt;INDIRECT(ADDRESS(144,5,,,"MATCHS")),1,0),,,,IF(INDIRECT(ADDRESS(184,3,,,"MATCHS"))&gt;INDIRECT(ADDRESS(184,5,,,"MATCHS")),1,0),,,,IF(INDIRECT(ADDRESS(224,3,,,"MATCHS"))&gt;INDIRECT(ADDRESS(224,5,,,"MATCHS")),1,0),,,,IF(INDIRECT(ADDRESS(264,3,,,"MATCHS"))&gt;INDIRECT(ADDRESS(264,5,,,"MATCHS")),1,0),,,IF(INDIRECT(ADDRESS(299,5,,,"MATCHS"))&gt;INDIRECT(ADDRESS(299,3,,,"MATCHS")),1,0),,,,IF(INDIRECT(ADDRESS(340,5,,,"MATCHS"))&gt;INDIRECT(ADDRESS(340,3,,,"MATCHS")),1,0),,,,,IF(INDIRECT(ADDRESS(382,5,,,"MATCHS"))&gt;INDIRECT(ADDRESS(382,3,,,"MATCHS")),1,0),,,,IF(INDIRECT(ADDRESS(423,5,,,"MATCHS"))&gt;INDIRECT(ADDRESS(423,3,,,"MATCHS")),1,0),,,,IF(INDIRECT(ADDRESS(464,5,,,"MATCHS"))&gt;INDIRECT(ADDRESS(464,3,,,"MATCHS")),1,0),) + 0.1 * J50</f>
        <v>0</v>
      </c>
      <c r="F50" s="51">
        <f ca="1">SUM(,,IF(INDIRECT(ADDRESS(24,3,,,"MATCHS"))&lt;INDIRECT(ADDRESS(24,5,,,"MATCHS")),1,0),,,,IF(INDIRECT(ADDRESS(64,3,,,"MATCHS"))&lt;INDIRECT(ADDRESS(64,5,,,"MATCHS")),1,0),,,,IF(INDIRECT(ADDRESS(104,3,,,"MATCHS"))&lt;INDIRECT(ADDRESS(104,5,,,"MATCHS")),1,0),,,,IF(INDIRECT(ADDRESS(144,3,,,"MATCHS"))&lt;INDIRECT(ADDRESS(144,5,,,"MATCHS")),1,0),,,,IF(INDIRECT(ADDRESS(184,3,,,"MATCHS"))&lt;INDIRECT(ADDRESS(184,5,,,"MATCHS")),1,0),,,,IF(INDIRECT(ADDRESS(224,3,,,"MATCHS"))&lt;INDIRECT(ADDRESS(224,5,,,"MATCHS")),1,0),,,,IF(INDIRECT(ADDRESS(264,3,,,"MATCHS"))&lt;INDIRECT(ADDRESS(264,5,,,"MATCHS")),1,0),,,IF(INDIRECT(ADDRESS(299,5,,,"MATCHS"))&lt;INDIRECT(ADDRESS(299,3,,,"MATCHS")),1,0),,,,IF(INDIRECT(ADDRESS(340,5,,,"MATCHS"))&lt;INDIRECT(ADDRESS(340,3,,,"MATCHS")),1,0),,,,,IF(INDIRECT(ADDRESS(382,5,,,"MATCHS"))&lt;INDIRECT(ADDRESS(382,3,,,"MATCHS")),1,0),,,,IF(INDIRECT(ADDRESS(423,5,,,"MATCHS"))&lt;INDIRECT(ADDRESS(423,3,,,"MATCHS")),1,0),,,,IF(INDIRECT(ADDRESS(464,5,,,"MATCHS"))&lt;INDIRECT(ADDRESS(464,3,,,"MATCHS")),1,0),)</f>
        <v>0</v>
      </c>
      <c r="G50" s="51">
        <f ca="1">SUM(,,INDIRECT(ADDRESS(24,3,,,"MATCHS")),,,,INDIRECT(ADDRESS(64,3,,,"MATCHS")),,,,INDIRECT(ADDRESS(104,3,,,"MATCHS")),,,,INDIRECT(ADDRESS(144,3,,,"MATCHS")),,,,INDIRECT(ADDRESS(184,3,,,"MATCHS")),,,,INDIRECT(ADDRESS(224,3,,,"MATCHS")),,,,INDIRECT(ADDRESS(264,3,,,"MATCHS")),,,INDIRECT(ADDRESS(299,5,,,"MATCHS")),,,,INDIRECT(ADDRESS(340,5,,,"MATCHS")),,,,,INDIRECT(ADDRESS(382,5,,,"MATCHS")),,,,INDIRECT(ADDRESS(423,5,,,"MATCHS")),,,,INDIRECT(ADDRESS(464,5,,,"MATCHS")),)</f>
        <v>0</v>
      </c>
      <c r="H50" s="51">
        <f ca="1">SUM(,,INDIRECT(ADDRESS(24,5,,,"MATCHS")),,,,INDIRECT(ADDRESS(64,5,,,"MATCHS")),,,,INDIRECT(ADDRESS(104,5,,,"MATCHS")),,,,INDIRECT(ADDRESS(144,5,,,"MATCHS")),,,,INDIRECT(ADDRESS(184,5,,,"MATCHS")),,,,INDIRECT(ADDRESS(224,5,,,"MATCHS")),,,,INDIRECT(ADDRESS(264,5,,,"MATCHS")),,,INDIRECT(ADDRESS(299,3,,,"MATCHS")),,,,INDIRECT(ADDRESS(340,3,,,"MATCHS")),,,,,INDIRECT(ADDRESS(382,3,,,"MATCHS")),,,,INDIRECT(ADDRESS(423,3,,,"MATCHS")),,,,INDIRECT(ADDRESS(464,3,,,"MATCHS")),)</f>
        <v>0</v>
      </c>
      <c r="I50" s="51">
        <f t="shared" ca="1" si="4"/>
        <v>0</v>
      </c>
      <c r="J50" s="51">
        <v>0</v>
      </c>
      <c r="K50" s="51">
        <v>9</v>
      </c>
      <c r="L50" s="51">
        <v>5</v>
      </c>
      <c r="M50" s="69"/>
    </row>
    <row r="51" spans="1:13" ht="15.75" x14ac:dyDescent="0.25">
      <c r="A51" s="186"/>
      <c r="B51" s="51">
        <v>10</v>
      </c>
      <c r="C51" s="51" t="s">
        <v>258</v>
      </c>
      <c r="D51" s="51" t="str">
        <f>INSCRIPTS_PH!C45</f>
        <v>10C</v>
      </c>
      <c r="E51" s="89">
        <f ca="1">SUM(,,IF(INDIRECT(ADDRESS(24,5,,,"MATCHS"))&gt;INDIRECT(ADDRESS(24,3,,,"MATCHS")),1,0),,,,IF(INDIRECT(ADDRESS(65,3,,,"MATCHS"))&gt;INDIRECT(ADDRESS(65,5,,,"MATCHS")),1,0),,,,IF(INDIRECT(ADDRESS(105,3,,,"MATCHS"))&gt;INDIRECT(ADDRESS(105,5,,,"MATCHS")),1,0),,,,IF(INDIRECT(ADDRESS(145,3,,,"MATCHS"))&gt;INDIRECT(ADDRESS(145,5,,,"MATCHS")),1,0),,,,IF(INDIRECT(ADDRESS(185,3,,,"MATCHS"))&gt;INDIRECT(ADDRESS(185,5,,,"MATCHS")),1,0),,,,IF(INDIRECT(ADDRESS(225,3,,,"MATCHS"))&gt;INDIRECT(ADDRESS(225,5,,,"MATCHS")),1,0),,,,IF(INDIRECT(ADDRESS(265,3,,,"MATCHS"))&gt;INDIRECT(ADDRESS(265,5,,,"MATCHS")),1,0),,,IF(INDIRECT(ADDRESS(300,5,,,"MATCHS"))&gt;INDIRECT(ADDRESS(300,3,,,"MATCHS")),1,0),,,,IF(INDIRECT(ADDRESS(339,5,,,"MATCHS"))&gt;INDIRECT(ADDRESS(339,3,,,"MATCHS")),1,0),,,,,IF(INDIRECT(ADDRESS(383,5,,,"MATCHS"))&gt;INDIRECT(ADDRESS(383,3,,,"MATCHS")),1,0),,,,IF(INDIRECT(ADDRESS(422,5,,,"MATCHS"))&gt;INDIRECT(ADDRESS(422,3,,,"MATCHS")),1,0),,,,IF(INDIRECT(ADDRESS(465,5,,,"MATCHS"))&gt;INDIRECT(ADDRESS(465,3,,,"MATCHS")),1,0),) + 0.1 * J51</f>
        <v>0</v>
      </c>
      <c r="F51" s="51">
        <f ca="1">SUM(,,IF(INDIRECT(ADDRESS(24,5,,,"MATCHS"))&lt;INDIRECT(ADDRESS(24,3,,,"MATCHS")),1,0),,,,IF(INDIRECT(ADDRESS(65,3,,,"MATCHS"))&lt;INDIRECT(ADDRESS(65,5,,,"MATCHS")),1,0),,,,IF(INDIRECT(ADDRESS(105,3,,,"MATCHS"))&lt;INDIRECT(ADDRESS(105,5,,,"MATCHS")),1,0),,,,IF(INDIRECT(ADDRESS(145,3,,,"MATCHS"))&lt;INDIRECT(ADDRESS(145,5,,,"MATCHS")),1,0),,,,IF(INDIRECT(ADDRESS(185,3,,,"MATCHS"))&lt;INDIRECT(ADDRESS(185,5,,,"MATCHS")),1,0),,,,IF(INDIRECT(ADDRESS(225,3,,,"MATCHS"))&lt;INDIRECT(ADDRESS(225,5,,,"MATCHS")),1,0),,,,IF(INDIRECT(ADDRESS(265,3,,,"MATCHS"))&lt;INDIRECT(ADDRESS(265,5,,,"MATCHS")),1,0),,,IF(INDIRECT(ADDRESS(300,5,,,"MATCHS"))&lt;INDIRECT(ADDRESS(300,3,,,"MATCHS")),1,0),,,,IF(INDIRECT(ADDRESS(339,5,,,"MATCHS"))&lt;INDIRECT(ADDRESS(339,3,,,"MATCHS")),1,0),,,,,IF(INDIRECT(ADDRESS(383,5,,,"MATCHS"))&lt;INDIRECT(ADDRESS(383,3,,,"MATCHS")),1,0),,,,IF(INDIRECT(ADDRESS(422,5,,,"MATCHS"))&lt;INDIRECT(ADDRESS(422,3,,,"MATCHS")),1,0),,,,IF(INDIRECT(ADDRESS(465,5,,,"MATCHS"))&lt;INDIRECT(ADDRESS(465,3,,,"MATCHS")),1,0),)</f>
        <v>0</v>
      </c>
      <c r="G51" s="51">
        <f ca="1">SUM(,,INDIRECT(ADDRESS(24,5,,,"MATCHS")),,,,INDIRECT(ADDRESS(65,3,,,"MATCHS")),,,,INDIRECT(ADDRESS(105,3,,,"MATCHS")),,,,INDIRECT(ADDRESS(145,3,,,"MATCHS")),,,,INDIRECT(ADDRESS(185,3,,,"MATCHS")),,,,INDIRECT(ADDRESS(225,3,,,"MATCHS")),,,,INDIRECT(ADDRESS(265,3,,,"MATCHS")),,,INDIRECT(ADDRESS(300,5,,,"MATCHS")),,,,INDIRECT(ADDRESS(339,5,,,"MATCHS")),,,,,INDIRECT(ADDRESS(383,5,,,"MATCHS")),,,,INDIRECT(ADDRESS(422,5,,,"MATCHS")),,,,INDIRECT(ADDRESS(465,5,,,"MATCHS")),)</f>
        <v>0</v>
      </c>
      <c r="H51" s="51">
        <f ca="1">SUM(,,INDIRECT(ADDRESS(24,3,,,"MATCHS")),,,,INDIRECT(ADDRESS(65,5,,,"MATCHS")),,,,INDIRECT(ADDRESS(105,5,,,"MATCHS")),,,,INDIRECT(ADDRESS(145,5,,,"MATCHS")),,,,INDIRECT(ADDRESS(185,5,,,"MATCHS")),,,,INDIRECT(ADDRESS(225,5,,,"MATCHS")),,,,INDIRECT(ADDRESS(265,5,,,"MATCHS")),,,INDIRECT(ADDRESS(300,3,,,"MATCHS")),,,,INDIRECT(ADDRESS(339,3,,,"MATCHS")),,,,,INDIRECT(ADDRESS(383,3,,,"MATCHS")),,,,INDIRECT(ADDRESS(422,3,,,"MATCHS")),,,,INDIRECT(ADDRESS(465,3,,,"MATCHS")),)</f>
        <v>0</v>
      </c>
      <c r="I51" s="51">
        <f t="shared" ca="1" si="4"/>
        <v>0</v>
      </c>
      <c r="J51" s="51">
        <v>0</v>
      </c>
      <c r="K51" s="51">
        <v>10</v>
      </c>
      <c r="L51" s="51">
        <v>6</v>
      </c>
      <c r="M51" s="69"/>
    </row>
    <row r="52" spans="1:13" ht="15.75" x14ac:dyDescent="0.25">
      <c r="A52" s="186"/>
      <c r="B52" s="51">
        <v>11</v>
      </c>
      <c r="C52" s="51" t="s">
        <v>259</v>
      </c>
      <c r="D52" s="51" t="str">
        <f>INSCRIPTS_PH!C46</f>
        <v>11C</v>
      </c>
      <c r="E52" s="89">
        <f ca="1">SUM(,,IF(INDIRECT(ADDRESS(25,3,,,"MATCHS"))&gt;INDIRECT(ADDRESS(25,5,,,"MATCHS")),1,0),,,,IF(INDIRECT(ADDRESS(64,5,,,"MATCHS"))&gt;INDIRECT(ADDRESS(64,3,,,"MATCHS")),1,0),,,,IF(INDIRECT(ADDRESS(105,5,,,"MATCHS"))&gt;INDIRECT(ADDRESS(105,3,,,"MATCHS")),1,0),,,,IF(INDIRECT(ADDRESS(146,3,,,"MATCHS"))&gt;INDIRECT(ADDRESS(146,5,,,"MATCHS")),1,0),,,,IF(INDIRECT(ADDRESS(186,3,,,"MATCHS"))&gt;INDIRECT(ADDRESS(186,5,,,"MATCHS")),1,0),,,,IF(INDIRECT(ADDRESS(226,3,,,"MATCHS"))&gt;INDIRECT(ADDRESS(226,5,,,"MATCHS")),1,0),,,,IF(INDIRECT(ADDRESS(266,3,,,"MATCHS"))&gt;INDIRECT(ADDRESS(266,5,,,"MATCHS")),1,0),,,,IF(INDIRECT(ADDRESS(302,5,,,"MATCHS"))&gt;INDIRECT(ADDRESS(302,3,,,"MATCHS")),1,0),,,,IF(INDIRECT(ADDRESS(343,5,,,"MATCHS"))&gt;INDIRECT(ADDRESS(343,3,,,"MATCHS")),1,0),,,IF(INDIRECT(ADDRESS(379,5,,,"MATCHS"))&gt;INDIRECT(ADDRESS(379,3,,,"MATCHS")),1,0),,,,IF(INDIRECT(ADDRESS(420,5,,,"MATCHS"))&gt;INDIRECT(ADDRESS(420,3,,,"MATCHS")),1,0),,,,,IF(INDIRECT(ADDRESS(466,5,,,"MATCHS"))&gt;INDIRECT(ADDRESS(466,3,,,"MATCHS")),1,0),) + 0.1 * J52</f>
        <v>0</v>
      </c>
      <c r="F52" s="51">
        <f ca="1">SUM(,,IF(INDIRECT(ADDRESS(25,3,,,"MATCHS"))&lt;INDIRECT(ADDRESS(25,5,,,"MATCHS")),1,0),,,,IF(INDIRECT(ADDRESS(64,5,,,"MATCHS"))&lt;INDIRECT(ADDRESS(64,3,,,"MATCHS")),1,0),,,,IF(INDIRECT(ADDRESS(105,5,,,"MATCHS"))&lt;INDIRECT(ADDRESS(105,3,,,"MATCHS")),1,0),,,,IF(INDIRECT(ADDRESS(146,3,,,"MATCHS"))&lt;INDIRECT(ADDRESS(146,5,,,"MATCHS")),1,0),,,,IF(INDIRECT(ADDRESS(186,3,,,"MATCHS"))&lt;INDIRECT(ADDRESS(186,5,,,"MATCHS")),1,0),,,,IF(INDIRECT(ADDRESS(226,3,,,"MATCHS"))&lt;INDIRECT(ADDRESS(226,5,,,"MATCHS")),1,0),,,,IF(INDIRECT(ADDRESS(266,3,,,"MATCHS"))&lt;INDIRECT(ADDRESS(266,5,,,"MATCHS")),1,0),,,,IF(INDIRECT(ADDRESS(302,5,,,"MATCHS"))&lt;INDIRECT(ADDRESS(302,3,,,"MATCHS")),1,0),,,,IF(INDIRECT(ADDRESS(343,5,,,"MATCHS"))&lt;INDIRECT(ADDRESS(343,3,,,"MATCHS")),1,0),,,IF(INDIRECT(ADDRESS(379,5,,,"MATCHS"))&lt;INDIRECT(ADDRESS(379,3,,,"MATCHS")),1,0),,,,IF(INDIRECT(ADDRESS(420,5,,,"MATCHS"))&lt;INDIRECT(ADDRESS(420,3,,,"MATCHS")),1,0),,,,,IF(INDIRECT(ADDRESS(466,5,,,"MATCHS"))&lt;INDIRECT(ADDRESS(466,3,,,"MATCHS")),1,0),)</f>
        <v>0</v>
      </c>
      <c r="G52" s="51">
        <f ca="1">SUM(,,INDIRECT(ADDRESS(25,3,,,"MATCHS")),,,,INDIRECT(ADDRESS(64,5,,,"MATCHS")),,,,INDIRECT(ADDRESS(105,5,,,"MATCHS")),,,,INDIRECT(ADDRESS(146,3,,,"MATCHS")),,,,INDIRECT(ADDRESS(186,3,,,"MATCHS")),,,,INDIRECT(ADDRESS(226,3,,,"MATCHS")),,,,INDIRECT(ADDRESS(266,3,,,"MATCHS")),,,,INDIRECT(ADDRESS(302,5,,,"MATCHS")),,,,INDIRECT(ADDRESS(343,5,,,"MATCHS")),,,INDIRECT(ADDRESS(379,5,,,"MATCHS")),,,,INDIRECT(ADDRESS(420,5,,,"MATCHS")),,,,,INDIRECT(ADDRESS(466,5,,,"MATCHS")),)</f>
        <v>0</v>
      </c>
      <c r="H52" s="51">
        <f ca="1">SUM(,,INDIRECT(ADDRESS(25,5,,,"MATCHS")),,,,INDIRECT(ADDRESS(64,3,,,"MATCHS")),,,,INDIRECT(ADDRESS(105,3,,,"MATCHS")),,,,INDIRECT(ADDRESS(146,5,,,"MATCHS")),,,,INDIRECT(ADDRESS(186,5,,,"MATCHS")),,,,INDIRECT(ADDRESS(226,5,,,"MATCHS")),,,,INDIRECT(ADDRESS(266,5,,,"MATCHS")),,,,INDIRECT(ADDRESS(302,3,,,"MATCHS")),,,,INDIRECT(ADDRESS(343,3,,,"MATCHS")),,,INDIRECT(ADDRESS(379,3,,,"MATCHS")),,,,INDIRECT(ADDRESS(420,3,,,"MATCHS")),,,,,INDIRECT(ADDRESS(466,3,,,"MATCHS")),)</f>
        <v>0</v>
      </c>
      <c r="I52" s="51">
        <f t="shared" ca="1" si="4"/>
        <v>0</v>
      </c>
      <c r="J52" s="51">
        <v>0</v>
      </c>
      <c r="K52" s="51">
        <v>11</v>
      </c>
      <c r="L52" s="51">
        <v>7</v>
      </c>
      <c r="M52" s="69"/>
    </row>
    <row r="53" spans="1:13" ht="15.75" x14ac:dyDescent="0.25">
      <c r="A53" s="186"/>
      <c r="B53" s="51">
        <v>12</v>
      </c>
      <c r="C53" s="51" t="s">
        <v>260</v>
      </c>
      <c r="D53" s="51" t="str">
        <f>INSCRIPTS_PH!C47</f>
        <v>12C</v>
      </c>
      <c r="E53" s="89">
        <f ca="1">SUM(,,IF(INDIRECT(ADDRESS(25,5,,,"MATCHS"))&gt;INDIRECT(ADDRESS(25,3,,,"MATCHS")),1,0),,,,IF(INDIRECT(ADDRESS(65,5,,,"MATCHS"))&gt;INDIRECT(ADDRESS(65,3,,,"MATCHS")),1,0),,,,IF(INDIRECT(ADDRESS(104,5,,,"MATCHS"))&gt;INDIRECT(ADDRESS(104,3,,,"MATCHS")),1,0),,,,IF(INDIRECT(ADDRESS(147,3,,,"MATCHS"))&gt;INDIRECT(ADDRESS(147,5,,,"MATCHS")),1,0),,,,IF(INDIRECT(ADDRESS(187,3,,,"MATCHS"))&gt;INDIRECT(ADDRESS(187,5,,,"MATCHS")),1,0),,,,IF(INDIRECT(ADDRESS(227,3,,,"MATCHS"))&gt;INDIRECT(ADDRESS(227,5,,,"MATCHS")),1,0),,,,IF(INDIRECT(ADDRESS(267,3,,,"MATCHS"))&gt;INDIRECT(ADDRESS(267,5,,,"MATCHS")),1,0),,,,IF(INDIRECT(ADDRESS(303,5,,,"MATCHS"))&gt;INDIRECT(ADDRESS(303,3,,,"MATCHS")),1,0),,,,IF(INDIRECT(ADDRESS(342,5,,,"MATCHS"))&gt;INDIRECT(ADDRESS(342,3,,,"MATCHS")),1,0),,,IF(INDIRECT(ADDRESS(380,5,,,"MATCHS"))&gt;INDIRECT(ADDRESS(380,3,,,"MATCHS")),1,0),,,,IF(INDIRECT(ADDRESS(419,5,,,"MATCHS"))&gt;INDIRECT(ADDRESS(419,3,,,"MATCHS")),1,0),,,,,IF(INDIRECT(ADDRESS(467,5,,,"MATCHS"))&gt;INDIRECT(ADDRESS(467,3,,,"MATCHS")),1,0),) + 0.1 * J53</f>
        <v>0</v>
      </c>
      <c r="F53" s="51">
        <f ca="1">SUM(,,IF(INDIRECT(ADDRESS(25,5,,,"MATCHS"))&lt;INDIRECT(ADDRESS(25,3,,,"MATCHS")),1,0),,,,IF(INDIRECT(ADDRESS(65,5,,,"MATCHS"))&lt;INDIRECT(ADDRESS(65,3,,,"MATCHS")),1,0),,,,IF(INDIRECT(ADDRESS(104,5,,,"MATCHS"))&lt;INDIRECT(ADDRESS(104,3,,,"MATCHS")),1,0),,,,IF(INDIRECT(ADDRESS(147,3,,,"MATCHS"))&lt;INDIRECT(ADDRESS(147,5,,,"MATCHS")),1,0),,,,IF(INDIRECT(ADDRESS(187,3,,,"MATCHS"))&lt;INDIRECT(ADDRESS(187,5,,,"MATCHS")),1,0),,,,IF(INDIRECT(ADDRESS(227,3,,,"MATCHS"))&lt;INDIRECT(ADDRESS(227,5,,,"MATCHS")),1,0),,,,IF(INDIRECT(ADDRESS(267,3,,,"MATCHS"))&lt;INDIRECT(ADDRESS(267,5,,,"MATCHS")),1,0),,,,IF(INDIRECT(ADDRESS(303,5,,,"MATCHS"))&lt;INDIRECT(ADDRESS(303,3,,,"MATCHS")),1,0),,,,IF(INDIRECT(ADDRESS(342,5,,,"MATCHS"))&lt;INDIRECT(ADDRESS(342,3,,,"MATCHS")),1,0),,,IF(INDIRECT(ADDRESS(380,5,,,"MATCHS"))&lt;INDIRECT(ADDRESS(380,3,,,"MATCHS")),1,0),,,,IF(INDIRECT(ADDRESS(419,5,,,"MATCHS"))&lt;INDIRECT(ADDRESS(419,3,,,"MATCHS")),1,0),,,,,IF(INDIRECT(ADDRESS(467,5,,,"MATCHS"))&lt;INDIRECT(ADDRESS(467,3,,,"MATCHS")),1,0),)</f>
        <v>0</v>
      </c>
      <c r="G53" s="51">
        <f ca="1">SUM(,,INDIRECT(ADDRESS(25,5,,,"MATCHS")),,,,INDIRECT(ADDRESS(65,5,,,"MATCHS")),,,,INDIRECT(ADDRESS(104,5,,,"MATCHS")),,,,INDIRECT(ADDRESS(147,3,,,"MATCHS")),,,,INDIRECT(ADDRESS(187,3,,,"MATCHS")),,,,INDIRECT(ADDRESS(227,3,,,"MATCHS")),,,,INDIRECT(ADDRESS(267,3,,,"MATCHS")),,,,INDIRECT(ADDRESS(303,5,,,"MATCHS")),,,,INDIRECT(ADDRESS(342,5,,,"MATCHS")),,,INDIRECT(ADDRESS(380,5,,,"MATCHS")),,,,INDIRECT(ADDRESS(419,5,,,"MATCHS")),,,,,INDIRECT(ADDRESS(467,5,,,"MATCHS")),)</f>
        <v>0</v>
      </c>
      <c r="H53" s="51">
        <f ca="1">SUM(,,INDIRECT(ADDRESS(25,3,,,"MATCHS")),,,,INDIRECT(ADDRESS(65,3,,,"MATCHS")),,,,INDIRECT(ADDRESS(104,3,,,"MATCHS")),,,,INDIRECT(ADDRESS(147,5,,,"MATCHS")),,,,INDIRECT(ADDRESS(187,5,,,"MATCHS")),,,,INDIRECT(ADDRESS(227,5,,,"MATCHS")),,,,INDIRECT(ADDRESS(267,5,,,"MATCHS")),,,,INDIRECT(ADDRESS(303,3,,,"MATCHS")),,,,INDIRECT(ADDRESS(342,3,,,"MATCHS")),,,INDIRECT(ADDRESS(380,3,,,"MATCHS")),,,,INDIRECT(ADDRESS(419,3,,,"MATCHS")),,,,,INDIRECT(ADDRESS(467,3,,,"MATCHS")),)</f>
        <v>0</v>
      </c>
      <c r="I53" s="51">
        <f t="shared" ca="1" si="4"/>
        <v>0</v>
      </c>
      <c r="J53" s="51">
        <v>0</v>
      </c>
      <c r="K53" s="51">
        <v>12</v>
      </c>
      <c r="L53" s="51">
        <v>8</v>
      </c>
      <c r="M53" s="69"/>
    </row>
    <row r="54" spans="1:13" ht="15.75" x14ac:dyDescent="0.25">
      <c r="A54" s="186"/>
      <c r="B54" s="51">
        <v>13</v>
      </c>
      <c r="C54" s="51" t="s">
        <v>261</v>
      </c>
      <c r="D54" s="51" t="str">
        <f>INSCRIPTS_PH!C48</f>
        <v>13C</v>
      </c>
      <c r="E54" s="89">
        <f ca="1">SUM(,,IF(INDIRECT(ADDRESS(26,3,,,"MATCHS"))&gt;INDIRECT(ADDRESS(26,5,,,"MATCHS")),1,0),,,,IF(INDIRECT(ADDRESS(66,3,,,"MATCHS"))&gt;INDIRECT(ADDRESS(66,5,,,"MATCHS")),1,0),,,,IF(INDIRECT(ADDRESS(106,3,,,"MATCHS"))&gt;INDIRECT(ADDRESS(106,5,,,"MATCHS")),1,0),,,,IF(INDIRECT(ADDRESS(144,5,,,"MATCHS"))&gt;INDIRECT(ADDRESS(144,3,,,"MATCHS")),1,0),,,,IF(INDIRECT(ADDRESS(185,5,,,"MATCHS"))&gt;INDIRECT(ADDRESS(185,3,,,"MATCHS")),1,0),,,,IF(INDIRECT(ADDRESS(226,5,,,"MATCHS"))&gt;INDIRECT(ADDRESS(226,3,,,"MATCHS")),1,0),,,,IF(INDIRECT(ADDRESS(267,5,,,"MATCHS"))&gt;INDIRECT(ADDRESS(267,3,,,"MATCHS")),1,0),,,,IF(INDIRECT(ADDRESS(304,5,,,"MATCHS"))&gt;INDIRECT(ADDRESS(304,3,,,"MATCHS")),1,0),,,,IF(INDIRECT(ADDRESS(345,5,,,"MATCHS"))&gt;INDIRECT(ADDRESS(345,3,,,"MATCHS")),1,0),,,,IF(INDIRECT(ADDRESS(386,5,,,"MATCHS"))&gt;INDIRECT(ADDRESS(386,3,,,"MATCHS")),1,0),,,,IF(INDIRECT(ADDRESS(427,5,,,"MATCHS"))&gt;INDIRECT(ADDRESS(427,3,,,"MATCHS")),1,0),,,IF(INDIRECT(ADDRESS(459,5,,,"MATCHS"))&gt;INDIRECT(ADDRESS(459,3,,,"MATCHS")),1,0),,) + 0.1 * J54</f>
        <v>0</v>
      </c>
      <c r="F54" s="51">
        <f ca="1">SUM(,,IF(INDIRECT(ADDRESS(26,3,,,"MATCHS"))&lt;INDIRECT(ADDRESS(26,5,,,"MATCHS")),1,0),,,,IF(INDIRECT(ADDRESS(66,3,,,"MATCHS"))&lt;INDIRECT(ADDRESS(66,5,,,"MATCHS")),1,0),,,,IF(INDIRECT(ADDRESS(106,3,,,"MATCHS"))&lt;INDIRECT(ADDRESS(106,5,,,"MATCHS")),1,0),,,,IF(INDIRECT(ADDRESS(144,5,,,"MATCHS"))&lt;INDIRECT(ADDRESS(144,3,,,"MATCHS")),1,0),,,,IF(INDIRECT(ADDRESS(185,5,,,"MATCHS"))&lt;INDIRECT(ADDRESS(185,3,,,"MATCHS")),1,0),,,,IF(INDIRECT(ADDRESS(226,5,,,"MATCHS"))&lt;INDIRECT(ADDRESS(226,3,,,"MATCHS")),1,0),,,,IF(INDIRECT(ADDRESS(267,5,,,"MATCHS"))&lt;INDIRECT(ADDRESS(267,3,,,"MATCHS")),1,0),,,,IF(INDIRECT(ADDRESS(304,5,,,"MATCHS"))&lt;INDIRECT(ADDRESS(304,3,,,"MATCHS")),1,0),,,,IF(INDIRECT(ADDRESS(345,5,,,"MATCHS"))&lt;INDIRECT(ADDRESS(345,3,,,"MATCHS")),1,0),,,,IF(INDIRECT(ADDRESS(386,5,,,"MATCHS"))&lt;INDIRECT(ADDRESS(386,3,,,"MATCHS")),1,0),,,,IF(INDIRECT(ADDRESS(427,5,,,"MATCHS"))&lt;INDIRECT(ADDRESS(427,3,,,"MATCHS")),1,0),,,IF(INDIRECT(ADDRESS(459,5,,,"MATCHS"))&lt;INDIRECT(ADDRESS(459,3,,,"MATCHS")),1,0),,)</f>
        <v>0</v>
      </c>
      <c r="G54" s="51">
        <f ca="1">SUM(,,INDIRECT(ADDRESS(26,3,,,"MATCHS")),,,,INDIRECT(ADDRESS(66,3,,,"MATCHS")),,,,INDIRECT(ADDRESS(106,3,,,"MATCHS")),,,,INDIRECT(ADDRESS(144,5,,,"MATCHS")),,,,INDIRECT(ADDRESS(185,5,,,"MATCHS")),,,,INDIRECT(ADDRESS(226,5,,,"MATCHS")),,,,INDIRECT(ADDRESS(267,5,,,"MATCHS")),,,,INDIRECT(ADDRESS(304,5,,,"MATCHS")),,,,INDIRECT(ADDRESS(345,5,,,"MATCHS")),,,,INDIRECT(ADDRESS(386,5,,,"MATCHS")),,,,INDIRECT(ADDRESS(427,5,,,"MATCHS")),,,INDIRECT(ADDRESS(459,5,,,"MATCHS")),,)</f>
        <v>0</v>
      </c>
      <c r="H54" s="51">
        <f ca="1">SUM(,,INDIRECT(ADDRESS(26,5,,,"MATCHS")),,,,INDIRECT(ADDRESS(66,5,,,"MATCHS")),,,,INDIRECT(ADDRESS(106,5,,,"MATCHS")),,,,INDIRECT(ADDRESS(144,3,,,"MATCHS")),,,,INDIRECT(ADDRESS(185,3,,,"MATCHS")),,,,INDIRECT(ADDRESS(226,3,,,"MATCHS")),,,,INDIRECT(ADDRESS(267,3,,,"MATCHS")),,,,INDIRECT(ADDRESS(304,3,,,"MATCHS")),,,,INDIRECT(ADDRESS(345,3,,,"MATCHS")),,,,INDIRECT(ADDRESS(386,3,,,"MATCHS")),,,,INDIRECT(ADDRESS(427,3,,,"MATCHS")),,,INDIRECT(ADDRESS(459,3,,,"MATCHS")),,)</f>
        <v>0</v>
      </c>
      <c r="I54" s="51">
        <f t="shared" ca="1" si="4"/>
        <v>0</v>
      </c>
      <c r="J54" s="51">
        <v>0</v>
      </c>
      <c r="K54" s="51">
        <v>13</v>
      </c>
      <c r="L54" s="51">
        <v>8</v>
      </c>
      <c r="M54" s="69"/>
    </row>
    <row r="55" spans="1:13" ht="15.75" x14ac:dyDescent="0.25">
      <c r="A55" s="186"/>
      <c r="B55" s="51">
        <v>14</v>
      </c>
      <c r="C55" s="51" t="s">
        <v>262</v>
      </c>
      <c r="D55" s="51" t="str">
        <f>INSCRIPTS_PH!C49</f>
        <v>14C</v>
      </c>
      <c r="E55" s="89">
        <f ca="1">SUM(,,IF(INDIRECT(ADDRESS(26,5,,,"MATCHS"))&gt;INDIRECT(ADDRESS(26,3,,,"MATCHS")),1,0),,,,IF(INDIRECT(ADDRESS(67,3,,,"MATCHS"))&gt;INDIRECT(ADDRESS(67,5,,,"MATCHS")),1,0),,,,IF(INDIRECT(ADDRESS(107,3,,,"MATCHS"))&gt;INDIRECT(ADDRESS(107,5,,,"MATCHS")),1,0),,,,IF(INDIRECT(ADDRESS(145,5,,,"MATCHS"))&gt;INDIRECT(ADDRESS(145,3,,,"MATCHS")),1,0),,,,IF(INDIRECT(ADDRESS(184,5,,,"MATCHS"))&gt;INDIRECT(ADDRESS(184,3,,,"MATCHS")),1,0),,,,IF(INDIRECT(ADDRESS(227,5,,,"MATCHS"))&gt;INDIRECT(ADDRESS(227,3,,,"MATCHS")),1,0),,,,IF(INDIRECT(ADDRESS(266,5,,,"MATCHS"))&gt;INDIRECT(ADDRESS(266,3,,,"MATCHS")),1,0),,,,IF(INDIRECT(ADDRESS(305,5,,,"MATCHS"))&gt;INDIRECT(ADDRESS(305,3,,,"MATCHS")),1,0),,,,IF(INDIRECT(ADDRESS(344,5,,,"MATCHS"))&gt;INDIRECT(ADDRESS(344,3,,,"MATCHS")),1,0),,,,IF(INDIRECT(ADDRESS(387,5,,,"MATCHS"))&gt;INDIRECT(ADDRESS(387,3,,,"MATCHS")),1,0),,,,IF(INDIRECT(ADDRESS(426,5,,,"MATCHS"))&gt;INDIRECT(ADDRESS(426,3,,,"MATCHS")),1,0),,,IF(INDIRECT(ADDRESS(460,5,,,"MATCHS"))&gt;INDIRECT(ADDRESS(460,3,,,"MATCHS")),1,0),,) + 0.1 * J55</f>
        <v>0</v>
      </c>
      <c r="F55" s="51">
        <f ca="1">SUM(,,IF(INDIRECT(ADDRESS(26,5,,,"MATCHS"))&lt;INDIRECT(ADDRESS(26,3,,,"MATCHS")),1,0),,,,IF(INDIRECT(ADDRESS(67,3,,,"MATCHS"))&lt;INDIRECT(ADDRESS(67,5,,,"MATCHS")),1,0),,,,IF(INDIRECT(ADDRESS(107,3,,,"MATCHS"))&lt;INDIRECT(ADDRESS(107,5,,,"MATCHS")),1,0),,,,IF(INDIRECT(ADDRESS(145,5,,,"MATCHS"))&lt;INDIRECT(ADDRESS(145,3,,,"MATCHS")),1,0),,,,IF(INDIRECT(ADDRESS(184,5,,,"MATCHS"))&lt;INDIRECT(ADDRESS(184,3,,,"MATCHS")),1,0),,,,IF(INDIRECT(ADDRESS(227,5,,,"MATCHS"))&lt;INDIRECT(ADDRESS(227,3,,,"MATCHS")),1,0),,,,IF(INDIRECT(ADDRESS(266,5,,,"MATCHS"))&lt;INDIRECT(ADDRESS(266,3,,,"MATCHS")),1,0),,,,IF(INDIRECT(ADDRESS(305,5,,,"MATCHS"))&lt;INDIRECT(ADDRESS(305,3,,,"MATCHS")),1,0),,,,IF(INDIRECT(ADDRESS(344,5,,,"MATCHS"))&lt;INDIRECT(ADDRESS(344,3,,,"MATCHS")),1,0),,,,IF(INDIRECT(ADDRESS(387,5,,,"MATCHS"))&lt;INDIRECT(ADDRESS(387,3,,,"MATCHS")),1,0),,,,IF(INDIRECT(ADDRESS(426,5,,,"MATCHS"))&lt;INDIRECT(ADDRESS(426,3,,,"MATCHS")),1,0),,,IF(INDIRECT(ADDRESS(460,5,,,"MATCHS"))&lt;INDIRECT(ADDRESS(460,3,,,"MATCHS")),1,0),,)</f>
        <v>0</v>
      </c>
      <c r="G55" s="51">
        <f ca="1">SUM(,,INDIRECT(ADDRESS(26,5,,,"MATCHS")),,,,INDIRECT(ADDRESS(67,3,,,"MATCHS")),,,,INDIRECT(ADDRESS(107,3,,,"MATCHS")),,,,INDIRECT(ADDRESS(145,5,,,"MATCHS")),,,,INDIRECT(ADDRESS(184,5,,,"MATCHS")),,,,INDIRECT(ADDRESS(227,5,,,"MATCHS")),,,,INDIRECT(ADDRESS(266,5,,,"MATCHS")),,,,INDIRECT(ADDRESS(305,5,,,"MATCHS")),,,,INDIRECT(ADDRESS(344,5,,,"MATCHS")),,,,INDIRECT(ADDRESS(387,5,,,"MATCHS")),,,,INDIRECT(ADDRESS(426,5,,,"MATCHS")),,,INDIRECT(ADDRESS(460,5,,,"MATCHS")),,)</f>
        <v>0</v>
      </c>
      <c r="H55" s="51">
        <f ca="1">SUM(,,INDIRECT(ADDRESS(26,3,,,"MATCHS")),,,,INDIRECT(ADDRESS(67,5,,,"MATCHS")),,,,INDIRECT(ADDRESS(107,5,,,"MATCHS")),,,,INDIRECT(ADDRESS(145,3,,,"MATCHS")),,,,INDIRECT(ADDRESS(184,3,,,"MATCHS")),,,,INDIRECT(ADDRESS(227,3,,,"MATCHS")),,,,INDIRECT(ADDRESS(266,3,,,"MATCHS")),,,,INDIRECT(ADDRESS(305,3,,,"MATCHS")),,,,INDIRECT(ADDRESS(344,3,,,"MATCHS")),,,,INDIRECT(ADDRESS(387,3,,,"MATCHS")),,,,INDIRECT(ADDRESS(426,3,,,"MATCHS")),,,INDIRECT(ADDRESS(460,3,,,"MATCHS")),,)</f>
        <v>0</v>
      </c>
      <c r="I55" s="51">
        <f t="shared" ca="1" si="4"/>
        <v>0</v>
      </c>
      <c r="J55" s="51">
        <v>0</v>
      </c>
      <c r="K55" s="51">
        <v>14</v>
      </c>
      <c r="L55" s="51">
        <v>7</v>
      </c>
      <c r="M55" s="69"/>
    </row>
    <row r="56" spans="1:13" ht="15.75" x14ac:dyDescent="0.25">
      <c r="A56" s="186"/>
      <c r="B56" s="51">
        <v>15</v>
      </c>
      <c r="C56" s="51" t="s">
        <v>263</v>
      </c>
      <c r="D56" s="51" t="str">
        <f>INSCRIPTS_PH!C50</f>
        <v>15C</v>
      </c>
      <c r="E56" s="89">
        <f ca="1">SUM(,,IF(INDIRECT(ADDRESS(27,3,,,"MATCHS"))&gt;INDIRECT(ADDRESS(27,5,,,"MATCHS")),1,0),,,,IF(INDIRECT(ADDRESS(66,5,,,"MATCHS"))&gt;INDIRECT(ADDRESS(66,3,,,"MATCHS")),1,0),,,,IF(INDIRECT(ADDRESS(107,5,,,"MATCHS"))&gt;INDIRECT(ADDRESS(107,3,,,"MATCHS")),1,0),,,,IF(INDIRECT(ADDRESS(146,5,,,"MATCHS"))&gt;INDIRECT(ADDRESS(146,3,,,"MATCHS")),1,0),,,,IF(INDIRECT(ADDRESS(187,5,,,"MATCHS"))&gt;INDIRECT(ADDRESS(187,3,,,"MATCHS")),1,0),,,,IF(INDIRECT(ADDRESS(224,5,,,"MATCHS"))&gt;INDIRECT(ADDRESS(224,3,,,"MATCHS")),1,0),,,,IF(INDIRECT(ADDRESS(265,5,,,"MATCHS"))&gt;INDIRECT(ADDRESS(265,3,,,"MATCHS")),1,0),,,,IF(INDIRECT(ADDRESS(306,5,,,"MATCHS"))&gt;INDIRECT(ADDRESS(306,3,,,"MATCHS")),1,0),,,,IF(INDIRECT(ADDRESS(347,5,,,"MATCHS"))&gt;INDIRECT(ADDRESS(347,3,,,"MATCHS")),1,0),,,,IF(INDIRECT(ADDRESS(384,5,,,"MATCHS"))&gt;INDIRECT(ADDRESS(384,3,,,"MATCHS")),1,0),,,,IF(INDIRECT(ADDRESS(425,5,,,"MATCHS"))&gt;INDIRECT(ADDRESS(425,3,,,"MATCHS")),1,0),,,,IF(INDIRECT(ADDRESS(462,5,,,"MATCHS"))&gt;INDIRECT(ADDRESS(462,3,,,"MATCHS")),1,0),) + 0.1 * J56</f>
        <v>0</v>
      </c>
      <c r="F56" s="51">
        <f ca="1">SUM(,,IF(INDIRECT(ADDRESS(27,3,,,"MATCHS"))&lt;INDIRECT(ADDRESS(27,5,,,"MATCHS")),1,0),,,,IF(INDIRECT(ADDRESS(66,5,,,"MATCHS"))&lt;INDIRECT(ADDRESS(66,3,,,"MATCHS")),1,0),,,,IF(INDIRECT(ADDRESS(107,5,,,"MATCHS"))&lt;INDIRECT(ADDRESS(107,3,,,"MATCHS")),1,0),,,,IF(INDIRECT(ADDRESS(146,5,,,"MATCHS"))&lt;INDIRECT(ADDRESS(146,3,,,"MATCHS")),1,0),,,,IF(INDIRECT(ADDRESS(187,5,,,"MATCHS"))&lt;INDIRECT(ADDRESS(187,3,,,"MATCHS")),1,0),,,,IF(INDIRECT(ADDRESS(224,5,,,"MATCHS"))&lt;INDIRECT(ADDRESS(224,3,,,"MATCHS")),1,0),,,,IF(INDIRECT(ADDRESS(265,5,,,"MATCHS"))&lt;INDIRECT(ADDRESS(265,3,,,"MATCHS")),1,0),,,,IF(INDIRECT(ADDRESS(306,5,,,"MATCHS"))&lt;INDIRECT(ADDRESS(306,3,,,"MATCHS")),1,0),,,,IF(INDIRECT(ADDRESS(347,5,,,"MATCHS"))&lt;INDIRECT(ADDRESS(347,3,,,"MATCHS")),1,0),,,,IF(INDIRECT(ADDRESS(384,5,,,"MATCHS"))&lt;INDIRECT(ADDRESS(384,3,,,"MATCHS")),1,0),,,,IF(INDIRECT(ADDRESS(425,5,,,"MATCHS"))&lt;INDIRECT(ADDRESS(425,3,,,"MATCHS")),1,0),,,,IF(INDIRECT(ADDRESS(462,5,,,"MATCHS"))&lt;INDIRECT(ADDRESS(462,3,,,"MATCHS")),1,0),)</f>
        <v>0</v>
      </c>
      <c r="G56" s="51">
        <f ca="1">SUM(,,INDIRECT(ADDRESS(27,3,,,"MATCHS")),,,,INDIRECT(ADDRESS(66,5,,,"MATCHS")),,,,INDIRECT(ADDRESS(107,5,,,"MATCHS")),,,,INDIRECT(ADDRESS(146,5,,,"MATCHS")),,,,INDIRECT(ADDRESS(187,5,,,"MATCHS")),,,,INDIRECT(ADDRESS(224,5,,,"MATCHS")),,,,INDIRECT(ADDRESS(265,5,,,"MATCHS")),,,,INDIRECT(ADDRESS(306,5,,,"MATCHS")),,,,INDIRECT(ADDRESS(347,5,,,"MATCHS")),,,,INDIRECT(ADDRESS(384,5,,,"MATCHS")),,,,INDIRECT(ADDRESS(425,5,,,"MATCHS")),,,,INDIRECT(ADDRESS(462,5,,,"MATCHS")),)</f>
        <v>0</v>
      </c>
      <c r="H56" s="51">
        <f ca="1">SUM(,,INDIRECT(ADDRESS(27,5,,,"MATCHS")),,,,INDIRECT(ADDRESS(66,3,,,"MATCHS")),,,,INDIRECT(ADDRESS(107,3,,,"MATCHS")),,,,INDIRECT(ADDRESS(146,3,,,"MATCHS")),,,,INDIRECT(ADDRESS(187,3,,,"MATCHS")),,,,INDIRECT(ADDRESS(224,3,,,"MATCHS")),,,,INDIRECT(ADDRESS(265,3,,,"MATCHS")),,,,INDIRECT(ADDRESS(306,3,,,"MATCHS")),,,,INDIRECT(ADDRESS(347,3,,,"MATCHS")),,,,INDIRECT(ADDRESS(384,3,,,"MATCHS")),,,,INDIRECT(ADDRESS(425,3,,,"MATCHS")),,,,INDIRECT(ADDRESS(462,3,,,"MATCHS")),)</f>
        <v>0</v>
      </c>
      <c r="I56" s="51">
        <f t="shared" ca="1" si="4"/>
        <v>0</v>
      </c>
      <c r="J56" s="51">
        <v>0</v>
      </c>
      <c r="K56" s="51">
        <v>15</v>
      </c>
      <c r="L56" s="51">
        <v>6</v>
      </c>
      <c r="M56" s="69"/>
    </row>
    <row r="57" spans="1:13" ht="15.75" x14ac:dyDescent="0.25">
      <c r="A57" s="186"/>
      <c r="B57" s="51">
        <v>16</v>
      </c>
      <c r="C57" s="51" t="s">
        <v>264</v>
      </c>
      <c r="D57" s="51" t="str">
        <f>INSCRIPTS_PH!C51</f>
        <v>16C</v>
      </c>
      <c r="E57" s="89">
        <f ca="1">SUM(,,IF(INDIRECT(ADDRESS(27,5,,,"MATCHS"))&gt;INDIRECT(ADDRESS(27,3,,,"MATCHS")),1,0),,,,IF(INDIRECT(ADDRESS(67,5,,,"MATCHS"))&gt;INDIRECT(ADDRESS(67,3,,,"MATCHS")),1,0),,,,IF(INDIRECT(ADDRESS(106,5,,,"MATCHS"))&gt;INDIRECT(ADDRESS(106,3,,,"MATCHS")),1,0),,,,IF(INDIRECT(ADDRESS(147,5,,,"MATCHS"))&gt;INDIRECT(ADDRESS(147,3,,,"MATCHS")),1,0),,,,IF(INDIRECT(ADDRESS(186,5,,,"MATCHS"))&gt;INDIRECT(ADDRESS(186,3,,,"MATCHS")),1,0),,,,IF(INDIRECT(ADDRESS(225,5,,,"MATCHS"))&gt;INDIRECT(ADDRESS(225,3,,,"MATCHS")),1,0),,,,IF(INDIRECT(ADDRESS(264,5,,,"MATCHS"))&gt;INDIRECT(ADDRESS(264,3,,,"MATCHS")),1,0),,,,IF(INDIRECT(ADDRESS(307,5,,,"MATCHS"))&gt;INDIRECT(ADDRESS(307,3,,,"MATCHS")),1,0),,,,IF(INDIRECT(ADDRESS(346,5,,,"MATCHS"))&gt;INDIRECT(ADDRESS(346,3,,,"MATCHS")),1,0),,,,IF(INDIRECT(ADDRESS(385,5,,,"MATCHS"))&gt;INDIRECT(ADDRESS(385,3,,,"MATCHS")),1,0),,,,IF(INDIRECT(ADDRESS(424,5,,,"MATCHS"))&gt;INDIRECT(ADDRESS(424,3,,,"MATCHS")),1,0),,,,IF(INDIRECT(ADDRESS(463,5,,,"MATCHS"))&gt;INDIRECT(ADDRESS(463,3,,,"MATCHS")),1,0),) + 0.1 * J57</f>
        <v>0</v>
      </c>
      <c r="F57" s="51">
        <f ca="1">SUM(,,IF(INDIRECT(ADDRESS(27,5,,,"MATCHS"))&lt;INDIRECT(ADDRESS(27,3,,,"MATCHS")),1,0),,,,IF(INDIRECT(ADDRESS(67,5,,,"MATCHS"))&lt;INDIRECT(ADDRESS(67,3,,,"MATCHS")),1,0),,,,IF(INDIRECT(ADDRESS(106,5,,,"MATCHS"))&lt;INDIRECT(ADDRESS(106,3,,,"MATCHS")),1,0),,,,IF(INDIRECT(ADDRESS(147,5,,,"MATCHS"))&lt;INDIRECT(ADDRESS(147,3,,,"MATCHS")),1,0),,,,IF(INDIRECT(ADDRESS(186,5,,,"MATCHS"))&lt;INDIRECT(ADDRESS(186,3,,,"MATCHS")),1,0),,,,IF(INDIRECT(ADDRESS(225,5,,,"MATCHS"))&lt;INDIRECT(ADDRESS(225,3,,,"MATCHS")),1,0),,,,IF(INDIRECT(ADDRESS(264,5,,,"MATCHS"))&lt;INDIRECT(ADDRESS(264,3,,,"MATCHS")),1,0),,,,IF(INDIRECT(ADDRESS(307,5,,,"MATCHS"))&lt;INDIRECT(ADDRESS(307,3,,,"MATCHS")),1,0),,,,IF(INDIRECT(ADDRESS(346,5,,,"MATCHS"))&lt;INDIRECT(ADDRESS(346,3,,,"MATCHS")),1,0),,,,IF(INDIRECT(ADDRESS(385,5,,,"MATCHS"))&lt;INDIRECT(ADDRESS(385,3,,,"MATCHS")),1,0),,,,IF(INDIRECT(ADDRESS(424,5,,,"MATCHS"))&lt;INDIRECT(ADDRESS(424,3,,,"MATCHS")),1,0),,,,IF(INDIRECT(ADDRESS(463,5,,,"MATCHS"))&lt;INDIRECT(ADDRESS(463,3,,,"MATCHS")),1,0),)</f>
        <v>0</v>
      </c>
      <c r="G57" s="51">
        <f ca="1">SUM(,,INDIRECT(ADDRESS(27,5,,,"MATCHS")),,,,INDIRECT(ADDRESS(67,5,,,"MATCHS")),,,,INDIRECT(ADDRESS(106,5,,,"MATCHS")),,,,INDIRECT(ADDRESS(147,5,,,"MATCHS")),,,,INDIRECT(ADDRESS(186,5,,,"MATCHS")),,,,INDIRECT(ADDRESS(225,5,,,"MATCHS")),,,,INDIRECT(ADDRESS(264,5,,,"MATCHS")),,,,INDIRECT(ADDRESS(307,5,,,"MATCHS")),,,,INDIRECT(ADDRESS(346,5,,,"MATCHS")),,,,INDIRECT(ADDRESS(385,5,,,"MATCHS")),,,,INDIRECT(ADDRESS(424,5,,,"MATCHS")),,,,INDIRECT(ADDRESS(463,5,,,"MATCHS")),)</f>
        <v>0</v>
      </c>
      <c r="H57" s="51">
        <f ca="1">SUM(,,INDIRECT(ADDRESS(27,3,,,"MATCHS")),,,,INDIRECT(ADDRESS(67,3,,,"MATCHS")),,,,INDIRECT(ADDRESS(106,3,,,"MATCHS")),,,,INDIRECT(ADDRESS(147,3,,,"MATCHS")),,,,INDIRECT(ADDRESS(186,3,,,"MATCHS")),,,,INDIRECT(ADDRESS(225,3,,,"MATCHS")),,,,INDIRECT(ADDRESS(264,3,,,"MATCHS")),,,,INDIRECT(ADDRESS(307,3,,,"MATCHS")),,,,INDIRECT(ADDRESS(346,3,,,"MATCHS")),,,,INDIRECT(ADDRESS(385,3,,,"MATCHS")),,,,INDIRECT(ADDRESS(424,3,,,"MATCHS")),,,,INDIRECT(ADDRESS(463,3,,,"MATCHS")),)</f>
        <v>0</v>
      </c>
      <c r="I57" s="51">
        <f t="shared" ca="1" si="4"/>
        <v>0</v>
      </c>
      <c r="J57" s="51">
        <v>0</v>
      </c>
      <c r="K57" s="51">
        <v>16</v>
      </c>
      <c r="L57" s="51">
        <v>5</v>
      </c>
      <c r="M57" s="69"/>
    </row>
    <row r="58" spans="1:13" ht="15.75" thickBot="1" x14ac:dyDescent="0.3"/>
    <row r="59" spans="1:13" ht="30.95" customHeight="1" thickBot="1" x14ac:dyDescent="0.3">
      <c r="C59" s="85" t="s">
        <v>228</v>
      </c>
      <c r="D59" s="85" t="s">
        <v>154</v>
      </c>
      <c r="E59" s="86" t="s">
        <v>229</v>
      </c>
      <c r="F59" s="85" t="s">
        <v>230</v>
      </c>
      <c r="G59" s="85" t="s">
        <v>231</v>
      </c>
      <c r="H59" s="85" t="s">
        <v>232</v>
      </c>
      <c r="I59" s="85" t="s">
        <v>233</v>
      </c>
      <c r="J59" s="48" t="s">
        <v>234</v>
      </c>
      <c r="K59" s="85" t="s">
        <v>235</v>
      </c>
      <c r="L59" s="48" t="s">
        <v>53</v>
      </c>
    </row>
    <row r="61" spans="1:13" ht="15.75" x14ac:dyDescent="0.25">
      <c r="A61" s="187" t="s">
        <v>111</v>
      </c>
      <c r="B61" s="52">
        <v>1</v>
      </c>
      <c r="C61" s="52" t="s">
        <v>112</v>
      </c>
      <c r="D61" s="52" t="str">
        <f>INSCRIPTS_PH!C53</f>
        <v>1D</v>
      </c>
      <c r="E61" s="90">
        <f ca="1">SUM(,,IF(INDIRECT(ADDRESS(28,3,,,"MATCHS"))&gt;INDIRECT(ADDRESS(28,5,,,"MATCHS")),1,0),,,,IF(INDIRECT(ADDRESS(68,3,,,"MATCHS"))&gt;INDIRECT(ADDRESS(68,5,,,"MATCHS")),1,0),,,,IF(INDIRECT(ADDRESS(108,3,,,"MATCHS"))&gt;INDIRECT(ADDRESS(108,5,,,"MATCHS")),1,0),,,,IF(INDIRECT(ADDRESS(148,3,,,"MATCHS"))&gt;INDIRECT(ADDRESS(148,5,,,"MATCHS")),1,0),,,,IF(INDIRECT(ADDRESS(188,3,,,"MATCHS"))&gt;INDIRECT(ADDRESS(188,5,,,"MATCHS")),1,0),,,,IF(INDIRECT(ADDRESS(228,3,,,"MATCHS"))&gt;INDIRECT(ADDRESS(228,5,,,"MATCHS")),1,0),,,,IF(INDIRECT(ADDRESS(268,3,,,"MATCHS"))&gt;INDIRECT(ADDRESS(268,5,,,"MATCHS")),1,0),,,,IF(INDIRECT(ADDRESS(308,3,,,"MATCHS"))&gt;INDIRECT(ADDRESS(308,5,,,"MATCHS")),1,0),,,,IF(INDIRECT(ADDRESS(348,3,,,"MATCHS"))&gt;INDIRECT(ADDRESS(348,5,,,"MATCHS")),1,0),,,,IF(INDIRECT(ADDRESS(388,3,,,"MATCHS"))&gt;INDIRECT(ADDRESS(388,5,,,"MATCHS")),1,0),,,,IF(INDIRECT(ADDRESS(428,3,,,"MATCHS"))&gt;INDIRECT(ADDRESS(428,5,,,"MATCHS")),1,0),,,,,) + 0.1 * J61</f>
        <v>0</v>
      </c>
      <c r="F61" s="52">
        <f ca="1">SUM(,,IF(INDIRECT(ADDRESS(28,3,,,"MATCHS"))&lt;INDIRECT(ADDRESS(28,5,,,"MATCHS")),1,0),,,,IF(INDIRECT(ADDRESS(68,3,,,"MATCHS"))&lt;INDIRECT(ADDRESS(68,5,,,"MATCHS")),1,0),,,,IF(INDIRECT(ADDRESS(108,3,,,"MATCHS"))&lt;INDIRECT(ADDRESS(108,5,,,"MATCHS")),1,0),,,,IF(INDIRECT(ADDRESS(148,3,,,"MATCHS"))&lt;INDIRECT(ADDRESS(148,5,,,"MATCHS")),1,0),,,,IF(INDIRECT(ADDRESS(188,3,,,"MATCHS"))&lt;INDIRECT(ADDRESS(188,5,,,"MATCHS")),1,0),,,,IF(INDIRECT(ADDRESS(228,3,,,"MATCHS"))&lt;INDIRECT(ADDRESS(228,5,,,"MATCHS")),1,0),,,,IF(INDIRECT(ADDRESS(268,3,,,"MATCHS"))&lt;INDIRECT(ADDRESS(268,5,,,"MATCHS")),1,0),,,,IF(INDIRECT(ADDRESS(308,3,,,"MATCHS"))&lt;INDIRECT(ADDRESS(308,5,,,"MATCHS")),1,0),,,,IF(INDIRECT(ADDRESS(348,3,,,"MATCHS"))&lt;INDIRECT(ADDRESS(348,5,,,"MATCHS")),1,0),,,,IF(INDIRECT(ADDRESS(388,3,,,"MATCHS"))&lt;INDIRECT(ADDRESS(388,5,,,"MATCHS")),1,0),,,,IF(INDIRECT(ADDRESS(428,3,,,"MATCHS"))&lt;INDIRECT(ADDRESS(428,5,,,"MATCHS")),1,0),,,,,)</f>
        <v>0</v>
      </c>
      <c r="G61" s="52">
        <f ca="1">SUM(,,INDIRECT(ADDRESS(28,3,,,"MATCHS")),,,,INDIRECT(ADDRESS(68,3,,,"MATCHS")),,,,INDIRECT(ADDRESS(108,3,,,"MATCHS")),,,,INDIRECT(ADDRESS(148,3,,,"MATCHS")),,,,INDIRECT(ADDRESS(188,3,,,"MATCHS")),,,,INDIRECT(ADDRESS(228,3,,,"MATCHS")),,,,INDIRECT(ADDRESS(268,3,,,"MATCHS")),,,,INDIRECT(ADDRESS(308,3,,,"MATCHS")),,,,INDIRECT(ADDRESS(348,3,,,"MATCHS")),,,,INDIRECT(ADDRESS(388,3,,,"MATCHS")),,,,INDIRECT(ADDRESS(428,3,,,"MATCHS")),,,,,)</f>
        <v>0</v>
      </c>
      <c r="H61" s="52">
        <f ca="1">SUM(,,INDIRECT(ADDRESS(28,5,,,"MATCHS")),,,,INDIRECT(ADDRESS(68,5,,,"MATCHS")),,,,INDIRECT(ADDRESS(108,5,,,"MATCHS")),,,,INDIRECT(ADDRESS(148,5,,,"MATCHS")),,,,INDIRECT(ADDRESS(188,5,,,"MATCHS")),,,,INDIRECT(ADDRESS(228,5,,,"MATCHS")),,,,INDIRECT(ADDRESS(268,5,,,"MATCHS")),,,,INDIRECT(ADDRESS(308,5,,,"MATCHS")),,,,INDIRECT(ADDRESS(348,5,,,"MATCHS")),,,,INDIRECT(ADDRESS(388,5,,,"MATCHS")),,,,INDIRECT(ADDRESS(428,5,,,"MATCHS")),,,,,)</f>
        <v>0</v>
      </c>
      <c r="I61" s="52">
        <f t="shared" ref="I61:I72" ca="1" si="5">G61 - H61</f>
        <v>0</v>
      </c>
      <c r="J61" s="52">
        <v>0</v>
      </c>
      <c r="K61" s="52">
        <v>1</v>
      </c>
      <c r="L61" s="52">
        <v>1</v>
      </c>
      <c r="M61" s="69"/>
    </row>
    <row r="62" spans="1:13" ht="15.75" x14ac:dyDescent="0.25">
      <c r="A62" s="187"/>
      <c r="B62" s="52">
        <v>2</v>
      </c>
      <c r="C62" s="52" t="s">
        <v>113</v>
      </c>
      <c r="D62" s="52" t="str">
        <f>INSCRIPTS_PH!C54</f>
        <v>2D</v>
      </c>
      <c r="E62" s="90">
        <f ca="1">SUM(,,IF(INDIRECT(ADDRESS(28,5,,,"MATCHS"))&gt;INDIRECT(ADDRESS(28,3,,,"MATCHS")),1,0),,,,,IF(INDIRECT(ADDRESS(74,5,,,"MATCHS"))&gt;INDIRECT(ADDRESS(74,3,,,"MATCHS")),1,0),,,,IF(INDIRECT(ADDRESS(113,5,,,"MATCHS"))&gt;INDIRECT(ADDRESS(113,3,,,"MATCHS")),1,0),,,,IF(INDIRECT(ADDRESS(152,5,,,"MATCHS"))&gt;INDIRECT(ADDRESS(152,3,,,"MATCHS")),1,0),,,IF(INDIRECT(ADDRESS(190,5,,,"MATCHS"))&gt;INDIRECT(ADDRESS(190,3,,,"MATCHS")),1,0),,,,IF(INDIRECT(ADDRESS(229,5,,,"MATCHS"))&gt;INDIRECT(ADDRESS(229,3,,,"MATCHS")),1,0),,,,,IF(INDIRECT(ADDRESS(272,3,,,"MATCHS"))&gt;INDIRECT(ADDRESS(272,5,,,"MATCHS")),1,0),,,,IF(INDIRECT(ADDRESS(312,3,,,"MATCHS"))&gt;INDIRECT(ADDRESS(312,5,,,"MATCHS")),1,0),,,,IF(INDIRECT(ADDRESS(352,3,,,"MATCHS"))&gt;INDIRECT(ADDRESS(352,5,,,"MATCHS")),1,0),,,,IF(INDIRECT(ADDRESS(392,3,,,"MATCHS"))&gt;INDIRECT(ADDRESS(392,5,,,"MATCHS")),1,0),,,,IF(INDIRECT(ADDRESS(432,3,,,"MATCHS"))&gt;INDIRECT(ADDRESS(432,5,,,"MATCHS")),1,0),,,,) + 0.1 * J62</f>
        <v>0</v>
      </c>
      <c r="F62" s="52">
        <f ca="1">SUM(,,IF(INDIRECT(ADDRESS(28,5,,,"MATCHS"))&lt;INDIRECT(ADDRESS(28,3,,,"MATCHS")),1,0),,,,,IF(INDIRECT(ADDRESS(74,5,,,"MATCHS"))&lt;INDIRECT(ADDRESS(74,3,,,"MATCHS")),1,0),,,,IF(INDIRECT(ADDRESS(113,5,,,"MATCHS"))&lt;INDIRECT(ADDRESS(113,3,,,"MATCHS")),1,0),,,,IF(INDIRECT(ADDRESS(152,5,,,"MATCHS"))&lt;INDIRECT(ADDRESS(152,3,,,"MATCHS")),1,0),,,IF(INDIRECT(ADDRESS(190,5,,,"MATCHS"))&lt;INDIRECT(ADDRESS(190,3,,,"MATCHS")),1,0),,,,IF(INDIRECT(ADDRESS(229,5,,,"MATCHS"))&lt;INDIRECT(ADDRESS(229,3,,,"MATCHS")),1,0),,,,,IF(INDIRECT(ADDRESS(272,3,,,"MATCHS"))&lt;INDIRECT(ADDRESS(272,5,,,"MATCHS")),1,0),,,,IF(INDIRECT(ADDRESS(312,3,,,"MATCHS"))&lt;INDIRECT(ADDRESS(312,5,,,"MATCHS")),1,0),,,,IF(INDIRECT(ADDRESS(352,3,,,"MATCHS"))&lt;INDIRECT(ADDRESS(352,5,,,"MATCHS")),1,0),,,,IF(INDIRECT(ADDRESS(392,3,,,"MATCHS"))&lt;INDIRECT(ADDRESS(392,5,,,"MATCHS")),1,0),,,,IF(INDIRECT(ADDRESS(432,3,,,"MATCHS"))&lt;INDIRECT(ADDRESS(432,5,,,"MATCHS")),1,0),,,,)</f>
        <v>0</v>
      </c>
      <c r="G62" s="52">
        <f ca="1">SUM(,,INDIRECT(ADDRESS(28,5,,,"MATCHS")),,,,,INDIRECT(ADDRESS(74,5,,,"MATCHS")),,,,INDIRECT(ADDRESS(113,5,,,"MATCHS")),,,,INDIRECT(ADDRESS(152,5,,,"MATCHS")),,,INDIRECT(ADDRESS(190,5,,,"MATCHS")),,,,INDIRECT(ADDRESS(229,5,,,"MATCHS")),,,,,INDIRECT(ADDRESS(272,3,,,"MATCHS")),,,,INDIRECT(ADDRESS(312,3,,,"MATCHS")),,,,INDIRECT(ADDRESS(352,3,,,"MATCHS")),,,,INDIRECT(ADDRESS(392,3,,,"MATCHS")),,,,INDIRECT(ADDRESS(432,3,,,"MATCHS")),,,,)</f>
        <v>0</v>
      </c>
      <c r="H62" s="52">
        <f ca="1">SUM(,,INDIRECT(ADDRESS(28,3,,,"MATCHS")),,,,,INDIRECT(ADDRESS(74,3,,,"MATCHS")),,,,INDIRECT(ADDRESS(113,3,,,"MATCHS")),,,,INDIRECT(ADDRESS(152,3,,,"MATCHS")),,,INDIRECT(ADDRESS(190,3,,,"MATCHS")),,,,INDIRECT(ADDRESS(229,3,,,"MATCHS")),,,,,INDIRECT(ADDRESS(272,5,,,"MATCHS")),,,,INDIRECT(ADDRESS(312,5,,,"MATCHS")),,,,INDIRECT(ADDRESS(352,5,,,"MATCHS")),,,,INDIRECT(ADDRESS(392,5,,,"MATCHS")),,,,INDIRECT(ADDRESS(432,5,,,"MATCHS")),,,,)</f>
        <v>0</v>
      </c>
      <c r="I62" s="52">
        <f t="shared" ca="1" si="5"/>
        <v>0</v>
      </c>
      <c r="J62" s="52">
        <v>0</v>
      </c>
      <c r="K62" s="52">
        <v>2</v>
      </c>
      <c r="L62" s="52">
        <v>2</v>
      </c>
      <c r="M62" s="69"/>
    </row>
    <row r="63" spans="1:13" ht="15.75" x14ac:dyDescent="0.25">
      <c r="A63" s="187"/>
      <c r="B63" s="52">
        <v>3</v>
      </c>
      <c r="C63" s="52" t="s">
        <v>114</v>
      </c>
      <c r="D63" s="52" t="str">
        <f>INSCRIPTS_PH!C55</f>
        <v>3D</v>
      </c>
      <c r="E63" s="90">
        <f ca="1">SUM(,,IF(INDIRECT(ADDRESS(29,3,,,"MATCHS"))&gt;INDIRECT(ADDRESS(29,5,,,"MATCHS")),1,0),,,,IF(INDIRECT(ADDRESS(69,3,,,"MATCHS"))&gt;INDIRECT(ADDRESS(69,5,,,"MATCHS")),1,0),,,,IF(INDIRECT(ADDRESS(109,3,,,"MATCHS"))&gt;INDIRECT(ADDRESS(109,5,,,"MATCHS")),1,0),,,,IF(INDIRECT(ADDRESS(149,3,,,"MATCHS"))&gt;INDIRECT(ADDRESS(149,5,,,"MATCHS")),1,0),,,,IF(INDIRECT(ADDRESS(189,3,,,"MATCHS"))&gt;INDIRECT(ADDRESS(189,5,,,"MATCHS")),1,0),,,,IF(INDIRECT(ADDRESS(229,3,,,"MATCHS"))&gt;INDIRECT(ADDRESS(229,5,,,"MATCHS")),1,0),,,,IF(INDIRECT(ADDRESS(268,5,,,"MATCHS"))&gt;INDIRECT(ADDRESS(268,3,,,"MATCHS")),1,0),,,,IF(INDIRECT(ADDRESS(309,3,,,"MATCHS"))&gt;INDIRECT(ADDRESS(309,5,,,"MATCHS")),1,0),,,,IF(INDIRECT(ADDRESS(349,3,,,"MATCHS"))&gt;INDIRECT(ADDRESS(349,5,,,"MATCHS")),1,0),,,,IF(INDIRECT(ADDRESS(389,3,,,"MATCHS"))&gt;INDIRECT(ADDRESS(389,5,,,"MATCHS")),1,0),,,,IF(INDIRECT(ADDRESS(429,3,,,"MATCHS"))&gt;INDIRECT(ADDRESS(429,5,,,"MATCHS")),1,0),,,,,) + 0.1 * J63</f>
        <v>0</v>
      </c>
      <c r="F63" s="52">
        <f ca="1">SUM(,,IF(INDIRECT(ADDRESS(29,3,,,"MATCHS"))&lt;INDIRECT(ADDRESS(29,5,,,"MATCHS")),1,0),,,,IF(INDIRECT(ADDRESS(69,3,,,"MATCHS"))&lt;INDIRECT(ADDRESS(69,5,,,"MATCHS")),1,0),,,,IF(INDIRECT(ADDRESS(109,3,,,"MATCHS"))&lt;INDIRECT(ADDRESS(109,5,,,"MATCHS")),1,0),,,,IF(INDIRECT(ADDRESS(149,3,,,"MATCHS"))&lt;INDIRECT(ADDRESS(149,5,,,"MATCHS")),1,0),,,,IF(INDIRECT(ADDRESS(189,3,,,"MATCHS"))&lt;INDIRECT(ADDRESS(189,5,,,"MATCHS")),1,0),,,,IF(INDIRECT(ADDRESS(229,3,,,"MATCHS"))&lt;INDIRECT(ADDRESS(229,5,,,"MATCHS")),1,0),,,,IF(INDIRECT(ADDRESS(268,5,,,"MATCHS"))&lt;INDIRECT(ADDRESS(268,3,,,"MATCHS")),1,0),,,,IF(INDIRECT(ADDRESS(309,3,,,"MATCHS"))&lt;INDIRECT(ADDRESS(309,5,,,"MATCHS")),1,0),,,,IF(INDIRECT(ADDRESS(349,3,,,"MATCHS"))&lt;INDIRECT(ADDRESS(349,5,,,"MATCHS")),1,0),,,,IF(INDIRECT(ADDRESS(389,3,,,"MATCHS"))&lt;INDIRECT(ADDRESS(389,5,,,"MATCHS")),1,0),,,,IF(INDIRECT(ADDRESS(429,3,,,"MATCHS"))&lt;INDIRECT(ADDRESS(429,5,,,"MATCHS")),1,0),,,,,)</f>
        <v>0</v>
      </c>
      <c r="G63" s="52">
        <f ca="1">SUM(,,INDIRECT(ADDRESS(29,3,,,"MATCHS")),,,,INDIRECT(ADDRESS(69,3,,,"MATCHS")),,,,INDIRECT(ADDRESS(109,3,,,"MATCHS")),,,,INDIRECT(ADDRESS(149,3,,,"MATCHS")),,,,INDIRECT(ADDRESS(189,3,,,"MATCHS")),,,,INDIRECT(ADDRESS(229,3,,,"MATCHS")),,,,INDIRECT(ADDRESS(268,5,,,"MATCHS")),,,,INDIRECT(ADDRESS(309,3,,,"MATCHS")),,,,INDIRECT(ADDRESS(349,3,,,"MATCHS")),,,,INDIRECT(ADDRESS(389,3,,,"MATCHS")),,,,INDIRECT(ADDRESS(429,3,,,"MATCHS")),,,,,)</f>
        <v>0</v>
      </c>
      <c r="H63" s="52">
        <f ca="1">SUM(,,INDIRECT(ADDRESS(29,5,,,"MATCHS")),,,,INDIRECT(ADDRESS(69,5,,,"MATCHS")),,,,INDIRECT(ADDRESS(109,5,,,"MATCHS")),,,,INDIRECT(ADDRESS(149,5,,,"MATCHS")),,,,INDIRECT(ADDRESS(189,5,,,"MATCHS")),,,,INDIRECT(ADDRESS(229,5,,,"MATCHS")),,,,INDIRECT(ADDRESS(268,3,,,"MATCHS")),,,,INDIRECT(ADDRESS(309,5,,,"MATCHS")),,,,INDIRECT(ADDRESS(349,5,,,"MATCHS")),,,,INDIRECT(ADDRESS(389,5,,,"MATCHS")),,,,INDIRECT(ADDRESS(429,5,,,"MATCHS")),,,,,)</f>
        <v>0</v>
      </c>
      <c r="I63" s="52">
        <f t="shared" ca="1" si="5"/>
        <v>0</v>
      </c>
      <c r="J63" s="52">
        <v>0</v>
      </c>
      <c r="K63" s="52">
        <v>3</v>
      </c>
      <c r="L63" s="52">
        <v>3</v>
      </c>
      <c r="M63" s="69"/>
    </row>
    <row r="64" spans="1:13" ht="15.75" x14ac:dyDescent="0.25">
      <c r="A64" s="187"/>
      <c r="B64" s="52">
        <v>4</v>
      </c>
      <c r="C64" s="52" t="s">
        <v>115</v>
      </c>
      <c r="D64" s="52" t="str">
        <f>INSCRIPTS_PH!C56</f>
        <v>4D</v>
      </c>
      <c r="E64" s="90">
        <f ca="1">SUM(,,IF(INDIRECT(ADDRESS(29,5,,,"MATCHS"))&gt;INDIRECT(ADDRESS(29,3,,,"MATCHS")),1,0),,,,IF(INDIRECT(ADDRESS(68,5,,,"MATCHS"))&gt;INDIRECT(ADDRESS(68,3,,,"MATCHS")),1,0),,,,,IF(INDIRECT(ADDRESS(114,5,,,"MATCHS"))&gt;INDIRECT(ADDRESS(114,3,,,"MATCHS")),1,0),,,,IF(INDIRECT(ADDRESS(153,5,,,"MATCHS"))&gt;INDIRECT(ADDRESS(153,3,,,"MATCHS")),1,0),,,,IF(INDIRECT(ADDRESS(192,5,,,"MATCHS"))&gt;INDIRECT(ADDRESS(192,3,,,"MATCHS")),1,0),,,IF(INDIRECT(ADDRESS(230,5,,,"MATCHS"))&gt;INDIRECT(ADDRESS(230,3,,,"MATCHS")),1,0),,,,,IF(INDIRECT(ADDRESS(272,5,,,"MATCHS"))&gt;INDIRECT(ADDRESS(272,3,,,"MATCHS")),1,0),,,,IF(INDIRECT(ADDRESS(313,3,,,"MATCHS"))&gt;INDIRECT(ADDRESS(313,5,,,"MATCHS")),1,0),,,,IF(INDIRECT(ADDRESS(353,3,,,"MATCHS"))&gt;INDIRECT(ADDRESS(353,5,,,"MATCHS")),1,0),,,,IF(INDIRECT(ADDRESS(393,3,,,"MATCHS"))&gt;INDIRECT(ADDRESS(393,5,,,"MATCHS")),1,0),,,,IF(INDIRECT(ADDRESS(433,3,,,"MATCHS"))&gt;INDIRECT(ADDRESS(433,5,,,"MATCHS")),1,0),,,,) + 0.1 * J64</f>
        <v>0</v>
      </c>
      <c r="F64" s="52">
        <f ca="1">SUM(,,IF(INDIRECT(ADDRESS(29,5,,,"MATCHS"))&lt;INDIRECT(ADDRESS(29,3,,,"MATCHS")),1,0),,,,IF(INDIRECT(ADDRESS(68,5,,,"MATCHS"))&lt;INDIRECT(ADDRESS(68,3,,,"MATCHS")),1,0),,,,,IF(INDIRECT(ADDRESS(114,5,,,"MATCHS"))&lt;INDIRECT(ADDRESS(114,3,,,"MATCHS")),1,0),,,,IF(INDIRECT(ADDRESS(153,5,,,"MATCHS"))&lt;INDIRECT(ADDRESS(153,3,,,"MATCHS")),1,0),,,,IF(INDIRECT(ADDRESS(192,5,,,"MATCHS"))&lt;INDIRECT(ADDRESS(192,3,,,"MATCHS")),1,0),,,IF(INDIRECT(ADDRESS(230,5,,,"MATCHS"))&lt;INDIRECT(ADDRESS(230,3,,,"MATCHS")),1,0),,,,,IF(INDIRECT(ADDRESS(272,5,,,"MATCHS"))&lt;INDIRECT(ADDRESS(272,3,,,"MATCHS")),1,0),,,,IF(INDIRECT(ADDRESS(313,3,,,"MATCHS"))&lt;INDIRECT(ADDRESS(313,5,,,"MATCHS")),1,0),,,,IF(INDIRECT(ADDRESS(353,3,,,"MATCHS"))&lt;INDIRECT(ADDRESS(353,5,,,"MATCHS")),1,0),,,,IF(INDIRECT(ADDRESS(393,3,,,"MATCHS"))&lt;INDIRECT(ADDRESS(393,5,,,"MATCHS")),1,0),,,,IF(INDIRECT(ADDRESS(433,3,,,"MATCHS"))&lt;INDIRECT(ADDRESS(433,5,,,"MATCHS")),1,0),,,,)</f>
        <v>0</v>
      </c>
      <c r="G64" s="52">
        <f ca="1">SUM(,,INDIRECT(ADDRESS(29,5,,,"MATCHS")),,,,INDIRECT(ADDRESS(68,5,,,"MATCHS")),,,,,INDIRECT(ADDRESS(114,5,,,"MATCHS")),,,,INDIRECT(ADDRESS(153,5,,,"MATCHS")),,,,INDIRECT(ADDRESS(192,5,,,"MATCHS")),,,INDIRECT(ADDRESS(230,5,,,"MATCHS")),,,,,INDIRECT(ADDRESS(272,5,,,"MATCHS")),,,,INDIRECT(ADDRESS(313,3,,,"MATCHS")),,,,INDIRECT(ADDRESS(353,3,,,"MATCHS")),,,,INDIRECT(ADDRESS(393,3,,,"MATCHS")),,,,INDIRECT(ADDRESS(433,3,,,"MATCHS")),,,,)</f>
        <v>0</v>
      </c>
      <c r="H64" s="52">
        <f ca="1">SUM(,,INDIRECT(ADDRESS(29,3,,,"MATCHS")),,,,INDIRECT(ADDRESS(68,3,,,"MATCHS")),,,,,INDIRECT(ADDRESS(114,3,,,"MATCHS")),,,,INDIRECT(ADDRESS(153,3,,,"MATCHS")),,,,INDIRECT(ADDRESS(192,3,,,"MATCHS")),,,INDIRECT(ADDRESS(230,3,,,"MATCHS")),,,,,INDIRECT(ADDRESS(272,3,,,"MATCHS")),,,,INDIRECT(ADDRESS(313,5,,,"MATCHS")),,,,INDIRECT(ADDRESS(353,5,,,"MATCHS")),,,,INDIRECT(ADDRESS(393,5,,,"MATCHS")),,,,INDIRECT(ADDRESS(433,5,,,"MATCHS")),,,,)</f>
        <v>0</v>
      </c>
      <c r="I64" s="52">
        <f t="shared" ca="1" si="5"/>
        <v>0</v>
      </c>
      <c r="J64" s="52">
        <v>0</v>
      </c>
      <c r="K64" s="52">
        <v>4</v>
      </c>
      <c r="L64" s="52">
        <v>4</v>
      </c>
      <c r="M64" s="69"/>
    </row>
    <row r="65" spans="1:13" ht="15.75" x14ac:dyDescent="0.25">
      <c r="A65" s="187"/>
      <c r="B65" s="52">
        <v>5</v>
      </c>
      <c r="C65" s="52" t="s">
        <v>116</v>
      </c>
      <c r="D65" s="52" t="str">
        <f>INSCRIPTS_PH!C57</f>
        <v>5D</v>
      </c>
      <c r="E65" s="90">
        <f ca="1">SUM(,,IF(INDIRECT(ADDRESS(30,3,,,"MATCHS"))&gt;INDIRECT(ADDRESS(30,5,,,"MATCHS")),1,0),,,,IF(INDIRECT(ADDRESS(70,3,,,"MATCHS"))&gt;INDIRECT(ADDRESS(70,5,,,"MATCHS")),1,0),,,,IF(INDIRECT(ADDRESS(110,3,,,"MATCHS"))&gt;INDIRECT(ADDRESS(110,5,,,"MATCHS")),1,0),,,,IF(INDIRECT(ADDRESS(150,3,,,"MATCHS"))&gt;INDIRECT(ADDRESS(150,5,,,"MATCHS")),1,0),,,,IF(INDIRECT(ADDRESS(190,3,,,"MATCHS"))&gt;INDIRECT(ADDRESS(190,5,,,"MATCHS")),1,0),,,,IF(INDIRECT(ADDRESS(230,3,,,"MATCHS"))&gt;INDIRECT(ADDRESS(230,5,,,"MATCHS")),1,0),,,,IF(INDIRECT(ADDRESS(269,3,,,"MATCHS"))&gt;INDIRECT(ADDRESS(269,5,,,"MATCHS")),1,0),,,,IF(INDIRECT(ADDRESS(308,5,,,"MATCHS"))&gt;INDIRECT(ADDRESS(308,3,,,"MATCHS")),1,0),,,,IF(INDIRECT(ADDRESS(350,3,,,"MATCHS"))&gt;INDIRECT(ADDRESS(350,5,,,"MATCHS")),1,0),,,,IF(INDIRECT(ADDRESS(390,3,,,"MATCHS"))&gt;INDIRECT(ADDRESS(390,5,,,"MATCHS")),1,0),,,,IF(INDIRECT(ADDRESS(429,5,,,"MATCHS"))&gt;INDIRECT(ADDRESS(429,3,,,"MATCHS")),1,0),,,,,) + 0.1 * J65</f>
        <v>0</v>
      </c>
      <c r="F65" s="52">
        <f ca="1">SUM(,,IF(INDIRECT(ADDRESS(30,3,,,"MATCHS"))&lt;INDIRECT(ADDRESS(30,5,,,"MATCHS")),1,0),,,,IF(INDIRECT(ADDRESS(70,3,,,"MATCHS"))&lt;INDIRECT(ADDRESS(70,5,,,"MATCHS")),1,0),,,,IF(INDIRECT(ADDRESS(110,3,,,"MATCHS"))&lt;INDIRECT(ADDRESS(110,5,,,"MATCHS")),1,0),,,,IF(INDIRECT(ADDRESS(150,3,,,"MATCHS"))&lt;INDIRECT(ADDRESS(150,5,,,"MATCHS")),1,0),,,,IF(INDIRECT(ADDRESS(190,3,,,"MATCHS"))&lt;INDIRECT(ADDRESS(190,5,,,"MATCHS")),1,0),,,,IF(INDIRECT(ADDRESS(230,3,,,"MATCHS"))&lt;INDIRECT(ADDRESS(230,5,,,"MATCHS")),1,0),,,,IF(INDIRECT(ADDRESS(269,3,,,"MATCHS"))&lt;INDIRECT(ADDRESS(269,5,,,"MATCHS")),1,0),,,,IF(INDIRECT(ADDRESS(308,5,,,"MATCHS"))&lt;INDIRECT(ADDRESS(308,3,,,"MATCHS")),1,0),,,,IF(INDIRECT(ADDRESS(350,3,,,"MATCHS"))&lt;INDIRECT(ADDRESS(350,5,,,"MATCHS")),1,0),,,,IF(INDIRECT(ADDRESS(390,3,,,"MATCHS"))&lt;INDIRECT(ADDRESS(390,5,,,"MATCHS")),1,0),,,,IF(INDIRECT(ADDRESS(429,5,,,"MATCHS"))&lt;INDIRECT(ADDRESS(429,3,,,"MATCHS")),1,0),,,,,)</f>
        <v>0</v>
      </c>
      <c r="G65" s="52">
        <f ca="1">SUM(,,INDIRECT(ADDRESS(30,3,,,"MATCHS")),,,,INDIRECT(ADDRESS(70,3,,,"MATCHS")),,,,INDIRECT(ADDRESS(110,3,,,"MATCHS")),,,,INDIRECT(ADDRESS(150,3,,,"MATCHS")),,,,INDIRECT(ADDRESS(190,3,,,"MATCHS")),,,,INDIRECT(ADDRESS(230,3,,,"MATCHS")),,,,INDIRECT(ADDRESS(269,3,,,"MATCHS")),,,,INDIRECT(ADDRESS(308,5,,,"MATCHS")),,,,INDIRECT(ADDRESS(350,3,,,"MATCHS")),,,,INDIRECT(ADDRESS(390,3,,,"MATCHS")),,,,INDIRECT(ADDRESS(429,5,,,"MATCHS")),,,,,)</f>
        <v>0</v>
      </c>
      <c r="H65" s="52">
        <f ca="1">SUM(,,INDIRECT(ADDRESS(30,5,,,"MATCHS")),,,,INDIRECT(ADDRESS(70,5,,,"MATCHS")),,,,INDIRECT(ADDRESS(110,5,,,"MATCHS")),,,,INDIRECT(ADDRESS(150,5,,,"MATCHS")),,,,INDIRECT(ADDRESS(190,5,,,"MATCHS")),,,,INDIRECT(ADDRESS(230,5,,,"MATCHS")),,,,INDIRECT(ADDRESS(269,5,,,"MATCHS")),,,,INDIRECT(ADDRESS(308,3,,,"MATCHS")),,,,INDIRECT(ADDRESS(350,5,,,"MATCHS")),,,,INDIRECT(ADDRESS(390,5,,,"MATCHS")),,,,INDIRECT(ADDRESS(429,3,,,"MATCHS")),,,,,)</f>
        <v>0</v>
      </c>
      <c r="I65" s="52">
        <f t="shared" ca="1" si="5"/>
        <v>0</v>
      </c>
      <c r="J65" s="52">
        <v>0</v>
      </c>
      <c r="K65" s="52">
        <v>5</v>
      </c>
      <c r="L65" s="52">
        <v>4</v>
      </c>
      <c r="M65" s="69"/>
    </row>
    <row r="66" spans="1:13" ht="15.75" x14ac:dyDescent="0.25">
      <c r="A66" s="187"/>
      <c r="B66" s="52">
        <v>6</v>
      </c>
      <c r="C66" s="52" t="s">
        <v>265</v>
      </c>
      <c r="D66" s="52" t="str">
        <f>INSCRIPTS_PH!C58</f>
        <v>6D</v>
      </c>
      <c r="E66" s="90">
        <f ca="1">SUM(,,IF(INDIRECT(ADDRESS(30,5,,,"MATCHS"))&gt;INDIRECT(ADDRESS(30,3,,,"MATCHS")),1,0),,,,IF(INDIRECT(ADDRESS(69,5,,,"MATCHS"))&gt;INDIRECT(ADDRESS(69,3,,,"MATCHS")),1,0),,,,IF(INDIRECT(ADDRESS(108,5,,,"MATCHS"))&gt;INDIRECT(ADDRESS(108,3,,,"MATCHS")),1,0),,,,,IF(INDIRECT(ADDRESS(154,5,,,"MATCHS"))&gt;INDIRECT(ADDRESS(154,3,,,"MATCHS")),1,0),,,,IF(INDIRECT(ADDRESS(193,5,,,"MATCHS"))&gt;INDIRECT(ADDRESS(193,3,,,"MATCHS")),1,0),,,,IF(INDIRECT(ADDRESS(232,5,,,"MATCHS"))&gt;INDIRECT(ADDRESS(232,3,,,"MATCHS")),1,0),,,,IF(INDIRECT(ADDRESS(273,3,,,"MATCHS"))&gt;INDIRECT(ADDRESS(273,5,,,"MATCHS")),1,0),,,,IF(INDIRECT(ADDRESS(312,5,,,"MATCHS"))&gt;INDIRECT(ADDRESS(312,3,,,"MATCHS")),1,0),,,,IF(INDIRECT(ADDRESS(354,3,,,"MATCHS"))&gt;INDIRECT(ADDRESS(354,5,,,"MATCHS")),1,0),,,,IF(INDIRECT(ADDRESS(394,3,,,"MATCHS"))&gt;INDIRECT(ADDRESS(394,5,,,"MATCHS")),1,0),,,,IF(INDIRECT(ADDRESS(433,5,,,"MATCHS"))&gt;INDIRECT(ADDRESS(433,3,,,"MATCHS")),1,0),,,,) + 0.1 * J66</f>
        <v>0</v>
      </c>
      <c r="F66" s="52">
        <f ca="1">SUM(,,IF(INDIRECT(ADDRESS(30,5,,,"MATCHS"))&lt;INDIRECT(ADDRESS(30,3,,,"MATCHS")),1,0),,,,IF(INDIRECT(ADDRESS(69,5,,,"MATCHS"))&lt;INDIRECT(ADDRESS(69,3,,,"MATCHS")),1,0),,,,IF(INDIRECT(ADDRESS(108,5,,,"MATCHS"))&lt;INDIRECT(ADDRESS(108,3,,,"MATCHS")),1,0),,,,,IF(INDIRECT(ADDRESS(154,5,,,"MATCHS"))&lt;INDIRECT(ADDRESS(154,3,,,"MATCHS")),1,0),,,,IF(INDIRECT(ADDRESS(193,5,,,"MATCHS"))&lt;INDIRECT(ADDRESS(193,3,,,"MATCHS")),1,0),,,,IF(INDIRECT(ADDRESS(232,5,,,"MATCHS"))&lt;INDIRECT(ADDRESS(232,3,,,"MATCHS")),1,0),,,,IF(INDIRECT(ADDRESS(273,3,,,"MATCHS"))&lt;INDIRECT(ADDRESS(273,5,,,"MATCHS")),1,0),,,,IF(INDIRECT(ADDRESS(312,5,,,"MATCHS"))&lt;INDIRECT(ADDRESS(312,3,,,"MATCHS")),1,0),,,,IF(INDIRECT(ADDRESS(354,3,,,"MATCHS"))&lt;INDIRECT(ADDRESS(354,5,,,"MATCHS")),1,0),,,,IF(INDIRECT(ADDRESS(394,3,,,"MATCHS"))&lt;INDIRECT(ADDRESS(394,5,,,"MATCHS")),1,0),,,,IF(INDIRECT(ADDRESS(433,5,,,"MATCHS"))&lt;INDIRECT(ADDRESS(433,3,,,"MATCHS")),1,0),,,,)</f>
        <v>0</v>
      </c>
      <c r="G66" s="52">
        <f ca="1">SUM(,,INDIRECT(ADDRESS(30,5,,,"MATCHS")),,,,INDIRECT(ADDRESS(69,5,,,"MATCHS")),,,,INDIRECT(ADDRESS(108,5,,,"MATCHS")),,,,,INDIRECT(ADDRESS(154,5,,,"MATCHS")),,,,INDIRECT(ADDRESS(193,5,,,"MATCHS")),,,,INDIRECT(ADDRESS(232,5,,,"MATCHS")),,,,INDIRECT(ADDRESS(273,3,,,"MATCHS")),,,,INDIRECT(ADDRESS(312,5,,,"MATCHS")),,,,INDIRECT(ADDRESS(354,3,,,"MATCHS")),,,,INDIRECT(ADDRESS(394,3,,,"MATCHS")),,,,INDIRECT(ADDRESS(433,5,,,"MATCHS")),,,,)</f>
        <v>0</v>
      </c>
      <c r="H66" s="52">
        <f ca="1">SUM(,,INDIRECT(ADDRESS(30,3,,,"MATCHS")),,,,INDIRECT(ADDRESS(69,3,,,"MATCHS")),,,,INDIRECT(ADDRESS(108,3,,,"MATCHS")),,,,,INDIRECT(ADDRESS(154,3,,,"MATCHS")),,,,INDIRECT(ADDRESS(193,3,,,"MATCHS")),,,,INDIRECT(ADDRESS(232,3,,,"MATCHS")),,,,INDIRECT(ADDRESS(273,5,,,"MATCHS")),,,,INDIRECT(ADDRESS(312,3,,,"MATCHS")),,,,INDIRECT(ADDRESS(354,5,,,"MATCHS")),,,,INDIRECT(ADDRESS(394,5,,,"MATCHS")),,,,INDIRECT(ADDRESS(433,3,,,"MATCHS")),,,,)</f>
        <v>0</v>
      </c>
      <c r="I66" s="52">
        <f t="shared" ca="1" si="5"/>
        <v>0</v>
      </c>
      <c r="J66" s="52">
        <v>0</v>
      </c>
      <c r="K66" s="52">
        <v>6</v>
      </c>
      <c r="L66" s="52">
        <v>3</v>
      </c>
      <c r="M66" s="69"/>
    </row>
    <row r="67" spans="1:13" ht="15.75" x14ac:dyDescent="0.25">
      <c r="A67" s="187"/>
      <c r="B67" s="52">
        <v>7</v>
      </c>
      <c r="C67" s="52" t="s">
        <v>266</v>
      </c>
      <c r="D67" s="52" t="str">
        <f>INSCRIPTS_PH!C59</f>
        <v>7D</v>
      </c>
      <c r="E67" s="90">
        <f ca="1">SUM(,,,IF(INDIRECT(ADDRESS(32,3,,,"MATCHS"))&gt;INDIRECT(ADDRESS(32,5,,,"MATCHS")),1,0),,,,IF(INDIRECT(ADDRESS(72,3,,,"MATCHS"))&gt;INDIRECT(ADDRESS(72,5,,,"MATCHS")),1,0),,,,IF(INDIRECT(ADDRESS(112,3,,,"MATCHS"))&gt;INDIRECT(ADDRESS(112,5,,,"MATCHS")),1,0),,,,IF(INDIRECT(ADDRESS(152,3,,,"MATCHS"))&gt;INDIRECT(ADDRESS(152,5,,,"MATCHS")),1,0),,,,IF(INDIRECT(ADDRESS(192,3,,,"MATCHS"))&gt;INDIRECT(ADDRESS(192,5,,,"MATCHS")),1,0),,,,IF(INDIRECT(ADDRESS(232,3,,,"MATCHS"))&gt;INDIRECT(ADDRESS(232,5,,,"MATCHS")),1,0),,,IF(INDIRECT(ADDRESS(269,5,,,"MATCHS"))&gt;INDIRECT(ADDRESS(269,3,,,"MATCHS")),1,0),,,,IF(INDIRECT(ADDRESS(310,3,,,"MATCHS"))&gt;INDIRECT(ADDRESS(310,5,,,"MATCHS")),1,0),,,,IF(INDIRECT(ADDRESS(348,5,,,"MATCHS"))&gt;INDIRECT(ADDRESS(348,3,,,"MATCHS")),1,0),,,,IF(INDIRECT(ADDRESS(389,5,,,"MATCHS"))&gt;INDIRECT(ADDRESS(389,3,,,"MATCHS")),1,0),,,,IF(INDIRECT(ADDRESS(430,3,,,"MATCHS"))&gt;INDIRECT(ADDRESS(430,5,,,"MATCHS")),1,0),,,,,) + 0.1 * J67</f>
        <v>0</v>
      </c>
      <c r="F67" s="52">
        <f ca="1">SUM(,,,IF(INDIRECT(ADDRESS(32,3,,,"MATCHS"))&lt;INDIRECT(ADDRESS(32,5,,,"MATCHS")),1,0),,,,IF(INDIRECT(ADDRESS(72,3,,,"MATCHS"))&lt;INDIRECT(ADDRESS(72,5,,,"MATCHS")),1,0),,,,IF(INDIRECT(ADDRESS(112,3,,,"MATCHS"))&lt;INDIRECT(ADDRESS(112,5,,,"MATCHS")),1,0),,,,IF(INDIRECT(ADDRESS(152,3,,,"MATCHS"))&lt;INDIRECT(ADDRESS(152,5,,,"MATCHS")),1,0),,,,IF(INDIRECT(ADDRESS(192,3,,,"MATCHS"))&lt;INDIRECT(ADDRESS(192,5,,,"MATCHS")),1,0),,,,IF(INDIRECT(ADDRESS(232,3,,,"MATCHS"))&lt;INDIRECT(ADDRESS(232,5,,,"MATCHS")),1,0),,,IF(INDIRECT(ADDRESS(269,5,,,"MATCHS"))&lt;INDIRECT(ADDRESS(269,3,,,"MATCHS")),1,0),,,,IF(INDIRECT(ADDRESS(310,3,,,"MATCHS"))&lt;INDIRECT(ADDRESS(310,5,,,"MATCHS")),1,0),,,,IF(INDIRECT(ADDRESS(348,5,,,"MATCHS"))&lt;INDIRECT(ADDRESS(348,3,,,"MATCHS")),1,0),,,,IF(INDIRECT(ADDRESS(389,5,,,"MATCHS"))&lt;INDIRECT(ADDRESS(389,3,,,"MATCHS")),1,0),,,,IF(INDIRECT(ADDRESS(430,3,,,"MATCHS"))&lt;INDIRECT(ADDRESS(430,5,,,"MATCHS")),1,0),,,,,)</f>
        <v>0</v>
      </c>
      <c r="G67" s="52">
        <f ca="1">SUM(,,,INDIRECT(ADDRESS(32,3,,,"MATCHS")),,,,INDIRECT(ADDRESS(72,3,,,"MATCHS")),,,,INDIRECT(ADDRESS(112,3,,,"MATCHS")),,,,INDIRECT(ADDRESS(152,3,,,"MATCHS")),,,,INDIRECT(ADDRESS(192,3,,,"MATCHS")),,,,INDIRECT(ADDRESS(232,3,,,"MATCHS")),,,INDIRECT(ADDRESS(269,5,,,"MATCHS")),,,,INDIRECT(ADDRESS(310,3,,,"MATCHS")),,,,INDIRECT(ADDRESS(348,5,,,"MATCHS")),,,,INDIRECT(ADDRESS(389,5,,,"MATCHS")),,,,INDIRECT(ADDRESS(430,3,,,"MATCHS")),,,,,)</f>
        <v>0</v>
      </c>
      <c r="H67" s="52">
        <f ca="1">SUM(,,,INDIRECT(ADDRESS(32,5,,,"MATCHS")),,,,INDIRECT(ADDRESS(72,5,,,"MATCHS")),,,,INDIRECT(ADDRESS(112,5,,,"MATCHS")),,,,INDIRECT(ADDRESS(152,5,,,"MATCHS")),,,,INDIRECT(ADDRESS(192,5,,,"MATCHS")),,,,INDIRECT(ADDRESS(232,5,,,"MATCHS")),,,INDIRECT(ADDRESS(269,3,,,"MATCHS")),,,,INDIRECT(ADDRESS(310,5,,,"MATCHS")),,,,INDIRECT(ADDRESS(348,3,,,"MATCHS")),,,,INDIRECT(ADDRESS(389,3,,,"MATCHS")),,,,INDIRECT(ADDRESS(430,5,,,"MATCHS")),,,,,)</f>
        <v>0</v>
      </c>
      <c r="I67" s="52">
        <f t="shared" ca="1" si="5"/>
        <v>0</v>
      </c>
      <c r="J67" s="52">
        <v>0</v>
      </c>
      <c r="K67" s="52">
        <v>7</v>
      </c>
      <c r="L67" s="52">
        <v>2</v>
      </c>
      <c r="M67" s="69"/>
    </row>
    <row r="68" spans="1:13" ht="15.75" x14ac:dyDescent="0.25">
      <c r="A68" s="187"/>
      <c r="B68" s="52">
        <v>8</v>
      </c>
      <c r="C68" s="52" t="s">
        <v>267</v>
      </c>
      <c r="D68" s="52" t="str">
        <f>INSCRIPTS_PH!C60</f>
        <v>8D</v>
      </c>
      <c r="E68" s="90">
        <f ca="1">SUM(,,,IF(INDIRECT(ADDRESS(32,5,,,"MATCHS"))&gt;INDIRECT(ADDRESS(32,3,,,"MATCHS")),1,0),,,IF(INDIRECT(ADDRESS(70,5,,,"MATCHS"))&gt;INDIRECT(ADDRESS(70,3,,,"MATCHS")),1,0),,,,IF(INDIRECT(ADDRESS(109,5,,,"MATCHS"))&gt;INDIRECT(ADDRESS(109,3,,,"MATCHS")),1,0),,,,IF(INDIRECT(ADDRESS(148,5,,,"MATCHS"))&gt;INDIRECT(ADDRESS(148,3,,,"MATCHS")),1,0),,,,,IF(INDIRECT(ADDRESS(194,5,,,"MATCHS"))&gt;INDIRECT(ADDRESS(194,3,,,"MATCHS")),1,0),,,,IF(INDIRECT(ADDRESS(233,5,,,"MATCHS"))&gt;INDIRECT(ADDRESS(233,3,,,"MATCHS")),1,0),,,,IF(INDIRECT(ADDRESS(273,5,,,"MATCHS"))&gt;INDIRECT(ADDRESS(273,3,,,"MATCHS")),1,0),,,,IF(INDIRECT(ADDRESS(314,3,,,"MATCHS"))&gt;INDIRECT(ADDRESS(314,5,,,"MATCHS")),1,0),,,,IF(INDIRECT(ADDRESS(352,5,,,"MATCHS"))&gt;INDIRECT(ADDRESS(352,3,,,"MATCHS")),1,0),,,,IF(INDIRECT(ADDRESS(393,5,,,"MATCHS"))&gt;INDIRECT(ADDRESS(393,3,,,"MATCHS")),1,0),,,,IF(INDIRECT(ADDRESS(434,3,,,"MATCHS"))&gt;INDIRECT(ADDRESS(434,5,,,"MATCHS")),1,0),,,,) + 0.1 * J68</f>
        <v>0</v>
      </c>
      <c r="F68" s="52">
        <f ca="1">SUM(,,,IF(INDIRECT(ADDRESS(32,5,,,"MATCHS"))&lt;INDIRECT(ADDRESS(32,3,,,"MATCHS")),1,0),,,IF(INDIRECT(ADDRESS(70,5,,,"MATCHS"))&lt;INDIRECT(ADDRESS(70,3,,,"MATCHS")),1,0),,,,IF(INDIRECT(ADDRESS(109,5,,,"MATCHS"))&lt;INDIRECT(ADDRESS(109,3,,,"MATCHS")),1,0),,,,IF(INDIRECT(ADDRESS(148,5,,,"MATCHS"))&lt;INDIRECT(ADDRESS(148,3,,,"MATCHS")),1,0),,,,,IF(INDIRECT(ADDRESS(194,5,,,"MATCHS"))&lt;INDIRECT(ADDRESS(194,3,,,"MATCHS")),1,0),,,,IF(INDIRECT(ADDRESS(233,5,,,"MATCHS"))&lt;INDIRECT(ADDRESS(233,3,,,"MATCHS")),1,0),,,,IF(INDIRECT(ADDRESS(273,5,,,"MATCHS"))&lt;INDIRECT(ADDRESS(273,3,,,"MATCHS")),1,0),,,,IF(INDIRECT(ADDRESS(314,3,,,"MATCHS"))&lt;INDIRECT(ADDRESS(314,5,,,"MATCHS")),1,0),,,,IF(INDIRECT(ADDRESS(352,5,,,"MATCHS"))&lt;INDIRECT(ADDRESS(352,3,,,"MATCHS")),1,0),,,,IF(INDIRECT(ADDRESS(393,5,,,"MATCHS"))&lt;INDIRECT(ADDRESS(393,3,,,"MATCHS")),1,0),,,,IF(INDIRECT(ADDRESS(434,3,,,"MATCHS"))&lt;INDIRECT(ADDRESS(434,5,,,"MATCHS")),1,0),,,,)</f>
        <v>0</v>
      </c>
      <c r="G68" s="52">
        <f ca="1">SUM(,,,INDIRECT(ADDRESS(32,5,,,"MATCHS")),,,INDIRECT(ADDRESS(70,5,,,"MATCHS")),,,,INDIRECT(ADDRESS(109,5,,,"MATCHS")),,,,INDIRECT(ADDRESS(148,5,,,"MATCHS")),,,,,INDIRECT(ADDRESS(194,5,,,"MATCHS")),,,,INDIRECT(ADDRESS(233,5,,,"MATCHS")),,,,INDIRECT(ADDRESS(273,5,,,"MATCHS")),,,,INDIRECT(ADDRESS(314,3,,,"MATCHS")),,,,INDIRECT(ADDRESS(352,5,,,"MATCHS")),,,,INDIRECT(ADDRESS(393,5,,,"MATCHS")),,,,INDIRECT(ADDRESS(434,3,,,"MATCHS")),,,,)</f>
        <v>0</v>
      </c>
      <c r="H68" s="52">
        <f ca="1">SUM(,,,INDIRECT(ADDRESS(32,3,,,"MATCHS")),,,INDIRECT(ADDRESS(70,3,,,"MATCHS")),,,,INDIRECT(ADDRESS(109,3,,,"MATCHS")),,,,INDIRECT(ADDRESS(148,3,,,"MATCHS")),,,,,INDIRECT(ADDRESS(194,3,,,"MATCHS")),,,,INDIRECT(ADDRESS(233,3,,,"MATCHS")),,,,INDIRECT(ADDRESS(273,3,,,"MATCHS")),,,,INDIRECT(ADDRESS(314,5,,,"MATCHS")),,,,INDIRECT(ADDRESS(352,3,,,"MATCHS")),,,,INDIRECT(ADDRESS(393,3,,,"MATCHS")),,,,INDIRECT(ADDRESS(434,5,,,"MATCHS")),,,,)</f>
        <v>0</v>
      </c>
      <c r="I68" s="52">
        <f t="shared" ca="1" si="5"/>
        <v>0</v>
      </c>
      <c r="J68" s="52">
        <v>0</v>
      </c>
      <c r="K68" s="52">
        <v>8</v>
      </c>
      <c r="L68" s="52">
        <v>1</v>
      </c>
      <c r="M68" s="69"/>
    </row>
    <row r="69" spans="1:13" ht="15.75" x14ac:dyDescent="0.25">
      <c r="A69" s="187"/>
      <c r="B69" s="52">
        <v>9</v>
      </c>
      <c r="C69" s="52" t="s">
        <v>268</v>
      </c>
      <c r="D69" s="52" t="str">
        <f>INSCRIPTS_PH!C61</f>
        <v>9D</v>
      </c>
      <c r="E69" s="90">
        <f ca="1">SUM(,,,IF(INDIRECT(ADDRESS(33,3,,,"MATCHS"))&gt;INDIRECT(ADDRESS(33,5,,,"MATCHS")),1,0),,,,IF(INDIRECT(ADDRESS(73,3,,,"MATCHS"))&gt;INDIRECT(ADDRESS(73,5,,,"MATCHS")),1,0),,,,IF(INDIRECT(ADDRESS(113,3,,,"MATCHS"))&gt;INDIRECT(ADDRESS(113,5,,,"MATCHS")),1,0),,,,IF(INDIRECT(ADDRESS(153,3,,,"MATCHS"))&gt;INDIRECT(ADDRESS(153,5,,,"MATCHS")),1,0),,,,IF(INDIRECT(ADDRESS(193,3,,,"MATCHS"))&gt;INDIRECT(ADDRESS(193,5,,,"MATCHS")),1,0),,,,IF(INDIRECT(ADDRESS(233,3,,,"MATCHS"))&gt;INDIRECT(ADDRESS(233,5,,,"MATCHS")),1,0),,,IF(INDIRECT(ADDRESS(270,3,,,"MATCHS"))&gt;INDIRECT(ADDRESS(270,5,,,"MATCHS")),1,0),,,,IF(INDIRECT(ADDRESS(309,5,,,"MATCHS"))&gt;INDIRECT(ADDRESS(309,3,,,"MATCHS")),1,0),,,,IF(INDIRECT(ADDRESS(350,5,,,"MATCHS"))&gt;INDIRECT(ADDRESS(350,3,,,"MATCHS")),1,0),,,,IF(INDIRECT(ADDRESS(388,5,,,"MATCHS"))&gt;INDIRECT(ADDRESS(388,3,,,"MATCHS")),1,0),,,,IF(INDIRECT(ADDRESS(430,5,,,"MATCHS"))&gt;INDIRECT(ADDRESS(430,3,,,"MATCHS")),1,0),,,,,) + 0.1 * J69</f>
        <v>0</v>
      </c>
      <c r="F69" s="52">
        <f ca="1">SUM(,,,IF(INDIRECT(ADDRESS(33,3,,,"MATCHS"))&lt;INDIRECT(ADDRESS(33,5,,,"MATCHS")),1,0),,,,IF(INDIRECT(ADDRESS(73,3,,,"MATCHS"))&lt;INDIRECT(ADDRESS(73,5,,,"MATCHS")),1,0),,,,IF(INDIRECT(ADDRESS(113,3,,,"MATCHS"))&lt;INDIRECT(ADDRESS(113,5,,,"MATCHS")),1,0),,,,IF(INDIRECT(ADDRESS(153,3,,,"MATCHS"))&lt;INDIRECT(ADDRESS(153,5,,,"MATCHS")),1,0),,,,IF(INDIRECT(ADDRESS(193,3,,,"MATCHS"))&lt;INDIRECT(ADDRESS(193,5,,,"MATCHS")),1,0),,,,IF(INDIRECT(ADDRESS(233,3,,,"MATCHS"))&lt;INDIRECT(ADDRESS(233,5,,,"MATCHS")),1,0),,,IF(INDIRECT(ADDRESS(270,3,,,"MATCHS"))&lt;INDIRECT(ADDRESS(270,5,,,"MATCHS")),1,0),,,,IF(INDIRECT(ADDRESS(309,5,,,"MATCHS"))&lt;INDIRECT(ADDRESS(309,3,,,"MATCHS")),1,0),,,,IF(INDIRECT(ADDRESS(350,5,,,"MATCHS"))&lt;INDIRECT(ADDRESS(350,3,,,"MATCHS")),1,0),,,,IF(INDIRECT(ADDRESS(388,5,,,"MATCHS"))&lt;INDIRECT(ADDRESS(388,3,,,"MATCHS")),1,0),,,,IF(INDIRECT(ADDRESS(430,5,,,"MATCHS"))&lt;INDIRECT(ADDRESS(430,3,,,"MATCHS")),1,0),,,,,)</f>
        <v>0</v>
      </c>
      <c r="G69" s="52">
        <f ca="1">SUM(,,,INDIRECT(ADDRESS(33,3,,,"MATCHS")),,,,INDIRECT(ADDRESS(73,3,,,"MATCHS")),,,,INDIRECT(ADDRESS(113,3,,,"MATCHS")),,,,INDIRECT(ADDRESS(153,3,,,"MATCHS")),,,,INDIRECT(ADDRESS(193,3,,,"MATCHS")),,,,INDIRECT(ADDRESS(233,3,,,"MATCHS")),,,INDIRECT(ADDRESS(270,3,,,"MATCHS")),,,,INDIRECT(ADDRESS(309,5,,,"MATCHS")),,,,INDIRECT(ADDRESS(350,5,,,"MATCHS")),,,,INDIRECT(ADDRESS(388,5,,,"MATCHS")),,,,INDIRECT(ADDRESS(430,5,,,"MATCHS")),,,,,)</f>
        <v>0</v>
      </c>
      <c r="H69" s="52">
        <f ca="1">SUM(,,,INDIRECT(ADDRESS(33,5,,,"MATCHS")),,,,INDIRECT(ADDRESS(73,5,,,"MATCHS")),,,,INDIRECT(ADDRESS(113,5,,,"MATCHS")),,,,INDIRECT(ADDRESS(153,5,,,"MATCHS")),,,,INDIRECT(ADDRESS(193,5,,,"MATCHS")),,,,INDIRECT(ADDRESS(233,5,,,"MATCHS")),,,INDIRECT(ADDRESS(270,5,,,"MATCHS")),,,,INDIRECT(ADDRESS(309,3,,,"MATCHS")),,,,INDIRECT(ADDRESS(350,3,,,"MATCHS")),,,,INDIRECT(ADDRESS(388,3,,,"MATCHS")),,,,INDIRECT(ADDRESS(430,3,,,"MATCHS")),,,,,)</f>
        <v>0</v>
      </c>
      <c r="I69" s="52">
        <f t="shared" ca="1" si="5"/>
        <v>0</v>
      </c>
      <c r="J69" s="52">
        <v>0</v>
      </c>
      <c r="K69" s="52">
        <v>9</v>
      </c>
      <c r="L69" s="52">
        <v>5</v>
      </c>
      <c r="M69" s="69"/>
    </row>
    <row r="70" spans="1:13" ht="15.75" x14ac:dyDescent="0.25">
      <c r="A70" s="187"/>
      <c r="B70" s="52">
        <v>10</v>
      </c>
      <c r="C70" s="52" t="s">
        <v>269</v>
      </c>
      <c r="D70" s="52" t="str">
        <f>INSCRIPTS_PH!C62</f>
        <v>10D</v>
      </c>
      <c r="E70" s="90">
        <f ca="1">SUM(,,,IF(INDIRECT(ADDRESS(33,5,,,"MATCHS"))&gt;INDIRECT(ADDRESS(33,3,,,"MATCHS")),1,0),,,,IF(INDIRECT(ADDRESS(72,5,,,"MATCHS"))&gt;INDIRECT(ADDRESS(72,3,,,"MATCHS")),1,0),,,IF(INDIRECT(ADDRESS(110,5,,,"MATCHS"))&gt;INDIRECT(ADDRESS(110,3,,,"MATCHS")),1,0),,,,IF(INDIRECT(ADDRESS(149,5,,,"MATCHS"))&gt;INDIRECT(ADDRESS(149,3,,,"MATCHS")),1,0),,,,IF(INDIRECT(ADDRESS(188,5,,,"MATCHS"))&gt;INDIRECT(ADDRESS(188,3,,,"MATCHS")),1,0),,,,,IF(INDIRECT(ADDRESS(234,5,,,"MATCHS"))&gt;INDIRECT(ADDRESS(234,3,,,"MATCHS")),1,0),,,,IF(INDIRECT(ADDRESS(274,3,,,"MATCHS"))&gt;INDIRECT(ADDRESS(274,5,,,"MATCHS")),1,0),,,,IF(INDIRECT(ADDRESS(313,5,,,"MATCHS"))&gt;INDIRECT(ADDRESS(313,3,,,"MATCHS")),1,0),,,,IF(INDIRECT(ADDRESS(354,5,,,"MATCHS"))&gt;INDIRECT(ADDRESS(354,3,,,"MATCHS")),1,0),,,,IF(INDIRECT(ADDRESS(392,5,,,"MATCHS"))&gt;INDIRECT(ADDRESS(392,3,,,"MATCHS")),1,0),,,,IF(INDIRECT(ADDRESS(434,5,,,"MATCHS"))&gt;INDIRECT(ADDRESS(434,3,,,"MATCHS")),1,0),,,,) + 0.1 * J70</f>
        <v>0</v>
      </c>
      <c r="F70" s="52">
        <f ca="1">SUM(,,,IF(INDIRECT(ADDRESS(33,5,,,"MATCHS"))&lt;INDIRECT(ADDRESS(33,3,,,"MATCHS")),1,0),,,,IF(INDIRECT(ADDRESS(72,5,,,"MATCHS"))&lt;INDIRECT(ADDRESS(72,3,,,"MATCHS")),1,0),,,IF(INDIRECT(ADDRESS(110,5,,,"MATCHS"))&lt;INDIRECT(ADDRESS(110,3,,,"MATCHS")),1,0),,,,IF(INDIRECT(ADDRESS(149,5,,,"MATCHS"))&lt;INDIRECT(ADDRESS(149,3,,,"MATCHS")),1,0),,,,IF(INDIRECT(ADDRESS(188,5,,,"MATCHS"))&lt;INDIRECT(ADDRESS(188,3,,,"MATCHS")),1,0),,,,,IF(INDIRECT(ADDRESS(234,5,,,"MATCHS"))&lt;INDIRECT(ADDRESS(234,3,,,"MATCHS")),1,0),,,,IF(INDIRECT(ADDRESS(274,3,,,"MATCHS"))&lt;INDIRECT(ADDRESS(274,5,,,"MATCHS")),1,0),,,,IF(INDIRECT(ADDRESS(313,5,,,"MATCHS"))&lt;INDIRECT(ADDRESS(313,3,,,"MATCHS")),1,0),,,,IF(INDIRECT(ADDRESS(354,5,,,"MATCHS"))&lt;INDIRECT(ADDRESS(354,3,,,"MATCHS")),1,0),,,,IF(INDIRECT(ADDRESS(392,5,,,"MATCHS"))&lt;INDIRECT(ADDRESS(392,3,,,"MATCHS")),1,0),,,,IF(INDIRECT(ADDRESS(434,5,,,"MATCHS"))&lt;INDIRECT(ADDRESS(434,3,,,"MATCHS")),1,0),,,,)</f>
        <v>0</v>
      </c>
      <c r="G70" s="52">
        <f ca="1">SUM(,,,INDIRECT(ADDRESS(33,5,,,"MATCHS")),,,,INDIRECT(ADDRESS(72,5,,,"MATCHS")),,,INDIRECT(ADDRESS(110,5,,,"MATCHS")),,,,INDIRECT(ADDRESS(149,5,,,"MATCHS")),,,,INDIRECT(ADDRESS(188,5,,,"MATCHS")),,,,,INDIRECT(ADDRESS(234,5,,,"MATCHS")),,,,INDIRECT(ADDRESS(274,3,,,"MATCHS")),,,,INDIRECT(ADDRESS(313,5,,,"MATCHS")),,,,INDIRECT(ADDRESS(354,5,,,"MATCHS")),,,,INDIRECT(ADDRESS(392,5,,,"MATCHS")),,,,INDIRECT(ADDRESS(434,5,,,"MATCHS")),,,,)</f>
        <v>0</v>
      </c>
      <c r="H70" s="52">
        <f ca="1">SUM(,,,INDIRECT(ADDRESS(33,3,,,"MATCHS")),,,,INDIRECT(ADDRESS(72,3,,,"MATCHS")),,,INDIRECT(ADDRESS(110,3,,,"MATCHS")),,,,INDIRECT(ADDRESS(149,3,,,"MATCHS")),,,,INDIRECT(ADDRESS(188,3,,,"MATCHS")),,,,,INDIRECT(ADDRESS(234,3,,,"MATCHS")),,,,INDIRECT(ADDRESS(274,5,,,"MATCHS")),,,,INDIRECT(ADDRESS(313,3,,,"MATCHS")),,,,INDIRECT(ADDRESS(354,3,,,"MATCHS")),,,,INDIRECT(ADDRESS(392,3,,,"MATCHS")),,,,INDIRECT(ADDRESS(434,3,,,"MATCHS")),,,,)</f>
        <v>0</v>
      </c>
      <c r="I70" s="52">
        <f t="shared" ca="1" si="5"/>
        <v>0</v>
      </c>
      <c r="J70" s="52">
        <v>0</v>
      </c>
      <c r="K70" s="52">
        <v>10</v>
      </c>
      <c r="L70" s="52">
        <v>6</v>
      </c>
      <c r="M70" s="69"/>
    </row>
    <row r="71" spans="1:13" ht="15.75" x14ac:dyDescent="0.25">
      <c r="A71" s="187"/>
      <c r="B71" s="52">
        <v>11</v>
      </c>
      <c r="C71" s="52" t="s">
        <v>270</v>
      </c>
      <c r="D71" s="52" t="str">
        <f>INSCRIPTS_PH!C63</f>
        <v>11D</v>
      </c>
      <c r="E71" s="90">
        <f ca="1">SUM(,,,IF(INDIRECT(ADDRESS(34,3,,,"MATCHS"))&gt;INDIRECT(ADDRESS(34,5,,,"MATCHS")),1,0),,,,IF(INDIRECT(ADDRESS(74,3,,,"MATCHS"))&gt;INDIRECT(ADDRESS(74,5,,,"MATCHS")),1,0),,,,IF(INDIRECT(ADDRESS(114,3,,,"MATCHS"))&gt;INDIRECT(ADDRESS(114,5,,,"MATCHS")),1,0),,,,IF(INDIRECT(ADDRESS(154,3,,,"MATCHS"))&gt;INDIRECT(ADDRESS(154,5,,,"MATCHS")),1,0),,,,IF(INDIRECT(ADDRESS(194,3,,,"MATCHS"))&gt;INDIRECT(ADDRESS(194,5,,,"MATCHS")),1,0),,,,IF(INDIRECT(ADDRESS(234,3,,,"MATCHS"))&gt;INDIRECT(ADDRESS(234,5,,,"MATCHS")),1,0),,,IF(INDIRECT(ADDRESS(270,5,,,"MATCHS"))&gt;INDIRECT(ADDRESS(270,3,,,"MATCHS")),1,0),,,,IF(INDIRECT(ADDRESS(310,5,,,"MATCHS"))&gt;INDIRECT(ADDRESS(310,3,,,"MATCHS")),1,0),,,,IF(INDIRECT(ADDRESS(349,5,,,"MATCHS"))&gt;INDIRECT(ADDRESS(349,3,,,"MATCHS")),1,0),,,,IF(INDIRECT(ADDRESS(390,5,,,"MATCHS"))&gt;INDIRECT(ADDRESS(390,3,,,"MATCHS")),1,0),,,,IF(INDIRECT(ADDRESS(428,5,,,"MATCHS"))&gt;INDIRECT(ADDRESS(428,3,,,"MATCHS")),1,0),,,,,) + 0.1 * J71</f>
        <v>0</v>
      </c>
      <c r="F71" s="52">
        <f ca="1">SUM(,,,IF(INDIRECT(ADDRESS(34,3,,,"MATCHS"))&lt;INDIRECT(ADDRESS(34,5,,,"MATCHS")),1,0),,,,IF(INDIRECT(ADDRESS(74,3,,,"MATCHS"))&lt;INDIRECT(ADDRESS(74,5,,,"MATCHS")),1,0),,,,IF(INDIRECT(ADDRESS(114,3,,,"MATCHS"))&lt;INDIRECT(ADDRESS(114,5,,,"MATCHS")),1,0),,,,IF(INDIRECT(ADDRESS(154,3,,,"MATCHS"))&lt;INDIRECT(ADDRESS(154,5,,,"MATCHS")),1,0),,,,IF(INDIRECT(ADDRESS(194,3,,,"MATCHS"))&lt;INDIRECT(ADDRESS(194,5,,,"MATCHS")),1,0),,,,IF(INDIRECT(ADDRESS(234,3,,,"MATCHS"))&lt;INDIRECT(ADDRESS(234,5,,,"MATCHS")),1,0),,,IF(INDIRECT(ADDRESS(270,5,,,"MATCHS"))&lt;INDIRECT(ADDRESS(270,3,,,"MATCHS")),1,0),,,,IF(INDIRECT(ADDRESS(310,5,,,"MATCHS"))&lt;INDIRECT(ADDRESS(310,3,,,"MATCHS")),1,0),,,,IF(INDIRECT(ADDRESS(349,5,,,"MATCHS"))&lt;INDIRECT(ADDRESS(349,3,,,"MATCHS")),1,0),,,,IF(INDIRECT(ADDRESS(390,5,,,"MATCHS"))&lt;INDIRECT(ADDRESS(390,3,,,"MATCHS")),1,0),,,,IF(INDIRECT(ADDRESS(428,5,,,"MATCHS"))&lt;INDIRECT(ADDRESS(428,3,,,"MATCHS")),1,0),,,,,)</f>
        <v>0</v>
      </c>
      <c r="G71" s="52">
        <f ca="1">SUM(,,,INDIRECT(ADDRESS(34,3,,,"MATCHS")),,,,INDIRECT(ADDRESS(74,3,,,"MATCHS")),,,,INDIRECT(ADDRESS(114,3,,,"MATCHS")),,,,INDIRECT(ADDRESS(154,3,,,"MATCHS")),,,,INDIRECT(ADDRESS(194,3,,,"MATCHS")),,,,INDIRECT(ADDRESS(234,3,,,"MATCHS")),,,INDIRECT(ADDRESS(270,5,,,"MATCHS")),,,,INDIRECT(ADDRESS(310,5,,,"MATCHS")),,,,INDIRECT(ADDRESS(349,5,,,"MATCHS")),,,,INDIRECT(ADDRESS(390,5,,,"MATCHS")),,,,INDIRECT(ADDRESS(428,5,,,"MATCHS")),,,,,)</f>
        <v>0</v>
      </c>
      <c r="H71" s="52">
        <f ca="1">SUM(,,,INDIRECT(ADDRESS(34,5,,,"MATCHS")),,,,INDIRECT(ADDRESS(74,5,,,"MATCHS")),,,,INDIRECT(ADDRESS(114,5,,,"MATCHS")),,,,INDIRECT(ADDRESS(154,5,,,"MATCHS")),,,,INDIRECT(ADDRESS(194,5,,,"MATCHS")),,,,INDIRECT(ADDRESS(234,5,,,"MATCHS")),,,INDIRECT(ADDRESS(270,3,,,"MATCHS")),,,,INDIRECT(ADDRESS(310,3,,,"MATCHS")),,,,INDIRECT(ADDRESS(349,3,,,"MATCHS")),,,,INDIRECT(ADDRESS(390,3,,,"MATCHS")),,,,INDIRECT(ADDRESS(428,3,,,"MATCHS")),,,,,)</f>
        <v>0</v>
      </c>
      <c r="I71" s="52">
        <f t="shared" ca="1" si="5"/>
        <v>0</v>
      </c>
      <c r="J71" s="52">
        <v>0</v>
      </c>
      <c r="K71" s="52">
        <v>11</v>
      </c>
      <c r="L71" s="52">
        <v>6</v>
      </c>
      <c r="M71" s="69"/>
    </row>
    <row r="72" spans="1:13" ht="15.75" x14ac:dyDescent="0.25">
      <c r="A72" s="187"/>
      <c r="B72" s="52">
        <v>12</v>
      </c>
      <c r="C72" s="52" t="s">
        <v>271</v>
      </c>
      <c r="D72" s="52" t="str">
        <f>INSCRIPTS_PH!C64</f>
        <v>12D</v>
      </c>
      <c r="E72" s="90">
        <f ca="1">SUM(,,,IF(INDIRECT(ADDRESS(34,5,,,"MATCHS"))&gt;INDIRECT(ADDRESS(34,3,,,"MATCHS")),1,0),,,,IF(INDIRECT(ADDRESS(73,5,,,"MATCHS"))&gt;INDIRECT(ADDRESS(73,3,,,"MATCHS")),1,0),,,,IF(INDIRECT(ADDRESS(112,5,,,"MATCHS"))&gt;INDIRECT(ADDRESS(112,3,,,"MATCHS")),1,0),,,IF(INDIRECT(ADDRESS(150,5,,,"MATCHS"))&gt;INDIRECT(ADDRESS(150,3,,,"MATCHS")),1,0),,,,IF(INDIRECT(ADDRESS(189,5,,,"MATCHS"))&gt;INDIRECT(ADDRESS(189,3,,,"MATCHS")),1,0),,,,IF(INDIRECT(ADDRESS(228,5,,,"MATCHS"))&gt;INDIRECT(ADDRESS(228,3,,,"MATCHS")),1,0),,,,,IF(INDIRECT(ADDRESS(274,5,,,"MATCHS"))&gt;INDIRECT(ADDRESS(274,3,,,"MATCHS")),1,0),,,,IF(INDIRECT(ADDRESS(314,5,,,"MATCHS"))&gt;INDIRECT(ADDRESS(314,3,,,"MATCHS")),1,0),,,,IF(INDIRECT(ADDRESS(353,5,,,"MATCHS"))&gt;INDIRECT(ADDRESS(353,3,,,"MATCHS")),1,0),,,,IF(INDIRECT(ADDRESS(394,5,,,"MATCHS"))&gt;INDIRECT(ADDRESS(394,3,,,"MATCHS")),1,0),,,,IF(INDIRECT(ADDRESS(432,5,,,"MATCHS"))&gt;INDIRECT(ADDRESS(432,3,,,"MATCHS")),1,0),,,,) + 0.1 * J72</f>
        <v>0</v>
      </c>
      <c r="F72" s="52">
        <f ca="1">SUM(,,,IF(INDIRECT(ADDRESS(34,5,,,"MATCHS"))&lt;INDIRECT(ADDRESS(34,3,,,"MATCHS")),1,0),,,,IF(INDIRECT(ADDRESS(73,5,,,"MATCHS"))&lt;INDIRECT(ADDRESS(73,3,,,"MATCHS")),1,0),,,,IF(INDIRECT(ADDRESS(112,5,,,"MATCHS"))&lt;INDIRECT(ADDRESS(112,3,,,"MATCHS")),1,0),,,IF(INDIRECT(ADDRESS(150,5,,,"MATCHS"))&lt;INDIRECT(ADDRESS(150,3,,,"MATCHS")),1,0),,,,IF(INDIRECT(ADDRESS(189,5,,,"MATCHS"))&lt;INDIRECT(ADDRESS(189,3,,,"MATCHS")),1,0),,,,IF(INDIRECT(ADDRESS(228,5,,,"MATCHS"))&lt;INDIRECT(ADDRESS(228,3,,,"MATCHS")),1,0),,,,,IF(INDIRECT(ADDRESS(274,5,,,"MATCHS"))&lt;INDIRECT(ADDRESS(274,3,,,"MATCHS")),1,0),,,,IF(INDIRECT(ADDRESS(314,5,,,"MATCHS"))&lt;INDIRECT(ADDRESS(314,3,,,"MATCHS")),1,0),,,,IF(INDIRECT(ADDRESS(353,5,,,"MATCHS"))&lt;INDIRECT(ADDRESS(353,3,,,"MATCHS")),1,0),,,,IF(INDIRECT(ADDRESS(394,5,,,"MATCHS"))&lt;INDIRECT(ADDRESS(394,3,,,"MATCHS")),1,0),,,,IF(INDIRECT(ADDRESS(432,5,,,"MATCHS"))&lt;INDIRECT(ADDRESS(432,3,,,"MATCHS")),1,0),,,,)</f>
        <v>0</v>
      </c>
      <c r="G72" s="52">
        <f ca="1">SUM(,,,INDIRECT(ADDRESS(34,5,,,"MATCHS")),,,,INDIRECT(ADDRESS(73,5,,,"MATCHS")),,,,INDIRECT(ADDRESS(112,5,,,"MATCHS")),,,INDIRECT(ADDRESS(150,5,,,"MATCHS")),,,,INDIRECT(ADDRESS(189,5,,,"MATCHS")),,,,INDIRECT(ADDRESS(228,5,,,"MATCHS")),,,,,INDIRECT(ADDRESS(274,5,,,"MATCHS")),,,,INDIRECT(ADDRESS(314,5,,,"MATCHS")),,,,INDIRECT(ADDRESS(353,5,,,"MATCHS")),,,,INDIRECT(ADDRESS(394,5,,,"MATCHS")),,,,INDIRECT(ADDRESS(432,5,,,"MATCHS")),,,,)</f>
        <v>0</v>
      </c>
      <c r="H72" s="52">
        <f ca="1">SUM(,,,INDIRECT(ADDRESS(34,3,,,"MATCHS")),,,,INDIRECT(ADDRESS(73,3,,,"MATCHS")),,,,INDIRECT(ADDRESS(112,3,,,"MATCHS")),,,INDIRECT(ADDRESS(150,3,,,"MATCHS")),,,,INDIRECT(ADDRESS(189,3,,,"MATCHS")),,,,INDIRECT(ADDRESS(228,3,,,"MATCHS")),,,,,INDIRECT(ADDRESS(274,3,,,"MATCHS")),,,,INDIRECT(ADDRESS(314,3,,,"MATCHS")),,,,INDIRECT(ADDRESS(353,3,,,"MATCHS")),,,,INDIRECT(ADDRESS(394,3,,,"MATCHS")),,,,INDIRECT(ADDRESS(432,3,,,"MATCHS")),,,,)</f>
        <v>0</v>
      </c>
      <c r="I72" s="52">
        <f t="shared" ca="1" si="5"/>
        <v>0</v>
      </c>
      <c r="J72" s="52">
        <v>0</v>
      </c>
      <c r="K72" s="52">
        <v>12</v>
      </c>
      <c r="L72" s="52">
        <v>5</v>
      </c>
      <c r="M72" s="69"/>
    </row>
  </sheetData>
  <mergeCells count="4">
    <mergeCell ref="A4:A19"/>
    <mergeCell ref="A23:A38"/>
    <mergeCell ref="A42:A57"/>
    <mergeCell ref="A61:A72"/>
  </mergeCells>
  <dataValidations count="2">
    <dataValidation type="whole" operator="greaterThanOrEqual" allowBlank="1" showErrorMessage="1" errorTitle="ATTENTION" error="NOMBRE ENTIER UNIQUEMENT_x000a_MINIMUM --&gt; 0" sqref="J1:J1048576" xr:uid="{EB161283-38A2-4800-9671-C907055CCAFB}">
      <formula1>0</formula1>
    </dataValidation>
    <dataValidation type="whole" allowBlank="1" showErrorMessage="1" errorTitle="ATTENTION" error="NOMBRE ENTIER UNIQUEMENT_x000a_COMPRIS ENTRE --&gt; 1 ET 32" sqref="L1:L1048576" xr:uid="{C5B64754-FD4A-4F5A-9FFA-9AB07B2E0B08}">
      <formula1>1</formula1>
      <formula2>32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ValiderOrdrePhaseFinale">
              <controlPr defaultSize="0" print="0" autoFill="0" autoPict="0" macro="[0]!listmatchph14ind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C576D-FD6F-4901-BA58-C851BD6FCFF9}">
  <sheetPr codeName="Feuil16"/>
  <dimension ref="A1:M17"/>
  <sheetViews>
    <sheetView workbookViewId="0">
      <selection activeCell="G13" sqref="G13"/>
    </sheetView>
  </sheetViews>
  <sheetFormatPr baseColWidth="10" defaultRowHeight="15" x14ac:dyDescent="0.25"/>
  <cols>
    <col min="1" max="2" width="11.42578125" style="47"/>
    <col min="3" max="3" width="0" style="47" hidden="1" customWidth="1"/>
    <col min="4" max="4" width="43.5703125" style="47" customWidth="1"/>
    <col min="5" max="5" width="11.42578125" style="84"/>
    <col min="6" max="10" width="11.42578125" style="47"/>
    <col min="11" max="11" width="0" style="47" hidden="1" customWidth="1"/>
    <col min="12" max="12" width="6" style="47" customWidth="1"/>
    <col min="13" max="16384" width="11.42578125" style="47"/>
  </cols>
  <sheetData>
    <row r="1" spans="1:13" ht="15.75" thickBot="1" x14ac:dyDescent="0.3"/>
    <row r="2" spans="1:13" ht="30.95" customHeight="1" thickBot="1" x14ac:dyDescent="0.3">
      <c r="C2" s="85" t="s">
        <v>228</v>
      </c>
      <c r="D2" s="85" t="s">
        <v>236</v>
      </c>
      <c r="E2" s="86" t="s">
        <v>229</v>
      </c>
      <c r="F2" s="85" t="s">
        <v>230</v>
      </c>
      <c r="G2" s="85" t="s">
        <v>231</v>
      </c>
      <c r="H2" s="85" t="s">
        <v>232</v>
      </c>
      <c r="I2" s="85" t="s">
        <v>233</v>
      </c>
      <c r="J2" s="48" t="s">
        <v>234</v>
      </c>
      <c r="K2" s="85" t="s">
        <v>235</v>
      </c>
      <c r="L2" s="48" t="s">
        <v>53</v>
      </c>
    </row>
    <row r="4" spans="1:13" ht="15.75" x14ac:dyDescent="0.25">
      <c r="A4" s="186" t="s">
        <v>171</v>
      </c>
      <c r="B4" s="51">
        <v>1</v>
      </c>
      <c r="C4" s="51" t="s">
        <v>44</v>
      </c>
      <c r="D4" s="51" t="str">
        <f>INSCRIPTS_14!C2</f>
        <v>1M</v>
      </c>
      <c r="E4" s="89">
        <f ca="1">SUM(IF(INDIRECT(ADDRESS(2,3,,,"MATCHS_14"))&gt;INDIRECT(ADDRESS(2,5,,,"MATCHS_14")),1,0),IF(INDIRECT(ADDRESS(9,3,,,"MATCHS_14"))&gt;INDIRECT(ADDRESS(9,5,,,"MATCHS_14")),1,0),IF(INDIRECT(ADDRESS(16,3,,,"MATCHS_14"))&gt;INDIRECT(ADDRESS(16,5,,,"MATCHS_14")),1,0),IF(INDIRECT(ADDRESS(23,3,,,"MATCHS_14"))&gt;INDIRECT(ADDRESS(23,5,,,"MATCHS_14")),1,0),,,,,,,,,,,,) + 0.1 * J4</f>
        <v>0</v>
      </c>
      <c r="F4" s="51">
        <f ca="1">SUM(IF(INDIRECT(ADDRESS(2,3,,,"MATCHS_14"))&lt;INDIRECT(ADDRESS(2,5,,,"MATCHS_14")),1,0),IF(INDIRECT(ADDRESS(9,3,,,"MATCHS_14"))&lt;INDIRECT(ADDRESS(9,5,,,"MATCHS_14")),1,0),IF(INDIRECT(ADDRESS(16,3,,,"MATCHS_14"))&lt;INDIRECT(ADDRESS(16,5,,,"MATCHS_14")),1,0),IF(INDIRECT(ADDRESS(23,3,,,"MATCHS_14"))&lt;INDIRECT(ADDRESS(23,5,,,"MATCHS_14")),1,0),,,,,,,,,,,,)</f>
        <v>0</v>
      </c>
      <c r="G4" s="51">
        <f ca="1">SUM(INDIRECT(ADDRESS(2,3,,,"MATCHS_14")),INDIRECT(ADDRESS(9,3,,,"MATCHS_14")),INDIRECT(ADDRESS(16,3,,,"MATCHS_14")),INDIRECT(ADDRESS(23,3,,,"MATCHS_14")),,,,,,,,,,,,)</f>
        <v>0</v>
      </c>
      <c r="H4" s="51">
        <f ca="1">SUM(INDIRECT(ADDRESS(2,5,,,"MATCHS_14")),INDIRECT(ADDRESS(9,5,,,"MATCHS_14")),INDIRECT(ADDRESS(16,5,,,"MATCHS_14")),INDIRECT(ADDRESS(23,5,,,"MATCHS_14")),,,,,,,,,,,,)</f>
        <v>0</v>
      </c>
      <c r="I4" s="51">
        <f t="shared" ref="I4:I17" ca="1" si="0">G4 - H4</f>
        <v>0</v>
      </c>
      <c r="J4" s="51">
        <v>0</v>
      </c>
      <c r="K4" s="51">
        <v>1</v>
      </c>
      <c r="L4" s="51"/>
      <c r="M4" s="69"/>
    </row>
    <row r="5" spans="1:13" ht="15.75" x14ac:dyDescent="0.25">
      <c r="A5" s="186"/>
      <c r="B5" s="51">
        <v>2</v>
      </c>
      <c r="C5" s="51" t="s">
        <v>45</v>
      </c>
      <c r="D5" s="51" t="str">
        <f>INSCRIPTS_14!C3</f>
        <v>2M</v>
      </c>
      <c r="E5" s="89">
        <f ca="1">SUM(IF(INDIRECT(ADDRESS(6,3,,,"MATCHS_14"))&gt;INDIRECT(ADDRESS(6,5,,,"MATCHS_14")),1,0),,IF(INDIRECT(ADDRESS(21,5,,,"MATCHS_14"))&gt;INDIRECT(ADDRESS(21,3,,,"MATCHS_14")),1,0),IF(INDIRECT(ADDRESS(26,5,,,"MATCHS_14"))&gt;INDIRECT(ADDRESS(26,3,,,"MATCHS_14")),1,0),,,,,,,,,,,,) + 0.1 * J5</f>
        <v>0</v>
      </c>
      <c r="F5" s="51">
        <f ca="1">SUM(IF(INDIRECT(ADDRESS(6,3,,,"MATCHS_14"))&lt;INDIRECT(ADDRESS(6,5,,,"MATCHS_14")),1,0),,IF(INDIRECT(ADDRESS(21,5,,,"MATCHS_14"))&lt;INDIRECT(ADDRESS(21,3,,,"MATCHS_14")),1,0),IF(INDIRECT(ADDRESS(26,5,,,"MATCHS_14"))&lt;INDIRECT(ADDRESS(26,3,,,"MATCHS_14")),1,0),,,,,,,,,,,,)</f>
        <v>0</v>
      </c>
      <c r="G5" s="51">
        <f ca="1">SUM(INDIRECT(ADDRESS(6,3,,,"MATCHS_14")),,INDIRECT(ADDRESS(21,5,,,"MATCHS_14")),INDIRECT(ADDRESS(26,5,,,"MATCHS_14")),,,,,,,,,,,,)</f>
        <v>0</v>
      </c>
      <c r="H5" s="51">
        <f ca="1">SUM(INDIRECT(ADDRESS(6,5,,,"MATCHS_14")),,INDIRECT(ADDRESS(21,3,,,"MATCHS_14")),INDIRECT(ADDRESS(26,3,,,"MATCHS_14")),,,,,,,,,,,,)</f>
        <v>0</v>
      </c>
      <c r="I5" s="51">
        <f t="shared" ca="1" si="0"/>
        <v>0</v>
      </c>
      <c r="J5" s="51">
        <v>0</v>
      </c>
      <c r="K5" s="51">
        <v>2</v>
      </c>
      <c r="L5" s="51"/>
      <c r="M5" s="69"/>
    </row>
    <row r="6" spans="1:13" ht="15.75" x14ac:dyDescent="0.25">
      <c r="A6" s="186"/>
      <c r="B6" s="51">
        <v>3</v>
      </c>
      <c r="C6" s="51" t="s">
        <v>46</v>
      </c>
      <c r="D6" s="51" t="str">
        <f>INSCRIPTS_14!C4</f>
        <v>3M</v>
      </c>
      <c r="E6" s="89">
        <f ca="1">SUM(IF(INDIRECT(ADDRESS(7,3,,,"MATCHS_14"))&gt;INDIRECT(ADDRESS(7,5,,,"MATCHS_14")),1,0),,IF(INDIRECT(ADDRESS(20,5,,,"MATCHS_14"))&gt;INDIRECT(ADDRESS(20,3,,,"MATCHS_14")),1,0),IF(INDIRECT(ADDRESS(25,5,,,"MATCHS_14"))&gt;INDIRECT(ADDRESS(25,3,,,"MATCHS_14")),1,0),,,,,,,,,,,,) + 0.1 * J6</f>
        <v>0</v>
      </c>
      <c r="F6" s="51">
        <f ca="1">SUM(IF(INDIRECT(ADDRESS(7,3,,,"MATCHS_14"))&lt;INDIRECT(ADDRESS(7,5,,,"MATCHS_14")),1,0),,IF(INDIRECT(ADDRESS(20,5,,,"MATCHS_14"))&lt;INDIRECT(ADDRESS(20,3,,,"MATCHS_14")),1,0),IF(INDIRECT(ADDRESS(25,5,,,"MATCHS_14"))&lt;INDIRECT(ADDRESS(25,3,,,"MATCHS_14")),1,0),,,,,,,,,,,,)</f>
        <v>0</v>
      </c>
      <c r="G6" s="51">
        <f ca="1">SUM(INDIRECT(ADDRESS(7,3,,,"MATCHS_14")),,INDIRECT(ADDRESS(20,5,,,"MATCHS_14")),INDIRECT(ADDRESS(25,5,,,"MATCHS_14")),,,,,,,,,,,,)</f>
        <v>0</v>
      </c>
      <c r="H6" s="51">
        <f ca="1">SUM(INDIRECT(ADDRESS(7,5,,,"MATCHS_14")),,INDIRECT(ADDRESS(20,3,,,"MATCHS_14")),INDIRECT(ADDRESS(25,3,,,"MATCHS_14")),,,,,,,,,,,,)</f>
        <v>0</v>
      </c>
      <c r="I6" s="51">
        <f t="shared" ca="1" si="0"/>
        <v>0</v>
      </c>
      <c r="J6" s="51">
        <v>0</v>
      </c>
      <c r="K6" s="51">
        <v>3</v>
      </c>
      <c r="L6" s="51"/>
      <c r="M6" s="69"/>
    </row>
    <row r="7" spans="1:13" ht="15.75" x14ac:dyDescent="0.25">
      <c r="A7" s="186"/>
      <c r="B7" s="51">
        <v>4</v>
      </c>
      <c r="C7" s="51" t="s">
        <v>100</v>
      </c>
      <c r="D7" s="51" t="str">
        <f>INSCRIPTS_14!C5</f>
        <v>4M</v>
      </c>
      <c r="E7" s="89">
        <f ca="1">SUM(,IF(INDIRECT(ADDRESS(14,5,,,"MATCHS_14"))&gt;INDIRECT(ADDRESS(14,3,,,"MATCHS_14")),1,0),IF(INDIRECT(ADDRESS(19,5,,,"MATCHS_14"))&gt;INDIRECT(ADDRESS(19,3,,,"MATCHS_14")),1,0),IF(INDIRECT(ADDRESS(24,5,,,"MATCHS_14"))&gt;INDIRECT(ADDRESS(24,3,,,"MATCHS_14")),1,0),,,,,,,,,,,,) + 0.1 * J7</f>
        <v>0</v>
      </c>
      <c r="F7" s="51">
        <f ca="1">SUM(,IF(INDIRECT(ADDRESS(14,5,,,"MATCHS_14"))&lt;INDIRECT(ADDRESS(14,3,,,"MATCHS_14")),1,0),IF(INDIRECT(ADDRESS(19,5,,,"MATCHS_14"))&lt;INDIRECT(ADDRESS(19,3,,,"MATCHS_14")),1,0),IF(INDIRECT(ADDRESS(24,5,,,"MATCHS_14"))&lt;INDIRECT(ADDRESS(24,3,,,"MATCHS_14")),1,0),,,,,,,,,,,,)</f>
        <v>0</v>
      </c>
      <c r="G7" s="51">
        <f ca="1">SUM(,INDIRECT(ADDRESS(14,5,,,"MATCHS_14")),INDIRECT(ADDRESS(19,5,,,"MATCHS_14")),INDIRECT(ADDRESS(24,5,,,"MATCHS_14")),,,,,,,,,,,,)</f>
        <v>0</v>
      </c>
      <c r="H7" s="51">
        <f ca="1">SUM(,INDIRECT(ADDRESS(14,3,,,"MATCHS_14")),INDIRECT(ADDRESS(19,3,,,"MATCHS_14")),INDIRECT(ADDRESS(24,3,,,"MATCHS_14")),,,,,,,,,,,,)</f>
        <v>0</v>
      </c>
      <c r="I7" s="51">
        <f t="shared" ca="1" si="0"/>
        <v>0</v>
      </c>
      <c r="J7" s="51">
        <v>0</v>
      </c>
      <c r="K7" s="51">
        <v>4</v>
      </c>
      <c r="L7" s="51"/>
      <c r="M7" s="69"/>
    </row>
    <row r="8" spans="1:13" ht="15.75" x14ac:dyDescent="0.25">
      <c r="A8" s="186"/>
      <c r="B8" s="51">
        <v>5</v>
      </c>
      <c r="C8" s="51" t="s">
        <v>101</v>
      </c>
      <c r="D8" s="51" t="str">
        <f>INSCRIPTS_14!C6</f>
        <v>5M</v>
      </c>
      <c r="E8" s="89">
        <f ca="1">SUM(,IF(INDIRECT(ADDRESS(13,5,,,"MATCHS_14"))&gt;INDIRECT(ADDRESS(13,3,,,"MATCHS_14")),1,0),IF(INDIRECT(ADDRESS(18,5,,,"MATCHS_14"))&gt;INDIRECT(ADDRESS(18,3,,,"MATCHS_14")),1,0),IF(INDIRECT(ADDRESS(23,5,,,"MATCHS_14"))&gt;INDIRECT(ADDRESS(23,3,,,"MATCHS_14")),1,0),,,,,,,,,,,,) + 0.1 * J8</f>
        <v>0</v>
      </c>
      <c r="F8" s="51">
        <f ca="1">SUM(,IF(INDIRECT(ADDRESS(13,5,,,"MATCHS_14"))&lt;INDIRECT(ADDRESS(13,3,,,"MATCHS_14")),1,0),IF(INDIRECT(ADDRESS(18,5,,,"MATCHS_14"))&lt;INDIRECT(ADDRESS(18,3,,,"MATCHS_14")),1,0),IF(INDIRECT(ADDRESS(23,5,,,"MATCHS_14"))&lt;INDIRECT(ADDRESS(23,3,,,"MATCHS_14")),1,0),,,,,,,,,,,,)</f>
        <v>0</v>
      </c>
      <c r="G8" s="51">
        <f ca="1">SUM(,INDIRECT(ADDRESS(13,5,,,"MATCHS_14")),INDIRECT(ADDRESS(18,5,,,"MATCHS_14")),INDIRECT(ADDRESS(23,5,,,"MATCHS_14")),,,,,,,,,,,,)</f>
        <v>0</v>
      </c>
      <c r="H8" s="51">
        <f ca="1">SUM(,INDIRECT(ADDRESS(13,3,,,"MATCHS_14")),INDIRECT(ADDRESS(18,3,,,"MATCHS_14")),INDIRECT(ADDRESS(23,3,,,"MATCHS_14")),,,,,,,,,,,,)</f>
        <v>0</v>
      </c>
      <c r="I8" s="51">
        <f t="shared" ca="1" si="0"/>
        <v>0</v>
      </c>
      <c r="J8" s="51">
        <v>0</v>
      </c>
      <c r="K8" s="51">
        <v>5</v>
      </c>
      <c r="L8" s="51"/>
      <c r="M8" s="69"/>
    </row>
    <row r="9" spans="1:13" ht="15.75" x14ac:dyDescent="0.25">
      <c r="A9" s="186"/>
      <c r="B9" s="51">
        <v>6</v>
      </c>
      <c r="C9" s="51" t="s">
        <v>225</v>
      </c>
      <c r="D9" s="51" t="str">
        <f>INSCRIPTS_14!C7</f>
        <v>6M</v>
      </c>
      <c r="E9" s="89">
        <f ca="1">SUM(IF(INDIRECT(ADDRESS(7,5,,,"MATCHS_14"))&gt;INDIRECT(ADDRESS(7,3,,,"MATCHS_14")),1,0),IF(INDIRECT(ADDRESS(12,5,,,"MATCHS_14"))&gt;INDIRECT(ADDRESS(12,3,,,"MATCHS_14")),1,0),IF(INDIRECT(ADDRESS(17,5,,,"MATCHS_14"))&gt;INDIRECT(ADDRESS(17,3,,,"MATCHS_14")),1,0),IF(INDIRECT(ADDRESS(24,3,,,"MATCHS_14"))&gt;INDIRECT(ADDRESS(24,5,,,"MATCHS_14")),1,0),,,,,,,,,,,,) + 0.1 * J9</f>
        <v>0</v>
      </c>
      <c r="F9" s="51">
        <f ca="1">SUM(IF(INDIRECT(ADDRESS(7,5,,,"MATCHS_14"))&lt;INDIRECT(ADDRESS(7,3,,,"MATCHS_14")),1,0),IF(INDIRECT(ADDRESS(12,5,,,"MATCHS_14"))&lt;INDIRECT(ADDRESS(12,3,,,"MATCHS_14")),1,0),IF(INDIRECT(ADDRESS(17,5,,,"MATCHS_14"))&lt;INDIRECT(ADDRESS(17,3,,,"MATCHS_14")),1,0),IF(INDIRECT(ADDRESS(24,3,,,"MATCHS_14"))&lt;INDIRECT(ADDRESS(24,5,,,"MATCHS_14")),1,0),,,,,,,,,,,,)</f>
        <v>0</v>
      </c>
      <c r="G9" s="51">
        <f ca="1">SUM(INDIRECT(ADDRESS(7,5,,,"MATCHS_14")),INDIRECT(ADDRESS(12,5,,,"MATCHS_14")),INDIRECT(ADDRESS(17,5,,,"MATCHS_14")),INDIRECT(ADDRESS(24,3,,,"MATCHS_14")),,,,,,,,,,,,)</f>
        <v>0</v>
      </c>
      <c r="H9" s="51">
        <f ca="1">SUM(INDIRECT(ADDRESS(7,3,,,"MATCHS_14")),INDIRECT(ADDRESS(12,3,,,"MATCHS_14")),INDIRECT(ADDRESS(17,3,,,"MATCHS_14")),INDIRECT(ADDRESS(24,5,,,"MATCHS_14")),,,,,,,,,,,,)</f>
        <v>0</v>
      </c>
      <c r="I9" s="51">
        <f t="shared" ca="1" si="0"/>
        <v>0</v>
      </c>
      <c r="J9" s="51">
        <v>0</v>
      </c>
      <c r="K9" s="51">
        <v>6</v>
      </c>
      <c r="L9" s="51"/>
      <c r="M9" s="69"/>
    </row>
    <row r="10" spans="1:13" ht="15.75" x14ac:dyDescent="0.25">
      <c r="A10" s="186"/>
      <c r="B10" s="51">
        <v>7</v>
      </c>
      <c r="C10" s="51" t="s">
        <v>223</v>
      </c>
      <c r="D10" s="51" t="str">
        <f>INSCRIPTS_14!C8</f>
        <v>7M</v>
      </c>
      <c r="E10" s="89">
        <f ca="1">SUM(IF(INDIRECT(ADDRESS(6,5,,,"MATCHS_14"))&gt;INDIRECT(ADDRESS(6,3,,,"MATCHS_14")),1,0),IF(INDIRECT(ADDRESS(11,5,,,"MATCHS_14"))&gt;INDIRECT(ADDRESS(11,3,,,"MATCHS_14")),1,0),IF(INDIRECT(ADDRESS(16,5,,,"MATCHS_14"))&gt;INDIRECT(ADDRESS(16,3,,,"MATCHS_14")),1,0),IF(INDIRECT(ADDRESS(25,3,,,"MATCHS_14"))&gt;INDIRECT(ADDRESS(25,5,,,"MATCHS_14")),1,0),,,,,,,,,,,,) + 0.1 * J10</f>
        <v>0</v>
      </c>
      <c r="F10" s="51">
        <f ca="1">SUM(IF(INDIRECT(ADDRESS(6,5,,,"MATCHS_14"))&lt;INDIRECT(ADDRESS(6,3,,,"MATCHS_14")),1,0),IF(INDIRECT(ADDRESS(11,5,,,"MATCHS_14"))&lt;INDIRECT(ADDRESS(11,3,,,"MATCHS_14")),1,0),IF(INDIRECT(ADDRESS(16,5,,,"MATCHS_14"))&lt;INDIRECT(ADDRESS(16,3,,,"MATCHS_14")),1,0),IF(INDIRECT(ADDRESS(25,3,,,"MATCHS_14"))&lt;INDIRECT(ADDRESS(25,5,,,"MATCHS_14")),1,0),,,,,,,,,,,,)</f>
        <v>0</v>
      </c>
      <c r="G10" s="51">
        <f ca="1">SUM(INDIRECT(ADDRESS(6,5,,,"MATCHS_14")),INDIRECT(ADDRESS(11,5,,,"MATCHS_14")),INDIRECT(ADDRESS(16,5,,,"MATCHS_14")),INDIRECT(ADDRESS(25,3,,,"MATCHS_14")),,,,,,,,,,,,)</f>
        <v>0</v>
      </c>
      <c r="H10" s="51">
        <f ca="1">SUM(INDIRECT(ADDRESS(6,3,,,"MATCHS_14")),INDIRECT(ADDRESS(11,3,,,"MATCHS_14")),INDIRECT(ADDRESS(16,3,,,"MATCHS_14")),INDIRECT(ADDRESS(25,5,,,"MATCHS_14")),,,,,,,,,,,,)</f>
        <v>0</v>
      </c>
      <c r="I10" s="51">
        <f t="shared" ca="1" si="0"/>
        <v>0</v>
      </c>
      <c r="J10" s="51">
        <v>0</v>
      </c>
      <c r="K10" s="51">
        <v>7</v>
      </c>
      <c r="L10" s="51"/>
      <c r="M10" s="69"/>
    </row>
    <row r="11" spans="1:13" ht="15.75" x14ac:dyDescent="0.25">
      <c r="A11" s="186"/>
      <c r="B11" s="51">
        <v>8</v>
      </c>
      <c r="C11" s="51" t="s">
        <v>224</v>
      </c>
      <c r="D11" s="51" t="str">
        <f>INSCRIPTS_14!C9</f>
        <v>8M</v>
      </c>
      <c r="E11" s="89">
        <f ca="1">SUM(IF(INDIRECT(ADDRESS(5,5,,,"MATCHS_14"))&gt;INDIRECT(ADDRESS(5,3,,,"MATCHS_14")),1,0),IF(INDIRECT(ADDRESS(10,5,,,"MATCHS_14"))&gt;INDIRECT(ADDRESS(10,3,,,"MATCHS_14")),1,0),IF(INDIRECT(ADDRESS(17,3,,,"MATCHS_14"))&gt;INDIRECT(ADDRESS(17,5,,,"MATCHS_14")),1,0),IF(INDIRECT(ADDRESS(26,3,,,"MATCHS_14"))&gt;INDIRECT(ADDRESS(26,5,,,"MATCHS_14")),1,0),,,,,,,,,,,,) + 0.1 * J11</f>
        <v>0</v>
      </c>
      <c r="F11" s="51">
        <f ca="1">SUM(IF(INDIRECT(ADDRESS(5,5,,,"MATCHS_14"))&lt;INDIRECT(ADDRESS(5,3,,,"MATCHS_14")),1,0),IF(INDIRECT(ADDRESS(10,5,,,"MATCHS_14"))&lt;INDIRECT(ADDRESS(10,3,,,"MATCHS_14")),1,0),IF(INDIRECT(ADDRESS(17,3,,,"MATCHS_14"))&lt;INDIRECT(ADDRESS(17,5,,,"MATCHS_14")),1,0),IF(INDIRECT(ADDRESS(26,3,,,"MATCHS_14"))&lt;INDIRECT(ADDRESS(26,5,,,"MATCHS_14")),1,0),,,,,,,,,,,,)</f>
        <v>0</v>
      </c>
      <c r="G11" s="51">
        <f ca="1">SUM(INDIRECT(ADDRESS(5,5,,,"MATCHS_14")),INDIRECT(ADDRESS(10,5,,,"MATCHS_14")),INDIRECT(ADDRESS(17,3,,,"MATCHS_14")),INDIRECT(ADDRESS(26,3,,,"MATCHS_14")),,,,,,,,,,,,)</f>
        <v>0</v>
      </c>
      <c r="H11" s="51">
        <f ca="1">SUM(INDIRECT(ADDRESS(5,3,,,"MATCHS_14")),INDIRECT(ADDRESS(10,3,,,"MATCHS_14")),INDIRECT(ADDRESS(17,5,,,"MATCHS_14")),INDIRECT(ADDRESS(26,5,,,"MATCHS_14")),,,,,,,,,,,,)</f>
        <v>0</v>
      </c>
      <c r="I11" s="51">
        <f t="shared" ca="1" si="0"/>
        <v>0</v>
      </c>
      <c r="J11" s="51">
        <v>0</v>
      </c>
      <c r="K11" s="51">
        <v>8</v>
      </c>
      <c r="L11" s="51"/>
      <c r="M11" s="69"/>
    </row>
    <row r="12" spans="1:13" ht="15.75" x14ac:dyDescent="0.25">
      <c r="A12" s="186"/>
      <c r="B12" s="51">
        <v>9</v>
      </c>
      <c r="C12" s="51" t="s">
        <v>226</v>
      </c>
      <c r="D12" s="51" t="str">
        <f>INSCRIPTS_14!C10</f>
        <v>9M</v>
      </c>
      <c r="E12" s="89">
        <f ca="1">SUM(IF(INDIRECT(ADDRESS(4,5,,,"MATCHS_14"))&gt;INDIRECT(ADDRESS(4,3,,,"MATCHS_14")),1,0),IF(INDIRECT(ADDRESS(9,5,,,"MATCHS_14"))&gt;INDIRECT(ADDRESS(9,3,,,"MATCHS_14")),1,0),IF(INDIRECT(ADDRESS(18,3,,,"MATCHS_14"))&gt;INDIRECT(ADDRESS(18,5,,,"MATCHS_14")),1,0),IF(INDIRECT(ADDRESS(27,3,,,"MATCHS_14"))&gt;INDIRECT(ADDRESS(27,5,,,"MATCHS_14")),1,0),,,,,,,,,,,,) + 0.1 * J12</f>
        <v>0</v>
      </c>
      <c r="F12" s="51">
        <f ca="1">SUM(IF(INDIRECT(ADDRESS(4,5,,,"MATCHS_14"))&lt;INDIRECT(ADDRESS(4,3,,,"MATCHS_14")),1,0),IF(INDIRECT(ADDRESS(9,5,,,"MATCHS_14"))&lt;INDIRECT(ADDRESS(9,3,,,"MATCHS_14")),1,0),IF(INDIRECT(ADDRESS(18,3,,,"MATCHS_14"))&lt;INDIRECT(ADDRESS(18,5,,,"MATCHS_14")),1,0),IF(INDIRECT(ADDRESS(27,3,,,"MATCHS_14"))&lt;INDIRECT(ADDRESS(27,5,,,"MATCHS_14")),1,0),,,,,,,,,,,,)</f>
        <v>0</v>
      </c>
      <c r="G12" s="51">
        <f ca="1">SUM(INDIRECT(ADDRESS(4,5,,,"MATCHS_14")),INDIRECT(ADDRESS(9,5,,,"MATCHS_14")),INDIRECT(ADDRESS(18,3,,,"MATCHS_14")),INDIRECT(ADDRESS(27,3,,,"MATCHS_14")),,,,,,,,,,,,)</f>
        <v>0</v>
      </c>
      <c r="H12" s="51">
        <f ca="1">SUM(INDIRECT(ADDRESS(4,3,,,"MATCHS_14")),INDIRECT(ADDRESS(9,3,,,"MATCHS_14")),INDIRECT(ADDRESS(18,5,,,"MATCHS_14")),INDIRECT(ADDRESS(27,5,,,"MATCHS_14")),,,,,,,,,,,,)</f>
        <v>0</v>
      </c>
      <c r="I12" s="51">
        <f t="shared" ca="1" si="0"/>
        <v>0</v>
      </c>
      <c r="J12" s="51">
        <v>0</v>
      </c>
      <c r="K12" s="51">
        <v>9</v>
      </c>
      <c r="L12" s="51"/>
      <c r="M12" s="69"/>
    </row>
    <row r="13" spans="1:13" ht="15.75" x14ac:dyDescent="0.25">
      <c r="A13" s="186"/>
      <c r="B13" s="51">
        <v>10</v>
      </c>
      <c r="C13" s="51" t="s">
        <v>227</v>
      </c>
      <c r="D13" s="51" t="str">
        <f>INSCRIPTS_14!C11</f>
        <v>10M</v>
      </c>
      <c r="E13" s="89">
        <f ca="1">SUM(IF(INDIRECT(ADDRESS(3,5,,,"MATCHS_14"))&gt;INDIRECT(ADDRESS(3,3,,,"MATCHS_14")),1,0),IF(INDIRECT(ADDRESS(10,3,,,"MATCHS_14"))&gt;INDIRECT(ADDRESS(10,5,,,"MATCHS_14")),1,0),IF(INDIRECT(ADDRESS(19,3,,,"MATCHS_14"))&gt;INDIRECT(ADDRESS(19,5,,,"MATCHS_14")),1,0),IF(INDIRECT(ADDRESS(28,3,,,"MATCHS_14"))&gt;INDIRECT(ADDRESS(28,5,,,"MATCHS_14")),1,0),,,,,,,,,,,,) + 0.1 * J13</f>
        <v>0</v>
      </c>
      <c r="F13" s="51">
        <f ca="1">SUM(IF(INDIRECT(ADDRESS(3,5,,,"MATCHS_14"))&lt;INDIRECT(ADDRESS(3,3,,,"MATCHS_14")),1,0),IF(INDIRECT(ADDRESS(10,3,,,"MATCHS_14"))&lt;INDIRECT(ADDRESS(10,5,,,"MATCHS_14")),1,0),IF(INDIRECT(ADDRESS(19,3,,,"MATCHS_14"))&lt;INDIRECT(ADDRESS(19,5,,,"MATCHS_14")),1,0),IF(INDIRECT(ADDRESS(28,3,,,"MATCHS_14"))&lt;INDIRECT(ADDRESS(28,5,,,"MATCHS_14")),1,0),,,,,,,,,,,,)</f>
        <v>0</v>
      </c>
      <c r="G13" s="51">
        <f ca="1">SUM(INDIRECT(ADDRESS(3,5,,,"MATCHS_14")),INDIRECT(ADDRESS(10,3,,,"MATCHS_14")),INDIRECT(ADDRESS(19,3,,,"MATCHS_14")),INDIRECT(ADDRESS(28,3,,,"MATCHS_14")),,,,,,,,,,,,)</f>
        <v>0</v>
      </c>
      <c r="H13" s="51">
        <f ca="1">SUM(INDIRECT(ADDRESS(3,3,,,"MATCHS_14")),INDIRECT(ADDRESS(10,5,,,"MATCHS_14")),INDIRECT(ADDRESS(19,5,,,"MATCHS_14")),INDIRECT(ADDRESS(28,5,,,"MATCHS_14")),,,,,,,,,,,,)</f>
        <v>0</v>
      </c>
      <c r="I13" s="51">
        <f t="shared" ca="1" si="0"/>
        <v>0</v>
      </c>
      <c r="J13" s="51">
        <v>0</v>
      </c>
      <c r="K13" s="51">
        <v>10</v>
      </c>
      <c r="L13" s="51"/>
      <c r="M13" s="69"/>
    </row>
    <row r="14" spans="1:13" ht="15.75" x14ac:dyDescent="0.25">
      <c r="A14" s="186"/>
      <c r="B14" s="51">
        <v>11</v>
      </c>
      <c r="C14" s="51" t="s">
        <v>237</v>
      </c>
      <c r="D14" s="51" t="str">
        <f>INSCRIPTS_14!C12</f>
        <v>11M</v>
      </c>
      <c r="E14" s="89">
        <f ca="1">SUM(IF(INDIRECT(ADDRESS(2,5,,,"MATCHS_14"))&gt;INDIRECT(ADDRESS(2,3,,,"MATCHS_14")),1,0),IF(INDIRECT(ADDRESS(11,3,,,"MATCHS_14"))&gt;INDIRECT(ADDRESS(11,5,,,"MATCHS_14")),1,0),IF(INDIRECT(ADDRESS(20,3,,,"MATCHS_14"))&gt;INDIRECT(ADDRESS(20,5,,,"MATCHS_14")),1,0),,,,,,,,,,,,,) + 0.1 * J14</f>
        <v>0</v>
      </c>
      <c r="F14" s="51">
        <f ca="1">SUM(IF(INDIRECT(ADDRESS(2,5,,,"MATCHS_14"))&lt;INDIRECT(ADDRESS(2,3,,,"MATCHS_14")),1,0),IF(INDIRECT(ADDRESS(11,3,,,"MATCHS_14"))&lt;INDIRECT(ADDRESS(11,5,,,"MATCHS_14")),1,0),IF(INDIRECT(ADDRESS(20,3,,,"MATCHS_14"))&lt;INDIRECT(ADDRESS(20,5,,,"MATCHS_14")),1,0),,,,,,,,,,,,,)</f>
        <v>0</v>
      </c>
      <c r="G14" s="51">
        <f ca="1">SUM(INDIRECT(ADDRESS(2,5,,,"MATCHS_14")),INDIRECT(ADDRESS(11,3,,,"MATCHS_14")),INDIRECT(ADDRESS(20,3,,,"MATCHS_14")),,,,,,,,,,,,,)</f>
        <v>0</v>
      </c>
      <c r="H14" s="51">
        <f ca="1">SUM(INDIRECT(ADDRESS(2,3,,,"MATCHS_14")),INDIRECT(ADDRESS(11,5,,,"MATCHS_14")),INDIRECT(ADDRESS(20,5,,,"MATCHS_14")),,,,,,,,,,,,,)</f>
        <v>0</v>
      </c>
      <c r="I14" s="51">
        <f t="shared" ca="1" si="0"/>
        <v>0</v>
      </c>
      <c r="J14" s="51">
        <v>0</v>
      </c>
      <c r="K14" s="51">
        <v>11</v>
      </c>
      <c r="L14" s="51"/>
      <c r="M14" s="69"/>
    </row>
    <row r="15" spans="1:13" ht="15.75" x14ac:dyDescent="0.25">
      <c r="A15" s="186"/>
      <c r="B15" s="51">
        <v>12</v>
      </c>
      <c r="C15" s="51" t="s">
        <v>238</v>
      </c>
      <c r="D15" s="51" t="str">
        <f>INSCRIPTS_14!C13</f>
        <v>12M</v>
      </c>
      <c r="E15" s="89">
        <f ca="1">SUM(IF(INDIRECT(ADDRESS(3,3,,,"MATCHS_14"))&gt;INDIRECT(ADDRESS(3,5,,,"MATCHS_14")),1,0),IF(INDIRECT(ADDRESS(12,3,,,"MATCHS_14"))&gt;INDIRECT(ADDRESS(12,5,,,"MATCHS_14")),1,0),IF(INDIRECT(ADDRESS(21,3,,,"MATCHS_14"))&gt;INDIRECT(ADDRESS(21,5,,,"MATCHS_14")),1,0),,,,,,,,,,,,,) + 0.1 * J15</f>
        <v>0</v>
      </c>
      <c r="F15" s="51">
        <f ca="1">SUM(IF(INDIRECT(ADDRESS(3,3,,,"MATCHS_14"))&lt;INDIRECT(ADDRESS(3,5,,,"MATCHS_14")),1,0),IF(INDIRECT(ADDRESS(12,3,,,"MATCHS_14"))&lt;INDIRECT(ADDRESS(12,5,,,"MATCHS_14")),1,0),IF(INDIRECT(ADDRESS(21,3,,,"MATCHS_14"))&lt;INDIRECT(ADDRESS(21,5,,,"MATCHS_14")),1,0),,,,,,,,,,,,,)</f>
        <v>0</v>
      </c>
      <c r="G15" s="51">
        <f ca="1">SUM(INDIRECT(ADDRESS(3,3,,,"MATCHS_14")),INDIRECT(ADDRESS(12,3,,,"MATCHS_14")),INDIRECT(ADDRESS(21,3,,,"MATCHS_14")),,,,,,,,,,,,,)</f>
        <v>0</v>
      </c>
      <c r="H15" s="51">
        <f ca="1">SUM(INDIRECT(ADDRESS(3,5,,,"MATCHS_14")),INDIRECT(ADDRESS(12,5,,,"MATCHS_14")),INDIRECT(ADDRESS(21,5,,,"MATCHS_14")),,,,,,,,,,,,,)</f>
        <v>0</v>
      </c>
      <c r="I15" s="51">
        <f t="shared" ca="1" si="0"/>
        <v>0</v>
      </c>
      <c r="J15" s="51">
        <v>0</v>
      </c>
      <c r="K15" s="51">
        <v>12</v>
      </c>
      <c r="L15" s="51"/>
      <c r="M15" s="69"/>
    </row>
    <row r="16" spans="1:13" ht="15.75" x14ac:dyDescent="0.25">
      <c r="A16" s="186"/>
      <c r="B16" s="51">
        <v>13</v>
      </c>
      <c r="C16" s="51" t="s">
        <v>239</v>
      </c>
      <c r="D16" s="51" t="str">
        <f>INSCRIPTS_14!C14</f>
        <v>13M</v>
      </c>
      <c r="E16" s="89">
        <f ca="1">SUM(IF(INDIRECT(ADDRESS(4,3,,,"MATCHS_14"))&gt;INDIRECT(ADDRESS(4,5,,,"MATCHS_14")),1,0),IF(INDIRECT(ADDRESS(13,3,,,"MATCHS_14"))&gt;INDIRECT(ADDRESS(13,5,,,"MATCHS_14")),1,0),,IF(INDIRECT(ADDRESS(28,5,,,"MATCHS_14"))&gt;INDIRECT(ADDRESS(28,3,,,"MATCHS_14")),1,0),,,,,,,,,,,,) + 0.1 * J16</f>
        <v>0</v>
      </c>
      <c r="F16" s="51">
        <f ca="1">SUM(IF(INDIRECT(ADDRESS(4,3,,,"MATCHS_14"))&lt;INDIRECT(ADDRESS(4,5,,,"MATCHS_14")),1,0),IF(INDIRECT(ADDRESS(13,3,,,"MATCHS_14"))&lt;INDIRECT(ADDRESS(13,5,,,"MATCHS_14")),1,0),,IF(INDIRECT(ADDRESS(28,5,,,"MATCHS_14"))&lt;INDIRECT(ADDRESS(28,3,,,"MATCHS_14")),1,0),,,,,,,,,,,,)</f>
        <v>0</v>
      </c>
      <c r="G16" s="51">
        <f ca="1">SUM(INDIRECT(ADDRESS(4,3,,,"MATCHS_14")),INDIRECT(ADDRESS(13,3,,,"MATCHS_14")),,INDIRECT(ADDRESS(28,5,,,"MATCHS_14")),,,,,,,,,,,,)</f>
        <v>0</v>
      </c>
      <c r="H16" s="51">
        <f ca="1">SUM(INDIRECT(ADDRESS(4,5,,,"MATCHS_14")),INDIRECT(ADDRESS(13,5,,,"MATCHS_14")),,INDIRECT(ADDRESS(28,3,,,"MATCHS_14")),,,,,,,,,,,,)</f>
        <v>0</v>
      </c>
      <c r="I16" s="51">
        <f t="shared" ca="1" si="0"/>
        <v>0</v>
      </c>
      <c r="J16" s="51">
        <v>0</v>
      </c>
      <c r="K16" s="51">
        <v>13</v>
      </c>
      <c r="L16" s="51"/>
      <c r="M16" s="69"/>
    </row>
    <row r="17" spans="1:13" ht="15.75" x14ac:dyDescent="0.25">
      <c r="A17" s="186"/>
      <c r="B17" s="51">
        <v>14</v>
      </c>
      <c r="C17" s="51" t="s">
        <v>240</v>
      </c>
      <c r="D17" s="51" t="str">
        <f>INSCRIPTS_14!C15</f>
        <v>14M</v>
      </c>
      <c r="E17" s="89">
        <f ca="1">SUM(IF(INDIRECT(ADDRESS(5,3,,,"MATCHS_14"))&gt;INDIRECT(ADDRESS(5,5,,,"MATCHS_14")),1,0),IF(INDIRECT(ADDRESS(14,3,,,"MATCHS_14"))&gt;INDIRECT(ADDRESS(14,5,,,"MATCHS_14")),1,0),,IF(INDIRECT(ADDRESS(27,5,,,"MATCHS_14"))&gt;INDIRECT(ADDRESS(27,3,,,"MATCHS_14")),1,0),,,,,,,,,,,,) + 0.1 * J17</f>
        <v>0</v>
      </c>
      <c r="F17" s="51">
        <f ca="1">SUM(IF(INDIRECT(ADDRESS(5,3,,,"MATCHS_14"))&lt;INDIRECT(ADDRESS(5,5,,,"MATCHS_14")),1,0),IF(INDIRECT(ADDRESS(14,3,,,"MATCHS_14"))&lt;INDIRECT(ADDRESS(14,5,,,"MATCHS_14")),1,0),,IF(INDIRECT(ADDRESS(27,5,,,"MATCHS_14"))&lt;INDIRECT(ADDRESS(27,3,,,"MATCHS_14")),1,0),,,,,,,,,,,,)</f>
        <v>0</v>
      </c>
      <c r="G17" s="51">
        <f ca="1">SUM(INDIRECT(ADDRESS(5,3,,,"MATCHS_14")),INDIRECT(ADDRESS(14,3,,,"MATCHS_14")),,INDIRECT(ADDRESS(27,5,,,"MATCHS_14")),,,,,,,,,,,,)</f>
        <v>0</v>
      </c>
      <c r="H17" s="51">
        <f ca="1">SUM(INDIRECT(ADDRESS(5,5,,,"MATCHS_14")),INDIRECT(ADDRESS(14,5,,,"MATCHS_14")),,INDIRECT(ADDRESS(27,3,,,"MATCHS_14")),,,,,,,,,,,,)</f>
        <v>0</v>
      </c>
      <c r="I17" s="51">
        <f t="shared" ca="1" si="0"/>
        <v>0</v>
      </c>
      <c r="J17" s="51">
        <v>0</v>
      </c>
      <c r="K17" s="51">
        <v>14</v>
      </c>
      <c r="L17" s="51"/>
      <c r="M17" s="69"/>
    </row>
  </sheetData>
  <sortState xmlns:xlrd2="http://schemas.microsoft.com/office/spreadsheetml/2017/richdata2" ref="C4:K17">
    <sortCondition descending="1" ref="E4:E17"/>
    <sortCondition descending="1" ref="I4:I17"/>
    <sortCondition descending="1" ref="G4:G17"/>
    <sortCondition ref="H4:H17"/>
    <sortCondition ref="K4:K17"/>
  </sortState>
  <mergeCells count="1">
    <mergeCell ref="A4:A17"/>
  </mergeCells>
  <dataValidations count="2">
    <dataValidation type="whole" allowBlank="1" showErrorMessage="1" errorTitle="ATTENTION" error="NOMBRE ENTIER UNIQUEMENT_x000a_COMPRIS ENTRE --&gt; 1 ET 8" sqref="L1:L1048576" xr:uid="{95A6477F-7076-4509-885A-7FBDEDC9F361}">
      <formula1>1</formula1>
      <formula2>8</formula2>
    </dataValidation>
    <dataValidation type="whole" operator="greaterThanOrEqual" allowBlank="1" showErrorMessage="1" errorTitle="ATTENTION" error="NOMBRE ENTIER UNIQUEMENT_x000a_MINIMUM --&gt; 0" sqref="J1:J1048576" xr:uid="{AD6FC3BC-06B9-48AB-A2B6-B90A2581C670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TRIPOULE">
              <controlPr defaultSize="0" print="0" autoFill="0" autoPict="0" macro="[0]!tpM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4" name="C4PPClassement">
              <controlPr defaultSize="0" print="0" autoFill="0" autoPict="0" macro="[0]!'copyimage &quot;A2:J17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FA40D-DC21-4537-BA95-44B97569E994}">
  <sheetPr codeName="Feuil6"/>
  <dimension ref="B1:O128"/>
  <sheetViews>
    <sheetView workbookViewId="0">
      <selection activeCell="K7" sqref="K7"/>
    </sheetView>
  </sheetViews>
  <sheetFormatPr baseColWidth="10" defaultRowHeight="15" x14ac:dyDescent="0.25"/>
  <cols>
    <col min="1" max="1" width="11.42578125" style="99"/>
    <col min="2" max="2" width="4.28515625" style="98" customWidth="1"/>
    <col min="3" max="3" width="22.85546875" style="99" customWidth="1"/>
    <col min="4" max="4" width="2.85546875" style="99" customWidth="1"/>
    <col min="5" max="5" width="4.28515625" style="98" customWidth="1"/>
    <col min="6" max="6" width="22.85546875" style="99" customWidth="1"/>
    <col min="7" max="7" width="2.85546875" style="99" customWidth="1"/>
    <col min="8" max="8" width="22.85546875" style="99" customWidth="1"/>
    <col min="9" max="9" width="4.28515625" style="98" customWidth="1"/>
    <col min="10" max="10" width="2.85546875" style="99" customWidth="1"/>
    <col min="11" max="11" width="22.85546875" style="99" customWidth="1"/>
    <col min="12" max="12" width="4.28515625" style="98" customWidth="1"/>
    <col min="13" max="13" width="2.85546875" style="99" customWidth="1"/>
    <col min="14" max="14" width="22.85546875" style="99" customWidth="1"/>
    <col min="15" max="15" width="4.28515625" style="98" customWidth="1"/>
    <col min="16" max="16384" width="11.42578125" style="99"/>
  </cols>
  <sheetData>
    <row r="1" spans="2:15" x14ac:dyDescent="0.25">
      <c r="H1" s="99" t="s">
        <v>272</v>
      </c>
    </row>
    <row r="2" spans="2:15" x14ac:dyDescent="0.25">
      <c r="H2" s="99" t="s">
        <v>273</v>
      </c>
    </row>
    <row r="3" spans="2:15" ht="15.75" thickBot="1" x14ac:dyDescent="0.3">
      <c r="H3" s="99" t="s">
        <v>274</v>
      </c>
    </row>
    <row r="4" spans="2:15" x14ac:dyDescent="0.25">
      <c r="H4" s="100" t="str">
        <f ca="1">INDIRECT(ADDRESS(4,4,,,"CLASSEMENTS"))</f>
        <v>1A</v>
      </c>
      <c r="I4" s="101"/>
    </row>
    <row r="5" spans="2:15" ht="15.75" thickBot="1" x14ac:dyDescent="0.3">
      <c r="F5" s="99" t="s">
        <v>275</v>
      </c>
      <c r="H5" s="102" t="str">
        <f ca="1">INDIRECT(ADDRESS(11,4,,,"CLASSEMENTS"))</f>
        <v>8A</v>
      </c>
      <c r="I5" s="103"/>
      <c r="K5" s="99" t="s">
        <v>274</v>
      </c>
    </row>
    <row r="6" spans="2:15" x14ac:dyDescent="0.25">
      <c r="C6" s="99" t="s">
        <v>275</v>
      </c>
      <c r="E6" s="104"/>
      <c r="F6" s="105" t="str">
        <f>IF(OR(I4="",I5=""),"",IF(I4&lt;I5,H4,H5))</f>
        <v/>
      </c>
      <c r="K6" s="100" t="str">
        <f>IF(OR(I4="",I5=""),"",IF(I4&gt;I5,H4,H5))</f>
        <v/>
      </c>
      <c r="L6" s="101"/>
      <c r="N6" s="99" t="s">
        <v>274</v>
      </c>
    </row>
    <row r="7" spans="2:15" ht="15.75" thickBot="1" x14ac:dyDescent="0.3">
      <c r="C7" s="99" t="s">
        <v>276</v>
      </c>
      <c r="E7" s="106"/>
      <c r="F7" s="107" t="str">
        <f>IF(OR(I8="",I9=""),"",IF(I8&lt;I9,H8,H9))</f>
        <v/>
      </c>
      <c r="H7" s="99" t="s">
        <v>277</v>
      </c>
      <c r="K7" s="102" t="str">
        <f>IF(OR(I8="",I9=""),"",IF(I8&gt;I9,H8,H9))</f>
        <v/>
      </c>
      <c r="L7" s="103"/>
      <c r="N7" s="99" t="s">
        <v>278</v>
      </c>
    </row>
    <row r="8" spans="2:15" x14ac:dyDescent="0.25">
      <c r="B8" s="104"/>
      <c r="C8" s="105" t="str">
        <f>IF(OR(E6="",E7=""),"",IF(E6&gt;E7,F6,F7))</f>
        <v/>
      </c>
      <c r="H8" s="100" t="str">
        <f ca="1">INDIRECT(ADDRESS(5,4,,,"CLASSEMENTS"))</f>
        <v>2A</v>
      </c>
      <c r="I8" s="101"/>
      <c r="N8" s="100" t="str">
        <f>IF(OR(L6="",L7=""),"",IF(L6&gt;L7,K6,K7))</f>
        <v/>
      </c>
      <c r="O8" s="101"/>
    </row>
    <row r="9" spans="2:15" ht="15.75" thickBot="1" x14ac:dyDescent="0.3">
      <c r="B9" s="106"/>
      <c r="C9" s="107" t="str">
        <f>IF(OR(E14="",E15=""),"",IF(E14&gt;E15,F14,F15))</f>
        <v/>
      </c>
      <c r="H9" s="102" t="str">
        <f ca="1">INDIRECT(ADDRESS(10,4,,,"CLASSEMENTS"))</f>
        <v>7A</v>
      </c>
      <c r="I9" s="103"/>
      <c r="N9" s="102" t="str">
        <f>IF(OR(L14="",L15=""),"",IF(L14&gt;L15,K14,K15))</f>
        <v/>
      </c>
      <c r="O9" s="103"/>
    </row>
    <row r="10" spans="2:15" x14ac:dyDescent="0.25">
      <c r="C10" s="99" t="s">
        <v>279</v>
      </c>
      <c r="N10" s="99" t="s">
        <v>277</v>
      </c>
    </row>
    <row r="11" spans="2:15" ht="15.75" thickBot="1" x14ac:dyDescent="0.3">
      <c r="C11" s="99" t="s">
        <v>280</v>
      </c>
      <c r="H11" s="99" t="s">
        <v>275</v>
      </c>
      <c r="N11" s="99" t="s">
        <v>281</v>
      </c>
    </row>
    <row r="12" spans="2:15" x14ac:dyDescent="0.25">
      <c r="B12" s="104"/>
      <c r="C12" s="105" t="str">
        <f>IF(OR(E6="",E7=""),"",IF(E6&lt;E7,F6,F7))</f>
        <v/>
      </c>
      <c r="H12" s="100" t="str">
        <f ca="1">INDIRECT(ADDRESS(6,4,,,"CLASSEMENTS"))</f>
        <v>3A</v>
      </c>
      <c r="I12" s="101"/>
      <c r="N12" s="100" t="str">
        <f>IF(OR(L6="",L7=""),"",IF(L6&lt;L7,K6,K7))</f>
        <v/>
      </c>
      <c r="O12" s="101"/>
    </row>
    <row r="13" spans="2:15" ht="15.75" thickBot="1" x14ac:dyDescent="0.3">
      <c r="B13" s="106"/>
      <c r="C13" s="107" t="str">
        <f>IF(OR(E14="",E15=""),"",IF(E14&lt;E15,F14,F15))</f>
        <v/>
      </c>
      <c r="F13" s="99" t="s">
        <v>279</v>
      </c>
      <c r="H13" s="102" t="str">
        <f ca="1">INDIRECT(ADDRESS(9,4,,,"CLASSEMENTS"))</f>
        <v>6A</v>
      </c>
      <c r="I13" s="103"/>
      <c r="K13" s="99" t="s">
        <v>277</v>
      </c>
      <c r="N13" s="102" t="str">
        <f>IF(OR(L14="",L15=""),"",IF(L14&lt;L15,K14,K15))</f>
        <v/>
      </c>
      <c r="O13" s="103"/>
    </row>
    <row r="14" spans="2:15" x14ac:dyDescent="0.25">
      <c r="E14" s="104"/>
      <c r="F14" s="105" t="str">
        <f>IF(OR(I12="",I13=""),"",IF(I12&lt;I13,H12,H13))</f>
        <v/>
      </c>
      <c r="K14" s="100" t="str">
        <f>IF(OR(I12="",I13=""),"",IF(I12&gt;I13,H12,H13))</f>
        <v/>
      </c>
      <c r="L14" s="101"/>
    </row>
    <row r="15" spans="2:15" ht="15.75" thickBot="1" x14ac:dyDescent="0.3">
      <c r="E15" s="106"/>
      <c r="F15" s="107" t="str">
        <f>IF(OR(I16="",I17=""),"",IF(I16&lt;I17,H16,H17))</f>
        <v/>
      </c>
      <c r="H15" s="99" t="s">
        <v>279</v>
      </c>
      <c r="K15" s="102" t="str">
        <f>IF(OR(I16="",I17=""),"",IF(I16&gt;I17,H16,H17))</f>
        <v/>
      </c>
      <c r="L15" s="103"/>
    </row>
    <row r="16" spans="2:15" x14ac:dyDescent="0.25">
      <c r="H16" s="100" t="str">
        <f ca="1">INDIRECT(ADDRESS(7,4,,,"CLASSEMENTS"))</f>
        <v>4A</v>
      </c>
      <c r="I16" s="101"/>
    </row>
    <row r="17" spans="2:15" ht="15.75" thickBot="1" x14ac:dyDescent="0.3">
      <c r="H17" s="102" t="str">
        <f ca="1">INDIRECT(ADDRESS(8,4,,,"CLASSEMENTS"))</f>
        <v>5A</v>
      </c>
      <c r="I17" s="103"/>
    </row>
    <row r="19" spans="2:15" x14ac:dyDescent="0.25">
      <c r="H19" s="99" t="s">
        <v>282</v>
      </c>
    </row>
    <row r="20" spans="2:15" ht="15.75" thickBot="1" x14ac:dyDescent="0.3">
      <c r="H20" s="99" t="s">
        <v>283</v>
      </c>
    </row>
    <row r="21" spans="2:15" x14ac:dyDescent="0.25">
      <c r="H21" s="100" t="str">
        <f ca="1">INDIRECT(ADDRESS(12,4,,,"CLASSEMENTS"))</f>
        <v>9A</v>
      </c>
      <c r="I21" s="101"/>
    </row>
    <row r="22" spans="2:15" ht="15.75" thickBot="1" x14ac:dyDescent="0.3">
      <c r="F22" s="99" t="s">
        <v>284</v>
      </c>
      <c r="H22" s="102" t="str">
        <f ca="1">INDIRECT(ADDRESS(19,4,,,"CLASSEMENTS"))</f>
        <v>16A</v>
      </c>
      <c r="I22" s="103"/>
      <c r="K22" s="99" t="s">
        <v>283</v>
      </c>
    </row>
    <row r="23" spans="2:15" x14ac:dyDescent="0.25">
      <c r="C23" s="99" t="s">
        <v>284</v>
      </c>
      <c r="E23" s="104"/>
      <c r="F23" s="105" t="str">
        <f>IF(OR(I21="",I22=""),"",IF(I21&lt;I22,H21,H22))</f>
        <v/>
      </c>
      <c r="K23" s="100" t="str">
        <f>IF(OR(I21="",I22=""),"",IF(I21&gt;I22,H21,H22))</f>
        <v/>
      </c>
      <c r="L23" s="101"/>
      <c r="N23" s="99" t="s">
        <v>283</v>
      </c>
    </row>
    <row r="24" spans="2:15" ht="15.75" thickBot="1" x14ac:dyDescent="0.3">
      <c r="C24" s="99" t="s">
        <v>285</v>
      </c>
      <c r="E24" s="106"/>
      <c r="F24" s="107" t="str">
        <f>IF(OR(I25="",I26=""),"",IF(I25&lt;I26,H25,H26))</f>
        <v/>
      </c>
      <c r="H24" s="99" t="s">
        <v>286</v>
      </c>
      <c r="K24" s="102" t="str">
        <f>IF(OR(I25="",I26=""),"",IF(I25&gt;I26,H25,H26))</f>
        <v/>
      </c>
      <c r="L24" s="103"/>
      <c r="N24" s="99" t="s">
        <v>287</v>
      </c>
    </row>
    <row r="25" spans="2:15" x14ac:dyDescent="0.25">
      <c r="B25" s="104"/>
      <c r="C25" s="105" t="str">
        <f>IF(OR(E23="",E24=""),"",IF(E23&gt;E24,F23,F24))</f>
        <v/>
      </c>
      <c r="H25" s="100" t="str">
        <f ca="1">INDIRECT(ADDRESS(13,4,,,"CLASSEMENTS"))</f>
        <v>10A</v>
      </c>
      <c r="I25" s="101"/>
      <c r="N25" s="100" t="str">
        <f>IF(OR(L23="",L24=""),"",IF(L23&gt;L24,K23,K24))</f>
        <v/>
      </c>
      <c r="O25" s="101"/>
    </row>
    <row r="26" spans="2:15" ht="15.75" thickBot="1" x14ac:dyDescent="0.3">
      <c r="B26" s="106"/>
      <c r="C26" s="107" t="str">
        <f>IF(OR(E31="",E32=""),"",IF(E31&gt;E32,F31,F32))</f>
        <v/>
      </c>
      <c r="H26" s="102" t="str">
        <f ca="1">INDIRECT(ADDRESS(18,4,,,"CLASSEMENTS"))</f>
        <v>15A</v>
      </c>
      <c r="I26" s="103"/>
      <c r="N26" s="102" t="str">
        <f>IF(OR(L31="",L32=""),"",IF(L31&gt;L32,K31,K32))</f>
        <v/>
      </c>
      <c r="O26" s="103"/>
    </row>
    <row r="27" spans="2:15" x14ac:dyDescent="0.25">
      <c r="C27" s="99" t="s">
        <v>288</v>
      </c>
      <c r="N27" s="99" t="s">
        <v>286</v>
      </c>
    </row>
    <row r="28" spans="2:15" ht="15.75" thickBot="1" x14ac:dyDescent="0.3">
      <c r="C28" s="99" t="s">
        <v>289</v>
      </c>
      <c r="H28" s="99" t="s">
        <v>284</v>
      </c>
      <c r="N28" s="99" t="s">
        <v>290</v>
      </c>
    </row>
    <row r="29" spans="2:15" x14ac:dyDescent="0.25">
      <c r="B29" s="104"/>
      <c r="C29" s="105" t="str">
        <f>IF(OR(E23="",E24=""),"",IF(E23&lt;E24,F23,F24))</f>
        <v/>
      </c>
      <c r="H29" s="100" t="str">
        <f ca="1">INDIRECT(ADDRESS(14,4,,,"CLASSEMENTS"))</f>
        <v>11A</v>
      </c>
      <c r="I29" s="101"/>
      <c r="N29" s="100" t="str">
        <f>IF(OR(L23="",L24=""),"",IF(L23&lt;L24,K23,K24))</f>
        <v/>
      </c>
      <c r="O29" s="101"/>
    </row>
    <row r="30" spans="2:15" ht="15.75" thickBot="1" x14ac:dyDescent="0.3">
      <c r="B30" s="106"/>
      <c r="C30" s="107" t="str">
        <f>IF(OR(E31="",E32=""),"",IF(E31&lt;E32,F31,F32))</f>
        <v/>
      </c>
      <c r="F30" s="99" t="s">
        <v>288</v>
      </c>
      <c r="H30" s="102" t="str">
        <f ca="1">INDIRECT(ADDRESS(17,4,,,"CLASSEMENTS"))</f>
        <v>14A</v>
      </c>
      <c r="I30" s="103"/>
      <c r="K30" s="99" t="s">
        <v>286</v>
      </c>
      <c r="N30" s="102" t="str">
        <f>IF(OR(L31="",L32=""),"",IF(L31&lt;L32,K31,K32))</f>
        <v/>
      </c>
      <c r="O30" s="103"/>
    </row>
    <row r="31" spans="2:15" x14ac:dyDescent="0.25">
      <c r="E31" s="104"/>
      <c r="F31" s="105" t="str">
        <f>IF(OR(I29="",I30=""),"",IF(I29&lt;I30,H29,H30))</f>
        <v/>
      </c>
      <c r="K31" s="100" t="str">
        <f>IF(OR(I29="",I30=""),"",IF(I29&gt;I30,H29,H30))</f>
        <v/>
      </c>
      <c r="L31" s="101"/>
    </row>
    <row r="32" spans="2:15" ht="15.75" thickBot="1" x14ac:dyDescent="0.3">
      <c r="E32" s="106"/>
      <c r="F32" s="107" t="str">
        <f>IF(OR(I33="",I34=""),"",IF(I33&lt;I34,H33,H34))</f>
        <v/>
      </c>
      <c r="H32" s="99" t="s">
        <v>288</v>
      </c>
      <c r="K32" s="102" t="str">
        <f>IF(OR(I33="",I34=""),"",IF(I33&gt;I34,H33,H34))</f>
        <v/>
      </c>
      <c r="L32" s="103"/>
    </row>
    <row r="33" spans="2:15" x14ac:dyDescent="0.25">
      <c r="H33" s="100" t="str">
        <f ca="1">INDIRECT(ADDRESS(15,4,,,"CLASSEMENTS"))</f>
        <v>12A</v>
      </c>
      <c r="I33" s="101"/>
    </row>
    <row r="34" spans="2:15" ht="15.75" thickBot="1" x14ac:dyDescent="0.3">
      <c r="H34" s="102" t="str">
        <f ca="1">INDIRECT(ADDRESS(16,4,,,"CLASSEMENTS"))</f>
        <v>13A</v>
      </c>
      <c r="I34" s="103"/>
    </row>
    <row r="36" spans="2:15" x14ac:dyDescent="0.25">
      <c r="H36" s="99" t="s">
        <v>291</v>
      </c>
    </row>
    <row r="37" spans="2:15" ht="15.75" thickBot="1" x14ac:dyDescent="0.3">
      <c r="H37" s="99" t="s">
        <v>274</v>
      </c>
    </row>
    <row r="38" spans="2:15" x14ac:dyDescent="0.25">
      <c r="H38" s="100" t="str">
        <f ca="1">INDIRECT(ADDRESS(23,4,,,"CLASSEMENTS"))</f>
        <v>1B</v>
      </c>
      <c r="I38" s="101"/>
    </row>
    <row r="39" spans="2:15" ht="15.75" thickBot="1" x14ac:dyDescent="0.3">
      <c r="F39" s="99" t="s">
        <v>275</v>
      </c>
      <c r="H39" s="102" t="str">
        <f ca="1">INDIRECT(ADDRESS(30,4,,,"CLASSEMENTS"))</f>
        <v>8B</v>
      </c>
      <c r="I39" s="103"/>
      <c r="K39" s="99" t="s">
        <v>274</v>
      </c>
    </row>
    <row r="40" spans="2:15" x14ac:dyDescent="0.25">
      <c r="C40" s="99" t="s">
        <v>275</v>
      </c>
      <c r="E40" s="104"/>
      <c r="F40" s="105" t="str">
        <f>IF(OR(I38="",I39=""),"",IF(I38&lt;I39,H38,H39))</f>
        <v/>
      </c>
      <c r="K40" s="100" t="str">
        <f>IF(OR(I38="",I39=""),"",IF(I38&gt;I39,H38,H39))</f>
        <v/>
      </c>
      <c r="L40" s="101"/>
      <c r="N40" s="99" t="s">
        <v>274</v>
      </c>
    </row>
    <row r="41" spans="2:15" ht="15.75" thickBot="1" x14ac:dyDescent="0.3">
      <c r="C41" s="99" t="s">
        <v>292</v>
      </c>
      <c r="E41" s="106"/>
      <c r="F41" s="107" t="str">
        <f>IF(OR(I42="",I43=""),"",IF(I42&lt;I43,H42,H43))</f>
        <v/>
      </c>
      <c r="H41" s="99" t="s">
        <v>277</v>
      </c>
      <c r="K41" s="102" t="str">
        <f>IF(OR(I42="",I43=""),"",IF(I42&gt;I43,H42,H43))</f>
        <v/>
      </c>
      <c r="L41" s="103"/>
      <c r="N41" s="99" t="s">
        <v>293</v>
      </c>
    </row>
    <row r="42" spans="2:15" x14ac:dyDescent="0.25">
      <c r="B42" s="104"/>
      <c r="C42" s="105" t="str">
        <f>IF(OR(E40="",E41=""),"",IF(E40&gt;E41,F40,F41))</f>
        <v/>
      </c>
      <c r="H42" s="100" t="str">
        <f ca="1">INDIRECT(ADDRESS(24,4,,,"CLASSEMENTS"))</f>
        <v>2B</v>
      </c>
      <c r="I42" s="101"/>
      <c r="N42" s="100" t="str">
        <f>IF(OR(L40="",L41=""),"",IF(L40&gt;L41,K40,K41))</f>
        <v/>
      </c>
      <c r="O42" s="101"/>
    </row>
    <row r="43" spans="2:15" ht="15.75" thickBot="1" x14ac:dyDescent="0.3">
      <c r="B43" s="106"/>
      <c r="C43" s="107" t="str">
        <f>IF(OR(E48="",E49=""),"",IF(E48&gt;E49,F48,F49))</f>
        <v/>
      </c>
      <c r="H43" s="102" t="str">
        <f ca="1">INDIRECT(ADDRESS(29,4,,,"CLASSEMENTS"))</f>
        <v>7B</v>
      </c>
      <c r="I43" s="103"/>
      <c r="N43" s="102" t="str">
        <f>IF(OR(L48="",L49=""),"",IF(L48&gt;L49,K48,K49))</f>
        <v/>
      </c>
      <c r="O43" s="103"/>
    </row>
    <row r="44" spans="2:15" x14ac:dyDescent="0.25">
      <c r="C44" s="99" t="s">
        <v>279</v>
      </c>
      <c r="N44" s="99" t="s">
        <v>277</v>
      </c>
    </row>
    <row r="45" spans="2:15" ht="15.75" thickBot="1" x14ac:dyDescent="0.3">
      <c r="C45" s="99" t="s">
        <v>294</v>
      </c>
      <c r="H45" s="99" t="s">
        <v>275</v>
      </c>
      <c r="N45" s="99" t="s">
        <v>295</v>
      </c>
    </row>
    <row r="46" spans="2:15" x14ac:dyDescent="0.25">
      <c r="B46" s="104"/>
      <c r="C46" s="105" t="str">
        <f>IF(OR(E40="",E41=""),"",IF(E40&lt;E41,F40,F41))</f>
        <v/>
      </c>
      <c r="H46" s="100" t="str">
        <f ca="1">INDIRECT(ADDRESS(25,4,,,"CLASSEMENTS"))</f>
        <v>3B</v>
      </c>
      <c r="I46" s="101"/>
      <c r="N46" s="100" t="str">
        <f>IF(OR(L40="",L41=""),"",IF(L40&lt;L41,K40,K41))</f>
        <v/>
      </c>
      <c r="O46" s="101"/>
    </row>
    <row r="47" spans="2:15" ht="15.75" thickBot="1" x14ac:dyDescent="0.3">
      <c r="B47" s="106"/>
      <c r="C47" s="107" t="str">
        <f>IF(OR(E48="",E49=""),"",IF(E48&lt;E49,F48,F49))</f>
        <v/>
      </c>
      <c r="F47" s="99" t="s">
        <v>279</v>
      </c>
      <c r="H47" s="102" t="str">
        <f ca="1">INDIRECT(ADDRESS(28,4,,,"CLASSEMENTS"))</f>
        <v>6B</v>
      </c>
      <c r="I47" s="103"/>
      <c r="K47" s="99" t="s">
        <v>277</v>
      </c>
      <c r="N47" s="102" t="str">
        <f>IF(OR(L48="",L49=""),"",IF(L48&lt;L49,K48,K49))</f>
        <v/>
      </c>
      <c r="O47" s="103"/>
    </row>
    <row r="48" spans="2:15" x14ac:dyDescent="0.25">
      <c r="E48" s="104"/>
      <c r="F48" s="105" t="str">
        <f>IF(OR(I46="",I47=""),"",IF(I46&lt;I47,H46,H47))</f>
        <v/>
      </c>
      <c r="K48" s="100" t="str">
        <f>IF(OR(I46="",I47=""),"",IF(I46&gt;I47,H46,H47))</f>
        <v/>
      </c>
      <c r="L48" s="101"/>
    </row>
    <row r="49" spans="2:15" ht="15.75" thickBot="1" x14ac:dyDescent="0.3">
      <c r="E49" s="106"/>
      <c r="F49" s="107" t="str">
        <f>IF(OR(I50="",I51=""),"",IF(I50&lt;I51,H50,H51))</f>
        <v/>
      </c>
      <c r="H49" s="99" t="s">
        <v>279</v>
      </c>
      <c r="K49" s="102" t="str">
        <f>IF(OR(I50="",I51=""),"",IF(I50&gt;I51,H50,H51))</f>
        <v/>
      </c>
      <c r="L49" s="103"/>
    </row>
    <row r="50" spans="2:15" x14ac:dyDescent="0.25">
      <c r="H50" s="100" t="str">
        <f ca="1">INDIRECT(ADDRESS(26,4,,,"CLASSEMENTS"))</f>
        <v>4B</v>
      </c>
      <c r="I50" s="101"/>
    </row>
    <row r="51" spans="2:15" ht="15.75" thickBot="1" x14ac:dyDescent="0.3">
      <c r="H51" s="102" t="str">
        <f ca="1">INDIRECT(ADDRESS(27,4,,,"CLASSEMENTS"))</f>
        <v>5B</v>
      </c>
      <c r="I51" s="103"/>
    </row>
    <row r="53" spans="2:15" x14ac:dyDescent="0.25">
      <c r="H53" s="99" t="s">
        <v>296</v>
      </c>
    </row>
    <row r="54" spans="2:15" ht="15.75" thickBot="1" x14ac:dyDescent="0.3">
      <c r="H54" s="99" t="s">
        <v>283</v>
      </c>
    </row>
    <row r="55" spans="2:15" x14ac:dyDescent="0.25">
      <c r="H55" s="100" t="str">
        <f ca="1">INDIRECT(ADDRESS(31,4,,,"CLASSEMENTS"))</f>
        <v>9B</v>
      </c>
      <c r="I55" s="101"/>
    </row>
    <row r="56" spans="2:15" ht="15.75" thickBot="1" x14ac:dyDescent="0.3">
      <c r="F56" s="99" t="s">
        <v>284</v>
      </c>
      <c r="H56" s="102" t="str">
        <f ca="1">INDIRECT(ADDRESS(38,4,,,"CLASSEMENTS"))</f>
        <v>16B</v>
      </c>
      <c r="I56" s="103"/>
      <c r="K56" s="99" t="s">
        <v>283</v>
      </c>
    </row>
    <row r="57" spans="2:15" x14ac:dyDescent="0.25">
      <c r="C57" s="99" t="s">
        <v>284</v>
      </c>
      <c r="E57" s="104"/>
      <c r="F57" s="105" t="str">
        <f>IF(OR(I55="",I56=""),"",IF(I55&lt;I56,H55,H56))</f>
        <v/>
      </c>
      <c r="K57" s="100" t="str">
        <f>IF(OR(I55="",I56=""),"",IF(I55&gt;I56,H55,H56))</f>
        <v/>
      </c>
      <c r="L57" s="101"/>
      <c r="N57" s="99" t="s">
        <v>283</v>
      </c>
    </row>
    <row r="58" spans="2:15" ht="15.75" thickBot="1" x14ac:dyDescent="0.3">
      <c r="C58" s="99" t="s">
        <v>297</v>
      </c>
      <c r="E58" s="106"/>
      <c r="F58" s="107" t="str">
        <f>IF(OR(I59="",I60=""),"",IF(I59&lt;I60,H59,H60))</f>
        <v/>
      </c>
      <c r="H58" s="99" t="s">
        <v>286</v>
      </c>
      <c r="K58" s="102" t="str">
        <f>IF(OR(I59="",I60=""),"",IF(I59&gt;I60,H59,H60))</f>
        <v/>
      </c>
      <c r="L58" s="103"/>
      <c r="N58" s="99" t="s">
        <v>298</v>
      </c>
    </row>
    <row r="59" spans="2:15" x14ac:dyDescent="0.25">
      <c r="B59" s="104"/>
      <c r="C59" s="105" t="str">
        <f>IF(OR(E57="",E58=""),"",IF(E57&gt;E58,F57,F58))</f>
        <v/>
      </c>
      <c r="H59" s="100" t="str">
        <f ca="1">INDIRECT(ADDRESS(32,4,,,"CLASSEMENTS"))</f>
        <v>10B</v>
      </c>
      <c r="I59" s="101"/>
      <c r="N59" s="100" t="str">
        <f>IF(OR(L57="",L58=""),"",IF(L57&gt;L58,K57,K58))</f>
        <v/>
      </c>
      <c r="O59" s="101"/>
    </row>
    <row r="60" spans="2:15" ht="15.75" thickBot="1" x14ac:dyDescent="0.3">
      <c r="B60" s="106"/>
      <c r="C60" s="107" t="str">
        <f>IF(OR(E65="",E66=""),"",IF(E65&gt;E66,F65,F66))</f>
        <v/>
      </c>
      <c r="H60" s="102" t="str">
        <f ca="1">INDIRECT(ADDRESS(37,4,,,"CLASSEMENTS"))</f>
        <v>15B</v>
      </c>
      <c r="I60" s="103"/>
      <c r="N60" s="102" t="str">
        <f>IF(OR(L65="",L66=""),"",IF(L65&gt;L66,K65,K66))</f>
        <v/>
      </c>
      <c r="O60" s="103"/>
    </row>
    <row r="61" spans="2:15" x14ac:dyDescent="0.25">
      <c r="C61" s="99" t="s">
        <v>288</v>
      </c>
      <c r="N61" s="99" t="s">
        <v>286</v>
      </c>
    </row>
    <row r="62" spans="2:15" ht="15.75" thickBot="1" x14ac:dyDescent="0.3">
      <c r="C62" s="99" t="s">
        <v>299</v>
      </c>
      <c r="H62" s="99" t="s">
        <v>284</v>
      </c>
      <c r="N62" s="99" t="s">
        <v>300</v>
      </c>
    </row>
    <row r="63" spans="2:15" x14ac:dyDescent="0.25">
      <c r="B63" s="104"/>
      <c r="C63" s="105" t="str">
        <f>IF(OR(E57="",E58=""),"",IF(E57&lt;E58,F57,F58))</f>
        <v/>
      </c>
      <c r="H63" s="100" t="str">
        <f ca="1">INDIRECT(ADDRESS(33,4,,,"CLASSEMENTS"))</f>
        <v>11B</v>
      </c>
      <c r="I63" s="101"/>
      <c r="N63" s="100" t="str">
        <f>IF(OR(L57="",L58=""),"",IF(L57&lt;L58,K57,K58))</f>
        <v/>
      </c>
      <c r="O63" s="101"/>
    </row>
    <row r="64" spans="2:15" ht="15.75" thickBot="1" x14ac:dyDescent="0.3">
      <c r="B64" s="106"/>
      <c r="C64" s="107" t="str">
        <f>IF(OR(E65="",E66=""),"",IF(E65&lt;E66,F65,F66))</f>
        <v/>
      </c>
      <c r="F64" s="99" t="s">
        <v>288</v>
      </c>
      <c r="H64" s="102" t="str">
        <f ca="1">INDIRECT(ADDRESS(36,4,,,"CLASSEMENTS"))</f>
        <v>14B</v>
      </c>
      <c r="I64" s="103"/>
      <c r="K64" s="99" t="s">
        <v>286</v>
      </c>
      <c r="N64" s="102" t="str">
        <f>IF(OR(L65="",L66=""),"",IF(L65&lt;L66,K65,K66))</f>
        <v/>
      </c>
      <c r="O64" s="103"/>
    </row>
    <row r="65" spans="3:14" x14ac:dyDescent="0.25">
      <c r="E65" s="104"/>
      <c r="F65" s="105" t="str">
        <f>IF(OR(I63="",I64=""),"",IF(I63&lt;I64,H63,H64))</f>
        <v/>
      </c>
      <c r="K65" s="100" t="str">
        <f>IF(OR(I63="",I64=""),"",IF(I63&gt;I64,H63,H64))</f>
        <v/>
      </c>
      <c r="L65" s="101"/>
    </row>
    <row r="66" spans="3:14" ht="15.75" thickBot="1" x14ac:dyDescent="0.3">
      <c r="E66" s="106"/>
      <c r="F66" s="107" t="str">
        <f>IF(OR(I67="",I68=""),"",IF(I67&lt;I68,H67,H68))</f>
        <v/>
      </c>
      <c r="H66" s="99" t="s">
        <v>288</v>
      </c>
      <c r="K66" s="102" t="str">
        <f>IF(OR(I67="",I68=""),"",IF(I67&gt;I68,H67,H68))</f>
        <v/>
      </c>
      <c r="L66" s="103"/>
    </row>
    <row r="67" spans="3:14" x14ac:dyDescent="0.25">
      <c r="H67" s="100" t="str">
        <f ca="1">INDIRECT(ADDRESS(34,4,,,"CLASSEMENTS"))</f>
        <v>12B</v>
      </c>
      <c r="I67" s="101"/>
    </row>
    <row r="68" spans="3:14" ht="15.75" thickBot="1" x14ac:dyDescent="0.3">
      <c r="H68" s="102" t="str">
        <f ca="1">INDIRECT(ADDRESS(35,4,,,"CLASSEMENTS"))</f>
        <v>13B</v>
      </c>
      <c r="I68" s="103"/>
    </row>
    <row r="74" spans="3:14" x14ac:dyDescent="0.25">
      <c r="F74" s="99" t="str">
        <f>IF(OR(I72="",I73=""),"",IF(I72&lt;I73,H72,H73))</f>
        <v/>
      </c>
      <c r="K74" s="99" t="str">
        <f>IF(OR(I72="",I73=""),"",IF(I72&gt;I73,H72,H73))</f>
        <v/>
      </c>
    </row>
    <row r="75" spans="3:14" x14ac:dyDescent="0.25">
      <c r="F75" s="99" t="str">
        <f>IF(OR(I76="",I77=""),"",IF(I76&lt;I77,H76,H77))</f>
        <v/>
      </c>
      <c r="K75" s="99" t="str">
        <f>IF(OR(I76="",I77=""),"",IF(I76&gt;I77,H76,H77))</f>
        <v/>
      </c>
    </row>
    <row r="76" spans="3:14" x14ac:dyDescent="0.25">
      <c r="C76" s="99" t="str">
        <f>IF(OR(E74="",E75=""),"",IF(E74&gt;E75,F74,F75))</f>
        <v/>
      </c>
      <c r="N76" s="99" t="str">
        <f>IF(OR(L74="",L75=""),"",IF(L74&gt;L75,K74,K75))</f>
        <v/>
      </c>
    </row>
    <row r="77" spans="3:14" x14ac:dyDescent="0.25">
      <c r="C77" s="99" t="str">
        <f>IF(OR(E82="",E83=""),"",IF(E82&gt;E83,F82,F83))</f>
        <v/>
      </c>
      <c r="N77" s="99" t="str">
        <f>IF(OR(L82="",L83=""),"",IF(L82&gt;L83,K82,K83))</f>
        <v/>
      </c>
    </row>
    <row r="80" spans="3:14" x14ac:dyDescent="0.25">
      <c r="C80" s="99" t="str">
        <f>IF(OR(E74="",E75=""),"",IF(E74&lt;E75,F74,F75))</f>
        <v/>
      </c>
      <c r="N80" s="99" t="str">
        <f>IF(OR(L74="",L75=""),"",IF(L74&lt;L75,K74,K75))</f>
        <v/>
      </c>
    </row>
    <row r="81" spans="3:14" x14ac:dyDescent="0.25">
      <c r="C81" s="99" t="str">
        <f>IF(OR(E82="",E83=""),"",IF(E82&lt;E83,F82,F83))</f>
        <v/>
      </c>
      <c r="N81" s="99" t="str">
        <f>IF(OR(L82="",L83=""),"",IF(L82&lt;L83,K82,K83))</f>
        <v/>
      </c>
    </row>
    <row r="82" spans="3:14" x14ac:dyDescent="0.25">
      <c r="F82" s="99" t="str">
        <f>IF(OR(I80="",I81=""),"",IF(I80&lt;I81,H80,H81))</f>
        <v/>
      </c>
      <c r="K82" s="99" t="str">
        <f>IF(OR(I80="",I81=""),"",IF(I80&gt;I81,H80,H81))</f>
        <v/>
      </c>
    </row>
    <row r="83" spans="3:14" x14ac:dyDescent="0.25">
      <c r="F83" s="99" t="str">
        <f>IF(OR(I84="",I85=""),"",IF(I84&lt;I85,H84,H85))</f>
        <v/>
      </c>
      <c r="K83" s="99" t="str">
        <f>IF(OR(I84="",I85=""),"",IF(I84&gt;I85,H84,H85))</f>
        <v/>
      </c>
    </row>
    <row r="91" spans="3:14" x14ac:dyDescent="0.25">
      <c r="F91" s="99" t="str">
        <f>IF(OR(I89="",I90=""),"",IF(I89&lt;I90,H89,H90))</f>
        <v/>
      </c>
      <c r="K91" s="99" t="str">
        <f>IF(OR(I89="",I90=""),"",IF(I89&gt;I90,H89,H90))</f>
        <v/>
      </c>
    </row>
    <row r="92" spans="3:14" x14ac:dyDescent="0.25">
      <c r="F92" s="99" t="str">
        <f>IF(OR(I93="",I94=""),"",IF(I93&lt;I94,H93,H94))</f>
        <v/>
      </c>
      <c r="K92" s="99" t="str">
        <f>IF(OR(I93="",I94=""),"",IF(I93&gt;I94,H93,H94))</f>
        <v/>
      </c>
    </row>
    <row r="93" spans="3:14" x14ac:dyDescent="0.25">
      <c r="C93" s="99" t="str">
        <f>IF(OR(E91="",E92=""),"",IF(E91&gt;E92,F91,F92))</f>
        <v/>
      </c>
      <c r="N93" s="99" t="str">
        <f>IF(OR(L91="",L92=""),"",IF(L91&gt;L92,K91,K92))</f>
        <v/>
      </c>
    </row>
    <row r="94" spans="3:14" x14ac:dyDescent="0.25">
      <c r="C94" s="99" t="str">
        <f>IF(OR(E99="",E100=""),"",IF(E99&gt;E100,F99,F100))</f>
        <v/>
      </c>
      <c r="N94" s="99" t="str">
        <f>IF(OR(L99="",L100=""),"",IF(L99&gt;L100,K99,K100))</f>
        <v/>
      </c>
    </row>
    <row r="97" spans="3:14" x14ac:dyDescent="0.25">
      <c r="C97" s="99" t="str">
        <f>IF(OR(E91="",E92=""),"",IF(E91&lt;E92,F91,F92))</f>
        <v/>
      </c>
      <c r="N97" s="99" t="str">
        <f>IF(OR(L91="",L92=""),"",IF(L91&lt;L92,K91,K92))</f>
        <v/>
      </c>
    </row>
    <row r="98" spans="3:14" x14ac:dyDescent="0.25">
      <c r="C98" s="99" t="str">
        <f>IF(OR(E99="",E100=""),"",IF(E99&lt;E100,F99,F100))</f>
        <v/>
      </c>
      <c r="N98" s="99" t="str">
        <f>IF(OR(L99="",L100=""),"",IF(L99&lt;L100,K99,K100))</f>
        <v/>
      </c>
    </row>
    <row r="99" spans="3:14" x14ac:dyDescent="0.25">
      <c r="F99" s="99" t="str">
        <f>IF(OR(I97="",I98=""),"",IF(I97&lt;I98,H97,H98))</f>
        <v/>
      </c>
      <c r="K99" s="99" t="str">
        <f>IF(OR(I97="",I98=""),"",IF(I97&gt;I98,H97,H98))</f>
        <v/>
      </c>
    </row>
    <row r="100" spans="3:14" x14ac:dyDescent="0.25">
      <c r="F100" s="99" t="str">
        <f>IF(OR(I101="",I102=""),"",IF(I101&lt;I102,H101,H102))</f>
        <v/>
      </c>
      <c r="K100" s="99" t="str">
        <f>IF(OR(I101="",I102=""),"",IF(I101&gt;I102,H101,H102))</f>
        <v/>
      </c>
    </row>
    <row r="108" spans="3:14" x14ac:dyDescent="0.25">
      <c r="F108" s="99" t="str">
        <f>IF(OR(I106="",I107=""),"",IF(I106&lt;I107,H106,H107))</f>
        <v/>
      </c>
      <c r="K108" s="99" t="str">
        <f>IF(OR(I106="",I107=""),"",IF(I106&gt;I107,H106,H107))</f>
        <v/>
      </c>
    </row>
    <row r="109" spans="3:14" x14ac:dyDescent="0.25">
      <c r="F109" s="99" t="str">
        <f>IF(OR(I110="",I111=""),"",IF(I110&lt;I111,H110,H111))</f>
        <v/>
      </c>
      <c r="K109" s="99" t="str">
        <f>IF(OR(I110="",I111=""),"",IF(I110&gt;I111,H110,H111))</f>
        <v/>
      </c>
    </row>
    <row r="110" spans="3:14" x14ac:dyDescent="0.25">
      <c r="C110" s="99" t="str">
        <f>IF(OR(E108="",E109=""),"",IF(E108&gt;E109,F108,F109))</f>
        <v/>
      </c>
      <c r="N110" s="99" t="str">
        <f>IF(OR(L108="",L109=""),"",IF(L108&gt;L109,K108,K109))</f>
        <v/>
      </c>
    </row>
    <row r="111" spans="3:14" x14ac:dyDescent="0.25">
      <c r="C111" s="99" t="str">
        <f>IF(OR(E116="",E117=""),"",IF(E116&gt;E117,F116,F117))</f>
        <v/>
      </c>
      <c r="N111" s="99" t="str">
        <f>IF(OR(L116="",L117=""),"",IF(L116&gt;L117,K116,K117))</f>
        <v/>
      </c>
    </row>
    <row r="114" spans="3:14" x14ac:dyDescent="0.25">
      <c r="C114" s="99" t="str">
        <f>IF(OR(E108="",E109=""),"",IF(E108&lt;E109,F108,F109))</f>
        <v/>
      </c>
      <c r="N114" s="99" t="str">
        <f>IF(OR(L108="",L109=""),"",IF(L108&lt;L109,K108,K109))</f>
        <v/>
      </c>
    </row>
    <row r="115" spans="3:14" x14ac:dyDescent="0.25">
      <c r="C115" s="99" t="str">
        <f>IF(OR(E116="",E117=""),"",IF(E116&lt;E117,F116,F117))</f>
        <v/>
      </c>
      <c r="N115" s="99" t="str">
        <f>IF(OR(L116="",L117=""),"",IF(L116&lt;L117,K116,K117))</f>
        <v/>
      </c>
    </row>
    <row r="116" spans="3:14" x14ac:dyDescent="0.25">
      <c r="F116" s="99" t="str">
        <f>IF(OR(I114="",I115=""),"",IF(I114&lt;I115,H114,H115))</f>
        <v/>
      </c>
      <c r="K116" s="99" t="str">
        <f>IF(OR(I114="",I115=""),"",IF(I114&gt;I115,H114,H115))</f>
        <v/>
      </c>
    </row>
    <row r="117" spans="3:14" x14ac:dyDescent="0.25">
      <c r="F117" s="99" t="str">
        <f>IF(OR(I118="",I119=""),"",IF(I118&lt;I119,H118,H119))</f>
        <v/>
      </c>
      <c r="K117" s="99" t="str">
        <f>IF(OR(I118="",I119=""),"",IF(I118&gt;I119,H118,H119))</f>
        <v/>
      </c>
    </row>
    <row r="125" spans="3:14" x14ac:dyDescent="0.25">
      <c r="F125" s="99" t="str">
        <f>IF(OR(I123="",I124=""),"",IF(I123&lt;I124,H123,H124))</f>
        <v/>
      </c>
      <c r="K125" s="99" t="str">
        <f>IF(OR(I123="",I124=""),"",IF(I123&gt;I124,H123,H124))</f>
        <v/>
      </c>
    </row>
    <row r="126" spans="3:14" x14ac:dyDescent="0.25">
      <c r="F126" s="99" t="str">
        <f>IF(OR(I127="",I128=""),"",IF(I127&lt;I128,H127,H128))</f>
        <v/>
      </c>
      <c r="K126" s="99" t="str">
        <f>IF(OR(I127="",I128=""),"",IF(I127&gt;I128,H127,H128))</f>
        <v/>
      </c>
    </row>
    <row r="127" spans="3:14" x14ac:dyDescent="0.25">
      <c r="C127" s="99" t="str">
        <f>IF(OR(E125="",E126=""),"",IF(E125&gt;E126,F125,F126))</f>
        <v/>
      </c>
      <c r="N127" s="99" t="str">
        <f>IF(OR(L125="",L126=""),"",IF(L125&gt;L126,K125,K126))</f>
        <v/>
      </c>
    </row>
    <row r="128" spans="3:14" x14ac:dyDescent="0.25">
      <c r="C128" s="99" t="str">
        <f>IF(OR(E125="",E126=""),"",IF(E125&lt;E126,F125,F126))</f>
        <v/>
      </c>
      <c r="N128" s="99" t="str">
        <f>IF(OR(L125="",L126=""),"",IF(L125&lt;L126,K125,K126))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3DB3D5A1-CD75-4AAD-A2F3-CE920512DB3B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1285A-BB68-4D65-AC53-AAC3D4D250A5}">
  <sheetPr codeName="Feuil7"/>
  <dimension ref="B1:O128"/>
  <sheetViews>
    <sheetView workbookViewId="0">
      <selection activeCell="H4" sqref="H4"/>
    </sheetView>
  </sheetViews>
  <sheetFormatPr baseColWidth="10" defaultRowHeight="15" x14ac:dyDescent="0.25"/>
  <cols>
    <col min="1" max="1" width="11.42578125" style="99"/>
    <col min="2" max="2" width="4.28515625" style="98" customWidth="1"/>
    <col min="3" max="3" width="22.85546875" style="99" customWidth="1"/>
    <col min="4" max="4" width="2.85546875" style="99" customWidth="1"/>
    <col min="5" max="5" width="4.28515625" style="98" customWidth="1"/>
    <col min="6" max="6" width="22.85546875" style="99" customWidth="1"/>
    <col min="7" max="7" width="2.85546875" style="99" customWidth="1"/>
    <col min="8" max="8" width="22.85546875" style="99" customWidth="1"/>
    <col min="9" max="9" width="4.28515625" style="98" customWidth="1"/>
    <col min="10" max="10" width="2.85546875" style="99" customWidth="1"/>
    <col min="11" max="11" width="22.85546875" style="99" customWidth="1"/>
    <col min="12" max="12" width="4.28515625" style="98" customWidth="1"/>
    <col min="13" max="13" width="2.85546875" style="99" customWidth="1"/>
    <col min="14" max="14" width="22.85546875" style="99" customWidth="1"/>
    <col min="15" max="15" width="4.28515625" style="98" customWidth="1"/>
    <col min="16" max="16384" width="11.42578125" style="99"/>
  </cols>
  <sheetData>
    <row r="1" spans="2:15" x14ac:dyDescent="0.25">
      <c r="H1" s="99" t="s">
        <v>301</v>
      </c>
    </row>
    <row r="2" spans="2:15" x14ac:dyDescent="0.25">
      <c r="H2" s="99" t="s">
        <v>273</v>
      </c>
    </row>
    <row r="3" spans="2:15" ht="15.75" thickBot="1" x14ac:dyDescent="0.3">
      <c r="H3" s="99" t="s">
        <v>274</v>
      </c>
    </row>
    <row r="4" spans="2:15" x14ac:dyDescent="0.25">
      <c r="H4" s="100" t="str">
        <f ca="1">INDIRECT(ADDRESS(42,4,,,"CLASSEMENTS"))</f>
        <v>1C</v>
      </c>
      <c r="I4" s="101"/>
    </row>
    <row r="5" spans="2:15" ht="15.75" thickBot="1" x14ac:dyDescent="0.3">
      <c r="F5" s="99" t="s">
        <v>275</v>
      </c>
      <c r="H5" s="102" t="str">
        <f ca="1">INDIRECT(ADDRESS(49,4,,,"CLASSEMENTS"))</f>
        <v>8C</v>
      </c>
      <c r="I5" s="103"/>
      <c r="K5" s="99" t="s">
        <v>274</v>
      </c>
    </row>
    <row r="6" spans="2:15" x14ac:dyDescent="0.25">
      <c r="C6" s="99" t="s">
        <v>275</v>
      </c>
      <c r="E6" s="104"/>
      <c r="F6" s="105" t="str">
        <f>IF(OR(I4="",I5=""),"",IF(I4&lt;I5,H4,H5))</f>
        <v/>
      </c>
      <c r="K6" s="100" t="str">
        <f>IF(OR(I4="",I5=""),"",IF(I4&gt;I5,H4,H5))</f>
        <v/>
      </c>
      <c r="L6" s="101"/>
      <c r="N6" s="99" t="s">
        <v>274</v>
      </c>
    </row>
    <row r="7" spans="2:15" ht="15.75" thickBot="1" x14ac:dyDescent="0.3">
      <c r="C7" s="99" t="s">
        <v>276</v>
      </c>
      <c r="E7" s="106"/>
      <c r="F7" s="107" t="str">
        <f>IF(OR(I8="",I9=""),"",IF(I8&lt;I9,H8,H9))</f>
        <v/>
      </c>
      <c r="H7" s="99" t="s">
        <v>277</v>
      </c>
      <c r="K7" s="102" t="str">
        <f>IF(OR(I8="",I9=""),"",IF(I8&gt;I9,H8,H9))</f>
        <v/>
      </c>
      <c r="L7" s="103"/>
      <c r="N7" s="99" t="s">
        <v>278</v>
      </c>
    </row>
    <row r="8" spans="2:15" x14ac:dyDescent="0.25">
      <c r="B8" s="104"/>
      <c r="C8" s="105" t="str">
        <f>IF(OR(E6="",E7=""),"",IF(E6&gt;E7,F6,F7))</f>
        <v/>
      </c>
      <c r="H8" s="100" t="str">
        <f ca="1">INDIRECT(ADDRESS(43,4,,,"CLASSEMENTS"))</f>
        <v>2C</v>
      </c>
      <c r="I8" s="101"/>
      <c r="N8" s="100" t="str">
        <f>IF(OR(L6="",L7=""),"",IF(L6&gt;L7,K6,K7))</f>
        <v/>
      </c>
      <c r="O8" s="101"/>
    </row>
    <row r="9" spans="2:15" ht="15.75" thickBot="1" x14ac:dyDescent="0.3">
      <c r="B9" s="106"/>
      <c r="C9" s="107" t="str">
        <f>IF(OR(E14="",E15=""),"",IF(E14&gt;E15,F14,F15))</f>
        <v/>
      </c>
      <c r="H9" s="102" t="str">
        <f ca="1">INDIRECT(ADDRESS(48,4,,,"CLASSEMENTS"))</f>
        <v>7C</v>
      </c>
      <c r="I9" s="103"/>
      <c r="N9" s="102" t="str">
        <f>IF(OR(L14="",L15=""),"",IF(L14&gt;L15,K14,K15))</f>
        <v/>
      </c>
      <c r="O9" s="103"/>
    </row>
    <row r="10" spans="2:15" x14ac:dyDescent="0.25">
      <c r="C10" s="99" t="s">
        <v>279</v>
      </c>
      <c r="N10" s="99" t="s">
        <v>277</v>
      </c>
    </row>
    <row r="11" spans="2:15" ht="15.75" thickBot="1" x14ac:dyDescent="0.3">
      <c r="C11" s="99" t="s">
        <v>280</v>
      </c>
      <c r="H11" s="99" t="s">
        <v>275</v>
      </c>
      <c r="N11" s="99" t="s">
        <v>281</v>
      </c>
    </row>
    <row r="12" spans="2:15" x14ac:dyDescent="0.25">
      <c r="B12" s="104"/>
      <c r="C12" s="105" t="str">
        <f>IF(OR(E6="",E7=""),"",IF(E6&lt;E7,F6,F7))</f>
        <v/>
      </c>
      <c r="H12" s="100" t="str">
        <f ca="1">INDIRECT(ADDRESS(44,4,,,"CLASSEMENTS"))</f>
        <v>3C</v>
      </c>
      <c r="I12" s="101"/>
      <c r="N12" s="100" t="str">
        <f>IF(OR(L6="",L7=""),"",IF(L6&lt;L7,K6,K7))</f>
        <v/>
      </c>
      <c r="O12" s="101"/>
    </row>
    <row r="13" spans="2:15" ht="15.75" thickBot="1" x14ac:dyDescent="0.3">
      <c r="B13" s="106"/>
      <c r="C13" s="107" t="str">
        <f>IF(OR(E14="",E15=""),"",IF(E14&lt;E15,F14,F15))</f>
        <v/>
      </c>
      <c r="F13" s="99" t="s">
        <v>279</v>
      </c>
      <c r="H13" s="102" t="str">
        <f ca="1">INDIRECT(ADDRESS(47,4,,,"CLASSEMENTS"))</f>
        <v>6C</v>
      </c>
      <c r="I13" s="103"/>
      <c r="K13" s="99" t="s">
        <v>277</v>
      </c>
      <c r="N13" s="102" t="str">
        <f>IF(OR(L14="",L15=""),"",IF(L14&lt;L15,K14,K15))</f>
        <v/>
      </c>
      <c r="O13" s="103"/>
    </row>
    <row r="14" spans="2:15" x14ac:dyDescent="0.25">
      <c r="E14" s="104"/>
      <c r="F14" s="105" t="str">
        <f>IF(OR(I12="",I13=""),"",IF(I12&lt;I13,H12,H13))</f>
        <v/>
      </c>
      <c r="K14" s="100" t="str">
        <f>IF(OR(I12="",I13=""),"",IF(I12&gt;I13,H12,H13))</f>
        <v/>
      </c>
      <c r="L14" s="101"/>
    </row>
    <row r="15" spans="2:15" ht="15.75" thickBot="1" x14ac:dyDescent="0.3">
      <c r="E15" s="106"/>
      <c r="F15" s="107" t="str">
        <f>IF(OR(I16="",I17=""),"",IF(I16&lt;I17,H16,H17))</f>
        <v/>
      </c>
      <c r="H15" s="99" t="s">
        <v>279</v>
      </c>
      <c r="K15" s="102" t="str">
        <f>IF(OR(I16="",I17=""),"",IF(I16&gt;I17,H16,H17))</f>
        <v/>
      </c>
      <c r="L15" s="103"/>
    </row>
    <row r="16" spans="2:15" x14ac:dyDescent="0.25">
      <c r="H16" s="100" t="str">
        <f ca="1">INDIRECT(ADDRESS(45,4,,,"CLASSEMENTS"))</f>
        <v>4C</v>
      </c>
      <c r="I16" s="101"/>
    </row>
    <row r="17" spans="2:15" ht="15.75" thickBot="1" x14ac:dyDescent="0.3">
      <c r="H17" s="102" t="str">
        <f ca="1">INDIRECT(ADDRESS(46,4,,,"CLASSEMENTS"))</f>
        <v>5C</v>
      </c>
      <c r="I17" s="103"/>
    </row>
    <row r="19" spans="2:15" x14ac:dyDescent="0.25">
      <c r="H19" s="99" t="s">
        <v>282</v>
      </c>
    </row>
    <row r="20" spans="2:15" ht="15.75" thickBot="1" x14ac:dyDescent="0.3">
      <c r="H20" s="99" t="s">
        <v>283</v>
      </c>
    </row>
    <row r="21" spans="2:15" x14ac:dyDescent="0.25">
      <c r="H21" s="100" t="str">
        <f ca="1">INDIRECT(ADDRESS(50,4,,,"CLASSEMENTS"))</f>
        <v>9C</v>
      </c>
      <c r="I21" s="101"/>
    </row>
    <row r="22" spans="2:15" ht="15.75" thickBot="1" x14ac:dyDescent="0.3">
      <c r="F22" s="99" t="s">
        <v>284</v>
      </c>
      <c r="H22" s="102" t="str">
        <f ca="1">INDIRECT(ADDRESS(57,4,,,"CLASSEMENTS"))</f>
        <v>16C</v>
      </c>
      <c r="I22" s="103"/>
      <c r="K22" s="99" t="s">
        <v>283</v>
      </c>
    </row>
    <row r="23" spans="2:15" x14ac:dyDescent="0.25">
      <c r="C23" s="99" t="s">
        <v>284</v>
      </c>
      <c r="E23" s="104"/>
      <c r="F23" s="105" t="str">
        <f>IF(OR(I21="",I22=""),"",IF(I21&lt;I22,H21,H22))</f>
        <v/>
      </c>
      <c r="K23" s="100" t="str">
        <f>IF(OR(I21="",I22=""),"",IF(I21&gt;I22,H21,H22))</f>
        <v/>
      </c>
      <c r="L23" s="101"/>
      <c r="N23" s="99" t="s">
        <v>283</v>
      </c>
    </row>
    <row r="24" spans="2:15" ht="15.75" thickBot="1" x14ac:dyDescent="0.3">
      <c r="C24" s="99" t="s">
        <v>285</v>
      </c>
      <c r="E24" s="106"/>
      <c r="F24" s="107" t="str">
        <f>IF(OR(I25="",I26=""),"",IF(I25&lt;I26,H25,H26))</f>
        <v/>
      </c>
      <c r="H24" s="99" t="s">
        <v>286</v>
      </c>
      <c r="K24" s="102" t="str">
        <f>IF(OR(I25="",I26=""),"",IF(I25&gt;I26,H25,H26))</f>
        <v/>
      </c>
      <c r="L24" s="103"/>
      <c r="N24" s="99" t="s">
        <v>287</v>
      </c>
    </row>
    <row r="25" spans="2:15" x14ac:dyDescent="0.25">
      <c r="B25" s="104"/>
      <c r="C25" s="105" t="str">
        <f>IF(OR(E23="",E24=""),"",IF(E23&gt;E24,F23,F24))</f>
        <v/>
      </c>
      <c r="H25" s="100" t="str">
        <f ca="1">INDIRECT(ADDRESS(51,4,,,"CLASSEMENTS"))</f>
        <v>10C</v>
      </c>
      <c r="I25" s="101"/>
      <c r="N25" s="100" t="str">
        <f>IF(OR(L23="",L24=""),"",IF(L23&gt;L24,K23,K24))</f>
        <v/>
      </c>
      <c r="O25" s="101"/>
    </row>
    <row r="26" spans="2:15" ht="15.75" thickBot="1" x14ac:dyDescent="0.3">
      <c r="B26" s="106"/>
      <c r="C26" s="107" t="str">
        <f>IF(OR(E31="",E32=""),"",IF(E31&gt;E32,F31,F32))</f>
        <v/>
      </c>
      <c r="H26" s="102" t="str">
        <f ca="1">INDIRECT(ADDRESS(56,4,,,"CLASSEMENTS"))</f>
        <v>15C</v>
      </c>
      <c r="I26" s="103"/>
      <c r="N26" s="102" t="str">
        <f>IF(OR(L31="",L32=""),"",IF(L31&gt;L32,K31,K32))</f>
        <v/>
      </c>
      <c r="O26" s="103"/>
    </row>
    <row r="27" spans="2:15" x14ac:dyDescent="0.25">
      <c r="C27" s="99" t="s">
        <v>288</v>
      </c>
      <c r="N27" s="99" t="s">
        <v>286</v>
      </c>
    </row>
    <row r="28" spans="2:15" ht="15.75" thickBot="1" x14ac:dyDescent="0.3">
      <c r="C28" s="99" t="s">
        <v>289</v>
      </c>
      <c r="H28" s="99" t="s">
        <v>284</v>
      </c>
      <c r="N28" s="99" t="s">
        <v>290</v>
      </c>
    </row>
    <row r="29" spans="2:15" x14ac:dyDescent="0.25">
      <c r="B29" s="104"/>
      <c r="C29" s="105" t="str">
        <f>IF(OR(E23="",E24=""),"",IF(E23&lt;E24,F23,F24))</f>
        <v/>
      </c>
      <c r="H29" s="100" t="str">
        <f ca="1">INDIRECT(ADDRESS(52,4,,,"CLASSEMENTS"))</f>
        <v>11C</v>
      </c>
      <c r="I29" s="101"/>
      <c r="N29" s="100" t="str">
        <f>IF(OR(L23="",L24=""),"",IF(L23&lt;L24,K23,K24))</f>
        <v/>
      </c>
      <c r="O29" s="101"/>
    </row>
    <row r="30" spans="2:15" ht="15.75" thickBot="1" x14ac:dyDescent="0.3">
      <c r="B30" s="106"/>
      <c r="C30" s="107" t="str">
        <f>IF(OR(E31="",E32=""),"",IF(E31&lt;E32,F31,F32))</f>
        <v/>
      </c>
      <c r="F30" s="99" t="s">
        <v>288</v>
      </c>
      <c r="H30" s="102" t="str">
        <f ca="1">INDIRECT(ADDRESS(55,4,,,"CLASSEMENTS"))</f>
        <v>14C</v>
      </c>
      <c r="I30" s="103"/>
      <c r="K30" s="99" t="s">
        <v>286</v>
      </c>
      <c r="N30" s="102" t="str">
        <f>IF(OR(L31="",L32=""),"",IF(L31&lt;L32,K31,K32))</f>
        <v/>
      </c>
      <c r="O30" s="103"/>
    </row>
    <row r="31" spans="2:15" x14ac:dyDescent="0.25">
      <c r="E31" s="104"/>
      <c r="F31" s="105" t="str">
        <f>IF(OR(I29="",I30=""),"",IF(I29&lt;I30,H29,H30))</f>
        <v/>
      </c>
      <c r="K31" s="100" t="str">
        <f>IF(OR(I29="",I30=""),"",IF(I29&gt;I30,H29,H30))</f>
        <v/>
      </c>
      <c r="L31" s="101"/>
    </row>
    <row r="32" spans="2:15" ht="15.75" thickBot="1" x14ac:dyDescent="0.3">
      <c r="E32" s="106"/>
      <c r="F32" s="107" t="str">
        <f>IF(OR(I33="",I34=""),"",IF(I33&lt;I34,H33,H34))</f>
        <v/>
      </c>
      <c r="H32" s="99" t="s">
        <v>288</v>
      </c>
      <c r="K32" s="102" t="str">
        <f>IF(OR(I33="",I34=""),"",IF(I33&gt;I34,H33,H34))</f>
        <v/>
      </c>
      <c r="L32" s="103"/>
    </row>
    <row r="33" spans="3:14" x14ac:dyDescent="0.25">
      <c r="H33" s="100" t="str">
        <f ca="1">INDIRECT(ADDRESS(53,4,,,"CLASSEMENTS"))</f>
        <v>12C</v>
      </c>
      <c r="I33" s="101"/>
    </row>
    <row r="34" spans="3:14" ht="15.75" thickBot="1" x14ac:dyDescent="0.3">
      <c r="H34" s="102" t="str">
        <f ca="1">INDIRECT(ADDRESS(54,4,,,"CLASSEMENTS"))</f>
        <v>13C</v>
      </c>
      <c r="I34" s="103"/>
    </row>
    <row r="40" spans="3:14" x14ac:dyDescent="0.25">
      <c r="F40" s="99" t="str">
        <f>IF(OR(I38="",I39=""),"",IF(I38&lt;I39,H38,H39))</f>
        <v/>
      </c>
      <c r="K40" s="99" t="str">
        <f>IF(OR(I38="",I39=""),"",IF(I38&gt;I39,H38,H39))</f>
        <v/>
      </c>
    </row>
    <row r="41" spans="3:14" x14ac:dyDescent="0.25">
      <c r="F41" s="99" t="str">
        <f>IF(OR(I42="",I43=""),"",IF(I42&lt;I43,H42,H43))</f>
        <v/>
      </c>
      <c r="K41" s="99" t="str">
        <f>IF(OR(I42="",I43=""),"",IF(I42&gt;I43,H42,H43))</f>
        <v/>
      </c>
    </row>
    <row r="42" spans="3:14" x14ac:dyDescent="0.25">
      <c r="C42" s="99" t="str">
        <f>IF(OR(E40="",E41=""),"",IF(E40&gt;E41,F40,F41))</f>
        <v/>
      </c>
      <c r="N42" s="99" t="str">
        <f>IF(OR(L40="",L41=""),"",IF(L40&gt;L41,K40,K41))</f>
        <v/>
      </c>
    </row>
    <row r="43" spans="3:14" x14ac:dyDescent="0.25">
      <c r="C43" s="99" t="str">
        <f>IF(OR(E48="",E49=""),"",IF(E48&gt;E49,F48,F49))</f>
        <v/>
      </c>
      <c r="N43" s="99" t="str">
        <f>IF(OR(L48="",L49=""),"",IF(L48&gt;L49,K48,K49))</f>
        <v/>
      </c>
    </row>
    <row r="46" spans="3:14" x14ac:dyDescent="0.25">
      <c r="C46" s="99" t="str">
        <f>IF(OR(E40="",E41=""),"",IF(E40&lt;E41,F40,F41))</f>
        <v/>
      </c>
      <c r="N46" s="99" t="str">
        <f>IF(OR(L40="",L41=""),"",IF(L40&lt;L41,K40,K41))</f>
        <v/>
      </c>
    </row>
    <row r="47" spans="3:14" x14ac:dyDescent="0.25">
      <c r="C47" s="99" t="str">
        <f>IF(OR(E48="",E49=""),"",IF(E48&lt;E49,F48,F49))</f>
        <v/>
      </c>
      <c r="N47" s="99" t="str">
        <f>IF(OR(L48="",L49=""),"",IF(L48&lt;L49,K48,K49))</f>
        <v/>
      </c>
    </row>
    <row r="48" spans="3:14" x14ac:dyDescent="0.25">
      <c r="F48" s="99" t="str">
        <f>IF(OR(I46="",I47=""),"",IF(I46&lt;I47,H46,H47))</f>
        <v/>
      </c>
      <c r="K48" s="99" t="str">
        <f>IF(OR(I46="",I47=""),"",IF(I46&gt;I47,H46,H47))</f>
        <v/>
      </c>
    </row>
    <row r="49" spans="3:14" x14ac:dyDescent="0.25">
      <c r="F49" s="99" t="str">
        <f>IF(OR(I50="",I51=""),"",IF(I50&lt;I51,H50,H51))</f>
        <v/>
      </c>
      <c r="K49" s="99" t="str">
        <f>IF(OR(I50="",I51=""),"",IF(I50&gt;I51,H50,H51))</f>
        <v/>
      </c>
    </row>
    <row r="57" spans="3:14" x14ac:dyDescent="0.25">
      <c r="F57" s="99" t="str">
        <f>IF(OR(I55="",I56=""),"",IF(I55&lt;I56,H55,H56))</f>
        <v/>
      </c>
      <c r="K57" s="99" t="str">
        <f>IF(OR(I55="",I56=""),"",IF(I55&gt;I56,H55,H56))</f>
        <v/>
      </c>
    </row>
    <row r="58" spans="3:14" x14ac:dyDescent="0.25">
      <c r="F58" s="99" t="str">
        <f>IF(OR(I59="",I60=""),"",IF(I59&lt;I60,H59,H60))</f>
        <v/>
      </c>
      <c r="K58" s="99" t="str">
        <f>IF(OR(I59="",I60=""),"",IF(I59&gt;I60,H59,H60))</f>
        <v/>
      </c>
    </row>
    <row r="59" spans="3:14" x14ac:dyDescent="0.25">
      <c r="C59" s="99" t="str">
        <f>IF(OR(E57="",E58=""),"",IF(E57&gt;E58,F57,F58))</f>
        <v/>
      </c>
      <c r="N59" s="99" t="str">
        <f>IF(OR(L57="",L58=""),"",IF(L57&gt;L58,K57,K58))</f>
        <v/>
      </c>
    </row>
    <row r="60" spans="3:14" x14ac:dyDescent="0.25">
      <c r="C60" s="99" t="str">
        <f>IF(OR(E65="",E66=""),"",IF(E65&gt;E66,F65,F66))</f>
        <v/>
      </c>
      <c r="N60" s="99" t="str">
        <f>IF(OR(L65="",L66=""),"",IF(L65&gt;L66,K65,K66))</f>
        <v/>
      </c>
    </row>
    <row r="63" spans="3:14" x14ac:dyDescent="0.25">
      <c r="C63" s="99" t="str">
        <f>IF(OR(E57="",E58=""),"",IF(E57&lt;E58,F57,F58))</f>
        <v/>
      </c>
      <c r="N63" s="99" t="str">
        <f>IF(OR(L57="",L58=""),"",IF(L57&lt;L58,K57,K58))</f>
        <v/>
      </c>
    </row>
    <row r="64" spans="3:14" x14ac:dyDescent="0.25">
      <c r="C64" s="99" t="str">
        <f>IF(OR(E65="",E66=""),"",IF(E65&lt;E66,F65,F66))</f>
        <v/>
      </c>
      <c r="N64" s="99" t="str">
        <f>IF(OR(L65="",L66=""),"",IF(L65&lt;L66,K65,K66))</f>
        <v/>
      </c>
    </row>
    <row r="65" spans="3:14" x14ac:dyDescent="0.25">
      <c r="F65" s="99" t="str">
        <f>IF(OR(I63="",I64=""),"",IF(I63&lt;I64,H63,H64))</f>
        <v/>
      </c>
      <c r="K65" s="99" t="str">
        <f>IF(OR(I63="",I64=""),"",IF(I63&gt;I64,H63,H64))</f>
        <v/>
      </c>
    </row>
    <row r="66" spans="3:14" x14ac:dyDescent="0.25">
      <c r="F66" s="99" t="str">
        <f>IF(OR(I67="",I68=""),"",IF(I67&lt;I68,H67,H68))</f>
        <v/>
      </c>
      <c r="K66" s="99" t="str">
        <f>IF(OR(I67="",I68=""),"",IF(I67&gt;I68,H67,H68))</f>
        <v/>
      </c>
    </row>
    <row r="74" spans="3:14" x14ac:dyDescent="0.25">
      <c r="F74" s="99" t="str">
        <f>IF(OR(I72="",I73=""),"",IF(I72&lt;I73,H72,H73))</f>
        <v/>
      </c>
      <c r="K74" s="99" t="str">
        <f>IF(OR(I72="",I73=""),"",IF(I72&gt;I73,H72,H73))</f>
        <v/>
      </c>
    </row>
    <row r="75" spans="3:14" x14ac:dyDescent="0.25">
      <c r="F75" s="99" t="str">
        <f>IF(OR(I76="",I77=""),"",IF(I76&lt;I77,H76,H77))</f>
        <v/>
      </c>
      <c r="K75" s="99" t="str">
        <f>IF(OR(I76="",I77=""),"",IF(I76&gt;I77,H76,H77))</f>
        <v/>
      </c>
    </row>
    <row r="76" spans="3:14" x14ac:dyDescent="0.25">
      <c r="C76" s="99" t="str">
        <f>IF(OR(E74="",E75=""),"",IF(E74&gt;E75,F74,F75))</f>
        <v/>
      </c>
      <c r="N76" s="99" t="str">
        <f>IF(OR(L74="",L75=""),"",IF(L74&gt;L75,K74,K75))</f>
        <v/>
      </c>
    </row>
    <row r="77" spans="3:14" x14ac:dyDescent="0.25">
      <c r="C77" s="99" t="str">
        <f>IF(OR(E82="",E83=""),"",IF(E82&gt;E83,F82,F83))</f>
        <v/>
      </c>
      <c r="N77" s="99" t="str">
        <f>IF(OR(L82="",L83=""),"",IF(L82&gt;L83,K82,K83))</f>
        <v/>
      </c>
    </row>
    <row r="80" spans="3:14" x14ac:dyDescent="0.25">
      <c r="C80" s="99" t="str">
        <f>IF(OR(E74="",E75=""),"",IF(E74&lt;E75,F74,F75))</f>
        <v/>
      </c>
      <c r="N80" s="99" t="str">
        <f>IF(OR(L74="",L75=""),"",IF(L74&lt;L75,K74,K75))</f>
        <v/>
      </c>
    </row>
    <row r="81" spans="3:14" x14ac:dyDescent="0.25">
      <c r="C81" s="99" t="str">
        <f>IF(OR(E82="",E83=""),"",IF(E82&lt;E83,F82,F83))</f>
        <v/>
      </c>
      <c r="N81" s="99" t="str">
        <f>IF(OR(L82="",L83=""),"",IF(L82&lt;L83,K82,K83))</f>
        <v/>
      </c>
    </row>
    <row r="82" spans="3:14" x14ac:dyDescent="0.25">
      <c r="F82" s="99" t="str">
        <f>IF(OR(I80="",I81=""),"",IF(I80&lt;I81,H80,H81))</f>
        <v/>
      </c>
      <c r="K82" s="99" t="str">
        <f>IF(OR(I80="",I81=""),"",IF(I80&gt;I81,H80,H81))</f>
        <v/>
      </c>
    </row>
    <row r="83" spans="3:14" x14ac:dyDescent="0.25">
      <c r="F83" s="99" t="str">
        <f>IF(OR(I84="",I85=""),"",IF(I84&lt;I85,H84,H85))</f>
        <v/>
      </c>
      <c r="K83" s="99" t="str">
        <f>IF(OR(I84="",I85=""),"",IF(I84&gt;I85,H84,H85))</f>
        <v/>
      </c>
    </row>
    <row r="91" spans="3:14" x14ac:dyDescent="0.25">
      <c r="F91" s="99" t="str">
        <f>IF(OR(I89="",I90=""),"",IF(I89&lt;I90,H89,H90))</f>
        <v/>
      </c>
      <c r="K91" s="99" t="str">
        <f>IF(OR(I89="",I90=""),"",IF(I89&gt;I90,H89,H90))</f>
        <v/>
      </c>
    </row>
    <row r="92" spans="3:14" x14ac:dyDescent="0.25">
      <c r="F92" s="99" t="str">
        <f>IF(OR(I93="",I94=""),"",IF(I93&lt;I94,H93,H94))</f>
        <v/>
      </c>
      <c r="K92" s="99" t="str">
        <f>IF(OR(I93="",I94=""),"",IF(I93&gt;I94,H93,H94))</f>
        <v/>
      </c>
    </row>
    <row r="93" spans="3:14" x14ac:dyDescent="0.25">
      <c r="C93" s="99" t="str">
        <f>IF(OR(E91="",E92=""),"",IF(E91&gt;E92,F91,F92))</f>
        <v/>
      </c>
      <c r="N93" s="99" t="str">
        <f>IF(OR(L91="",L92=""),"",IF(L91&gt;L92,K91,K92))</f>
        <v/>
      </c>
    </row>
    <row r="94" spans="3:14" x14ac:dyDescent="0.25">
      <c r="C94" s="99" t="str">
        <f>IF(OR(E99="",E100=""),"",IF(E99&gt;E100,F99,F100))</f>
        <v/>
      </c>
      <c r="N94" s="99" t="str">
        <f>IF(OR(L99="",L100=""),"",IF(L99&gt;L100,K99,K100))</f>
        <v/>
      </c>
    </row>
    <row r="97" spans="3:14" x14ac:dyDescent="0.25">
      <c r="C97" s="99" t="str">
        <f>IF(OR(E91="",E92=""),"",IF(E91&lt;E92,F91,F92))</f>
        <v/>
      </c>
      <c r="N97" s="99" t="str">
        <f>IF(OR(L91="",L92=""),"",IF(L91&lt;L92,K91,K92))</f>
        <v/>
      </c>
    </row>
    <row r="98" spans="3:14" x14ac:dyDescent="0.25">
      <c r="C98" s="99" t="str">
        <f>IF(OR(E99="",E100=""),"",IF(E99&lt;E100,F99,F100))</f>
        <v/>
      </c>
      <c r="N98" s="99" t="str">
        <f>IF(OR(L99="",L100=""),"",IF(L99&lt;L100,K99,K100))</f>
        <v/>
      </c>
    </row>
    <row r="99" spans="3:14" x14ac:dyDescent="0.25">
      <c r="F99" s="99" t="str">
        <f>IF(OR(I97="",I98=""),"",IF(I97&lt;I98,H97,H98))</f>
        <v/>
      </c>
      <c r="K99" s="99" t="str">
        <f>IF(OR(I97="",I98=""),"",IF(I97&gt;I98,H97,H98))</f>
        <v/>
      </c>
    </row>
    <row r="100" spans="3:14" x14ac:dyDescent="0.25">
      <c r="F100" s="99" t="str">
        <f>IF(OR(I101="",I102=""),"",IF(I101&lt;I102,H101,H102))</f>
        <v/>
      </c>
      <c r="K100" s="99" t="str">
        <f>IF(OR(I101="",I102=""),"",IF(I101&gt;I102,H101,H102))</f>
        <v/>
      </c>
    </row>
    <row r="108" spans="3:14" x14ac:dyDescent="0.25">
      <c r="F108" s="99" t="str">
        <f>IF(OR(I106="",I107=""),"",IF(I106&lt;I107,H106,H107))</f>
        <v/>
      </c>
      <c r="K108" s="99" t="str">
        <f>IF(OR(I106="",I107=""),"",IF(I106&gt;I107,H106,H107))</f>
        <v/>
      </c>
    </row>
    <row r="109" spans="3:14" x14ac:dyDescent="0.25">
      <c r="F109" s="99" t="str">
        <f>IF(OR(I110="",I111=""),"",IF(I110&lt;I111,H110,H111))</f>
        <v/>
      </c>
      <c r="K109" s="99" t="str">
        <f>IF(OR(I110="",I111=""),"",IF(I110&gt;I111,H110,H111))</f>
        <v/>
      </c>
    </row>
    <row r="110" spans="3:14" x14ac:dyDescent="0.25">
      <c r="C110" s="99" t="str">
        <f>IF(OR(E108="",E109=""),"",IF(E108&gt;E109,F108,F109))</f>
        <v/>
      </c>
      <c r="N110" s="99" t="str">
        <f>IF(OR(L108="",L109=""),"",IF(L108&gt;L109,K108,K109))</f>
        <v/>
      </c>
    </row>
    <row r="111" spans="3:14" x14ac:dyDescent="0.25">
      <c r="C111" s="99" t="str">
        <f>IF(OR(E116="",E117=""),"",IF(E116&gt;E117,F116,F117))</f>
        <v/>
      </c>
      <c r="N111" s="99" t="str">
        <f>IF(OR(L116="",L117=""),"",IF(L116&gt;L117,K116,K117))</f>
        <v/>
      </c>
    </row>
    <row r="114" spans="3:14" x14ac:dyDescent="0.25">
      <c r="C114" s="99" t="str">
        <f>IF(OR(E108="",E109=""),"",IF(E108&lt;E109,F108,F109))</f>
        <v/>
      </c>
      <c r="N114" s="99" t="str">
        <f>IF(OR(L108="",L109=""),"",IF(L108&lt;L109,K108,K109))</f>
        <v/>
      </c>
    </row>
    <row r="115" spans="3:14" x14ac:dyDescent="0.25">
      <c r="C115" s="99" t="str">
        <f>IF(OR(E116="",E117=""),"",IF(E116&lt;E117,F116,F117))</f>
        <v/>
      </c>
      <c r="N115" s="99" t="str">
        <f>IF(OR(L116="",L117=""),"",IF(L116&lt;L117,K116,K117))</f>
        <v/>
      </c>
    </row>
    <row r="116" spans="3:14" x14ac:dyDescent="0.25">
      <c r="F116" s="99" t="str">
        <f>IF(OR(I114="",I115=""),"",IF(I114&lt;I115,H114,H115))</f>
        <v/>
      </c>
      <c r="K116" s="99" t="str">
        <f>IF(OR(I114="",I115=""),"",IF(I114&gt;I115,H114,H115))</f>
        <v/>
      </c>
    </row>
    <row r="117" spans="3:14" x14ac:dyDescent="0.25">
      <c r="F117" s="99" t="str">
        <f>IF(OR(I118="",I119=""),"",IF(I118&lt;I119,H118,H119))</f>
        <v/>
      </c>
      <c r="K117" s="99" t="str">
        <f>IF(OR(I118="",I119=""),"",IF(I118&gt;I119,H118,H119))</f>
        <v/>
      </c>
    </row>
    <row r="125" spans="3:14" x14ac:dyDescent="0.25">
      <c r="F125" s="99" t="str">
        <f>IF(OR(I123="",I124=""),"",IF(I123&lt;I124,H123,H124))</f>
        <v/>
      </c>
      <c r="K125" s="99" t="str">
        <f>IF(OR(I123="",I124=""),"",IF(I123&gt;I124,H123,H124))</f>
        <v/>
      </c>
    </row>
    <row r="126" spans="3:14" x14ac:dyDescent="0.25">
      <c r="F126" s="99" t="str">
        <f>IF(OR(I127="",I128=""),"",IF(I127&lt;I128,H127,H128))</f>
        <v/>
      </c>
      <c r="K126" s="99" t="str">
        <f>IF(OR(I127="",I128=""),"",IF(I127&gt;I128,H127,H128))</f>
        <v/>
      </c>
    </row>
    <row r="127" spans="3:14" x14ac:dyDescent="0.25">
      <c r="C127" s="99" t="str">
        <f>IF(OR(E125="",E126=""),"",IF(E125&gt;E126,F125,F126))</f>
        <v/>
      </c>
      <c r="N127" s="99" t="str">
        <f>IF(OR(L125="",L126=""),"",IF(L125&gt;L126,K125,K126))</f>
        <v/>
      </c>
    </row>
    <row r="128" spans="3:14" x14ac:dyDescent="0.25">
      <c r="C128" s="99" t="str">
        <f>IF(OR(E125="",E126=""),"",IF(E125&lt;E126,F125,F126))</f>
        <v/>
      </c>
      <c r="N128" s="99" t="str">
        <f>IF(OR(L125="",L126=""),"",IF(L125&lt;L126,K125,K126))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86E856EE-C414-4A8B-9242-466F9D4DF4A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4B158-1F4A-429A-BBEF-A915570F7899}">
  <sheetPr codeName="Feuil8"/>
  <dimension ref="B1:O128"/>
  <sheetViews>
    <sheetView workbookViewId="0">
      <selection activeCell="H22" sqref="H22"/>
    </sheetView>
  </sheetViews>
  <sheetFormatPr baseColWidth="10" defaultRowHeight="15" x14ac:dyDescent="0.25"/>
  <cols>
    <col min="1" max="1" width="11.42578125" style="99"/>
    <col min="2" max="2" width="4.28515625" style="98" customWidth="1"/>
    <col min="3" max="3" width="22.85546875" style="99" customWidth="1"/>
    <col min="4" max="4" width="2.85546875" style="99" customWidth="1"/>
    <col min="5" max="5" width="4.28515625" style="98" customWidth="1"/>
    <col min="6" max="6" width="22.85546875" style="99" customWidth="1"/>
    <col min="7" max="7" width="2.85546875" style="99" customWidth="1"/>
    <col min="8" max="8" width="22.85546875" style="99" customWidth="1"/>
    <col min="9" max="9" width="4.28515625" style="98" customWidth="1"/>
    <col min="10" max="10" width="2.85546875" style="99" customWidth="1"/>
    <col min="11" max="11" width="22.85546875" style="99" customWidth="1"/>
    <col min="12" max="12" width="4.28515625" style="98" customWidth="1"/>
    <col min="13" max="13" width="2.85546875" style="99" customWidth="1"/>
    <col min="14" max="14" width="22.85546875" style="99" customWidth="1"/>
    <col min="15" max="15" width="4.28515625" style="98" customWidth="1"/>
    <col min="16" max="16384" width="11.42578125" style="99"/>
  </cols>
  <sheetData>
    <row r="1" spans="2:15" x14ac:dyDescent="0.25">
      <c r="H1" s="99" t="s">
        <v>302</v>
      </c>
    </row>
    <row r="2" spans="2:15" x14ac:dyDescent="0.25">
      <c r="H2" s="99" t="s">
        <v>273</v>
      </c>
    </row>
    <row r="3" spans="2:15" ht="15.75" thickBot="1" x14ac:dyDescent="0.3">
      <c r="H3" s="99" t="s">
        <v>274</v>
      </c>
    </row>
    <row r="4" spans="2:15" x14ac:dyDescent="0.25">
      <c r="H4" s="100" t="str">
        <f ca="1">INDIRECT(ADDRESS(61,4,,,"CLASSEMENTS"))</f>
        <v>1D</v>
      </c>
      <c r="I4" s="101"/>
    </row>
    <row r="5" spans="2:15" ht="15.75" thickBot="1" x14ac:dyDescent="0.3">
      <c r="F5" s="99" t="s">
        <v>275</v>
      </c>
      <c r="H5" s="102" t="str">
        <f ca="1">INDIRECT(ADDRESS(68,4,,,"CLASSEMENTS"))</f>
        <v>8D</v>
      </c>
      <c r="I5" s="103"/>
      <c r="K5" s="99" t="s">
        <v>274</v>
      </c>
    </row>
    <row r="6" spans="2:15" x14ac:dyDescent="0.25">
      <c r="C6" s="99" t="s">
        <v>275</v>
      </c>
      <c r="E6" s="104"/>
      <c r="F6" s="105" t="str">
        <f>IF(OR(I4="",I5=""),"",IF(I4&lt;I5,H4,H5))</f>
        <v/>
      </c>
      <c r="K6" s="100" t="str">
        <f>IF(OR(I4="",I5=""),"",IF(I4&gt;I5,H4,H5))</f>
        <v/>
      </c>
      <c r="L6" s="101"/>
      <c r="N6" s="99" t="s">
        <v>274</v>
      </c>
    </row>
    <row r="7" spans="2:15" ht="15.75" thickBot="1" x14ac:dyDescent="0.3">
      <c r="C7" s="99" t="s">
        <v>276</v>
      </c>
      <c r="E7" s="106"/>
      <c r="F7" s="107" t="str">
        <f>IF(OR(I8="",I9=""),"",IF(I8&lt;I9,H8,H9))</f>
        <v/>
      </c>
      <c r="H7" s="99" t="s">
        <v>277</v>
      </c>
      <c r="K7" s="102" t="str">
        <f>IF(OR(I8="",I9=""),"",IF(I8&gt;I9,H8,H9))</f>
        <v/>
      </c>
      <c r="L7" s="103"/>
      <c r="N7" s="99" t="s">
        <v>278</v>
      </c>
    </row>
    <row r="8" spans="2:15" x14ac:dyDescent="0.25">
      <c r="B8" s="104"/>
      <c r="C8" s="105" t="str">
        <f>IF(OR(E6="",E7=""),"",IF(E6&gt;E7,F6,F7))</f>
        <v/>
      </c>
      <c r="H8" s="100" t="str">
        <f ca="1">INDIRECT(ADDRESS(62,4,,,"CLASSEMENTS"))</f>
        <v>2D</v>
      </c>
      <c r="I8" s="101"/>
      <c r="N8" s="100" t="str">
        <f>IF(OR(L6="",L7=""),"",IF(L6&gt;L7,K6,K7))</f>
        <v/>
      </c>
      <c r="O8" s="101"/>
    </row>
    <row r="9" spans="2:15" ht="15.75" thickBot="1" x14ac:dyDescent="0.3">
      <c r="B9" s="106"/>
      <c r="C9" s="107" t="str">
        <f>IF(OR(E14="",E15=""),"",IF(E14&gt;E15,F14,F15))</f>
        <v/>
      </c>
      <c r="H9" s="102" t="str">
        <f ca="1">INDIRECT(ADDRESS(67,4,,,"CLASSEMENTS"))</f>
        <v>7D</v>
      </c>
      <c r="I9" s="103"/>
      <c r="N9" s="102" t="str">
        <f>IF(OR(L14="",L15=""),"",IF(L14&gt;L15,K14,K15))</f>
        <v/>
      </c>
      <c r="O9" s="103"/>
    </row>
    <row r="10" spans="2:15" x14ac:dyDescent="0.25">
      <c r="C10" s="99" t="s">
        <v>279</v>
      </c>
      <c r="N10" s="99" t="s">
        <v>277</v>
      </c>
    </row>
    <row r="11" spans="2:15" ht="15.75" thickBot="1" x14ac:dyDescent="0.3">
      <c r="C11" s="99" t="s">
        <v>280</v>
      </c>
      <c r="H11" s="99" t="s">
        <v>275</v>
      </c>
      <c r="N11" s="99" t="s">
        <v>281</v>
      </c>
    </row>
    <row r="12" spans="2:15" x14ac:dyDescent="0.25">
      <c r="B12" s="104"/>
      <c r="C12" s="105" t="str">
        <f>IF(OR(E6="",E7=""),"",IF(E6&lt;E7,F6,F7))</f>
        <v/>
      </c>
      <c r="H12" s="100" t="str">
        <f ca="1">INDIRECT(ADDRESS(63,4,,,"CLASSEMENTS"))</f>
        <v>3D</v>
      </c>
      <c r="I12" s="101"/>
      <c r="N12" s="100" t="str">
        <f>IF(OR(L6="",L7=""),"",IF(L6&lt;L7,K6,K7))</f>
        <v/>
      </c>
      <c r="O12" s="101"/>
    </row>
    <row r="13" spans="2:15" ht="15.75" thickBot="1" x14ac:dyDescent="0.3">
      <c r="B13" s="106"/>
      <c r="C13" s="107" t="str">
        <f>IF(OR(E14="",E15=""),"",IF(E14&lt;E15,F14,F15))</f>
        <v/>
      </c>
      <c r="F13" s="99" t="s">
        <v>279</v>
      </c>
      <c r="H13" s="102" t="str">
        <f ca="1">INDIRECT(ADDRESS(66,4,,,"CLASSEMENTS"))</f>
        <v>6D</v>
      </c>
      <c r="I13" s="103"/>
      <c r="K13" s="99" t="s">
        <v>277</v>
      </c>
      <c r="N13" s="102" t="str">
        <f>IF(OR(L14="",L15=""),"",IF(L14&lt;L15,K14,K15))</f>
        <v/>
      </c>
      <c r="O13" s="103"/>
    </row>
    <row r="14" spans="2:15" x14ac:dyDescent="0.25">
      <c r="E14" s="104"/>
      <c r="F14" s="105" t="str">
        <f>IF(OR(I12="",I13=""),"",IF(I12&lt;I13,H12,H13))</f>
        <v/>
      </c>
      <c r="K14" s="100" t="str">
        <f>IF(OR(I12="",I13=""),"",IF(I12&gt;I13,H12,H13))</f>
        <v/>
      </c>
      <c r="L14" s="101"/>
    </row>
    <row r="15" spans="2:15" ht="15.75" thickBot="1" x14ac:dyDescent="0.3">
      <c r="E15" s="106"/>
      <c r="F15" s="107" t="str">
        <f>IF(OR(I16="",I17=""),"",IF(I16&lt;I17,H16,H17))</f>
        <v/>
      </c>
      <c r="H15" s="99" t="s">
        <v>279</v>
      </c>
      <c r="K15" s="102" t="str">
        <f>IF(OR(I16="",I17=""),"",IF(I16&gt;I17,H16,H17))</f>
        <v/>
      </c>
      <c r="L15" s="103"/>
    </row>
    <row r="16" spans="2:15" x14ac:dyDescent="0.25">
      <c r="H16" s="100" t="str">
        <f ca="1">INDIRECT(ADDRESS(64,4,,,"CLASSEMENTS"))</f>
        <v>4D</v>
      </c>
      <c r="I16" s="101"/>
    </row>
    <row r="17" spans="2:15" ht="15.75" thickBot="1" x14ac:dyDescent="0.3">
      <c r="H17" s="102" t="str">
        <f ca="1">INDIRECT(ADDRESS(65,4,,,"CLASSEMENTS"))</f>
        <v>5D</v>
      </c>
      <c r="I17" s="103"/>
    </row>
    <row r="19" spans="2:15" x14ac:dyDescent="0.25">
      <c r="H19" s="99" t="s">
        <v>282</v>
      </c>
    </row>
    <row r="20" spans="2:15" ht="15.75" thickBot="1" x14ac:dyDescent="0.3">
      <c r="H20" s="99" t="s">
        <v>283</v>
      </c>
    </row>
    <row r="21" spans="2:15" x14ac:dyDescent="0.25">
      <c r="H21" s="100" t="str">
        <f ca="1">INDIRECT(ADDRESS(69,4,,,"CLASSEMENTS"))</f>
        <v>9D</v>
      </c>
      <c r="I21" s="101"/>
    </row>
    <row r="22" spans="2:15" ht="15.75" thickBot="1" x14ac:dyDescent="0.3">
      <c r="F22" s="99" t="s">
        <v>286</v>
      </c>
      <c r="H22" s="102" t="str">
        <f ca="1">INDIRECT(ADDRESS(72,4,,,"CLASSEMENTS"))</f>
        <v>12D</v>
      </c>
      <c r="I22" s="103"/>
      <c r="K22" s="99" t="s">
        <v>283</v>
      </c>
    </row>
    <row r="23" spans="2:15" x14ac:dyDescent="0.25">
      <c r="C23" s="99" t="s">
        <v>286</v>
      </c>
      <c r="E23" s="104"/>
      <c r="F23" s="105" t="str">
        <f>IF(OR(I21="",I22=""),"",IF(I21&lt;I22,H21,H22))</f>
        <v/>
      </c>
      <c r="K23" s="100" t="str">
        <f>IF(OR(I21="",I22=""),"",IF(I21&gt;I22,H21,H22))</f>
        <v/>
      </c>
      <c r="L23" s="101"/>
      <c r="N23" s="99" t="s">
        <v>283</v>
      </c>
    </row>
    <row r="24" spans="2:15" ht="15.75" thickBot="1" x14ac:dyDescent="0.3">
      <c r="C24" s="99" t="s">
        <v>290</v>
      </c>
      <c r="E24" s="106"/>
      <c r="F24" s="107" t="str">
        <f>IF(OR(I25="",I26=""),"",IF(I25&lt;I26,H25,H26))</f>
        <v/>
      </c>
      <c r="H24" s="99" t="s">
        <v>286</v>
      </c>
      <c r="K24" s="102" t="str">
        <f>IF(OR(I25="",I26=""),"",IF(I25&gt;I26,H25,H26))</f>
        <v/>
      </c>
      <c r="L24" s="103"/>
      <c r="N24" s="99" t="s">
        <v>287</v>
      </c>
    </row>
    <row r="25" spans="2:15" x14ac:dyDescent="0.25">
      <c r="B25" s="104"/>
      <c r="C25" s="105" t="str">
        <f>IF(OR(E23="",E24=""),"",IF(E23&gt;E24,F23,F24))</f>
        <v/>
      </c>
      <c r="H25" s="100" t="str">
        <f ca="1">INDIRECT(ADDRESS(70,4,,,"CLASSEMENTS"))</f>
        <v>10D</v>
      </c>
      <c r="I25" s="101"/>
      <c r="N25" s="100" t="str">
        <f>IF(OR(L23="",L24=""),"",IF(L23&gt;L24,K23,K24))</f>
        <v/>
      </c>
      <c r="O25" s="101"/>
    </row>
    <row r="26" spans="2:15" ht="15.75" thickBot="1" x14ac:dyDescent="0.3">
      <c r="B26" s="106"/>
      <c r="C26" s="107" t="str">
        <f>IF(OR(E31="",E32=""),"",IF(E31&gt;E32,F31,F32))</f>
        <v/>
      </c>
      <c r="H26" s="102" t="str">
        <f ca="1">INDIRECT(ADDRESS(71,4,,,"CLASSEMENTS"))</f>
        <v>11D</v>
      </c>
      <c r="I26" s="103"/>
      <c r="N26" s="102" t="str">
        <f>IF(OR(L31="",L32=""),"",IF(L31&gt;L32,K31,K32))</f>
        <v/>
      </c>
      <c r="O26" s="103"/>
    </row>
    <row r="29" spans="2:15" x14ac:dyDescent="0.25">
      <c r="C29" s="99" t="str">
        <f>IF(OR(E23="",E24=""),"",IF(E23&lt;E24,F23,F24))</f>
        <v/>
      </c>
      <c r="N29" s="99" t="str">
        <f>IF(OR(L23="",L24=""),"",IF(L23&lt;L24,K23,K24))</f>
        <v/>
      </c>
    </row>
    <row r="30" spans="2:15" x14ac:dyDescent="0.25">
      <c r="C30" s="99" t="str">
        <f>IF(OR(E31="",E32=""),"",IF(E31&lt;E32,F31,F32))</f>
        <v/>
      </c>
      <c r="N30" s="99" t="str">
        <f>IF(OR(L31="",L32=""),"",IF(L31&lt;L32,K31,K32))</f>
        <v/>
      </c>
    </row>
    <row r="31" spans="2:15" x14ac:dyDescent="0.25">
      <c r="F31" s="99" t="str">
        <f>IF(OR(I29="",I30=""),"",IF(I29&lt;I30,H29,H30))</f>
        <v/>
      </c>
      <c r="K31" s="99" t="str">
        <f>IF(OR(I29="",I30=""),"",IF(I29&gt;I30,H29,H30))</f>
        <v/>
      </c>
    </row>
    <row r="32" spans="2:15" x14ac:dyDescent="0.25">
      <c r="F32" s="99" t="str">
        <f>IF(OR(I33="",I34=""),"",IF(I33&lt;I34,H33,H34))</f>
        <v/>
      </c>
      <c r="K32" s="99" t="str">
        <f>IF(OR(I33="",I34=""),"",IF(I33&gt;I34,H33,H34))</f>
        <v/>
      </c>
    </row>
    <row r="40" spans="3:14" x14ac:dyDescent="0.25">
      <c r="F40" s="99" t="str">
        <f>IF(OR(I38="",I39=""),"",IF(I38&lt;I39,H38,H39))</f>
        <v/>
      </c>
      <c r="K40" s="99" t="str">
        <f>IF(OR(I38="",I39=""),"",IF(I38&gt;I39,H38,H39))</f>
        <v/>
      </c>
    </row>
    <row r="41" spans="3:14" x14ac:dyDescent="0.25">
      <c r="F41" s="99" t="str">
        <f>IF(OR(I42="",I43=""),"",IF(I42&lt;I43,H42,H43))</f>
        <v/>
      </c>
      <c r="K41" s="99" t="str">
        <f>IF(OR(I42="",I43=""),"",IF(I42&gt;I43,H42,H43))</f>
        <v/>
      </c>
    </row>
    <row r="42" spans="3:14" x14ac:dyDescent="0.25">
      <c r="C42" s="99" t="str">
        <f>IF(OR(E40="",E41=""),"",IF(E40&gt;E41,F40,F41))</f>
        <v/>
      </c>
      <c r="N42" s="99" t="str">
        <f>IF(OR(L40="",L41=""),"",IF(L40&gt;L41,K40,K41))</f>
        <v/>
      </c>
    </row>
    <row r="43" spans="3:14" x14ac:dyDescent="0.25">
      <c r="C43" s="99" t="str">
        <f>IF(OR(E48="",E49=""),"",IF(E48&gt;E49,F48,F49))</f>
        <v/>
      </c>
      <c r="N43" s="99" t="str">
        <f>IF(OR(L48="",L49=""),"",IF(L48&gt;L49,K48,K49))</f>
        <v/>
      </c>
    </row>
    <row r="46" spans="3:14" x14ac:dyDescent="0.25">
      <c r="C46" s="99" t="str">
        <f>IF(OR(E40="",E41=""),"",IF(E40&lt;E41,F40,F41))</f>
        <v/>
      </c>
      <c r="N46" s="99" t="str">
        <f>IF(OR(L40="",L41=""),"",IF(L40&lt;L41,K40,K41))</f>
        <v/>
      </c>
    </row>
    <row r="47" spans="3:14" x14ac:dyDescent="0.25">
      <c r="C47" s="99" t="str">
        <f>IF(OR(E48="",E49=""),"",IF(E48&lt;E49,F48,F49))</f>
        <v/>
      </c>
      <c r="N47" s="99" t="str">
        <f>IF(OR(L48="",L49=""),"",IF(L48&lt;L49,K48,K49))</f>
        <v/>
      </c>
    </row>
    <row r="48" spans="3:14" x14ac:dyDescent="0.25">
      <c r="F48" s="99" t="str">
        <f>IF(OR(I46="",I47=""),"",IF(I46&lt;I47,H46,H47))</f>
        <v/>
      </c>
      <c r="K48" s="99" t="str">
        <f>IF(OR(I46="",I47=""),"",IF(I46&gt;I47,H46,H47))</f>
        <v/>
      </c>
    </row>
    <row r="49" spans="3:14" x14ac:dyDescent="0.25">
      <c r="F49" s="99" t="str">
        <f>IF(OR(I50="",I51=""),"",IF(I50&lt;I51,H50,H51))</f>
        <v/>
      </c>
      <c r="K49" s="99" t="str">
        <f>IF(OR(I50="",I51=""),"",IF(I50&gt;I51,H50,H51))</f>
        <v/>
      </c>
    </row>
    <row r="57" spans="3:14" x14ac:dyDescent="0.25">
      <c r="F57" s="99" t="str">
        <f>IF(OR(I55="",I56=""),"",IF(I55&lt;I56,H55,H56))</f>
        <v/>
      </c>
      <c r="K57" s="99" t="str">
        <f>IF(OR(I55="",I56=""),"",IF(I55&gt;I56,H55,H56))</f>
        <v/>
      </c>
    </row>
    <row r="58" spans="3:14" x14ac:dyDescent="0.25">
      <c r="F58" s="99" t="str">
        <f>IF(OR(I59="",I60=""),"",IF(I59&lt;I60,H59,H60))</f>
        <v/>
      </c>
      <c r="K58" s="99" t="str">
        <f>IF(OR(I59="",I60=""),"",IF(I59&gt;I60,H59,H60))</f>
        <v/>
      </c>
    </row>
    <row r="59" spans="3:14" x14ac:dyDescent="0.25">
      <c r="C59" s="99" t="str">
        <f>IF(OR(E57="",E58=""),"",IF(E57&gt;E58,F57,F58))</f>
        <v/>
      </c>
      <c r="N59" s="99" t="str">
        <f>IF(OR(L57="",L58=""),"",IF(L57&gt;L58,K57,K58))</f>
        <v/>
      </c>
    </row>
    <row r="60" spans="3:14" x14ac:dyDescent="0.25">
      <c r="C60" s="99" t="str">
        <f>IF(OR(E65="",E66=""),"",IF(E65&gt;E66,F65,F66))</f>
        <v/>
      </c>
      <c r="N60" s="99" t="str">
        <f>IF(OR(L65="",L66=""),"",IF(L65&gt;L66,K65,K66))</f>
        <v/>
      </c>
    </row>
    <row r="63" spans="3:14" x14ac:dyDescent="0.25">
      <c r="C63" s="99" t="str">
        <f>IF(OR(E57="",E58=""),"",IF(E57&lt;E58,F57,F58))</f>
        <v/>
      </c>
      <c r="N63" s="99" t="str">
        <f>IF(OR(L57="",L58=""),"",IF(L57&lt;L58,K57,K58))</f>
        <v/>
      </c>
    </row>
    <row r="64" spans="3:14" x14ac:dyDescent="0.25">
      <c r="C64" s="99" t="str">
        <f>IF(OR(E65="",E66=""),"",IF(E65&lt;E66,F65,F66))</f>
        <v/>
      </c>
      <c r="N64" s="99" t="str">
        <f>IF(OR(L65="",L66=""),"",IF(L65&lt;L66,K65,K66))</f>
        <v/>
      </c>
    </row>
    <row r="65" spans="3:14" x14ac:dyDescent="0.25">
      <c r="F65" s="99" t="str">
        <f>IF(OR(I63="",I64=""),"",IF(I63&lt;I64,H63,H64))</f>
        <v/>
      </c>
      <c r="K65" s="99" t="str">
        <f>IF(OR(I63="",I64=""),"",IF(I63&gt;I64,H63,H64))</f>
        <v/>
      </c>
    </row>
    <row r="66" spans="3:14" x14ac:dyDescent="0.25">
      <c r="F66" s="99" t="str">
        <f>IF(OR(I67="",I68=""),"",IF(I67&lt;I68,H67,H68))</f>
        <v/>
      </c>
      <c r="K66" s="99" t="str">
        <f>IF(OR(I67="",I68=""),"",IF(I67&gt;I68,H67,H68))</f>
        <v/>
      </c>
    </row>
    <row r="74" spans="3:14" x14ac:dyDescent="0.25">
      <c r="F74" s="99" t="str">
        <f>IF(OR(I72="",I73=""),"",IF(I72&lt;I73,H72,H73))</f>
        <v/>
      </c>
      <c r="K74" s="99" t="str">
        <f>IF(OR(I72="",I73=""),"",IF(I72&gt;I73,H72,H73))</f>
        <v/>
      </c>
    </row>
    <row r="75" spans="3:14" x14ac:dyDescent="0.25">
      <c r="F75" s="99" t="str">
        <f>IF(OR(I76="",I77=""),"",IF(I76&lt;I77,H76,H77))</f>
        <v/>
      </c>
      <c r="K75" s="99" t="str">
        <f>IF(OR(I76="",I77=""),"",IF(I76&gt;I77,H76,H77))</f>
        <v/>
      </c>
    </row>
    <row r="76" spans="3:14" x14ac:dyDescent="0.25">
      <c r="C76" s="99" t="str">
        <f>IF(OR(E74="",E75=""),"",IF(E74&gt;E75,F74,F75))</f>
        <v/>
      </c>
      <c r="N76" s="99" t="str">
        <f>IF(OR(L74="",L75=""),"",IF(L74&gt;L75,K74,K75))</f>
        <v/>
      </c>
    </row>
    <row r="77" spans="3:14" x14ac:dyDescent="0.25">
      <c r="C77" s="99" t="str">
        <f>IF(OR(E82="",E83=""),"",IF(E82&gt;E83,F82,F83))</f>
        <v/>
      </c>
      <c r="N77" s="99" t="str">
        <f>IF(OR(L82="",L83=""),"",IF(L82&gt;L83,K82,K83))</f>
        <v/>
      </c>
    </row>
    <row r="80" spans="3:14" x14ac:dyDescent="0.25">
      <c r="C80" s="99" t="str">
        <f>IF(OR(E74="",E75=""),"",IF(E74&lt;E75,F74,F75))</f>
        <v/>
      </c>
      <c r="N80" s="99" t="str">
        <f>IF(OR(L74="",L75=""),"",IF(L74&lt;L75,K74,K75))</f>
        <v/>
      </c>
    </row>
    <row r="81" spans="3:14" x14ac:dyDescent="0.25">
      <c r="C81" s="99" t="str">
        <f>IF(OR(E82="",E83=""),"",IF(E82&lt;E83,F82,F83))</f>
        <v/>
      </c>
      <c r="N81" s="99" t="str">
        <f>IF(OR(L82="",L83=""),"",IF(L82&lt;L83,K82,K83))</f>
        <v/>
      </c>
    </row>
    <row r="82" spans="3:14" x14ac:dyDescent="0.25">
      <c r="F82" s="99" t="str">
        <f>IF(OR(I80="",I81=""),"",IF(I80&lt;I81,H80,H81))</f>
        <v/>
      </c>
      <c r="K82" s="99" t="str">
        <f>IF(OR(I80="",I81=""),"",IF(I80&gt;I81,H80,H81))</f>
        <v/>
      </c>
    </row>
    <row r="83" spans="3:14" x14ac:dyDescent="0.25">
      <c r="F83" s="99" t="str">
        <f>IF(OR(I84="",I85=""),"",IF(I84&lt;I85,H84,H85))</f>
        <v/>
      </c>
      <c r="K83" s="99" t="str">
        <f>IF(OR(I84="",I85=""),"",IF(I84&gt;I85,H84,H85))</f>
        <v/>
      </c>
    </row>
    <row r="91" spans="3:14" x14ac:dyDescent="0.25">
      <c r="F91" s="99" t="str">
        <f>IF(OR(I89="",I90=""),"",IF(I89&lt;I90,H89,H90))</f>
        <v/>
      </c>
      <c r="K91" s="99" t="str">
        <f>IF(OR(I89="",I90=""),"",IF(I89&gt;I90,H89,H90))</f>
        <v/>
      </c>
    </row>
    <row r="92" spans="3:14" x14ac:dyDescent="0.25">
      <c r="F92" s="99" t="str">
        <f>IF(OR(I93="",I94=""),"",IF(I93&lt;I94,H93,H94))</f>
        <v/>
      </c>
      <c r="K92" s="99" t="str">
        <f>IF(OR(I93="",I94=""),"",IF(I93&gt;I94,H93,H94))</f>
        <v/>
      </c>
    </row>
    <row r="93" spans="3:14" x14ac:dyDescent="0.25">
      <c r="C93" s="99" t="str">
        <f>IF(OR(E91="",E92=""),"",IF(E91&gt;E92,F91,F92))</f>
        <v/>
      </c>
      <c r="N93" s="99" t="str">
        <f>IF(OR(L91="",L92=""),"",IF(L91&gt;L92,K91,K92))</f>
        <v/>
      </c>
    </row>
    <row r="94" spans="3:14" x14ac:dyDescent="0.25">
      <c r="C94" s="99" t="str">
        <f>IF(OR(E99="",E100=""),"",IF(E99&gt;E100,F99,F100))</f>
        <v/>
      </c>
      <c r="N94" s="99" t="str">
        <f>IF(OR(L99="",L100=""),"",IF(L99&gt;L100,K99,K100))</f>
        <v/>
      </c>
    </row>
    <row r="97" spans="3:14" x14ac:dyDescent="0.25">
      <c r="C97" s="99" t="str">
        <f>IF(OR(E91="",E92=""),"",IF(E91&lt;E92,F91,F92))</f>
        <v/>
      </c>
      <c r="N97" s="99" t="str">
        <f>IF(OR(L91="",L92=""),"",IF(L91&lt;L92,K91,K92))</f>
        <v/>
      </c>
    </row>
    <row r="98" spans="3:14" x14ac:dyDescent="0.25">
      <c r="C98" s="99" t="str">
        <f>IF(OR(E99="",E100=""),"",IF(E99&lt;E100,F99,F100))</f>
        <v/>
      </c>
      <c r="N98" s="99" t="str">
        <f>IF(OR(L99="",L100=""),"",IF(L99&lt;L100,K99,K100))</f>
        <v/>
      </c>
    </row>
    <row r="99" spans="3:14" x14ac:dyDescent="0.25">
      <c r="F99" s="99" t="str">
        <f>IF(OR(I97="",I98=""),"",IF(I97&lt;I98,H97,H98))</f>
        <v/>
      </c>
      <c r="K99" s="99" t="str">
        <f>IF(OR(I97="",I98=""),"",IF(I97&gt;I98,H97,H98))</f>
        <v/>
      </c>
    </row>
    <row r="100" spans="3:14" x14ac:dyDescent="0.25">
      <c r="F100" s="99" t="str">
        <f>IF(OR(I101="",I102=""),"",IF(I101&lt;I102,H101,H102))</f>
        <v/>
      </c>
      <c r="K100" s="99" t="str">
        <f>IF(OR(I101="",I102=""),"",IF(I101&gt;I102,H101,H102))</f>
        <v/>
      </c>
    </row>
    <row r="108" spans="3:14" x14ac:dyDescent="0.25">
      <c r="F108" s="99" t="str">
        <f>IF(OR(I106="",I107=""),"",IF(I106&lt;I107,H106,H107))</f>
        <v/>
      </c>
      <c r="K108" s="99" t="str">
        <f>IF(OR(I106="",I107=""),"",IF(I106&gt;I107,H106,H107))</f>
        <v/>
      </c>
    </row>
    <row r="109" spans="3:14" x14ac:dyDescent="0.25">
      <c r="F109" s="99" t="str">
        <f>IF(OR(I110="",I111=""),"",IF(I110&lt;I111,H110,H111))</f>
        <v/>
      </c>
      <c r="K109" s="99" t="str">
        <f>IF(OR(I110="",I111=""),"",IF(I110&gt;I111,H110,H111))</f>
        <v/>
      </c>
    </row>
    <row r="110" spans="3:14" x14ac:dyDescent="0.25">
      <c r="C110" s="99" t="str">
        <f>IF(OR(E108="",E109=""),"",IF(E108&gt;E109,F108,F109))</f>
        <v/>
      </c>
      <c r="N110" s="99" t="str">
        <f>IF(OR(L108="",L109=""),"",IF(L108&gt;L109,K108,K109))</f>
        <v/>
      </c>
    </row>
    <row r="111" spans="3:14" x14ac:dyDescent="0.25">
      <c r="C111" s="99" t="str">
        <f>IF(OR(E116="",E117=""),"",IF(E116&gt;E117,F116,F117))</f>
        <v/>
      </c>
      <c r="N111" s="99" t="str">
        <f>IF(OR(L116="",L117=""),"",IF(L116&gt;L117,K116,K117))</f>
        <v/>
      </c>
    </row>
    <row r="114" spans="3:14" x14ac:dyDescent="0.25">
      <c r="C114" s="99" t="str">
        <f>IF(OR(E108="",E109=""),"",IF(E108&lt;E109,F108,F109))</f>
        <v/>
      </c>
      <c r="N114" s="99" t="str">
        <f>IF(OR(L108="",L109=""),"",IF(L108&lt;L109,K108,K109))</f>
        <v/>
      </c>
    </row>
    <row r="115" spans="3:14" x14ac:dyDescent="0.25">
      <c r="C115" s="99" t="str">
        <f>IF(OR(E116="",E117=""),"",IF(E116&lt;E117,F116,F117))</f>
        <v/>
      </c>
      <c r="N115" s="99" t="str">
        <f>IF(OR(L116="",L117=""),"",IF(L116&lt;L117,K116,K117))</f>
        <v/>
      </c>
    </row>
    <row r="116" spans="3:14" x14ac:dyDescent="0.25">
      <c r="F116" s="99" t="str">
        <f>IF(OR(I114="",I115=""),"",IF(I114&lt;I115,H114,H115))</f>
        <v/>
      </c>
      <c r="K116" s="99" t="str">
        <f>IF(OR(I114="",I115=""),"",IF(I114&gt;I115,H114,H115))</f>
        <v/>
      </c>
    </row>
    <row r="117" spans="3:14" x14ac:dyDescent="0.25">
      <c r="F117" s="99" t="str">
        <f>IF(OR(I118="",I119=""),"",IF(I118&lt;I119,H118,H119))</f>
        <v/>
      </c>
      <c r="K117" s="99" t="str">
        <f>IF(OR(I118="",I119=""),"",IF(I118&gt;I119,H118,H119))</f>
        <v/>
      </c>
    </row>
    <row r="125" spans="3:14" x14ac:dyDescent="0.25">
      <c r="F125" s="99" t="str">
        <f>IF(OR(I123="",I124=""),"",IF(I123&lt;I124,H123,H124))</f>
        <v/>
      </c>
      <c r="K125" s="99" t="str">
        <f>IF(OR(I123="",I124=""),"",IF(I123&gt;I124,H123,H124))</f>
        <v/>
      </c>
    </row>
    <row r="126" spans="3:14" x14ac:dyDescent="0.25">
      <c r="F126" s="99" t="str">
        <f>IF(OR(I127="",I128=""),"",IF(I127&lt;I128,H127,H128))</f>
        <v/>
      </c>
      <c r="K126" s="99" t="str">
        <f>IF(OR(I127="",I128=""),"",IF(I127&gt;I128,H127,H128))</f>
        <v/>
      </c>
    </row>
    <row r="127" spans="3:14" x14ac:dyDescent="0.25">
      <c r="C127" s="99" t="str">
        <f>IF(OR(E125="",E126=""),"",IF(E125&gt;E126,F125,F126))</f>
        <v/>
      </c>
      <c r="N127" s="99" t="str">
        <f>IF(OR(L125="",L126=""),"",IF(L125&gt;L126,K125,K126))</f>
        <v/>
      </c>
    </row>
    <row r="128" spans="3:14" x14ac:dyDescent="0.25">
      <c r="C128" s="99" t="str">
        <f>IF(OR(E125="",E126=""),"",IF(E125&lt;E126,F125,F126))</f>
        <v/>
      </c>
      <c r="N128" s="99" t="str">
        <f>IF(OR(L125="",L126=""),"",IF(L125&lt;L126,K125,K126))</f>
        <v/>
      </c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3FEE18DD-0994-43D5-8DF8-DFD01ED4050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4PPph14">
              <controlPr defaultSize="0" print="0" autoFill="0" autoPict="0" macro="[0]!'copyimage &quot;B2:O34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3320-9C9A-4D85-B33C-BB23B21C2C2C}">
  <sheetPr codeName="Feuil9"/>
  <dimension ref="A1:R231"/>
  <sheetViews>
    <sheetView topLeftCell="B37" workbookViewId="0">
      <selection activeCell="F65" sqref="F65"/>
    </sheetView>
  </sheetViews>
  <sheetFormatPr baseColWidth="10" defaultRowHeight="15" x14ac:dyDescent="0.25"/>
  <cols>
    <col min="1" max="1" width="0" style="47" hidden="1" customWidth="1"/>
    <col min="2" max="2" width="43.5703125" style="47" customWidth="1"/>
    <col min="3" max="3" width="6" style="69" customWidth="1"/>
    <col min="4" max="4" width="22.85546875" style="47" customWidth="1"/>
    <col min="5" max="5" width="6" style="69" customWidth="1"/>
    <col min="6" max="6" width="43.5703125" style="47" customWidth="1"/>
    <col min="7" max="7" width="6" style="47" hidden="1" customWidth="1"/>
    <col min="8" max="12" width="11.42578125" style="47"/>
    <col min="13" max="13" width="20.140625" style="117" customWidth="1"/>
    <col min="14" max="18" width="11.42578125" style="117"/>
    <col min="19" max="16384" width="11.42578125" style="47"/>
  </cols>
  <sheetData>
    <row r="1" spans="1:18" x14ac:dyDescent="0.25">
      <c r="A1" s="78"/>
      <c r="B1" s="78"/>
      <c r="C1" s="67"/>
      <c r="D1" s="72">
        <v>0.58333333333333337</v>
      </c>
      <c r="E1" s="67"/>
      <c r="F1" s="78"/>
      <c r="G1" s="78"/>
      <c r="M1" s="118"/>
      <c r="N1" s="118"/>
      <c r="O1" s="118" t="s">
        <v>154</v>
      </c>
      <c r="P1" s="118"/>
      <c r="Q1" s="118" t="s">
        <v>98</v>
      </c>
      <c r="R1" s="118"/>
    </row>
    <row r="2" spans="1:18" x14ac:dyDescent="0.25">
      <c r="A2" s="79"/>
      <c r="B2" s="79" t="str">
        <f ca="1">PHASE_FINAL_H_CONFIRME!H4</f>
        <v>1A</v>
      </c>
      <c r="C2" s="71" t="str">
        <f>IF(PHASE_FINAL_H_CONFIRME!I4&lt;&gt;"",PHASE_FINAL_H_CONFIRME!I4,"")</f>
        <v/>
      </c>
      <c r="D2" s="66" t="s">
        <v>186</v>
      </c>
      <c r="E2" s="71" t="str">
        <f>IF(PHASE_FINAL_H_CONFIRME!I5&lt;&gt;"",PHASE_FINAL_H_CONFIRME!I5,"")</f>
        <v/>
      </c>
      <c r="F2" s="79" t="str">
        <f ca="1">PHASE_FINAL_H_CONFIRME!H5</f>
        <v>8A</v>
      </c>
      <c r="G2" s="79"/>
      <c r="M2" s="118" t="str">
        <f>N2&amp;" " &amp;O2 &amp; " " &amp; N2</f>
        <v>1 F_CONF_ET_INTER 1</v>
      </c>
      <c r="N2" s="118">
        <v>1</v>
      </c>
      <c r="O2" s="118" t="s">
        <v>154</v>
      </c>
      <c r="P2" s="118"/>
      <c r="Q2" s="118" t="s">
        <v>135</v>
      </c>
      <c r="R2" s="118"/>
    </row>
    <row r="3" spans="1:18" x14ac:dyDescent="0.25">
      <c r="A3" s="79"/>
      <c r="B3" s="79" t="str">
        <f ca="1">PHASE_FINAL_H_CONFIRME!H8</f>
        <v>2A</v>
      </c>
      <c r="C3" s="71" t="str">
        <f>IF(PHASE_FINAL_H_CONFIRME!I8&lt;&gt;"",PHASE_FINAL_H_CONFIRME!I8,"")</f>
        <v/>
      </c>
      <c r="D3" s="66" t="s">
        <v>187</v>
      </c>
      <c r="E3" s="71" t="str">
        <f>IF(PHASE_FINAL_H_CONFIRME!I9&lt;&gt;"",PHASE_FINAL_H_CONFIRME!I9,"")</f>
        <v/>
      </c>
      <c r="F3" s="79" t="str">
        <f ca="1">PHASE_FINAL_H_CONFIRME!H9</f>
        <v>7A</v>
      </c>
      <c r="G3" s="79"/>
      <c r="M3" s="118" t="str">
        <f t="shared" ref="M3:M10" si="0">N3&amp;" " &amp;O3 &amp; " " &amp; N3</f>
        <v>2 F_CONF_ET_INTER 2</v>
      </c>
      <c r="N3" s="118">
        <v>2</v>
      </c>
      <c r="O3" s="118" t="s">
        <v>154</v>
      </c>
      <c r="P3" s="118"/>
      <c r="Q3" s="118"/>
      <c r="R3" s="118"/>
    </row>
    <row r="4" spans="1:18" x14ac:dyDescent="0.25">
      <c r="A4" s="79"/>
      <c r="B4" s="79" t="str">
        <f ca="1">PHASE_FINAL_H_CONFIRME!H12</f>
        <v>3A</v>
      </c>
      <c r="C4" s="71" t="str">
        <f>IF(PHASE_FINAL_H_CONFIRME!I12&lt;&gt;"",PHASE_FINAL_H_CONFIRME!I12,"")</f>
        <v/>
      </c>
      <c r="D4" s="66" t="s">
        <v>188</v>
      </c>
      <c r="E4" s="71" t="str">
        <f>IF(PHASE_FINAL_H_CONFIRME!I13&lt;&gt;"",PHASE_FINAL_H_CONFIRME!I13,"")</f>
        <v/>
      </c>
      <c r="F4" s="79" t="str">
        <f ca="1">PHASE_FINAL_H_CONFIRME!H13</f>
        <v>6A</v>
      </c>
      <c r="G4" s="79"/>
      <c r="M4" s="118" t="str">
        <f t="shared" si="0"/>
        <v>3 F_CONF_ET_INTER 3</v>
      </c>
      <c r="N4" s="118">
        <v>3</v>
      </c>
      <c r="O4" s="118" t="s">
        <v>154</v>
      </c>
      <c r="P4" s="118"/>
      <c r="Q4" s="118"/>
      <c r="R4" s="118"/>
    </row>
    <row r="5" spans="1:18" x14ac:dyDescent="0.25">
      <c r="A5" s="79"/>
      <c r="B5" s="79" t="str">
        <f ca="1">PHASE_FINAL_H_CONFIRME!H16</f>
        <v>4A</v>
      </c>
      <c r="C5" s="71" t="str">
        <f>IF(PHASE_FINAL_H_CONFIRME!I16&lt;&gt;"",PHASE_FINAL_H_CONFIRME!I16,"")</f>
        <v/>
      </c>
      <c r="D5" s="66" t="s">
        <v>189</v>
      </c>
      <c r="E5" s="71" t="str">
        <f>IF(PHASE_FINAL_H_CONFIRME!I17&lt;&gt;"",PHASE_FINAL_H_CONFIRME!I17,"")</f>
        <v/>
      </c>
      <c r="F5" s="79" t="str">
        <f ca="1">PHASE_FINAL_H_CONFIRME!H17</f>
        <v>5A</v>
      </c>
      <c r="G5" s="79"/>
      <c r="M5" s="118" t="str">
        <f t="shared" si="0"/>
        <v>4 F_CONF_ET_INTER 4</v>
      </c>
      <c r="N5" s="118">
        <v>4</v>
      </c>
      <c r="O5" s="118" t="s">
        <v>154</v>
      </c>
      <c r="P5" s="118"/>
      <c r="Q5" s="118"/>
      <c r="R5" s="118"/>
    </row>
    <row r="6" spans="1:18" x14ac:dyDescent="0.25">
      <c r="A6" s="79"/>
      <c r="B6" s="79" t="str">
        <f ca="1">PHASE_FINAL_H_CONFIRME!H21</f>
        <v>9A</v>
      </c>
      <c r="C6" s="71" t="str">
        <f>IF(PHASE_FINAL_H_CONFIRME!I21&lt;&gt;"",PHASE_FINAL_H_CONFIRME!I21,"")</f>
        <v/>
      </c>
      <c r="D6" s="66" t="s">
        <v>190</v>
      </c>
      <c r="E6" s="71" t="str">
        <f>IF(PHASE_FINAL_H_CONFIRME!I22&lt;&gt;"",PHASE_FINAL_H_CONFIRME!I22,"")</f>
        <v/>
      </c>
      <c r="F6" s="79" t="str">
        <f ca="1">PHASE_FINAL_H_CONFIRME!H22</f>
        <v>16A</v>
      </c>
      <c r="G6" s="79"/>
      <c r="M6" s="118" t="str">
        <f t="shared" si="0"/>
        <v>5 F_CONF_ET_INTER 5</v>
      </c>
      <c r="N6" s="118">
        <v>5</v>
      </c>
      <c r="O6" s="118" t="s">
        <v>154</v>
      </c>
      <c r="P6" s="118"/>
      <c r="Q6" s="118"/>
      <c r="R6" s="118"/>
    </row>
    <row r="7" spans="1:18" x14ac:dyDescent="0.25">
      <c r="A7" s="79"/>
      <c r="B7" s="79" t="str">
        <f ca="1">PHASE_FINAL_H_CONFIRME!H25</f>
        <v>10A</v>
      </c>
      <c r="C7" s="71" t="str">
        <f>IF(PHASE_FINAL_H_CONFIRME!I25&lt;&gt;"",PHASE_FINAL_H_CONFIRME!I25,"")</f>
        <v/>
      </c>
      <c r="D7" s="66" t="s">
        <v>191</v>
      </c>
      <c r="E7" s="71" t="str">
        <f>IF(PHASE_FINAL_H_CONFIRME!I26&lt;&gt;"",PHASE_FINAL_H_CONFIRME!I26,"")</f>
        <v/>
      </c>
      <c r="F7" s="79" t="str">
        <f ca="1">PHASE_FINAL_H_CONFIRME!H26</f>
        <v>15A</v>
      </c>
      <c r="G7" s="79"/>
      <c r="M7" s="118" t="str">
        <f t="shared" si="0"/>
        <v>6 F_CONF_ET_INTER 6</v>
      </c>
      <c r="N7" s="118">
        <v>6</v>
      </c>
      <c r="O7" s="118" t="s">
        <v>154</v>
      </c>
      <c r="P7" s="118"/>
      <c r="Q7" s="118"/>
      <c r="R7" s="118"/>
    </row>
    <row r="8" spans="1:18" x14ac:dyDescent="0.25">
      <c r="A8" s="79"/>
      <c r="B8" s="79" t="str">
        <f ca="1">PHASE_FINAL_H_CONFIRME!H29</f>
        <v>11A</v>
      </c>
      <c r="C8" s="71" t="str">
        <f>IF(PHASE_FINAL_H_CONFIRME!I29&lt;&gt;"",PHASE_FINAL_H_CONFIRME!I29,"")</f>
        <v/>
      </c>
      <c r="D8" s="66" t="s">
        <v>192</v>
      </c>
      <c r="E8" s="71" t="str">
        <f>IF(PHASE_FINAL_H_CONFIRME!I30&lt;&gt;"",PHASE_FINAL_H_CONFIRME!I30,"")</f>
        <v/>
      </c>
      <c r="F8" s="79" t="str">
        <f ca="1">PHASE_FINAL_H_CONFIRME!H30</f>
        <v>14A</v>
      </c>
      <c r="G8" s="79"/>
      <c r="M8" s="118" t="str">
        <f t="shared" si="0"/>
        <v>7 F_CONF_ET_INTER 7</v>
      </c>
      <c r="N8" s="118">
        <v>7</v>
      </c>
      <c r="O8" s="118" t="s">
        <v>154</v>
      </c>
      <c r="P8" s="118"/>
      <c r="Q8" s="118"/>
      <c r="R8" s="118"/>
    </row>
    <row r="9" spans="1:18" x14ac:dyDescent="0.25">
      <c r="A9" s="79"/>
      <c r="B9" s="79" t="str">
        <f ca="1">PHASE_FINAL_H_CONFIRME!H33</f>
        <v>12A</v>
      </c>
      <c r="C9" s="71" t="str">
        <f>IF(PHASE_FINAL_H_CONFIRME!I33&lt;&gt;"",PHASE_FINAL_H_CONFIRME!I33,"")</f>
        <v/>
      </c>
      <c r="D9" s="66" t="s">
        <v>193</v>
      </c>
      <c r="E9" s="71" t="str">
        <f>IF(PHASE_FINAL_H_CONFIRME!I34&lt;&gt;"",PHASE_FINAL_H_CONFIRME!I34,"")</f>
        <v/>
      </c>
      <c r="F9" s="79" t="str">
        <f ca="1">PHASE_FINAL_H_CONFIRME!H34</f>
        <v>13A</v>
      </c>
      <c r="G9" s="79"/>
      <c r="M9" s="118" t="str">
        <f t="shared" si="0"/>
        <v>8 F_CONF_ET_INTER 8</v>
      </c>
      <c r="N9" s="118">
        <v>8</v>
      </c>
      <c r="O9" s="118" t="s">
        <v>154</v>
      </c>
      <c r="P9" s="118"/>
      <c r="Q9" s="118"/>
      <c r="R9" s="118"/>
    </row>
    <row r="10" spans="1:18" x14ac:dyDescent="0.25">
      <c r="A10" s="108"/>
      <c r="B10" s="108" t="s">
        <v>94</v>
      </c>
      <c r="C10" s="109"/>
      <c r="D10" s="78" t="s">
        <v>309</v>
      </c>
      <c r="E10" s="109"/>
      <c r="F10" s="108" t="s">
        <v>94</v>
      </c>
      <c r="G10" s="108"/>
      <c r="M10" s="118" t="str">
        <f t="shared" si="0"/>
        <v>9 F_CONF_ET_INTER 9</v>
      </c>
      <c r="N10" s="118">
        <v>9</v>
      </c>
      <c r="O10" s="118" t="s">
        <v>154</v>
      </c>
      <c r="P10" s="118"/>
      <c r="Q10" s="118"/>
      <c r="R10" s="118"/>
    </row>
    <row r="11" spans="1:18" x14ac:dyDescent="0.25">
      <c r="A11" s="78"/>
      <c r="B11" s="78"/>
      <c r="C11" s="67"/>
      <c r="D11" s="72">
        <f>0.583333333333333 + "00:12:00"</f>
        <v>0.59166666666666634</v>
      </c>
      <c r="E11" s="67"/>
      <c r="F11" s="78"/>
      <c r="G11" s="78"/>
      <c r="M11" s="118"/>
      <c r="N11" s="118"/>
      <c r="O11" s="118"/>
      <c r="P11" s="118"/>
      <c r="Q11" s="118"/>
      <c r="R11" s="118"/>
    </row>
    <row r="12" spans="1:18" x14ac:dyDescent="0.25">
      <c r="A12" s="79"/>
      <c r="B12" s="79" t="str">
        <f ca="1">PHASE_FINAL_H_CONFIRME!H38</f>
        <v>1B</v>
      </c>
      <c r="C12" s="71" t="str">
        <f>IF(PHASE_FINAL_H_CONFIRME!I38&lt;&gt;"",PHASE_FINAL_H_CONFIRME!I38,"")</f>
        <v/>
      </c>
      <c r="D12" s="66" t="s">
        <v>186</v>
      </c>
      <c r="E12" s="71" t="str">
        <f>IF(PHASE_FINAL_H_CONFIRME!I39&lt;&gt;"",PHASE_FINAL_H_CONFIRME!I39,"")</f>
        <v/>
      </c>
      <c r="F12" s="79" t="str">
        <f ca="1">PHASE_FINAL_H_CONFIRME!H39</f>
        <v>8B</v>
      </c>
      <c r="G12" s="79"/>
    </row>
    <row r="13" spans="1:18" x14ac:dyDescent="0.25">
      <c r="A13" s="79"/>
      <c r="B13" s="79" t="str">
        <f ca="1">PHASE_FINAL_H_CONFIRME!H42</f>
        <v>2B</v>
      </c>
      <c r="C13" s="71" t="str">
        <f>IF(PHASE_FINAL_H_CONFIRME!I42&lt;&gt;"",PHASE_FINAL_H_CONFIRME!I42,"")</f>
        <v/>
      </c>
      <c r="D13" s="66" t="s">
        <v>187</v>
      </c>
      <c r="E13" s="71" t="str">
        <f>IF(PHASE_FINAL_H_CONFIRME!I43&lt;&gt;"",PHASE_FINAL_H_CONFIRME!I43,"")</f>
        <v/>
      </c>
      <c r="F13" s="79" t="str">
        <f ca="1">PHASE_FINAL_H_CONFIRME!H43</f>
        <v>7B</v>
      </c>
      <c r="G13" s="79"/>
    </row>
    <row r="14" spans="1:18" x14ac:dyDescent="0.25">
      <c r="A14" s="79"/>
      <c r="B14" s="79" t="str">
        <f ca="1">PHASE_FINAL_H_CONFIRME!H46</f>
        <v>3B</v>
      </c>
      <c r="C14" s="71" t="str">
        <f>IF(PHASE_FINAL_H_CONFIRME!I46&lt;&gt;"",PHASE_FINAL_H_CONFIRME!I46,"")</f>
        <v/>
      </c>
      <c r="D14" s="66" t="s">
        <v>188</v>
      </c>
      <c r="E14" s="71" t="str">
        <f>IF(PHASE_FINAL_H_CONFIRME!I47&lt;&gt;"",PHASE_FINAL_H_CONFIRME!I47,"")</f>
        <v/>
      </c>
      <c r="F14" s="79" t="str">
        <f ca="1">PHASE_FINAL_H_CONFIRME!H47</f>
        <v>6B</v>
      </c>
      <c r="G14" s="79"/>
    </row>
    <row r="15" spans="1:18" x14ac:dyDescent="0.25">
      <c r="A15" s="79"/>
      <c r="B15" s="79" t="str">
        <f ca="1">PHASE_FINAL_H_CONFIRME!H50</f>
        <v>4B</v>
      </c>
      <c r="C15" s="71" t="str">
        <f>IF(PHASE_FINAL_H_CONFIRME!I50&lt;&gt;"",PHASE_FINAL_H_CONFIRME!I50,"")</f>
        <v/>
      </c>
      <c r="D15" s="66" t="s">
        <v>189</v>
      </c>
      <c r="E15" s="71" t="str">
        <f>IF(PHASE_FINAL_H_CONFIRME!I51&lt;&gt;"",PHASE_FINAL_H_CONFIRME!I51,"")</f>
        <v/>
      </c>
      <c r="F15" s="79" t="str">
        <f ca="1">PHASE_FINAL_H_CONFIRME!H51</f>
        <v>5B</v>
      </c>
      <c r="G15" s="79"/>
    </row>
    <row r="16" spans="1:18" x14ac:dyDescent="0.25">
      <c r="A16" s="79"/>
      <c r="B16" s="79" t="str">
        <f ca="1">PHASE_FINAL_H_CONFIRME!H55</f>
        <v>9B</v>
      </c>
      <c r="C16" s="71" t="str">
        <f>IF(PHASE_FINAL_H_CONFIRME!I55&lt;&gt;"",PHASE_FINAL_H_CONFIRME!I55,"")</f>
        <v/>
      </c>
      <c r="D16" s="66" t="s">
        <v>190</v>
      </c>
      <c r="E16" s="71" t="str">
        <f>IF(PHASE_FINAL_H_CONFIRME!I56&lt;&gt;"",PHASE_FINAL_H_CONFIRME!I56,"")</f>
        <v/>
      </c>
      <c r="F16" s="79" t="str">
        <f ca="1">PHASE_FINAL_H_CONFIRME!H56</f>
        <v>16B</v>
      </c>
      <c r="G16" s="79"/>
    </row>
    <row r="17" spans="1:7" x14ac:dyDescent="0.25">
      <c r="A17" s="79"/>
      <c r="B17" s="79" t="str">
        <f ca="1">PHASE_FINAL_H_CONFIRME!H59</f>
        <v>10B</v>
      </c>
      <c r="C17" s="71" t="str">
        <f>IF(PHASE_FINAL_H_CONFIRME!I59&lt;&gt;"",PHASE_FINAL_H_CONFIRME!I59,"")</f>
        <v/>
      </c>
      <c r="D17" s="66" t="s">
        <v>191</v>
      </c>
      <c r="E17" s="71" t="str">
        <f>IF(PHASE_FINAL_H_CONFIRME!I60&lt;&gt;"",PHASE_FINAL_H_CONFIRME!I60,"")</f>
        <v/>
      </c>
      <c r="F17" s="79" t="str">
        <f ca="1">PHASE_FINAL_H_CONFIRME!H60</f>
        <v>15B</v>
      </c>
      <c r="G17" s="79"/>
    </row>
    <row r="18" spans="1:7" x14ac:dyDescent="0.25">
      <c r="A18" s="79"/>
      <c r="B18" s="79" t="str">
        <f ca="1">PHASE_FINAL_H_CONFIRME!H63</f>
        <v>11B</v>
      </c>
      <c r="C18" s="71" t="str">
        <f>IF(PHASE_FINAL_H_CONFIRME!I63&lt;&gt;"",PHASE_FINAL_H_CONFIRME!I63,"")</f>
        <v/>
      </c>
      <c r="D18" s="66" t="s">
        <v>192</v>
      </c>
      <c r="E18" s="71" t="str">
        <f>IF(PHASE_FINAL_H_CONFIRME!I64&lt;&gt;"",PHASE_FINAL_H_CONFIRME!I64,"")</f>
        <v/>
      </c>
      <c r="F18" s="79" t="str">
        <f ca="1">PHASE_FINAL_H_CONFIRME!H64</f>
        <v>14B</v>
      </c>
      <c r="G18" s="79"/>
    </row>
    <row r="19" spans="1:7" x14ac:dyDescent="0.25">
      <c r="A19" s="79"/>
      <c r="B19" s="79" t="str">
        <f ca="1">PHASE_FINAL_H_CONFIRME!H67</f>
        <v>12B</v>
      </c>
      <c r="C19" s="71" t="str">
        <f>IF(PHASE_FINAL_H_CONFIRME!I67&lt;&gt;"",PHASE_FINAL_H_CONFIRME!I67,"")</f>
        <v/>
      </c>
      <c r="D19" s="66" t="s">
        <v>193</v>
      </c>
      <c r="E19" s="71" t="str">
        <f>IF(PHASE_FINAL_H_CONFIRME!I68&lt;&gt;"",PHASE_FINAL_H_CONFIRME!I68,"")</f>
        <v/>
      </c>
      <c r="F19" s="79" t="str">
        <f ca="1">PHASE_FINAL_H_CONFIRME!H68</f>
        <v>13B</v>
      </c>
      <c r="G19" s="79"/>
    </row>
    <row r="20" spans="1:7" x14ac:dyDescent="0.25">
      <c r="A20" s="108"/>
      <c r="B20" s="108" t="s">
        <v>94</v>
      </c>
      <c r="C20" s="109"/>
      <c r="D20" s="78" t="s">
        <v>309</v>
      </c>
      <c r="E20" s="109"/>
      <c r="F20" s="108" t="s">
        <v>94</v>
      </c>
      <c r="G20" s="108"/>
    </row>
    <row r="21" spans="1:7" x14ac:dyDescent="0.25">
      <c r="A21" s="78"/>
      <c r="B21" s="78"/>
      <c r="C21" s="67"/>
      <c r="D21" s="72">
        <f>0.591666666666666 + "00:12:00"</f>
        <v>0.59999999999999931</v>
      </c>
      <c r="E21" s="67"/>
      <c r="F21" s="78"/>
      <c r="G21" s="78"/>
    </row>
    <row r="22" spans="1:7" x14ac:dyDescent="0.25">
      <c r="A22" s="79"/>
      <c r="B22" s="79" t="str">
        <f ca="1">PHASE_FINAL_H_INTERMEDIAIRE!H4</f>
        <v>1C</v>
      </c>
      <c r="C22" s="71" t="str">
        <f>IF(PHASE_FINAL_H_INTERMEDIAIRE!I4&lt;&gt;"",PHASE_FINAL_H_INTERMEDIAIRE!I4,"")</f>
        <v/>
      </c>
      <c r="D22" s="66" t="s">
        <v>199</v>
      </c>
      <c r="E22" s="71" t="str">
        <f>IF(PHASE_FINAL_H_INTERMEDIAIRE!I5&lt;&gt;"",PHASE_FINAL_H_INTERMEDIAIRE!I5,"")</f>
        <v/>
      </c>
      <c r="F22" s="79" t="str">
        <f ca="1">PHASE_FINAL_H_INTERMEDIAIRE!H5</f>
        <v>8C</v>
      </c>
      <c r="G22" s="79"/>
    </row>
    <row r="23" spans="1:7" x14ac:dyDescent="0.25">
      <c r="A23" s="79"/>
      <c r="B23" s="79" t="str">
        <f ca="1">PHASE_FINAL_H_INTERMEDIAIRE!H8</f>
        <v>2C</v>
      </c>
      <c r="C23" s="71" t="str">
        <f>IF(PHASE_FINAL_H_INTERMEDIAIRE!I8&lt;&gt;"",PHASE_FINAL_H_INTERMEDIAIRE!I8,"")</f>
        <v/>
      </c>
      <c r="D23" s="66" t="s">
        <v>200</v>
      </c>
      <c r="E23" s="71" t="str">
        <f>IF(PHASE_FINAL_H_INTERMEDIAIRE!I9&lt;&gt;"",PHASE_FINAL_H_INTERMEDIAIRE!I9,"")</f>
        <v/>
      </c>
      <c r="F23" s="79" t="str">
        <f ca="1">PHASE_FINAL_H_INTERMEDIAIRE!H9</f>
        <v>7C</v>
      </c>
      <c r="G23" s="79"/>
    </row>
    <row r="24" spans="1:7" x14ac:dyDescent="0.25">
      <c r="A24" s="79"/>
      <c r="B24" s="79" t="str">
        <f ca="1">PHASE_FINAL_H_INTERMEDIAIRE!H12</f>
        <v>3C</v>
      </c>
      <c r="C24" s="71" t="str">
        <f>IF(PHASE_FINAL_H_INTERMEDIAIRE!I12&lt;&gt;"",PHASE_FINAL_H_INTERMEDIAIRE!I12,"")</f>
        <v/>
      </c>
      <c r="D24" s="66" t="s">
        <v>209</v>
      </c>
      <c r="E24" s="71" t="str">
        <f>IF(PHASE_FINAL_H_INTERMEDIAIRE!I13&lt;&gt;"",PHASE_FINAL_H_INTERMEDIAIRE!I13,"")</f>
        <v/>
      </c>
      <c r="F24" s="79" t="str">
        <f ca="1">PHASE_FINAL_H_INTERMEDIAIRE!H13</f>
        <v>6C</v>
      </c>
      <c r="G24" s="79"/>
    </row>
    <row r="25" spans="1:7" x14ac:dyDescent="0.25">
      <c r="A25" s="79"/>
      <c r="B25" s="79" t="str">
        <f ca="1">PHASE_FINAL_H_INTERMEDIAIRE!H16</f>
        <v>4C</v>
      </c>
      <c r="C25" s="71" t="str">
        <f>IF(PHASE_FINAL_H_INTERMEDIAIRE!I16&lt;&gt;"",PHASE_FINAL_H_INTERMEDIAIRE!I16,"")</f>
        <v/>
      </c>
      <c r="D25" s="66" t="s">
        <v>212</v>
      </c>
      <c r="E25" s="71" t="str">
        <f>IF(PHASE_FINAL_H_INTERMEDIAIRE!I17&lt;&gt;"",PHASE_FINAL_H_INTERMEDIAIRE!I17,"")</f>
        <v/>
      </c>
      <c r="F25" s="79" t="str">
        <f ca="1">PHASE_FINAL_H_INTERMEDIAIRE!H17</f>
        <v>5C</v>
      </c>
      <c r="G25" s="79"/>
    </row>
    <row r="26" spans="1:7" x14ac:dyDescent="0.25">
      <c r="A26" s="79"/>
      <c r="B26" s="79" t="str">
        <f ca="1">PHASE_FINAL_H_INTERMEDIAIRE!H21</f>
        <v>9C</v>
      </c>
      <c r="C26" s="71" t="str">
        <f>IF(PHASE_FINAL_H_INTERMEDIAIRE!I21&lt;&gt;"",PHASE_FINAL_H_INTERMEDIAIRE!I21,"")</f>
        <v/>
      </c>
      <c r="D26" s="66" t="s">
        <v>215</v>
      </c>
      <c r="E26" s="71" t="str">
        <f>IF(PHASE_FINAL_H_INTERMEDIAIRE!I22&lt;&gt;"",PHASE_FINAL_H_INTERMEDIAIRE!I22,"")</f>
        <v/>
      </c>
      <c r="F26" s="79" t="str">
        <f ca="1">PHASE_FINAL_H_INTERMEDIAIRE!H22</f>
        <v>16C</v>
      </c>
      <c r="G26" s="79"/>
    </row>
    <row r="27" spans="1:7" x14ac:dyDescent="0.25">
      <c r="A27" s="79"/>
      <c r="B27" s="79" t="str">
        <f ca="1">PHASE_FINAL_H_INTERMEDIAIRE!H25</f>
        <v>10C</v>
      </c>
      <c r="C27" s="71" t="str">
        <f>IF(PHASE_FINAL_H_INTERMEDIAIRE!I25&lt;&gt;"",PHASE_FINAL_H_INTERMEDIAIRE!I25,"")</f>
        <v/>
      </c>
      <c r="D27" s="66" t="s">
        <v>195</v>
      </c>
      <c r="E27" s="71" t="str">
        <f>IF(PHASE_FINAL_H_INTERMEDIAIRE!I26&lt;&gt;"",PHASE_FINAL_H_INTERMEDIAIRE!I26,"")</f>
        <v/>
      </c>
      <c r="F27" s="79" t="str">
        <f ca="1">PHASE_FINAL_H_INTERMEDIAIRE!H26</f>
        <v>15C</v>
      </c>
      <c r="G27" s="79"/>
    </row>
    <row r="28" spans="1:7" x14ac:dyDescent="0.25">
      <c r="A28" s="79"/>
      <c r="B28" s="79" t="str">
        <f ca="1">PHASE_FINAL_H_INTERMEDIAIRE!H29</f>
        <v>11C</v>
      </c>
      <c r="C28" s="71" t="str">
        <f>IF(PHASE_FINAL_H_INTERMEDIAIRE!I29&lt;&gt;"",PHASE_FINAL_H_INTERMEDIAIRE!I29,"")</f>
        <v/>
      </c>
      <c r="D28" s="66" t="s">
        <v>196</v>
      </c>
      <c r="E28" s="71" t="str">
        <f>IF(PHASE_FINAL_H_INTERMEDIAIRE!I30&lt;&gt;"",PHASE_FINAL_H_INTERMEDIAIRE!I30,"")</f>
        <v/>
      </c>
      <c r="F28" s="79" t="str">
        <f ca="1">PHASE_FINAL_H_INTERMEDIAIRE!H30</f>
        <v>14C</v>
      </c>
      <c r="G28" s="79"/>
    </row>
    <row r="29" spans="1:7" x14ac:dyDescent="0.25">
      <c r="A29" s="79"/>
      <c r="B29" s="79" t="str">
        <f ca="1">PHASE_FINAL_H_INTERMEDIAIRE!H33</f>
        <v>12C</v>
      </c>
      <c r="C29" s="71" t="str">
        <f>IF(PHASE_FINAL_H_INTERMEDIAIRE!I33&lt;&gt;"",PHASE_FINAL_H_INTERMEDIAIRE!I33,"")</f>
        <v/>
      </c>
      <c r="D29" s="66" t="s">
        <v>197</v>
      </c>
      <c r="E29" s="71" t="str">
        <f>IF(PHASE_FINAL_H_INTERMEDIAIRE!I34&lt;&gt;"",PHASE_FINAL_H_INTERMEDIAIRE!I34,"")</f>
        <v/>
      </c>
      <c r="F29" s="79" t="str">
        <f ca="1">PHASE_FINAL_H_INTERMEDIAIRE!H34</f>
        <v>13C</v>
      </c>
      <c r="G29" s="79"/>
    </row>
    <row r="30" spans="1:7" x14ac:dyDescent="0.25">
      <c r="A30" s="108"/>
      <c r="B30" s="108" t="s">
        <v>94</v>
      </c>
      <c r="C30" s="109"/>
      <c r="D30" s="78" t="s">
        <v>309</v>
      </c>
      <c r="E30" s="109"/>
      <c r="F30" s="108" t="s">
        <v>94</v>
      </c>
      <c r="G30" s="108"/>
    </row>
    <row r="31" spans="1:7" x14ac:dyDescent="0.25">
      <c r="A31" s="78"/>
      <c r="B31" s="78"/>
      <c r="C31" s="67"/>
      <c r="D31" s="72">
        <f>0.599999999999999 + "00:12:00"</f>
        <v>0.60833333333333228</v>
      </c>
      <c r="E31" s="67"/>
      <c r="F31" s="78"/>
      <c r="G31" s="78"/>
    </row>
    <row r="32" spans="1:7" x14ac:dyDescent="0.25">
      <c r="A32" s="79"/>
      <c r="B32" s="79" t="str">
        <f ca="1">PHASE_FINAL_F_CONF_ET_INTER!H4</f>
        <v>1D</v>
      </c>
      <c r="C32" s="71" t="str">
        <f>IF(PHASE_FINAL_F_CONF_ET_INTER!I4&lt;&gt;"",PHASE_FINAL_F_CONF_ET_INTER!I4,"")</f>
        <v/>
      </c>
      <c r="D32" s="66" t="s">
        <v>213</v>
      </c>
      <c r="E32" s="71" t="str">
        <f>IF(PHASE_FINAL_F_CONF_ET_INTER!I5&lt;&gt;"",PHASE_FINAL_F_CONF_ET_INTER!I5,"")</f>
        <v/>
      </c>
      <c r="F32" s="79" t="str">
        <f ca="1">PHASE_FINAL_F_CONF_ET_INTER!H5</f>
        <v>8D</v>
      </c>
      <c r="G32" s="79"/>
    </row>
    <row r="33" spans="1:7" x14ac:dyDescent="0.25">
      <c r="A33" s="79"/>
      <c r="B33" s="79" t="str">
        <f ca="1">PHASE_FINAL_F_CONF_ET_INTER!H8</f>
        <v>2D</v>
      </c>
      <c r="C33" s="71" t="str">
        <f>IF(PHASE_FINAL_F_CONF_ET_INTER!I8&lt;&gt;"",PHASE_FINAL_F_CONF_ET_INTER!I8,"")</f>
        <v/>
      </c>
      <c r="D33" s="66" t="s">
        <v>216</v>
      </c>
      <c r="E33" s="71" t="str">
        <f>IF(PHASE_FINAL_F_CONF_ET_INTER!I9&lt;&gt;"",PHASE_FINAL_F_CONF_ET_INTER!I9,"")</f>
        <v/>
      </c>
      <c r="F33" s="79" t="str">
        <f ca="1">PHASE_FINAL_F_CONF_ET_INTER!H9</f>
        <v>7D</v>
      </c>
      <c r="G33" s="79"/>
    </row>
    <row r="34" spans="1:7" x14ac:dyDescent="0.25">
      <c r="A34" s="79"/>
      <c r="B34" s="79" t="str">
        <f ca="1">PHASE_FINAL_F_CONF_ET_INTER!H12</f>
        <v>3D</v>
      </c>
      <c r="C34" s="71" t="str">
        <f>IF(PHASE_FINAL_F_CONF_ET_INTER!I12&lt;&gt;"",PHASE_FINAL_F_CONF_ET_INTER!I12,"")</f>
        <v/>
      </c>
      <c r="D34" s="66" t="s">
        <v>201</v>
      </c>
      <c r="E34" s="71" t="str">
        <f>IF(PHASE_FINAL_F_CONF_ET_INTER!I13&lt;&gt;"",PHASE_FINAL_F_CONF_ET_INTER!I13,"")</f>
        <v/>
      </c>
      <c r="F34" s="79" t="str">
        <f ca="1">PHASE_FINAL_F_CONF_ET_INTER!H13</f>
        <v>6D</v>
      </c>
      <c r="G34" s="79"/>
    </row>
    <row r="35" spans="1:7" x14ac:dyDescent="0.25">
      <c r="A35" s="79"/>
      <c r="B35" s="79" t="str">
        <f ca="1">PHASE_FINAL_F_CONF_ET_INTER!H16</f>
        <v>4D</v>
      </c>
      <c r="C35" s="71" t="str">
        <f>IF(PHASE_FINAL_F_CONF_ET_INTER!I16&lt;&gt;"",PHASE_FINAL_F_CONF_ET_INTER!I16,"")</f>
        <v/>
      </c>
      <c r="D35" s="66" t="s">
        <v>202</v>
      </c>
      <c r="E35" s="71" t="str">
        <f>IF(PHASE_FINAL_F_CONF_ET_INTER!I17&lt;&gt;"",PHASE_FINAL_F_CONF_ET_INTER!I17,"")</f>
        <v/>
      </c>
      <c r="F35" s="79" t="str">
        <f ca="1">PHASE_FINAL_F_CONF_ET_INTER!H17</f>
        <v>5D</v>
      </c>
      <c r="G35" s="79"/>
    </row>
    <row r="36" spans="1:7" x14ac:dyDescent="0.25">
      <c r="A36" s="79"/>
      <c r="B36" s="79" t="str">
        <f ca="1">PHASE_FINAL_F_CONF_ET_INTER!H21</f>
        <v>9D</v>
      </c>
      <c r="C36" s="71" t="str">
        <f>IF(PHASE_FINAL_F_CONF_ET_INTER!I21&lt;&gt;"",PHASE_FINAL_F_CONF_ET_INTER!I21,"")</f>
        <v/>
      </c>
      <c r="D36" s="66" t="s">
        <v>203</v>
      </c>
      <c r="E36" s="71" t="str">
        <f>IF(PHASE_FINAL_F_CONF_ET_INTER!I22&lt;&gt;"",PHASE_FINAL_F_CONF_ET_INTER!I22,"")</f>
        <v/>
      </c>
      <c r="F36" s="79" t="str">
        <f ca="1">PHASE_FINAL_F_CONF_ET_INTER!H22</f>
        <v>12D</v>
      </c>
      <c r="G36" s="79"/>
    </row>
    <row r="37" spans="1:7" x14ac:dyDescent="0.25">
      <c r="A37" s="79"/>
      <c r="B37" s="79" t="str">
        <f ca="1">PHASE_FINAL_F_CONF_ET_INTER!H25</f>
        <v>10D</v>
      </c>
      <c r="C37" s="71" t="str">
        <f>IF(PHASE_FINAL_F_CONF_ET_INTER!I25&lt;&gt;"",PHASE_FINAL_F_CONF_ET_INTER!I25,"")</f>
        <v/>
      </c>
      <c r="D37" s="66" t="s">
        <v>204</v>
      </c>
      <c r="E37" s="71" t="str">
        <f>IF(PHASE_FINAL_F_CONF_ET_INTER!I26&lt;&gt;"",PHASE_FINAL_F_CONF_ET_INTER!I26,"")</f>
        <v/>
      </c>
      <c r="F37" s="79" t="str">
        <f ca="1">PHASE_FINAL_F_CONF_ET_INTER!H26</f>
        <v>11D</v>
      </c>
      <c r="G37" s="79"/>
    </row>
    <row r="38" spans="1:7" x14ac:dyDescent="0.25">
      <c r="A38" s="79"/>
      <c r="B38" s="79" t="str">
        <f>MATCHS_14!B9 &amp; " &amp; " &amp; MATCHS_14!B10</f>
        <v>1M &amp; 10M</v>
      </c>
      <c r="C38" s="71"/>
      <c r="D38" s="66" t="s">
        <v>308</v>
      </c>
      <c r="E38" s="71"/>
      <c r="F38" s="79" t="str">
        <f>MATCHS_14!F9 &amp; " &amp; " &amp; MATCHS_14!F10</f>
        <v>9M &amp; 8M</v>
      </c>
      <c r="G38" s="79"/>
    </row>
    <row r="39" spans="1:7" x14ac:dyDescent="0.25">
      <c r="A39" s="79"/>
      <c r="B39" s="79" t="str">
        <f>MATCHS_14!B11 &amp; " &amp; " &amp; MATCHS_14!B12</f>
        <v>11M &amp; 12M</v>
      </c>
      <c r="C39" s="71"/>
      <c r="D39" s="66" t="s">
        <v>307</v>
      </c>
      <c r="E39" s="71"/>
      <c r="F39" s="79" t="str">
        <f>MATCHS_14!F11 &amp; " &amp; " &amp; MATCHS_14!F12</f>
        <v>7M &amp; 6M</v>
      </c>
      <c r="G39" s="79"/>
    </row>
    <row r="40" spans="1:7" x14ac:dyDescent="0.25">
      <c r="A40" s="108"/>
      <c r="B40" s="108" t="str">
        <f>MATCHS_14!B13 &amp; " &amp; " &amp; MATCHS_14!B14</f>
        <v>13M &amp; 14M</v>
      </c>
      <c r="C40" s="109"/>
      <c r="D40" s="78" t="s">
        <v>207</v>
      </c>
      <c r="E40" s="109"/>
      <c r="F40" s="108" t="str">
        <f>MATCHS_14!F13 &amp; " &amp; " &amp; MATCHS_14!F14</f>
        <v>5M &amp; 4M</v>
      </c>
      <c r="G40" s="108"/>
    </row>
    <row r="41" spans="1:7" x14ac:dyDescent="0.25">
      <c r="A41" s="78"/>
      <c r="B41" s="78"/>
      <c r="C41" s="67"/>
      <c r="D41" s="72">
        <f>0.608333333333332 + "00:12:00"</f>
        <v>0.61666666666666525</v>
      </c>
      <c r="E41" s="67"/>
      <c r="F41" s="78"/>
      <c r="G41" s="78"/>
    </row>
    <row r="42" spans="1:7" x14ac:dyDescent="0.25">
      <c r="A42" s="80"/>
      <c r="B42" s="80" t="str">
        <f>PHASE_FINAL_H_CONFIRME!K6</f>
        <v/>
      </c>
      <c r="C42" s="71" t="str">
        <f>IF(PHASE_FINAL_H_CONFIRME!L6&lt;&gt;"",PHASE_FINAL_H_CONFIRME!L6,"")</f>
        <v/>
      </c>
      <c r="D42" s="66" t="s">
        <v>186</v>
      </c>
      <c r="E42" s="71" t="str">
        <f>IF(PHASE_FINAL_H_CONFIRME!L7&lt;&gt;"",PHASE_FINAL_H_CONFIRME!L7,"")</f>
        <v/>
      </c>
      <c r="F42" s="80" t="str">
        <f>PHASE_FINAL_H_CONFIRME!K7</f>
        <v/>
      </c>
      <c r="G42" s="80"/>
    </row>
    <row r="43" spans="1:7" x14ac:dyDescent="0.25">
      <c r="A43" s="80"/>
      <c r="B43" s="80" t="str">
        <f>PHASE_FINAL_H_CONFIRME!K14</f>
        <v/>
      </c>
      <c r="C43" s="71" t="str">
        <f>IF(PHASE_FINAL_H_CONFIRME!L14&lt;&gt;"",PHASE_FINAL_H_CONFIRME!L14,"")</f>
        <v/>
      </c>
      <c r="D43" s="66" t="s">
        <v>187</v>
      </c>
      <c r="E43" s="71" t="str">
        <f>IF(PHASE_FINAL_H_CONFIRME!L15&lt;&gt;"",PHASE_FINAL_H_CONFIRME!L15,"")</f>
        <v/>
      </c>
      <c r="F43" s="80" t="str">
        <f>PHASE_FINAL_H_CONFIRME!K15</f>
        <v/>
      </c>
      <c r="G43" s="80"/>
    </row>
    <row r="44" spans="1:7" x14ac:dyDescent="0.25">
      <c r="A44" s="80"/>
      <c r="B44" s="80" t="str">
        <f>PHASE_FINAL_H_CONFIRME!F6</f>
        <v/>
      </c>
      <c r="C44" s="71" t="str">
        <f>IF(PHASE_FINAL_H_CONFIRME!E6&lt;&gt;"",PHASE_FINAL_H_CONFIRME!E6,"")</f>
        <v/>
      </c>
      <c r="D44" s="66" t="s">
        <v>188</v>
      </c>
      <c r="E44" s="71" t="str">
        <f>IF(PHASE_FINAL_H_CONFIRME!E7&lt;&gt;"",PHASE_FINAL_H_CONFIRME!E7,"")</f>
        <v/>
      </c>
      <c r="F44" s="80" t="str">
        <f>PHASE_FINAL_H_CONFIRME!F7</f>
        <v/>
      </c>
      <c r="G44" s="80"/>
    </row>
    <row r="45" spans="1:7" x14ac:dyDescent="0.25">
      <c r="A45" s="80"/>
      <c r="B45" s="80" t="str">
        <f>PHASE_FINAL_H_CONFIRME!F14</f>
        <v/>
      </c>
      <c r="C45" s="71" t="str">
        <f>IF(PHASE_FINAL_H_CONFIRME!E14&lt;&gt;"",PHASE_FINAL_H_CONFIRME!E14,"")</f>
        <v/>
      </c>
      <c r="D45" s="66" t="s">
        <v>189</v>
      </c>
      <c r="E45" s="71" t="str">
        <f>IF(PHASE_FINAL_H_CONFIRME!E15&lt;&gt;"",PHASE_FINAL_H_CONFIRME!E15,"")</f>
        <v/>
      </c>
      <c r="F45" s="80" t="str">
        <f>PHASE_FINAL_H_CONFIRME!F15</f>
        <v/>
      </c>
      <c r="G45" s="80"/>
    </row>
    <row r="46" spans="1:7" x14ac:dyDescent="0.25">
      <c r="A46" s="80"/>
      <c r="B46" s="80" t="str">
        <f>PHASE_FINAL_H_CONFIRME!K23</f>
        <v/>
      </c>
      <c r="C46" s="71" t="str">
        <f>IF(PHASE_FINAL_H_CONFIRME!L23&lt;&gt;"",PHASE_FINAL_H_CONFIRME!L23,"")</f>
        <v/>
      </c>
      <c r="D46" s="66" t="s">
        <v>190</v>
      </c>
      <c r="E46" s="71" t="str">
        <f>IF(PHASE_FINAL_H_CONFIRME!L24&lt;&gt;"",PHASE_FINAL_H_CONFIRME!L24,"")</f>
        <v/>
      </c>
      <c r="F46" s="80" t="str">
        <f>PHASE_FINAL_H_CONFIRME!K24</f>
        <v/>
      </c>
      <c r="G46" s="80"/>
    </row>
    <row r="47" spans="1:7" x14ac:dyDescent="0.25">
      <c r="A47" s="80"/>
      <c r="B47" s="80" t="str">
        <f>PHASE_FINAL_H_CONFIRME!K31</f>
        <v/>
      </c>
      <c r="C47" s="71" t="str">
        <f>IF(PHASE_FINAL_H_CONFIRME!L31&lt;&gt;"",PHASE_FINAL_H_CONFIRME!L31,"")</f>
        <v/>
      </c>
      <c r="D47" s="66" t="s">
        <v>191</v>
      </c>
      <c r="E47" s="71" t="str">
        <f>IF(PHASE_FINAL_H_CONFIRME!L32&lt;&gt;"",PHASE_FINAL_H_CONFIRME!L32,"")</f>
        <v/>
      </c>
      <c r="F47" s="80" t="str">
        <f>PHASE_FINAL_H_CONFIRME!K32</f>
        <v/>
      </c>
      <c r="G47" s="80"/>
    </row>
    <row r="48" spans="1:7" x14ac:dyDescent="0.25">
      <c r="A48" s="80"/>
      <c r="B48" s="80" t="str">
        <f>PHASE_FINAL_H_CONFIRME!F23</f>
        <v/>
      </c>
      <c r="C48" s="71" t="str">
        <f>IF(PHASE_FINAL_H_CONFIRME!E23&lt;&gt;"",PHASE_FINAL_H_CONFIRME!E23,"")</f>
        <v/>
      </c>
      <c r="D48" s="66" t="s">
        <v>192</v>
      </c>
      <c r="E48" s="71" t="str">
        <f>IF(PHASE_FINAL_H_CONFIRME!E24&lt;&gt;"",PHASE_FINAL_H_CONFIRME!E24,"")</f>
        <v/>
      </c>
      <c r="F48" s="80" t="str">
        <f>PHASE_FINAL_H_CONFIRME!F24</f>
        <v/>
      </c>
      <c r="G48" s="80"/>
    </row>
    <row r="49" spans="1:7" x14ac:dyDescent="0.25">
      <c r="A49" s="80"/>
      <c r="B49" s="80" t="str">
        <f>PHASE_FINAL_H_CONFIRME!F31</f>
        <v/>
      </c>
      <c r="C49" s="71" t="str">
        <f>IF(PHASE_FINAL_H_CONFIRME!E31&lt;&gt;"",PHASE_FINAL_H_CONFIRME!E31,"")</f>
        <v/>
      </c>
      <c r="D49" s="66" t="s">
        <v>193</v>
      </c>
      <c r="E49" s="71" t="str">
        <f>IF(PHASE_FINAL_H_CONFIRME!E32&lt;&gt;"",PHASE_FINAL_H_CONFIRME!E32,"")</f>
        <v/>
      </c>
      <c r="F49" s="80" t="str">
        <f>PHASE_FINAL_H_CONFIRME!F32</f>
        <v/>
      </c>
      <c r="G49" s="80"/>
    </row>
    <row r="50" spans="1:7" x14ac:dyDescent="0.25">
      <c r="A50" s="110"/>
      <c r="B50" s="110" t="s">
        <v>94</v>
      </c>
      <c r="C50" s="109"/>
      <c r="D50" s="78" t="s">
        <v>309</v>
      </c>
      <c r="E50" s="109"/>
      <c r="F50" s="110" t="s">
        <v>94</v>
      </c>
      <c r="G50" s="110"/>
    </row>
    <row r="51" spans="1:7" x14ac:dyDescent="0.25">
      <c r="A51" s="78"/>
      <c r="B51" s="78"/>
      <c r="C51" s="67"/>
      <c r="D51" s="72">
        <f>0.616666666666665 + "00:12:00"</f>
        <v>0.62499999999999833</v>
      </c>
      <c r="E51" s="67"/>
      <c r="F51" s="78"/>
      <c r="G51" s="78"/>
    </row>
    <row r="52" spans="1:7" x14ac:dyDescent="0.25">
      <c r="A52" s="80"/>
      <c r="B52" s="80" t="str">
        <f>PHASE_FINAL_H_CONFIRME!K40</f>
        <v/>
      </c>
      <c r="C52" s="71" t="str">
        <f>IF(PHASE_FINAL_H_CONFIRME!L40&lt;&gt;"",PHASE_FINAL_H_CONFIRME!L40,"")</f>
        <v/>
      </c>
      <c r="D52" s="66" t="s">
        <v>186</v>
      </c>
      <c r="E52" s="71" t="str">
        <f>IF(PHASE_FINAL_H_CONFIRME!L41&lt;&gt;"",PHASE_FINAL_H_CONFIRME!L41,"")</f>
        <v/>
      </c>
      <c r="F52" s="80" t="str">
        <f>PHASE_FINAL_H_CONFIRME!K41</f>
        <v/>
      </c>
      <c r="G52" s="80"/>
    </row>
    <row r="53" spans="1:7" x14ac:dyDescent="0.25">
      <c r="A53" s="80"/>
      <c r="B53" s="80" t="str">
        <f>PHASE_FINAL_H_CONFIRME!K48</f>
        <v/>
      </c>
      <c r="C53" s="71" t="str">
        <f>IF(PHASE_FINAL_H_CONFIRME!L48&lt;&gt;"",PHASE_FINAL_H_CONFIRME!L48,"")</f>
        <v/>
      </c>
      <c r="D53" s="66" t="s">
        <v>187</v>
      </c>
      <c r="E53" s="71" t="str">
        <f>IF(PHASE_FINAL_H_CONFIRME!L49&lt;&gt;"",PHASE_FINAL_H_CONFIRME!L49,"")</f>
        <v/>
      </c>
      <c r="F53" s="80" t="str">
        <f>PHASE_FINAL_H_CONFIRME!K49</f>
        <v/>
      </c>
      <c r="G53" s="80"/>
    </row>
    <row r="54" spans="1:7" x14ac:dyDescent="0.25">
      <c r="A54" s="80"/>
      <c r="B54" s="80" t="str">
        <f>PHASE_FINAL_H_CONFIRME!F40</f>
        <v/>
      </c>
      <c r="C54" s="71" t="str">
        <f>IF(PHASE_FINAL_H_CONFIRME!E40&lt;&gt;"",PHASE_FINAL_H_CONFIRME!E40,"")</f>
        <v/>
      </c>
      <c r="D54" s="66" t="s">
        <v>188</v>
      </c>
      <c r="E54" s="71" t="str">
        <f>IF(PHASE_FINAL_H_CONFIRME!E41&lt;&gt;"",PHASE_FINAL_H_CONFIRME!E41,"")</f>
        <v/>
      </c>
      <c r="F54" s="80" t="str">
        <f>PHASE_FINAL_H_CONFIRME!F41</f>
        <v/>
      </c>
      <c r="G54" s="80"/>
    </row>
    <row r="55" spans="1:7" x14ac:dyDescent="0.25">
      <c r="A55" s="80"/>
      <c r="B55" s="80" t="str">
        <f>PHASE_FINAL_H_CONFIRME!F48</f>
        <v/>
      </c>
      <c r="C55" s="71" t="str">
        <f>IF(PHASE_FINAL_H_CONFIRME!E48&lt;&gt;"",PHASE_FINAL_H_CONFIRME!E48,"")</f>
        <v/>
      </c>
      <c r="D55" s="66" t="s">
        <v>189</v>
      </c>
      <c r="E55" s="71" t="str">
        <f>IF(PHASE_FINAL_H_CONFIRME!E49&lt;&gt;"",PHASE_FINAL_H_CONFIRME!E49,"")</f>
        <v/>
      </c>
      <c r="F55" s="80" t="str">
        <f>PHASE_FINAL_H_CONFIRME!F49</f>
        <v/>
      </c>
      <c r="G55" s="80"/>
    </row>
    <row r="56" spans="1:7" x14ac:dyDescent="0.25">
      <c r="A56" s="80"/>
      <c r="B56" s="80" t="str">
        <f>PHASE_FINAL_H_CONFIRME!K57</f>
        <v/>
      </c>
      <c r="C56" s="71" t="str">
        <f>IF(PHASE_FINAL_H_CONFIRME!L57&lt;&gt;"",PHASE_FINAL_H_CONFIRME!L57,"")</f>
        <v/>
      </c>
      <c r="D56" s="66" t="s">
        <v>190</v>
      </c>
      <c r="E56" s="71" t="str">
        <f>IF(PHASE_FINAL_H_CONFIRME!L58&lt;&gt;"",PHASE_FINAL_H_CONFIRME!L58,"")</f>
        <v/>
      </c>
      <c r="F56" s="80" t="str">
        <f>PHASE_FINAL_H_CONFIRME!K58</f>
        <v/>
      </c>
      <c r="G56" s="80"/>
    </row>
    <row r="57" spans="1:7" x14ac:dyDescent="0.25">
      <c r="A57" s="80"/>
      <c r="B57" s="80" t="str">
        <f>PHASE_FINAL_H_CONFIRME!K65</f>
        <v/>
      </c>
      <c r="C57" s="71" t="str">
        <f>IF(PHASE_FINAL_H_CONFIRME!L65&lt;&gt;"",PHASE_FINAL_H_CONFIRME!L65,"")</f>
        <v/>
      </c>
      <c r="D57" s="66" t="s">
        <v>191</v>
      </c>
      <c r="E57" s="71" t="str">
        <f>IF(PHASE_FINAL_H_CONFIRME!L66&lt;&gt;"",PHASE_FINAL_H_CONFIRME!L66,"")</f>
        <v/>
      </c>
      <c r="F57" s="80" t="str">
        <f>PHASE_FINAL_H_CONFIRME!K66</f>
        <v/>
      </c>
      <c r="G57" s="80"/>
    </row>
    <row r="58" spans="1:7" x14ac:dyDescent="0.25">
      <c r="A58" s="80"/>
      <c r="B58" s="80" t="str">
        <f>PHASE_FINAL_H_CONFIRME!F57</f>
        <v/>
      </c>
      <c r="C58" s="71" t="str">
        <f>IF(PHASE_FINAL_H_CONFIRME!E57&lt;&gt;"",PHASE_FINAL_H_CONFIRME!E57,"")</f>
        <v/>
      </c>
      <c r="D58" s="66" t="s">
        <v>192</v>
      </c>
      <c r="E58" s="71" t="str">
        <f>IF(PHASE_FINAL_H_CONFIRME!E58&lt;&gt;"",PHASE_FINAL_H_CONFIRME!E58,"")</f>
        <v/>
      </c>
      <c r="F58" s="80" t="str">
        <f>PHASE_FINAL_H_CONFIRME!F58</f>
        <v/>
      </c>
      <c r="G58" s="80"/>
    </row>
    <row r="59" spans="1:7" x14ac:dyDescent="0.25">
      <c r="A59" s="80"/>
      <c r="B59" s="80" t="str">
        <f>PHASE_FINAL_H_CONFIRME!F65</f>
        <v/>
      </c>
      <c r="C59" s="71" t="str">
        <f>IF(PHASE_FINAL_H_CONFIRME!E65&lt;&gt;"",PHASE_FINAL_H_CONFIRME!E65,"")</f>
        <v/>
      </c>
      <c r="D59" s="66" t="s">
        <v>193</v>
      </c>
      <c r="E59" s="71" t="str">
        <f>IF(PHASE_FINAL_H_CONFIRME!E66&lt;&gt;"",PHASE_FINAL_H_CONFIRME!E66,"")</f>
        <v/>
      </c>
      <c r="F59" s="80" t="str">
        <f>PHASE_FINAL_H_CONFIRME!F66</f>
        <v/>
      </c>
      <c r="G59" s="80"/>
    </row>
    <row r="60" spans="1:7" x14ac:dyDescent="0.25">
      <c r="A60" s="110"/>
      <c r="B60" s="110" t="s">
        <v>94</v>
      </c>
      <c r="C60" s="109"/>
      <c r="D60" s="78" t="s">
        <v>309</v>
      </c>
      <c r="E60" s="109"/>
      <c r="F60" s="110" t="s">
        <v>94</v>
      </c>
      <c r="G60" s="110"/>
    </row>
    <row r="61" spans="1:7" x14ac:dyDescent="0.25">
      <c r="A61" s="78"/>
      <c r="B61" s="78"/>
      <c r="C61" s="67"/>
      <c r="D61" s="72">
        <f>0.624999999999998 + "00:12:00"</f>
        <v>0.63333333333333131</v>
      </c>
      <c r="E61" s="67"/>
      <c r="F61" s="78"/>
      <c r="G61" s="78"/>
    </row>
    <row r="62" spans="1:7" x14ac:dyDescent="0.25">
      <c r="A62" s="80"/>
      <c r="B62" s="80" t="str">
        <f>PHASE_FINAL_H_INTERMEDIAIRE!K6</f>
        <v/>
      </c>
      <c r="C62" s="71" t="str">
        <f>IF(PHASE_FINAL_H_INTERMEDIAIRE!L6&lt;&gt;"",PHASE_FINAL_H_INTERMEDIAIRE!L6,"")</f>
        <v/>
      </c>
      <c r="D62" s="66" t="s">
        <v>199</v>
      </c>
      <c r="E62" s="71" t="str">
        <f>IF(PHASE_FINAL_H_INTERMEDIAIRE!L7&lt;&gt;"",PHASE_FINAL_H_INTERMEDIAIRE!L7,"")</f>
        <v/>
      </c>
      <c r="F62" s="80" t="str">
        <f>PHASE_FINAL_H_INTERMEDIAIRE!K7</f>
        <v/>
      </c>
      <c r="G62" s="80"/>
    </row>
    <row r="63" spans="1:7" x14ac:dyDescent="0.25">
      <c r="A63" s="80"/>
      <c r="B63" s="80" t="str">
        <f>PHASE_FINAL_H_INTERMEDIAIRE!K14</f>
        <v/>
      </c>
      <c r="C63" s="71" t="str">
        <f>IF(PHASE_FINAL_H_INTERMEDIAIRE!L14&lt;&gt;"",PHASE_FINAL_H_INTERMEDIAIRE!L14,"")</f>
        <v/>
      </c>
      <c r="D63" s="66" t="s">
        <v>200</v>
      </c>
      <c r="E63" s="71" t="str">
        <f>IF(PHASE_FINAL_H_INTERMEDIAIRE!L15&lt;&gt;"",PHASE_FINAL_H_INTERMEDIAIRE!L15,"")</f>
        <v/>
      </c>
      <c r="F63" s="80" t="str">
        <f>PHASE_FINAL_H_INTERMEDIAIRE!K15</f>
        <v/>
      </c>
      <c r="G63" s="80"/>
    </row>
    <row r="64" spans="1:7" x14ac:dyDescent="0.25">
      <c r="A64" s="80"/>
      <c r="B64" s="80" t="str">
        <f>PHASE_FINAL_H_INTERMEDIAIRE!F6</f>
        <v/>
      </c>
      <c r="C64" s="71" t="str">
        <f>IF(PHASE_FINAL_H_INTERMEDIAIRE!E6&lt;&gt;"",PHASE_FINAL_H_INTERMEDIAIRE!E6,"")</f>
        <v/>
      </c>
      <c r="D64" s="66" t="s">
        <v>209</v>
      </c>
      <c r="E64" s="71" t="str">
        <f>IF(PHASE_FINAL_H_INTERMEDIAIRE!E7&lt;&gt;"",PHASE_FINAL_H_INTERMEDIAIRE!E7,"")</f>
        <v/>
      </c>
      <c r="F64" s="80" t="str">
        <f>PHASE_FINAL_H_INTERMEDIAIRE!F7</f>
        <v/>
      </c>
      <c r="G64" s="80"/>
    </row>
    <row r="65" spans="1:7" x14ac:dyDescent="0.25">
      <c r="A65" s="80"/>
      <c r="B65" s="80" t="str">
        <f>PHASE_FINAL_H_INTERMEDIAIRE!F14</f>
        <v/>
      </c>
      <c r="C65" s="71" t="str">
        <f>IF(PHASE_FINAL_H_INTERMEDIAIRE!E14&lt;&gt;"",PHASE_FINAL_H_INTERMEDIAIRE!E14,"")</f>
        <v/>
      </c>
      <c r="D65" s="66" t="s">
        <v>212</v>
      </c>
      <c r="E65" s="71" t="str">
        <f>IF(PHASE_FINAL_H_INTERMEDIAIRE!E15&lt;&gt;"",PHASE_FINAL_H_INTERMEDIAIRE!E15,"")</f>
        <v/>
      </c>
      <c r="F65" s="80" t="str">
        <f>PHASE_FINAL_H_INTERMEDIAIRE!F15</f>
        <v/>
      </c>
      <c r="G65" s="80"/>
    </row>
    <row r="66" spans="1:7" x14ac:dyDescent="0.25">
      <c r="A66" s="80"/>
      <c r="B66" s="80" t="str">
        <f>PHASE_FINAL_H_INTERMEDIAIRE!K23</f>
        <v/>
      </c>
      <c r="C66" s="71" t="str">
        <f>IF(PHASE_FINAL_H_INTERMEDIAIRE!L23&lt;&gt;"",PHASE_FINAL_H_INTERMEDIAIRE!L23,"")</f>
        <v/>
      </c>
      <c r="D66" s="66" t="s">
        <v>215</v>
      </c>
      <c r="E66" s="71" t="str">
        <f>IF(PHASE_FINAL_H_INTERMEDIAIRE!L24&lt;&gt;"",PHASE_FINAL_H_INTERMEDIAIRE!L24,"")</f>
        <v/>
      </c>
      <c r="F66" s="80" t="str">
        <f>PHASE_FINAL_H_INTERMEDIAIRE!K24</f>
        <v/>
      </c>
      <c r="G66" s="80"/>
    </row>
    <row r="67" spans="1:7" x14ac:dyDescent="0.25">
      <c r="A67" s="80"/>
      <c r="B67" s="80" t="str">
        <f>PHASE_FINAL_H_INTERMEDIAIRE!K31</f>
        <v/>
      </c>
      <c r="C67" s="71" t="str">
        <f>IF(PHASE_FINAL_H_INTERMEDIAIRE!L31&lt;&gt;"",PHASE_FINAL_H_INTERMEDIAIRE!L31,"")</f>
        <v/>
      </c>
      <c r="D67" s="66" t="s">
        <v>195</v>
      </c>
      <c r="E67" s="71" t="str">
        <f>IF(PHASE_FINAL_H_INTERMEDIAIRE!L32&lt;&gt;"",PHASE_FINAL_H_INTERMEDIAIRE!L32,"")</f>
        <v/>
      </c>
      <c r="F67" s="80" t="str">
        <f>PHASE_FINAL_H_INTERMEDIAIRE!K32</f>
        <v/>
      </c>
      <c r="G67" s="80"/>
    </row>
    <row r="68" spans="1:7" x14ac:dyDescent="0.25">
      <c r="A68" s="80"/>
      <c r="B68" s="80" t="str">
        <f>PHASE_FINAL_H_INTERMEDIAIRE!F23</f>
        <v/>
      </c>
      <c r="C68" s="71" t="str">
        <f>IF(PHASE_FINAL_H_INTERMEDIAIRE!E23&lt;&gt;"",PHASE_FINAL_H_INTERMEDIAIRE!E23,"")</f>
        <v/>
      </c>
      <c r="D68" s="66" t="s">
        <v>196</v>
      </c>
      <c r="E68" s="71" t="str">
        <f>IF(PHASE_FINAL_H_INTERMEDIAIRE!E24&lt;&gt;"",PHASE_FINAL_H_INTERMEDIAIRE!E24,"")</f>
        <v/>
      </c>
      <c r="F68" s="80" t="str">
        <f>PHASE_FINAL_H_INTERMEDIAIRE!F24</f>
        <v/>
      </c>
      <c r="G68" s="80"/>
    </row>
    <row r="69" spans="1:7" x14ac:dyDescent="0.25">
      <c r="A69" s="80"/>
      <c r="B69" s="80" t="str">
        <f>PHASE_FINAL_H_INTERMEDIAIRE!F31</f>
        <v/>
      </c>
      <c r="C69" s="71" t="str">
        <f>IF(PHASE_FINAL_H_INTERMEDIAIRE!E31&lt;&gt;"",PHASE_FINAL_H_INTERMEDIAIRE!E31,"")</f>
        <v/>
      </c>
      <c r="D69" s="66" t="s">
        <v>197</v>
      </c>
      <c r="E69" s="71" t="str">
        <f>IF(PHASE_FINAL_H_INTERMEDIAIRE!E32&lt;&gt;"",PHASE_FINAL_H_INTERMEDIAIRE!E32,"")</f>
        <v/>
      </c>
      <c r="F69" s="80" t="str">
        <f>PHASE_FINAL_H_INTERMEDIAIRE!F32</f>
        <v/>
      </c>
      <c r="G69" s="80"/>
    </row>
    <row r="70" spans="1:7" x14ac:dyDescent="0.25">
      <c r="A70" s="110"/>
      <c r="B70" s="110" t="s">
        <v>94</v>
      </c>
      <c r="C70" s="109"/>
      <c r="D70" s="78" t="s">
        <v>309</v>
      </c>
      <c r="E70" s="109"/>
      <c r="F70" s="110" t="s">
        <v>94</v>
      </c>
      <c r="G70" s="110"/>
    </row>
    <row r="71" spans="1:7" x14ac:dyDescent="0.25">
      <c r="A71" s="78"/>
      <c r="B71" s="78"/>
      <c r="C71" s="67"/>
      <c r="D71" s="72">
        <f>0.633333333333331 + "00:12:00"</f>
        <v>0.64166666666666428</v>
      </c>
      <c r="E71" s="67"/>
      <c r="F71" s="78"/>
      <c r="G71" s="78"/>
    </row>
    <row r="72" spans="1:7" x14ac:dyDescent="0.25">
      <c r="A72" s="80"/>
      <c r="B72" s="80" t="str">
        <f>PHASE_FINAL_F_CONF_ET_INTER!K6</f>
        <v/>
      </c>
      <c r="C72" s="71" t="str">
        <f>IF(PHASE_FINAL_F_CONF_ET_INTER!L6&lt;&gt;"",PHASE_FINAL_F_CONF_ET_INTER!L6,"")</f>
        <v/>
      </c>
      <c r="D72" s="66" t="s">
        <v>213</v>
      </c>
      <c r="E72" s="71" t="str">
        <f>IF(PHASE_FINAL_F_CONF_ET_INTER!L7&lt;&gt;"",PHASE_FINAL_F_CONF_ET_INTER!L7,"")</f>
        <v/>
      </c>
      <c r="F72" s="80" t="str">
        <f>PHASE_FINAL_F_CONF_ET_INTER!K7</f>
        <v/>
      </c>
      <c r="G72" s="80"/>
    </row>
    <row r="73" spans="1:7" x14ac:dyDescent="0.25">
      <c r="A73" s="80"/>
      <c r="B73" s="80" t="str">
        <f>PHASE_FINAL_F_CONF_ET_INTER!K14</f>
        <v/>
      </c>
      <c r="C73" s="71" t="str">
        <f>IF(PHASE_FINAL_F_CONF_ET_INTER!L14&lt;&gt;"",PHASE_FINAL_F_CONF_ET_INTER!L14,"")</f>
        <v/>
      </c>
      <c r="D73" s="66" t="s">
        <v>216</v>
      </c>
      <c r="E73" s="71" t="str">
        <f>IF(PHASE_FINAL_F_CONF_ET_INTER!L15&lt;&gt;"",PHASE_FINAL_F_CONF_ET_INTER!L15,"")</f>
        <v/>
      </c>
      <c r="F73" s="80" t="str">
        <f>PHASE_FINAL_F_CONF_ET_INTER!K15</f>
        <v/>
      </c>
      <c r="G73" s="80"/>
    </row>
    <row r="74" spans="1:7" x14ac:dyDescent="0.25">
      <c r="A74" s="80"/>
      <c r="B74" s="80" t="str">
        <f>PHASE_FINAL_F_CONF_ET_INTER!F6</f>
        <v/>
      </c>
      <c r="C74" s="71" t="str">
        <f>IF(PHASE_FINAL_F_CONF_ET_INTER!E6&lt;&gt;"",PHASE_FINAL_F_CONF_ET_INTER!E6,"")</f>
        <v/>
      </c>
      <c r="D74" s="66" t="s">
        <v>201</v>
      </c>
      <c r="E74" s="71" t="str">
        <f>IF(PHASE_FINAL_F_CONF_ET_INTER!E7&lt;&gt;"",PHASE_FINAL_F_CONF_ET_INTER!E7,"")</f>
        <v/>
      </c>
      <c r="F74" s="80" t="str">
        <f>PHASE_FINAL_F_CONF_ET_INTER!F7</f>
        <v/>
      </c>
      <c r="G74" s="80"/>
    </row>
    <row r="75" spans="1:7" x14ac:dyDescent="0.25">
      <c r="A75" s="80"/>
      <c r="B75" s="80" t="str">
        <f>PHASE_FINAL_F_CONF_ET_INTER!F14</f>
        <v/>
      </c>
      <c r="C75" s="71" t="str">
        <f>IF(PHASE_FINAL_F_CONF_ET_INTER!E14&lt;&gt;"",PHASE_FINAL_F_CONF_ET_INTER!E14,"")</f>
        <v/>
      </c>
      <c r="D75" s="66" t="s">
        <v>202</v>
      </c>
      <c r="E75" s="71" t="str">
        <f>IF(PHASE_FINAL_F_CONF_ET_INTER!E15&lt;&gt;"",PHASE_FINAL_F_CONF_ET_INTER!E15,"")</f>
        <v/>
      </c>
      <c r="F75" s="80" t="str">
        <f>PHASE_FINAL_F_CONF_ET_INTER!F15</f>
        <v/>
      </c>
      <c r="G75" s="80"/>
    </row>
    <row r="76" spans="1:7" x14ac:dyDescent="0.25">
      <c r="A76" s="80"/>
      <c r="B76" s="80" t="str">
        <f>PHASE_FINAL_F_CONF_ET_INTER!K23</f>
        <v/>
      </c>
      <c r="C76" s="71" t="str">
        <f>IF(PHASE_FINAL_F_CONF_ET_INTER!L23&lt;&gt;"",PHASE_FINAL_F_CONF_ET_INTER!L23,"")</f>
        <v/>
      </c>
      <c r="D76" s="66" t="s">
        <v>203</v>
      </c>
      <c r="E76" s="71" t="str">
        <f>IF(PHASE_FINAL_F_CONF_ET_INTER!L24&lt;&gt;"",PHASE_FINAL_F_CONF_ET_INTER!L24,"")</f>
        <v/>
      </c>
      <c r="F76" s="80" t="str">
        <f>PHASE_FINAL_F_CONF_ET_INTER!K24</f>
        <v/>
      </c>
      <c r="G76" s="80"/>
    </row>
    <row r="77" spans="1:7" x14ac:dyDescent="0.25">
      <c r="A77" s="80"/>
      <c r="B77" s="80" t="str">
        <f>PHASE_FINAL_F_CONF_ET_INTER!F23</f>
        <v/>
      </c>
      <c r="C77" s="71" t="str">
        <f>IF(PHASE_FINAL_F_CONF_ET_INTER!E23&lt;&gt;"",PHASE_FINAL_F_CONF_ET_INTER!E23,"")</f>
        <v/>
      </c>
      <c r="D77" s="66" t="s">
        <v>204</v>
      </c>
      <c r="E77" s="71" t="str">
        <f>IF(PHASE_FINAL_F_CONF_ET_INTER!E24&lt;&gt;"",PHASE_FINAL_F_CONF_ET_INTER!E24,"")</f>
        <v/>
      </c>
      <c r="F77" s="80" t="str">
        <f>PHASE_FINAL_F_CONF_ET_INTER!F24</f>
        <v/>
      </c>
      <c r="G77" s="80"/>
    </row>
    <row r="78" spans="1:7" x14ac:dyDescent="0.25">
      <c r="A78" s="80"/>
      <c r="B78" s="80" t="str">
        <f>MATCHS_14!B16 &amp; " &amp; " &amp; MATCHS_14!B17</f>
        <v>1M &amp; 8M</v>
      </c>
      <c r="C78" s="71"/>
      <c r="D78" s="66" t="s">
        <v>308</v>
      </c>
      <c r="E78" s="71"/>
      <c r="F78" s="80" t="str">
        <f>MATCHS_14!F16 &amp; " &amp; " &amp; MATCHS_14!F17</f>
        <v>7M &amp; 6M</v>
      </c>
      <c r="G78" s="80"/>
    </row>
    <row r="79" spans="1:7" x14ac:dyDescent="0.25">
      <c r="A79" s="80"/>
      <c r="B79" s="80" t="str">
        <f>MATCHS_14!B18 &amp; " &amp; " &amp; MATCHS_14!B19</f>
        <v>9M &amp; 10M</v>
      </c>
      <c r="C79" s="71"/>
      <c r="D79" s="66" t="s">
        <v>307</v>
      </c>
      <c r="E79" s="71"/>
      <c r="F79" s="80" t="str">
        <f>MATCHS_14!F18 &amp; " &amp; " &amp; MATCHS_14!F19</f>
        <v>5M &amp; 4M</v>
      </c>
      <c r="G79" s="80"/>
    </row>
    <row r="80" spans="1:7" x14ac:dyDescent="0.25">
      <c r="A80" s="110"/>
      <c r="B80" s="110" t="str">
        <f>MATCHS_14!B20 &amp; " &amp; " &amp; MATCHS_14!B21</f>
        <v>11M &amp; 12M</v>
      </c>
      <c r="C80" s="109"/>
      <c r="D80" s="78" t="s">
        <v>207</v>
      </c>
      <c r="E80" s="109"/>
      <c r="F80" s="110" t="str">
        <f>MATCHS_14!F20 &amp; " &amp; " &amp; MATCHS_14!F21</f>
        <v>3M &amp; 2M</v>
      </c>
      <c r="G80" s="110"/>
    </row>
    <row r="81" spans="1:7" x14ac:dyDescent="0.25">
      <c r="A81" s="78"/>
      <c r="B81" s="78"/>
      <c r="C81" s="67"/>
      <c r="D81" s="72">
        <f>0.641666666666664 + "00:12:00"</f>
        <v>0.64999999999999736</v>
      </c>
      <c r="E81" s="67"/>
      <c r="F81" s="78"/>
      <c r="G81" s="78"/>
    </row>
    <row r="82" spans="1:7" x14ac:dyDescent="0.25">
      <c r="A82" s="81"/>
      <c r="B82" s="81" t="str">
        <f>PHASE_FINAL_H_CONFIRME!N8</f>
        <v/>
      </c>
      <c r="C82" s="71" t="str">
        <f>IF(PHASE_FINAL_H_CONFIRME!O8&lt;&gt;"",PHASE_FINAL_H_CONFIRME!O8,"")</f>
        <v/>
      </c>
      <c r="D82" s="66" t="s">
        <v>186</v>
      </c>
      <c r="E82" s="71" t="str">
        <f>IF(PHASE_FINAL_H_CONFIRME!O9&lt;&gt;"",PHASE_FINAL_H_CONFIRME!O9,"")</f>
        <v/>
      </c>
      <c r="F82" s="81" t="str">
        <f>PHASE_FINAL_H_CONFIRME!N9</f>
        <v/>
      </c>
      <c r="G82" s="81"/>
    </row>
    <row r="83" spans="1:7" x14ac:dyDescent="0.25">
      <c r="A83" s="81"/>
      <c r="B83" s="81" t="str">
        <f>PHASE_FINAL_H_CONFIRME!N12</f>
        <v/>
      </c>
      <c r="C83" s="71" t="str">
        <f>IF(PHASE_FINAL_H_CONFIRME!O12&lt;&gt;"",PHASE_FINAL_H_CONFIRME!O12,"")</f>
        <v/>
      </c>
      <c r="D83" s="66" t="s">
        <v>187</v>
      </c>
      <c r="E83" s="71" t="str">
        <f>IF(PHASE_FINAL_H_CONFIRME!O13&lt;&gt;"",PHASE_FINAL_H_CONFIRME!O13,"")</f>
        <v/>
      </c>
      <c r="F83" s="81" t="str">
        <f>PHASE_FINAL_H_CONFIRME!N13</f>
        <v/>
      </c>
      <c r="G83" s="81"/>
    </row>
    <row r="84" spans="1:7" x14ac:dyDescent="0.25">
      <c r="A84" s="81"/>
      <c r="B84" s="81" t="str">
        <f>PHASE_FINAL_H_CONFIRME!C8</f>
        <v/>
      </c>
      <c r="C84" s="71" t="str">
        <f>IF(PHASE_FINAL_H_CONFIRME!B8&lt;&gt;"",PHASE_FINAL_H_CONFIRME!B8,"")</f>
        <v/>
      </c>
      <c r="D84" s="66" t="s">
        <v>188</v>
      </c>
      <c r="E84" s="71" t="str">
        <f>IF(PHASE_FINAL_H_CONFIRME!B9&lt;&gt;"",PHASE_FINAL_H_CONFIRME!B9,"")</f>
        <v/>
      </c>
      <c r="F84" s="81" t="str">
        <f>PHASE_FINAL_H_CONFIRME!C9</f>
        <v/>
      </c>
      <c r="G84" s="81"/>
    </row>
    <row r="85" spans="1:7" x14ac:dyDescent="0.25">
      <c r="A85" s="81"/>
      <c r="B85" s="81" t="str">
        <f>PHASE_FINAL_H_CONFIRME!C12</f>
        <v/>
      </c>
      <c r="C85" s="71" t="str">
        <f>IF(PHASE_FINAL_H_CONFIRME!B12&lt;&gt;"",PHASE_FINAL_H_CONFIRME!B12,"")</f>
        <v/>
      </c>
      <c r="D85" s="66" t="s">
        <v>189</v>
      </c>
      <c r="E85" s="71" t="str">
        <f>IF(PHASE_FINAL_H_CONFIRME!B13&lt;&gt;"",PHASE_FINAL_H_CONFIRME!B13,"")</f>
        <v/>
      </c>
      <c r="F85" s="81" t="str">
        <f>PHASE_FINAL_H_CONFIRME!C13</f>
        <v/>
      </c>
      <c r="G85" s="81"/>
    </row>
    <row r="86" spans="1:7" x14ac:dyDescent="0.25">
      <c r="A86" s="81"/>
      <c r="B86" s="81" t="str">
        <f>PHASE_FINAL_H_CONFIRME!N25</f>
        <v/>
      </c>
      <c r="C86" s="71" t="str">
        <f>IF(PHASE_FINAL_H_CONFIRME!O25&lt;&gt;"",PHASE_FINAL_H_CONFIRME!O25,"")</f>
        <v/>
      </c>
      <c r="D86" s="66" t="s">
        <v>190</v>
      </c>
      <c r="E86" s="71" t="str">
        <f>IF(PHASE_FINAL_H_CONFIRME!O26&lt;&gt;"",PHASE_FINAL_H_CONFIRME!O26,"")</f>
        <v/>
      </c>
      <c r="F86" s="81" t="str">
        <f>PHASE_FINAL_H_CONFIRME!N26</f>
        <v/>
      </c>
      <c r="G86" s="81"/>
    </row>
    <row r="87" spans="1:7" x14ac:dyDescent="0.25">
      <c r="A87" s="81"/>
      <c r="B87" s="81" t="str">
        <f>PHASE_FINAL_H_CONFIRME!N29</f>
        <v/>
      </c>
      <c r="C87" s="71" t="str">
        <f>IF(PHASE_FINAL_H_CONFIRME!O29&lt;&gt;"",PHASE_FINAL_H_CONFIRME!O29,"")</f>
        <v/>
      </c>
      <c r="D87" s="66" t="s">
        <v>191</v>
      </c>
      <c r="E87" s="71" t="str">
        <f>IF(PHASE_FINAL_H_CONFIRME!O30&lt;&gt;"",PHASE_FINAL_H_CONFIRME!O30,"")</f>
        <v/>
      </c>
      <c r="F87" s="81" t="str">
        <f>PHASE_FINAL_H_CONFIRME!N30</f>
        <v/>
      </c>
      <c r="G87" s="81"/>
    </row>
    <row r="88" spans="1:7" x14ac:dyDescent="0.25">
      <c r="A88" s="81"/>
      <c r="B88" s="81" t="str">
        <f>PHASE_FINAL_H_CONFIRME!C25</f>
        <v/>
      </c>
      <c r="C88" s="71" t="str">
        <f>IF(PHASE_FINAL_H_CONFIRME!B25&lt;&gt;"",PHASE_FINAL_H_CONFIRME!B25,"")</f>
        <v/>
      </c>
      <c r="D88" s="66" t="s">
        <v>192</v>
      </c>
      <c r="E88" s="71" t="str">
        <f>IF(PHASE_FINAL_H_CONFIRME!B26&lt;&gt;"",PHASE_FINAL_H_CONFIRME!B26,"")</f>
        <v/>
      </c>
      <c r="F88" s="81" t="str">
        <f>PHASE_FINAL_H_CONFIRME!C26</f>
        <v/>
      </c>
      <c r="G88" s="81"/>
    </row>
    <row r="89" spans="1:7" x14ac:dyDescent="0.25">
      <c r="A89" s="81"/>
      <c r="B89" s="81" t="str">
        <f>PHASE_FINAL_H_CONFIRME!C29</f>
        <v/>
      </c>
      <c r="C89" s="71" t="str">
        <f>IF(PHASE_FINAL_H_CONFIRME!B29&lt;&gt;"",PHASE_FINAL_H_CONFIRME!B29,"")</f>
        <v/>
      </c>
      <c r="D89" s="66" t="s">
        <v>193</v>
      </c>
      <c r="E89" s="71" t="str">
        <f>IF(PHASE_FINAL_H_CONFIRME!B30&lt;&gt;"",PHASE_FINAL_H_CONFIRME!B30,"")</f>
        <v/>
      </c>
      <c r="F89" s="81" t="str">
        <f>PHASE_FINAL_H_CONFIRME!C30</f>
        <v/>
      </c>
      <c r="G89" s="81"/>
    </row>
    <row r="90" spans="1:7" x14ac:dyDescent="0.25">
      <c r="A90" s="111"/>
      <c r="B90" s="111" t="s">
        <v>94</v>
      </c>
      <c r="C90" s="109"/>
      <c r="D90" s="78" t="s">
        <v>309</v>
      </c>
      <c r="E90" s="109"/>
      <c r="F90" s="111" t="s">
        <v>94</v>
      </c>
      <c r="G90" s="111"/>
    </row>
    <row r="91" spans="1:7" x14ac:dyDescent="0.25">
      <c r="A91" s="78"/>
      <c r="B91" s="78"/>
      <c r="C91" s="67"/>
      <c r="D91" s="72">
        <f>0.649999999999997 + "00:12:00"</f>
        <v>0.65833333333333033</v>
      </c>
      <c r="E91" s="67"/>
      <c r="F91" s="78"/>
      <c r="G91" s="78"/>
    </row>
    <row r="92" spans="1:7" x14ac:dyDescent="0.25">
      <c r="A92" s="81"/>
      <c r="B92" s="81" t="str">
        <f>PHASE_FINAL_H_CONFIRME!N42</f>
        <v/>
      </c>
      <c r="C92" s="71" t="str">
        <f>IF(PHASE_FINAL_H_CONFIRME!O42&lt;&gt;"",PHASE_FINAL_H_CONFIRME!O42,"")</f>
        <v/>
      </c>
      <c r="D92" s="66" t="s">
        <v>186</v>
      </c>
      <c r="E92" s="71" t="str">
        <f>IF(PHASE_FINAL_H_CONFIRME!O43&lt;&gt;"",PHASE_FINAL_H_CONFIRME!O43,"")</f>
        <v/>
      </c>
      <c r="F92" s="81" t="str">
        <f>PHASE_FINAL_H_CONFIRME!N43</f>
        <v/>
      </c>
      <c r="G92" s="81"/>
    </row>
    <row r="93" spans="1:7" x14ac:dyDescent="0.25">
      <c r="A93" s="81"/>
      <c r="B93" s="81" t="str">
        <f>PHASE_FINAL_H_CONFIRME!N46</f>
        <v/>
      </c>
      <c r="C93" s="71" t="str">
        <f>IF(PHASE_FINAL_H_CONFIRME!O46&lt;&gt;"",PHASE_FINAL_H_CONFIRME!O46,"")</f>
        <v/>
      </c>
      <c r="D93" s="66" t="s">
        <v>187</v>
      </c>
      <c r="E93" s="71" t="str">
        <f>IF(PHASE_FINAL_H_CONFIRME!O47&lt;&gt;"",PHASE_FINAL_H_CONFIRME!O47,"")</f>
        <v/>
      </c>
      <c r="F93" s="81" t="str">
        <f>PHASE_FINAL_H_CONFIRME!N47</f>
        <v/>
      </c>
      <c r="G93" s="81"/>
    </row>
    <row r="94" spans="1:7" x14ac:dyDescent="0.25">
      <c r="A94" s="81"/>
      <c r="B94" s="81" t="str">
        <f>PHASE_FINAL_H_CONFIRME!C42</f>
        <v/>
      </c>
      <c r="C94" s="71" t="str">
        <f>IF(PHASE_FINAL_H_CONFIRME!B42&lt;&gt;"",PHASE_FINAL_H_CONFIRME!B42,"")</f>
        <v/>
      </c>
      <c r="D94" s="66" t="s">
        <v>188</v>
      </c>
      <c r="E94" s="71" t="str">
        <f>IF(PHASE_FINAL_H_CONFIRME!B43&lt;&gt;"",PHASE_FINAL_H_CONFIRME!B43,"")</f>
        <v/>
      </c>
      <c r="F94" s="81" t="str">
        <f>PHASE_FINAL_H_CONFIRME!C43</f>
        <v/>
      </c>
      <c r="G94" s="81"/>
    </row>
    <row r="95" spans="1:7" x14ac:dyDescent="0.25">
      <c r="A95" s="81"/>
      <c r="B95" s="81" t="str">
        <f>PHASE_FINAL_H_CONFIRME!C46</f>
        <v/>
      </c>
      <c r="C95" s="71" t="str">
        <f>IF(PHASE_FINAL_H_CONFIRME!B46&lt;&gt;"",PHASE_FINAL_H_CONFIRME!B46,"")</f>
        <v/>
      </c>
      <c r="D95" s="66" t="s">
        <v>189</v>
      </c>
      <c r="E95" s="71" t="str">
        <f>IF(PHASE_FINAL_H_CONFIRME!B47&lt;&gt;"",PHASE_FINAL_H_CONFIRME!B47,"")</f>
        <v/>
      </c>
      <c r="F95" s="81" t="str">
        <f>PHASE_FINAL_H_CONFIRME!C47</f>
        <v/>
      </c>
      <c r="G95" s="81"/>
    </row>
    <row r="96" spans="1:7" x14ac:dyDescent="0.25">
      <c r="A96" s="81"/>
      <c r="B96" s="81" t="str">
        <f>PHASE_FINAL_H_CONFIRME!N59</f>
        <v/>
      </c>
      <c r="C96" s="71" t="str">
        <f>IF(PHASE_FINAL_H_CONFIRME!O59&lt;&gt;"",PHASE_FINAL_H_CONFIRME!O59,"")</f>
        <v/>
      </c>
      <c r="D96" s="66" t="s">
        <v>190</v>
      </c>
      <c r="E96" s="71" t="str">
        <f>IF(PHASE_FINAL_H_CONFIRME!O60&lt;&gt;"",PHASE_FINAL_H_CONFIRME!O60,"")</f>
        <v/>
      </c>
      <c r="F96" s="81" t="str">
        <f>PHASE_FINAL_H_CONFIRME!N60</f>
        <v/>
      </c>
      <c r="G96" s="81"/>
    </row>
    <row r="97" spans="1:7" x14ac:dyDescent="0.25">
      <c r="A97" s="81"/>
      <c r="B97" s="81" t="str">
        <f>PHASE_FINAL_H_CONFIRME!N63</f>
        <v/>
      </c>
      <c r="C97" s="71" t="str">
        <f>IF(PHASE_FINAL_H_CONFIRME!O63&lt;&gt;"",PHASE_FINAL_H_CONFIRME!O63,"")</f>
        <v/>
      </c>
      <c r="D97" s="66" t="s">
        <v>191</v>
      </c>
      <c r="E97" s="71" t="str">
        <f>IF(PHASE_FINAL_H_CONFIRME!O64&lt;&gt;"",PHASE_FINAL_H_CONFIRME!O64,"")</f>
        <v/>
      </c>
      <c r="F97" s="81" t="str">
        <f>PHASE_FINAL_H_CONFIRME!N64</f>
        <v/>
      </c>
      <c r="G97" s="81"/>
    </row>
    <row r="98" spans="1:7" x14ac:dyDescent="0.25">
      <c r="A98" s="81"/>
      <c r="B98" s="81" t="str">
        <f>PHASE_FINAL_H_CONFIRME!C59</f>
        <v/>
      </c>
      <c r="C98" s="71" t="str">
        <f>IF(PHASE_FINAL_H_CONFIRME!B59&lt;&gt;"",PHASE_FINAL_H_CONFIRME!B59,"")</f>
        <v/>
      </c>
      <c r="D98" s="66" t="s">
        <v>192</v>
      </c>
      <c r="E98" s="71" t="str">
        <f>IF(PHASE_FINAL_H_CONFIRME!B60&lt;&gt;"",PHASE_FINAL_H_CONFIRME!B60,"")</f>
        <v/>
      </c>
      <c r="F98" s="81" t="str">
        <f>PHASE_FINAL_H_CONFIRME!C60</f>
        <v/>
      </c>
      <c r="G98" s="81"/>
    </row>
    <row r="99" spans="1:7" x14ac:dyDescent="0.25">
      <c r="A99" s="81"/>
      <c r="B99" s="81" t="str">
        <f>PHASE_FINAL_H_CONFIRME!C63</f>
        <v/>
      </c>
      <c r="C99" s="71" t="str">
        <f>IF(PHASE_FINAL_H_CONFIRME!B63&lt;&gt;"",PHASE_FINAL_H_CONFIRME!B63,"")</f>
        <v/>
      </c>
      <c r="D99" s="66" t="s">
        <v>193</v>
      </c>
      <c r="E99" s="71" t="str">
        <f>IF(PHASE_FINAL_H_CONFIRME!B64&lt;&gt;"",PHASE_FINAL_H_CONFIRME!B64,"")</f>
        <v/>
      </c>
      <c r="F99" s="81" t="str">
        <f>PHASE_FINAL_H_CONFIRME!C64</f>
        <v/>
      </c>
      <c r="G99" s="81"/>
    </row>
    <row r="100" spans="1:7" x14ac:dyDescent="0.25">
      <c r="A100" s="111"/>
      <c r="B100" s="111" t="s">
        <v>94</v>
      </c>
      <c r="C100" s="109"/>
      <c r="D100" s="78" t="s">
        <v>309</v>
      </c>
      <c r="E100" s="109"/>
      <c r="F100" s="111" t="s">
        <v>94</v>
      </c>
      <c r="G100" s="111"/>
    </row>
    <row r="101" spans="1:7" x14ac:dyDescent="0.25">
      <c r="A101" s="78"/>
      <c r="B101" s="78"/>
      <c r="C101" s="67"/>
      <c r="D101" s="72">
        <f>0.65833333333333 + "00:12:00"</f>
        <v>0.6666666666666633</v>
      </c>
      <c r="E101" s="67"/>
      <c r="F101" s="78"/>
      <c r="G101" s="78"/>
    </row>
    <row r="102" spans="1:7" x14ac:dyDescent="0.25">
      <c r="A102" s="81"/>
      <c r="B102" s="81" t="str">
        <f>PHASE_FINAL_H_INTERMEDIAIRE!N8</f>
        <v/>
      </c>
      <c r="C102" s="71" t="str">
        <f>IF(PHASE_FINAL_H_INTERMEDIAIRE!O8&lt;&gt;"",PHASE_FINAL_H_INTERMEDIAIRE!O8,"")</f>
        <v/>
      </c>
      <c r="D102" s="66" t="s">
        <v>199</v>
      </c>
      <c r="E102" s="71" t="str">
        <f>IF(PHASE_FINAL_H_INTERMEDIAIRE!O9&lt;&gt;"",PHASE_FINAL_H_INTERMEDIAIRE!O9,"")</f>
        <v/>
      </c>
      <c r="F102" s="81" t="s">
        <v>94</v>
      </c>
      <c r="G102" s="81"/>
    </row>
    <row r="103" spans="1:7" x14ac:dyDescent="0.25">
      <c r="A103" s="81"/>
      <c r="B103" s="81" t="str">
        <f>PHASE_FINAL_H_INTERMEDIAIRE!N12</f>
        <v/>
      </c>
      <c r="C103" s="71" t="str">
        <f>IF(PHASE_FINAL_H_INTERMEDIAIRE!O12&lt;&gt;"",PHASE_FINAL_H_INTERMEDIAIRE!O12,"")</f>
        <v/>
      </c>
      <c r="D103" s="66" t="s">
        <v>200</v>
      </c>
      <c r="E103" s="71" t="str">
        <f>IF(PHASE_FINAL_H_INTERMEDIAIRE!O13&lt;&gt;"",PHASE_FINAL_H_INTERMEDIAIRE!O13,"")</f>
        <v/>
      </c>
      <c r="F103" s="81" t="str">
        <f>PHASE_FINAL_H_INTERMEDIAIRE!N13</f>
        <v/>
      </c>
      <c r="G103" s="81"/>
    </row>
    <row r="104" spans="1:7" x14ac:dyDescent="0.25">
      <c r="A104" s="81"/>
      <c r="B104" s="81" t="str">
        <f>PHASE_FINAL_H_INTERMEDIAIRE!C8</f>
        <v/>
      </c>
      <c r="C104" s="71" t="str">
        <f>IF(PHASE_FINAL_H_INTERMEDIAIRE!B8&lt;&gt;"",PHASE_FINAL_H_INTERMEDIAIRE!B8,"")</f>
        <v/>
      </c>
      <c r="D104" s="66" t="s">
        <v>209</v>
      </c>
      <c r="E104" s="71" t="str">
        <f>IF(PHASE_FINAL_H_INTERMEDIAIRE!B9&lt;&gt;"",PHASE_FINAL_H_INTERMEDIAIRE!B9,"")</f>
        <v/>
      </c>
      <c r="F104" s="81" t="str">
        <f>PHASE_FINAL_H_INTERMEDIAIRE!C9</f>
        <v/>
      </c>
      <c r="G104" s="81"/>
    </row>
    <row r="105" spans="1:7" x14ac:dyDescent="0.25">
      <c r="A105" s="81"/>
      <c r="B105" s="81" t="str">
        <f>PHASE_FINAL_H_INTERMEDIAIRE!C12</f>
        <v/>
      </c>
      <c r="C105" s="71" t="str">
        <f>IF(PHASE_FINAL_H_INTERMEDIAIRE!B12&lt;&gt;"",PHASE_FINAL_H_INTERMEDIAIRE!B12,"")</f>
        <v/>
      </c>
      <c r="D105" s="66" t="s">
        <v>212</v>
      </c>
      <c r="E105" s="71" t="str">
        <f>IF(PHASE_FINAL_H_INTERMEDIAIRE!B13&lt;&gt;"",PHASE_FINAL_H_INTERMEDIAIRE!B13,"")</f>
        <v/>
      </c>
      <c r="F105" s="81" t="str">
        <f>PHASE_FINAL_H_INTERMEDIAIRE!C13</f>
        <v/>
      </c>
      <c r="G105" s="81"/>
    </row>
    <row r="106" spans="1:7" x14ac:dyDescent="0.25">
      <c r="A106" s="81"/>
      <c r="B106" s="81" t="str">
        <f>PHASE_FINAL_H_INTERMEDIAIRE!N25</f>
        <v/>
      </c>
      <c r="C106" s="71" t="str">
        <f>IF(PHASE_FINAL_H_INTERMEDIAIRE!O25&lt;&gt;"",PHASE_FINAL_H_INTERMEDIAIRE!O25,"")</f>
        <v/>
      </c>
      <c r="D106" s="66" t="s">
        <v>215</v>
      </c>
      <c r="E106" s="71" t="str">
        <f>IF(PHASE_FINAL_H_INTERMEDIAIRE!O26&lt;&gt;"",PHASE_FINAL_H_INTERMEDIAIRE!O26,"")</f>
        <v/>
      </c>
      <c r="F106" s="81" t="str">
        <f>PHASE_FINAL_H_INTERMEDIAIRE!N26</f>
        <v/>
      </c>
      <c r="G106" s="81"/>
    </row>
    <row r="107" spans="1:7" x14ac:dyDescent="0.25">
      <c r="A107" s="81"/>
      <c r="B107" s="81" t="str">
        <f>PHASE_FINAL_H_INTERMEDIAIRE!N29</f>
        <v/>
      </c>
      <c r="C107" s="71" t="str">
        <f>IF(PHASE_FINAL_H_INTERMEDIAIRE!O29&lt;&gt;"",PHASE_FINAL_H_INTERMEDIAIRE!O29,"")</f>
        <v/>
      </c>
      <c r="D107" s="66" t="s">
        <v>195</v>
      </c>
      <c r="E107" s="71" t="str">
        <f>IF(PHASE_FINAL_H_INTERMEDIAIRE!O30&lt;&gt;"",PHASE_FINAL_H_INTERMEDIAIRE!O30,"")</f>
        <v/>
      </c>
      <c r="F107" s="81" t="str">
        <f>PHASE_FINAL_H_INTERMEDIAIRE!N30</f>
        <v/>
      </c>
      <c r="G107" s="81"/>
    </row>
    <row r="108" spans="1:7" x14ac:dyDescent="0.25">
      <c r="A108" s="81"/>
      <c r="B108" s="81" t="str">
        <f>PHASE_FINAL_H_INTERMEDIAIRE!C25</f>
        <v/>
      </c>
      <c r="C108" s="71" t="str">
        <f>IF(PHASE_FINAL_H_INTERMEDIAIRE!B25&lt;&gt;"",PHASE_FINAL_H_INTERMEDIAIRE!B25,"")</f>
        <v/>
      </c>
      <c r="D108" s="66" t="s">
        <v>196</v>
      </c>
      <c r="E108" s="71" t="str">
        <f>IF(PHASE_FINAL_H_INTERMEDIAIRE!B26&lt;&gt;"",PHASE_FINAL_H_INTERMEDIAIRE!B26,"")</f>
        <v/>
      </c>
      <c r="F108" s="81" t="str">
        <f>PHASE_FINAL_H_INTERMEDIAIRE!C26</f>
        <v/>
      </c>
      <c r="G108" s="81"/>
    </row>
    <row r="109" spans="1:7" x14ac:dyDescent="0.25">
      <c r="A109" s="81"/>
      <c r="B109" s="81" t="str">
        <f>PHASE_FINAL_H_INTERMEDIAIRE!C29</f>
        <v/>
      </c>
      <c r="C109" s="71" t="str">
        <f>IF(PHASE_FINAL_H_INTERMEDIAIRE!B29&lt;&gt;"",PHASE_FINAL_H_INTERMEDIAIRE!B29,"")</f>
        <v/>
      </c>
      <c r="D109" s="66" t="s">
        <v>197</v>
      </c>
      <c r="E109" s="71" t="str">
        <f>IF(PHASE_FINAL_H_INTERMEDIAIRE!B30&lt;&gt;"",PHASE_FINAL_H_INTERMEDIAIRE!B30,"")</f>
        <v/>
      </c>
      <c r="F109" s="81" t="str">
        <f>PHASE_FINAL_H_INTERMEDIAIRE!C30</f>
        <v/>
      </c>
      <c r="G109" s="81"/>
    </row>
    <row r="110" spans="1:7" x14ac:dyDescent="0.25">
      <c r="A110" s="111"/>
      <c r="B110" s="111" t="s">
        <v>94</v>
      </c>
      <c r="C110" s="109"/>
      <c r="D110" s="78" t="s">
        <v>309</v>
      </c>
      <c r="E110" s="109"/>
      <c r="F110" s="111"/>
      <c r="G110" s="111"/>
    </row>
    <row r="111" spans="1:7" x14ac:dyDescent="0.25">
      <c r="A111" s="78"/>
      <c r="B111" s="78"/>
      <c r="C111" s="67"/>
      <c r="D111" s="72">
        <f>0.666666666666663 + "00:12:00"</f>
        <v>0.67499999999999627</v>
      </c>
      <c r="E111" s="67"/>
      <c r="F111" s="78"/>
      <c r="G111" s="78"/>
    </row>
    <row r="112" spans="1:7" x14ac:dyDescent="0.25">
      <c r="A112" s="81"/>
      <c r="B112" s="81" t="str">
        <f>PHASE_FINAL_F_CONF_ET_INTER!N8</f>
        <v/>
      </c>
      <c r="C112" s="71" t="str">
        <f>IF(PHASE_FINAL_F_CONF_ET_INTER!O8&lt;&gt;"",PHASE_FINAL_F_CONF_ET_INTER!O8,"")</f>
        <v/>
      </c>
      <c r="D112" s="66" t="s">
        <v>213</v>
      </c>
      <c r="E112" s="71" t="str">
        <f>IF(PHASE_FINAL_F_CONF_ET_INTER!O9&lt;&gt;"",PHASE_FINAL_F_CONF_ET_INTER!O9,"")</f>
        <v/>
      </c>
      <c r="F112" s="81" t="str">
        <f>PHASE_FINAL_F_CONF_ET_INTER!N9</f>
        <v/>
      </c>
      <c r="G112" s="81"/>
    </row>
    <row r="113" spans="1:7" x14ac:dyDescent="0.25">
      <c r="A113" s="81"/>
      <c r="B113" s="81" t="str">
        <f>PHASE_FINAL_F_CONF_ET_INTER!N12</f>
        <v/>
      </c>
      <c r="C113" s="71" t="str">
        <f>IF(PHASE_FINAL_F_CONF_ET_INTER!O12&lt;&gt;"",PHASE_FINAL_F_CONF_ET_INTER!O12,"")</f>
        <v/>
      </c>
      <c r="D113" s="66" t="s">
        <v>216</v>
      </c>
      <c r="E113" s="71" t="str">
        <f>IF(PHASE_FINAL_F_CONF_ET_INTER!O13&lt;&gt;"",PHASE_FINAL_F_CONF_ET_INTER!O13,"")</f>
        <v/>
      </c>
      <c r="F113" s="81" t="str">
        <f>PHASE_FINAL_F_CONF_ET_INTER!N13</f>
        <v/>
      </c>
      <c r="G113" s="81"/>
    </row>
    <row r="114" spans="1:7" x14ac:dyDescent="0.25">
      <c r="A114" s="81"/>
      <c r="B114" s="81" t="str">
        <f>PHASE_FINAL_F_CONF_ET_INTER!C8</f>
        <v/>
      </c>
      <c r="C114" s="71" t="str">
        <f>IF(PHASE_FINAL_F_CONF_ET_INTER!B8&lt;&gt;"",PHASE_FINAL_F_CONF_ET_INTER!B8,"")</f>
        <v/>
      </c>
      <c r="D114" s="66" t="s">
        <v>201</v>
      </c>
      <c r="E114" s="71" t="str">
        <f>IF(PHASE_FINAL_F_CONF_ET_INTER!B9&lt;&gt;"",PHASE_FINAL_F_CONF_ET_INTER!B9,"")</f>
        <v/>
      </c>
      <c r="F114" s="81" t="str">
        <f>PHASE_FINAL_F_CONF_ET_INTER!C9</f>
        <v/>
      </c>
      <c r="G114" s="81"/>
    </row>
    <row r="115" spans="1:7" x14ac:dyDescent="0.25">
      <c r="A115" s="81"/>
      <c r="B115" s="81" t="str">
        <f>PHASE_FINAL_F_CONF_ET_INTER!C12</f>
        <v/>
      </c>
      <c r="C115" s="71" t="str">
        <f>IF(PHASE_FINAL_F_CONF_ET_INTER!B12&lt;&gt;"",PHASE_FINAL_F_CONF_ET_INTER!B12,"")</f>
        <v/>
      </c>
      <c r="D115" s="66" t="s">
        <v>202</v>
      </c>
      <c r="E115" s="71" t="str">
        <f>IF(PHASE_FINAL_F_CONF_ET_INTER!B13&lt;&gt;"",PHASE_FINAL_F_CONF_ET_INTER!B13,"")</f>
        <v/>
      </c>
      <c r="F115" s="81" t="str">
        <f>PHASE_FINAL_F_CONF_ET_INTER!C13</f>
        <v/>
      </c>
      <c r="G115" s="81"/>
    </row>
    <row r="116" spans="1:7" x14ac:dyDescent="0.25">
      <c r="A116" s="81"/>
      <c r="B116" s="81" t="str">
        <f>PHASE_FINAL_F_CONF_ET_INTER!N25</f>
        <v/>
      </c>
      <c r="C116" s="71" t="str">
        <f>IF(PHASE_FINAL_F_CONF_ET_INTER!O25&lt;&gt;"",PHASE_FINAL_F_CONF_ET_INTER!O25,"")</f>
        <v/>
      </c>
      <c r="D116" s="66" t="s">
        <v>203</v>
      </c>
      <c r="E116" s="71" t="str">
        <f>IF(PHASE_FINAL_F_CONF_ET_INTER!O26&lt;&gt;"",PHASE_FINAL_F_CONF_ET_INTER!O26,"")</f>
        <v/>
      </c>
      <c r="F116" s="81" t="str">
        <f>PHASE_FINAL_F_CONF_ET_INTER!N26</f>
        <v/>
      </c>
      <c r="G116" s="81"/>
    </row>
    <row r="117" spans="1:7" x14ac:dyDescent="0.25">
      <c r="A117" s="81"/>
      <c r="B117" s="81" t="str">
        <f>PHASE_FINAL_F_CONF_ET_INTER!C25</f>
        <v/>
      </c>
      <c r="C117" s="71" t="str">
        <f>IF(PHASE_FINAL_F_CONF_ET_INTER!B25&lt;&gt;"",PHASE_FINAL_F_CONF_ET_INTER!B25,"")</f>
        <v/>
      </c>
      <c r="D117" s="66" t="s">
        <v>204</v>
      </c>
      <c r="E117" s="71" t="str">
        <f>IF(PHASE_FINAL_F_CONF_ET_INTER!B26&lt;&gt;"",PHASE_FINAL_F_CONF_ET_INTER!B26,"")</f>
        <v/>
      </c>
      <c r="F117" s="81" t="str">
        <f>PHASE_FINAL_F_CONF_ET_INTER!C26</f>
        <v/>
      </c>
      <c r="G117" s="81"/>
    </row>
    <row r="118" spans="1:7" x14ac:dyDescent="0.25">
      <c r="A118" s="81"/>
      <c r="B118" s="81" t="str">
        <f>MATCHS_14!B23 &amp; " &amp; " &amp; MATCHS_14!B24</f>
        <v>1M &amp; 6M</v>
      </c>
      <c r="C118" s="71"/>
      <c r="D118" s="66" t="s">
        <v>308</v>
      </c>
      <c r="E118" s="71"/>
      <c r="F118" s="81" t="str">
        <f>MATCHS_14!F23 &amp; " &amp; " &amp; MATCHS_14!F24</f>
        <v>5M &amp; 4M</v>
      </c>
      <c r="G118" s="81"/>
    </row>
    <row r="119" spans="1:7" x14ac:dyDescent="0.25">
      <c r="A119" s="81"/>
      <c r="B119" s="81" t="str">
        <f>MATCHS_14!B25 &amp; " &amp; " &amp; MATCHS_14!B26</f>
        <v>7M &amp; 8M</v>
      </c>
      <c r="C119" s="71"/>
      <c r="D119" s="66" t="s">
        <v>307</v>
      </c>
      <c r="E119" s="71"/>
      <c r="F119" s="81" t="str">
        <f>MATCHS_14!F25 &amp; " &amp; " &amp; MATCHS_14!F26</f>
        <v>3M &amp; 2M</v>
      </c>
      <c r="G119" s="81"/>
    </row>
    <row r="120" spans="1:7" x14ac:dyDescent="0.25">
      <c r="A120" s="111"/>
      <c r="B120" s="81" t="str">
        <f>MATCHS_14!B27 &amp; " &amp; " &amp; MATCHS_14!B28</f>
        <v>9M &amp; 10M</v>
      </c>
      <c r="C120" s="109"/>
      <c r="D120" s="78" t="s">
        <v>207</v>
      </c>
      <c r="E120" s="109"/>
      <c r="F120" s="81" t="str">
        <f>MATCHS_14!F27 &amp; " &amp; " &amp; MATCHS_14!F28</f>
        <v>14M &amp; 13M</v>
      </c>
      <c r="G120" s="111"/>
    </row>
    <row r="121" spans="1:7" x14ac:dyDescent="0.25">
      <c r="A121" s="78"/>
      <c r="B121" s="78"/>
      <c r="C121" s="67"/>
      <c r="D121" s="72">
        <f>0.674999999999996 + "00:12:00"</f>
        <v>0.68333333333332935</v>
      </c>
      <c r="E121" s="67"/>
      <c r="F121" s="78"/>
      <c r="G121" s="78"/>
    </row>
    <row r="131" spans="4:4" x14ac:dyDescent="0.25">
      <c r="D131" s="47">
        <f>0.697916666666671 + "00:15:00"</f>
        <v>0.70833333333333759</v>
      </c>
    </row>
    <row r="141" spans="4:4" x14ac:dyDescent="0.25">
      <c r="D141" s="47">
        <f>0.708333333333338 + "00:15:00"</f>
        <v>0.71875000000000466</v>
      </c>
    </row>
    <row r="151" spans="4:4" x14ac:dyDescent="0.25">
      <c r="D151" s="47">
        <f>0.718750000000005 + "00:15:00"</f>
        <v>0.72916666666667163</v>
      </c>
    </row>
    <row r="161" spans="4:4" x14ac:dyDescent="0.25">
      <c r="D161" s="47">
        <f>0.729166666666672 + "00:15:00"</f>
        <v>0.73958333333333859</v>
      </c>
    </row>
    <row r="171" spans="4:4" x14ac:dyDescent="0.25">
      <c r="D171" s="47">
        <f>0.739583333333339 + "00:15:00"</f>
        <v>0.75000000000000566</v>
      </c>
    </row>
    <row r="181" spans="4:4" x14ac:dyDescent="0.25">
      <c r="D181" s="47">
        <f>0.750000000000006 + "00:15:00"</f>
        <v>0.76041666666667262</v>
      </c>
    </row>
    <row r="191" spans="4:4" x14ac:dyDescent="0.25">
      <c r="D191" s="47">
        <f>0.760416666666673 + "00:15:00"</f>
        <v>0.77083333333333959</v>
      </c>
    </row>
    <row r="201" spans="4:4" x14ac:dyDescent="0.25">
      <c r="D201" s="47">
        <f>0.77083333333334 + "00:15:00"</f>
        <v>0.78125000000000666</v>
      </c>
    </row>
    <row r="211" spans="4:4" x14ac:dyDescent="0.25">
      <c r="D211" s="47">
        <f>0.781250000000007 + "00:15:00"</f>
        <v>0.79166666666667362</v>
      </c>
    </row>
    <row r="221" spans="4:4" x14ac:dyDescent="0.25">
      <c r="D221" s="47">
        <f>0.791666666666674 + "00:15:00"</f>
        <v>0.80208333333334059</v>
      </c>
    </row>
    <row r="231" spans="4:4" x14ac:dyDescent="0.25">
      <c r="D231" s="47">
        <f>0.802083333333341 + "00:15:00"</f>
        <v>0.81250000000000766</v>
      </c>
    </row>
  </sheetData>
  <conditionalFormatting sqref="C2">
    <cfRule type="expression" dxfId="383" priority="383">
      <formula>$C2&lt;$E2</formula>
    </cfRule>
    <cfRule type="expression" dxfId="382" priority="384">
      <formula>$C2&gt;$E2</formula>
    </cfRule>
  </conditionalFormatting>
  <conditionalFormatting sqref="C3">
    <cfRule type="expression" dxfId="381" priority="381">
      <formula>$C3&lt;$E3</formula>
    </cfRule>
    <cfRule type="expression" dxfId="380" priority="382">
      <formula>$C3&gt;$E3</formula>
    </cfRule>
  </conditionalFormatting>
  <conditionalFormatting sqref="C4">
    <cfRule type="expression" dxfId="379" priority="379">
      <formula>$C4&lt;$E4</formula>
    </cfRule>
    <cfRule type="expression" dxfId="378" priority="380">
      <formula>$C4&gt;$E4</formula>
    </cfRule>
  </conditionalFormatting>
  <conditionalFormatting sqref="C5">
    <cfRule type="expression" dxfId="377" priority="377">
      <formula>$C5&lt;$E5</formula>
    </cfRule>
    <cfRule type="expression" dxfId="376" priority="378">
      <formula>$C5&gt;$E5</formula>
    </cfRule>
  </conditionalFormatting>
  <conditionalFormatting sqref="C6">
    <cfRule type="expression" dxfId="375" priority="375">
      <formula>$C6&lt;$E6</formula>
    </cfRule>
    <cfRule type="expression" dxfId="374" priority="376">
      <formula>$C6&gt;$E6</formula>
    </cfRule>
  </conditionalFormatting>
  <conditionalFormatting sqref="C7">
    <cfRule type="expression" dxfId="373" priority="373">
      <formula>$C7&lt;$E7</formula>
    </cfRule>
    <cfRule type="expression" dxfId="372" priority="374">
      <formula>$C7&gt;$E7</formula>
    </cfRule>
  </conditionalFormatting>
  <conditionalFormatting sqref="C8">
    <cfRule type="expression" dxfId="371" priority="371">
      <formula>$C8&lt;$E8</formula>
    </cfRule>
    <cfRule type="expression" dxfId="370" priority="372">
      <formula>$C8&gt;$E8</formula>
    </cfRule>
  </conditionalFormatting>
  <conditionalFormatting sqref="C9:C10">
    <cfRule type="expression" dxfId="369" priority="369">
      <formula>$C9&lt;$E9</formula>
    </cfRule>
    <cfRule type="expression" dxfId="368" priority="370">
      <formula>$C9&gt;$E9</formula>
    </cfRule>
  </conditionalFormatting>
  <conditionalFormatting sqref="C12">
    <cfRule type="expression" dxfId="367" priority="367">
      <formula>$C12&lt;$E12</formula>
    </cfRule>
    <cfRule type="expression" dxfId="366" priority="368">
      <formula>$C12&gt;$E12</formula>
    </cfRule>
  </conditionalFormatting>
  <conditionalFormatting sqref="C13">
    <cfRule type="expression" dxfId="365" priority="365">
      <formula>$C13&lt;$E13</formula>
    </cfRule>
    <cfRule type="expression" dxfId="364" priority="366">
      <formula>$C13&gt;$E13</formula>
    </cfRule>
  </conditionalFormatting>
  <conditionalFormatting sqref="C14">
    <cfRule type="expression" dxfId="363" priority="364">
      <formula>$C14&gt;$E14</formula>
    </cfRule>
  </conditionalFormatting>
  <conditionalFormatting sqref="C14">
    <cfRule type="expression" dxfId="362" priority="363">
      <formula>$C14&lt;$E14</formula>
    </cfRule>
  </conditionalFormatting>
  <conditionalFormatting sqref="C15">
    <cfRule type="expression" dxfId="361" priority="362">
      <formula>$C15&gt;$E15</formula>
    </cfRule>
  </conditionalFormatting>
  <conditionalFormatting sqref="C15">
    <cfRule type="expression" dxfId="360" priority="361">
      <formula>$C15&lt;$E15</formula>
    </cfRule>
  </conditionalFormatting>
  <conditionalFormatting sqref="C16">
    <cfRule type="expression" dxfId="359" priority="360">
      <formula>$C16&gt;$E16</formula>
    </cfRule>
  </conditionalFormatting>
  <conditionalFormatting sqref="C16">
    <cfRule type="expression" dxfId="358" priority="359">
      <formula>$C16&lt;$E16</formula>
    </cfRule>
  </conditionalFormatting>
  <conditionalFormatting sqref="C17">
    <cfRule type="expression" dxfId="357" priority="358">
      <formula>$C17&gt;$E17</formula>
    </cfRule>
  </conditionalFormatting>
  <conditionalFormatting sqref="C17">
    <cfRule type="expression" dxfId="356" priority="357">
      <formula>$C17&lt;$E17</formula>
    </cfRule>
  </conditionalFormatting>
  <conditionalFormatting sqref="C18">
    <cfRule type="expression" dxfId="355" priority="356">
      <formula>$C18&gt;$E18</formula>
    </cfRule>
  </conditionalFormatting>
  <conditionalFormatting sqref="C18">
    <cfRule type="expression" dxfId="354" priority="355">
      <formula>$C18&lt;$E18</formula>
    </cfRule>
  </conditionalFormatting>
  <conditionalFormatting sqref="C19:C20">
    <cfRule type="expression" dxfId="353" priority="354">
      <formula>$C19&gt;$E19</formula>
    </cfRule>
  </conditionalFormatting>
  <conditionalFormatting sqref="C19:C20">
    <cfRule type="expression" dxfId="352" priority="353">
      <formula>$C19&lt;$E19</formula>
    </cfRule>
  </conditionalFormatting>
  <conditionalFormatting sqref="C22">
    <cfRule type="expression" dxfId="351" priority="352">
      <formula>$C22&gt;$E22</formula>
    </cfRule>
  </conditionalFormatting>
  <conditionalFormatting sqref="C22">
    <cfRule type="expression" dxfId="350" priority="351">
      <formula>$C22&lt;$E22</formula>
    </cfRule>
  </conditionalFormatting>
  <conditionalFormatting sqref="C23">
    <cfRule type="expression" dxfId="349" priority="350">
      <formula>$C23&gt;$E23</formula>
    </cfRule>
  </conditionalFormatting>
  <conditionalFormatting sqref="C23">
    <cfRule type="expression" dxfId="348" priority="349">
      <formula>$C23&lt;$E23</formula>
    </cfRule>
  </conditionalFormatting>
  <conditionalFormatting sqref="C24">
    <cfRule type="expression" dxfId="347" priority="348">
      <formula>$C24&gt;$E24</formula>
    </cfRule>
  </conditionalFormatting>
  <conditionalFormatting sqref="C24">
    <cfRule type="expression" dxfId="346" priority="347">
      <formula>$C24&lt;$E24</formula>
    </cfRule>
  </conditionalFormatting>
  <conditionalFormatting sqref="C25">
    <cfRule type="expression" dxfId="345" priority="346">
      <formula>$C25&gt;$E25</formula>
    </cfRule>
  </conditionalFormatting>
  <conditionalFormatting sqref="C25">
    <cfRule type="expression" dxfId="344" priority="345">
      <formula>$C25&lt;$E25</formula>
    </cfRule>
  </conditionalFormatting>
  <conditionalFormatting sqref="C26">
    <cfRule type="expression" dxfId="343" priority="344">
      <formula>$C26&gt;$E26</formula>
    </cfRule>
  </conditionalFormatting>
  <conditionalFormatting sqref="C26">
    <cfRule type="expression" dxfId="342" priority="343">
      <formula>$C26&lt;$E26</formula>
    </cfRule>
  </conditionalFormatting>
  <conditionalFormatting sqref="C27">
    <cfRule type="expression" dxfId="341" priority="342">
      <formula>$C27&gt;$E27</formula>
    </cfRule>
  </conditionalFormatting>
  <conditionalFormatting sqref="C27">
    <cfRule type="expression" dxfId="340" priority="341">
      <formula>$C27&lt;$E27</formula>
    </cfRule>
  </conditionalFormatting>
  <conditionalFormatting sqref="C28">
    <cfRule type="expression" dxfId="339" priority="340">
      <formula>$C28&gt;$E28</formula>
    </cfRule>
  </conditionalFormatting>
  <conditionalFormatting sqref="C28">
    <cfRule type="expression" dxfId="338" priority="339">
      <formula>$C28&lt;$E28</formula>
    </cfRule>
  </conditionalFormatting>
  <conditionalFormatting sqref="C29:C30">
    <cfRule type="expression" dxfId="337" priority="338">
      <formula>$C29&gt;$E29</formula>
    </cfRule>
  </conditionalFormatting>
  <conditionalFormatting sqref="C29:C30">
    <cfRule type="expression" dxfId="336" priority="337">
      <formula>$C29&lt;$E29</formula>
    </cfRule>
  </conditionalFormatting>
  <conditionalFormatting sqref="C32">
    <cfRule type="expression" dxfId="335" priority="336">
      <formula>$C32&gt;$E32</formula>
    </cfRule>
  </conditionalFormatting>
  <conditionalFormatting sqref="C32">
    <cfRule type="expression" dxfId="334" priority="335">
      <formula>$C32&lt;$E32</formula>
    </cfRule>
  </conditionalFormatting>
  <conditionalFormatting sqref="C33">
    <cfRule type="expression" dxfId="333" priority="334">
      <formula>$C33&gt;$E33</formula>
    </cfRule>
  </conditionalFormatting>
  <conditionalFormatting sqref="C33">
    <cfRule type="expression" dxfId="332" priority="333">
      <formula>$C33&lt;$E33</formula>
    </cfRule>
  </conditionalFormatting>
  <conditionalFormatting sqref="C34">
    <cfRule type="expression" dxfId="331" priority="332">
      <formula>$C34&gt;$E34</formula>
    </cfRule>
  </conditionalFormatting>
  <conditionalFormatting sqref="C34">
    <cfRule type="expression" dxfId="330" priority="331">
      <formula>$C34&lt;$E34</formula>
    </cfRule>
  </conditionalFormatting>
  <conditionalFormatting sqref="C35">
    <cfRule type="expression" dxfId="329" priority="330">
      <formula>$C35&gt;$E35</formula>
    </cfRule>
  </conditionalFormatting>
  <conditionalFormatting sqref="C35">
    <cfRule type="expression" dxfId="328" priority="329">
      <formula>$C35&lt;$E35</formula>
    </cfRule>
  </conditionalFormatting>
  <conditionalFormatting sqref="C36">
    <cfRule type="expression" dxfId="327" priority="328">
      <formula>$C36&gt;$E36</formula>
    </cfRule>
  </conditionalFormatting>
  <conditionalFormatting sqref="C36">
    <cfRule type="expression" dxfId="326" priority="327">
      <formula>$C36&lt;$E36</formula>
    </cfRule>
  </conditionalFormatting>
  <conditionalFormatting sqref="C37">
    <cfRule type="expression" dxfId="325" priority="326">
      <formula>$C37&gt;$E37</formula>
    </cfRule>
  </conditionalFormatting>
  <conditionalFormatting sqref="C37">
    <cfRule type="expression" dxfId="324" priority="325">
      <formula>$C37&lt;$E37</formula>
    </cfRule>
  </conditionalFormatting>
  <conditionalFormatting sqref="C38">
    <cfRule type="expression" dxfId="323" priority="324">
      <formula>$C38&gt;$E38</formula>
    </cfRule>
  </conditionalFormatting>
  <conditionalFormatting sqref="C38">
    <cfRule type="expression" dxfId="322" priority="323">
      <formula>$C38&lt;$E38</formula>
    </cfRule>
  </conditionalFormatting>
  <conditionalFormatting sqref="C39:C40">
    <cfRule type="expression" dxfId="321" priority="322">
      <formula>$C39&gt;$E39</formula>
    </cfRule>
  </conditionalFormatting>
  <conditionalFormatting sqref="C39:C40">
    <cfRule type="expression" dxfId="320" priority="321">
      <formula>$C39&lt;$E39</formula>
    </cfRule>
  </conditionalFormatting>
  <conditionalFormatting sqref="C42">
    <cfRule type="expression" dxfId="319" priority="320">
      <formula>$C42&gt;$E42</formula>
    </cfRule>
  </conditionalFormatting>
  <conditionalFormatting sqref="C42">
    <cfRule type="expression" dxfId="318" priority="319">
      <formula>$C42&lt;$E42</formula>
    </cfRule>
  </conditionalFormatting>
  <conditionalFormatting sqref="C43">
    <cfRule type="expression" dxfId="317" priority="318">
      <formula>$C43&gt;$E43</formula>
    </cfRule>
  </conditionalFormatting>
  <conditionalFormatting sqref="C43">
    <cfRule type="expression" dxfId="316" priority="317">
      <formula>$C43&lt;$E43</formula>
    </cfRule>
  </conditionalFormatting>
  <conditionalFormatting sqref="C44">
    <cfRule type="expression" dxfId="315" priority="316">
      <formula>$C44&gt;$E44</formula>
    </cfRule>
  </conditionalFormatting>
  <conditionalFormatting sqref="C44">
    <cfRule type="expression" dxfId="314" priority="315">
      <formula>$C44&lt;$E44</formula>
    </cfRule>
  </conditionalFormatting>
  <conditionalFormatting sqref="C45">
    <cfRule type="expression" dxfId="313" priority="314">
      <formula>$C45&gt;$E45</formula>
    </cfRule>
  </conditionalFormatting>
  <conditionalFormatting sqref="C45">
    <cfRule type="expression" dxfId="312" priority="313">
      <formula>$C45&lt;$E45</formula>
    </cfRule>
  </conditionalFormatting>
  <conditionalFormatting sqref="C46">
    <cfRule type="expression" dxfId="311" priority="312">
      <formula>$C46&gt;$E46</formula>
    </cfRule>
  </conditionalFormatting>
  <conditionalFormatting sqref="C46">
    <cfRule type="expression" dxfId="310" priority="311">
      <formula>$C46&lt;$E46</formula>
    </cfRule>
  </conditionalFormatting>
  <conditionalFormatting sqref="C47">
    <cfRule type="expression" dxfId="309" priority="310">
      <formula>$C47&gt;$E47</formula>
    </cfRule>
  </conditionalFormatting>
  <conditionalFormatting sqref="C47">
    <cfRule type="expression" dxfId="308" priority="309">
      <formula>$C47&lt;$E47</formula>
    </cfRule>
  </conditionalFormatting>
  <conditionalFormatting sqref="C48">
    <cfRule type="expression" dxfId="307" priority="308">
      <formula>$C48&gt;$E48</formula>
    </cfRule>
  </conditionalFormatting>
  <conditionalFormatting sqref="C48">
    <cfRule type="expression" dxfId="306" priority="307">
      <formula>$C48&lt;$E48</formula>
    </cfRule>
  </conditionalFormatting>
  <conditionalFormatting sqref="C49:C50">
    <cfRule type="expression" dxfId="305" priority="306">
      <formula>$C49&gt;$E49</formula>
    </cfRule>
  </conditionalFormatting>
  <conditionalFormatting sqref="C49:C50">
    <cfRule type="expression" dxfId="304" priority="305">
      <formula>$C49&lt;$E49</formula>
    </cfRule>
  </conditionalFormatting>
  <conditionalFormatting sqref="C52">
    <cfRule type="expression" dxfId="303" priority="304">
      <formula>$C52&gt;$E52</formula>
    </cfRule>
  </conditionalFormatting>
  <conditionalFormatting sqref="C52">
    <cfRule type="expression" dxfId="302" priority="303">
      <formula>$C52&lt;$E52</formula>
    </cfRule>
  </conditionalFormatting>
  <conditionalFormatting sqref="C53">
    <cfRule type="expression" dxfId="301" priority="302">
      <formula>$C53&gt;$E53</formula>
    </cfRule>
  </conditionalFormatting>
  <conditionalFormatting sqref="C53">
    <cfRule type="expression" dxfId="300" priority="301">
      <formula>$C53&lt;$E53</formula>
    </cfRule>
  </conditionalFormatting>
  <conditionalFormatting sqref="C54">
    <cfRule type="expression" dxfId="299" priority="300">
      <formula>$C54&gt;$E54</formula>
    </cfRule>
  </conditionalFormatting>
  <conditionalFormatting sqref="C54">
    <cfRule type="expression" dxfId="298" priority="299">
      <formula>$C54&lt;$E54</formula>
    </cfRule>
  </conditionalFormatting>
  <conditionalFormatting sqref="C55">
    <cfRule type="expression" dxfId="297" priority="298">
      <formula>$C55&gt;$E55</formula>
    </cfRule>
  </conditionalFormatting>
  <conditionalFormatting sqref="C55">
    <cfRule type="expression" dxfId="296" priority="297">
      <formula>$C55&lt;$E55</formula>
    </cfRule>
  </conditionalFormatting>
  <conditionalFormatting sqref="C56">
    <cfRule type="expression" dxfId="295" priority="296">
      <formula>$C56&gt;$E56</formula>
    </cfRule>
  </conditionalFormatting>
  <conditionalFormatting sqref="C56">
    <cfRule type="expression" dxfId="294" priority="295">
      <formula>$C56&lt;$E56</formula>
    </cfRule>
  </conditionalFormatting>
  <conditionalFormatting sqref="C57">
    <cfRule type="expression" dxfId="293" priority="294">
      <formula>$C57&gt;$E57</formula>
    </cfRule>
  </conditionalFormatting>
  <conditionalFormatting sqref="C57">
    <cfRule type="expression" dxfId="292" priority="293">
      <formula>$C57&lt;$E57</formula>
    </cfRule>
  </conditionalFormatting>
  <conditionalFormatting sqref="C58">
    <cfRule type="expression" dxfId="291" priority="292">
      <formula>$C58&gt;$E58</formula>
    </cfRule>
  </conditionalFormatting>
  <conditionalFormatting sqref="C58">
    <cfRule type="expression" dxfId="290" priority="291">
      <formula>$C58&lt;$E58</formula>
    </cfRule>
  </conditionalFormatting>
  <conditionalFormatting sqref="C59:C60">
    <cfRule type="expression" dxfId="289" priority="290">
      <formula>$C59&gt;$E59</formula>
    </cfRule>
  </conditionalFormatting>
  <conditionalFormatting sqref="C59:C60">
    <cfRule type="expression" dxfId="288" priority="289">
      <formula>$C59&lt;$E59</formula>
    </cfRule>
  </conditionalFormatting>
  <conditionalFormatting sqref="C62">
    <cfRule type="expression" dxfId="287" priority="288">
      <formula>$C62&gt;$E62</formula>
    </cfRule>
  </conditionalFormatting>
  <conditionalFormatting sqref="C62">
    <cfRule type="expression" dxfId="286" priority="287">
      <formula>$C62&lt;$E62</formula>
    </cfRule>
  </conditionalFormatting>
  <conditionalFormatting sqref="C63">
    <cfRule type="expression" dxfId="285" priority="286">
      <formula>$C63&gt;$E63</formula>
    </cfRule>
  </conditionalFormatting>
  <conditionalFormatting sqref="C63">
    <cfRule type="expression" dxfId="284" priority="285">
      <formula>$C63&lt;$E63</formula>
    </cfRule>
  </conditionalFormatting>
  <conditionalFormatting sqref="C64">
    <cfRule type="expression" dxfId="283" priority="284">
      <formula>$C64&gt;$E64</formula>
    </cfRule>
  </conditionalFormatting>
  <conditionalFormatting sqref="C64">
    <cfRule type="expression" dxfId="282" priority="283">
      <formula>$C64&lt;$E64</formula>
    </cfRule>
  </conditionalFormatting>
  <conditionalFormatting sqref="C65">
    <cfRule type="expression" dxfId="281" priority="282">
      <formula>$C65&gt;$E65</formula>
    </cfRule>
  </conditionalFormatting>
  <conditionalFormatting sqref="C65">
    <cfRule type="expression" dxfId="280" priority="281">
      <formula>$C65&lt;$E65</formula>
    </cfRule>
  </conditionalFormatting>
  <conditionalFormatting sqref="C66">
    <cfRule type="expression" dxfId="279" priority="280">
      <formula>$C66&gt;$E66</formula>
    </cfRule>
  </conditionalFormatting>
  <conditionalFormatting sqref="C66">
    <cfRule type="expression" dxfId="278" priority="279">
      <formula>$C66&lt;$E66</formula>
    </cfRule>
  </conditionalFormatting>
  <conditionalFormatting sqref="C67">
    <cfRule type="expression" dxfId="277" priority="278">
      <formula>$C67&gt;$E67</formula>
    </cfRule>
  </conditionalFormatting>
  <conditionalFormatting sqref="C67">
    <cfRule type="expression" dxfId="276" priority="277">
      <formula>$C67&lt;$E67</formula>
    </cfRule>
  </conditionalFormatting>
  <conditionalFormatting sqref="C68">
    <cfRule type="expression" dxfId="275" priority="276">
      <formula>$C68&gt;$E68</formula>
    </cfRule>
  </conditionalFormatting>
  <conditionalFormatting sqref="C68">
    <cfRule type="expression" dxfId="274" priority="275">
      <formula>$C68&lt;$E68</formula>
    </cfRule>
  </conditionalFormatting>
  <conditionalFormatting sqref="C69:C70">
    <cfRule type="expression" dxfId="273" priority="274">
      <formula>$C69&gt;$E69</formula>
    </cfRule>
  </conditionalFormatting>
  <conditionalFormatting sqref="C69:C70">
    <cfRule type="expression" dxfId="272" priority="273">
      <formula>$C69&lt;$E69</formula>
    </cfRule>
  </conditionalFormatting>
  <conditionalFormatting sqref="C72">
    <cfRule type="expression" dxfId="271" priority="272">
      <formula>$C72&gt;$E72</formula>
    </cfRule>
  </conditionalFormatting>
  <conditionalFormatting sqref="C72">
    <cfRule type="expression" dxfId="270" priority="271">
      <formula>$C72&lt;$E72</formula>
    </cfRule>
  </conditionalFormatting>
  <conditionalFormatting sqref="C73">
    <cfRule type="expression" dxfId="269" priority="270">
      <formula>$C73&gt;$E73</formula>
    </cfRule>
  </conditionalFormatting>
  <conditionalFormatting sqref="C73">
    <cfRule type="expression" dxfId="268" priority="269">
      <formula>$C73&lt;$E73</formula>
    </cfRule>
  </conditionalFormatting>
  <conditionalFormatting sqref="C74">
    <cfRule type="expression" dxfId="267" priority="268">
      <formula>$C74&gt;$E74</formula>
    </cfRule>
  </conditionalFormatting>
  <conditionalFormatting sqref="C74">
    <cfRule type="expression" dxfId="266" priority="267">
      <formula>$C74&lt;$E74</formula>
    </cfRule>
  </conditionalFormatting>
  <conditionalFormatting sqref="C75">
    <cfRule type="expression" dxfId="265" priority="266">
      <formula>$C75&gt;$E75</formula>
    </cfRule>
  </conditionalFormatting>
  <conditionalFormatting sqref="C75">
    <cfRule type="expression" dxfId="264" priority="265">
      <formula>$C75&lt;$E75</formula>
    </cfRule>
  </conditionalFormatting>
  <conditionalFormatting sqref="C76">
    <cfRule type="expression" dxfId="263" priority="264">
      <formula>$C76&gt;$E76</formula>
    </cfRule>
  </conditionalFormatting>
  <conditionalFormatting sqref="C76">
    <cfRule type="expression" dxfId="262" priority="263">
      <formula>$C76&lt;$E76</formula>
    </cfRule>
  </conditionalFormatting>
  <conditionalFormatting sqref="C77">
    <cfRule type="expression" dxfId="261" priority="262">
      <formula>$C77&gt;$E77</formula>
    </cfRule>
  </conditionalFormatting>
  <conditionalFormatting sqref="C77">
    <cfRule type="expression" dxfId="260" priority="261">
      <formula>$C77&lt;$E77</formula>
    </cfRule>
  </conditionalFormatting>
  <conditionalFormatting sqref="C78">
    <cfRule type="expression" dxfId="259" priority="260">
      <formula>$C78&gt;$E78</formula>
    </cfRule>
  </conditionalFormatting>
  <conditionalFormatting sqref="C78">
    <cfRule type="expression" dxfId="258" priority="259">
      <formula>$C78&lt;$E78</formula>
    </cfRule>
  </conditionalFormatting>
  <conditionalFormatting sqref="C79:C80">
    <cfRule type="expression" dxfId="257" priority="258">
      <formula>$C79&gt;$E79</formula>
    </cfRule>
  </conditionalFormatting>
  <conditionalFormatting sqref="C79:C80">
    <cfRule type="expression" dxfId="256" priority="257">
      <formula>$C79&lt;$E79</formula>
    </cfRule>
  </conditionalFormatting>
  <conditionalFormatting sqref="C82">
    <cfRule type="expression" dxfId="255" priority="256">
      <formula>$C82&gt;$E82</formula>
    </cfRule>
  </conditionalFormatting>
  <conditionalFormatting sqref="C82">
    <cfRule type="expression" dxfId="254" priority="255">
      <formula>$C82&lt;$E82</formula>
    </cfRule>
  </conditionalFormatting>
  <conditionalFormatting sqref="C83">
    <cfRule type="expression" dxfId="253" priority="254">
      <formula>$C83&gt;$E83</formula>
    </cfRule>
  </conditionalFormatting>
  <conditionalFormatting sqref="C83">
    <cfRule type="expression" dxfId="252" priority="253">
      <formula>$C83&lt;$E83</formula>
    </cfRule>
  </conditionalFormatting>
  <conditionalFormatting sqref="C84">
    <cfRule type="expression" dxfId="251" priority="252">
      <formula>$C84&gt;$E84</formula>
    </cfRule>
  </conditionalFormatting>
  <conditionalFormatting sqref="C84">
    <cfRule type="expression" dxfId="250" priority="251">
      <formula>$C84&lt;$E84</formula>
    </cfRule>
  </conditionalFormatting>
  <conditionalFormatting sqref="C85">
    <cfRule type="expression" dxfId="249" priority="250">
      <formula>$C85&gt;$E85</formula>
    </cfRule>
  </conditionalFormatting>
  <conditionalFormatting sqref="C85">
    <cfRule type="expression" dxfId="248" priority="249">
      <formula>$C85&lt;$E85</formula>
    </cfRule>
  </conditionalFormatting>
  <conditionalFormatting sqref="C86">
    <cfRule type="expression" dxfId="247" priority="248">
      <formula>$C86&gt;$E86</formula>
    </cfRule>
  </conditionalFormatting>
  <conditionalFormatting sqref="C86">
    <cfRule type="expression" dxfId="246" priority="247">
      <formula>$C86&lt;$E86</formula>
    </cfRule>
  </conditionalFormatting>
  <conditionalFormatting sqref="C87">
    <cfRule type="expression" dxfId="245" priority="246">
      <formula>$C87&gt;$E87</formula>
    </cfRule>
  </conditionalFormatting>
  <conditionalFormatting sqref="C87">
    <cfRule type="expression" dxfId="244" priority="245">
      <formula>$C87&lt;$E87</formula>
    </cfRule>
  </conditionalFormatting>
  <conditionalFormatting sqref="C88">
    <cfRule type="expression" dxfId="243" priority="244">
      <formula>$C88&gt;$E88</formula>
    </cfRule>
  </conditionalFormatting>
  <conditionalFormatting sqref="C88">
    <cfRule type="expression" dxfId="242" priority="243">
      <formula>$C88&lt;$E88</formula>
    </cfRule>
  </conditionalFormatting>
  <conditionalFormatting sqref="C89:C90">
    <cfRule type="expression" dxfId="241" priority="242">
      <formula>$C89&gt;$E89</formula>
    </cfRule>
  </conditionalFormatting>
  <conditionalFormatting sqref="C89:C90">
    <cfRule type="expression" dxfId="240" priority="241">
      <formula>$C89&lt;$E89</formula>
    </cfRule>
  </conditionalFormatting>
  <conditionalFormatting sqref="C92">
    <cfRule type="expression" dxfId="239" priority="240">
      <formula>$C92&gt;$E92</formula>
    </cfRule>
  </conditionalFormatting>
  <conditionalFormatting sqref="C92">
    <cfRule type="expression" dxfId="238" priority="239">
      <formula>$C92&lt;$E92</formula>
    </cfRule>
  </conditionalFormatting>
  <conditionalFormatting sqref="C93">
    <cfRule type="expression" dxfId="237" priority="238">
      <formula>$C93&gt;$E93</formula>
    </cfRule>
  </conditionalFormatting>
  <conditionalFormatting sqref="C93">
    <cfRule type="expression" dxfId="236" priority="237">
      <formula>$C93&lt;$E93</formula>
    </cfRule>
  </conditionalFormatting>
  <conditionalFormatting sqref="C94">
    <cfRule type="expression" dxfId="235" priority="236">
      <formula>$C94&gt;$E94</formula>
    </cfRule>
  </conditionalFormatting>
  <conditionalFormatting sqref="C94">
    <cfRule type="expression" dxfId="234" priority="235">
      <formula>$C94&lt;$E94</formula>
    </cfRule>
  </conditionalFormatting>
  <conditionalFormatting sqref="C95">
    <cfRule type="expression" dxfId="233" priority="234">
      <formula>$C95&gt;$E95</formula>
    </cfRule>
  </conditionalFormatting>
  <conditionalFormatting sqref="C95">
    <cfRule type="expression" dxfId="232" priority="233">
      <formula>$C95&lt;$E95</formula>
    </cfRule>
  </conditionalFormatting>
  <conditionalFormatting sqref="C96">
    <cfRule type="expression" dxfId="231" priority="232">
      <formula>$C96&gt;$E96</formula>
    </cfRule>
  </conditionalFormatting>
  <conditionalFormatting sqref="C96">
    <cfRule type="expression" dxfId="230" priority="231">
      <formula>$C96&lt;$E96</formula>
    </cfRule>
  </conditionalFormatting>
  <conditionalFormatting sqref="C97">
    <cfRule type="expression" dxfId="229" priority="230">
      <formula>$C97&gt;$E97</formula>
    </cfRule>
  </conditionalFormatting>
  <conditionalFormatting sqref="C97">
    <cfRule type="expression" dxfId="228" priority="229">
      <formula>$C97&lt;$E97</formula>
    </cfRule>
  </conditionalFormatting>
  <conditionalFormatting sqref="C98">
    <cfRule type="expression" dxfId="227" priority="228">
      <formula>$C98&gt;$E98</formula>
    </cfRule>
  </conditionalFormatting>
  <conditionalFormatting sqref="C98">
    <cfRule type="expression" dxfId="226" priority="227">
      <formula>$C98&lt;$E98</formula>
    </cfRule>
  </conditionalFormatting>
  <conditionalFormatting sqref="C99:C100">
    <cfRule type="expression" dxfId="225" priority="226">
      <formula>$C99&gt;$E99</formula>
    </cfRule>
  </conditionalFormatting>
  <conditionalFormatting sqref="C99:C100">
    <cfRule type="expression" dxfId="224" priority="225">
      <formula>$C99&lt;$E99</formula>
    </cfRule>
  </conditionalFormatting>
  <conditionalFormatting sqref="C102">
    <cfRule type="expression" dxfId="223" priority="224">
      <formula>$C102&gt;$E102</formula>
    </cfRule>
  </conditionalFormatting>
  <conditionalFormatting sqref="C102">
    <cfRule type="expression" dxfId="222" priority="223">
      <formula>$C102&lt;$E102</formula>
    </cfRule>
  </conditionalFormatting>
  <conditionalFormatting sqref="C103">
    <cfRule type="expression" dxfId="221" priority="222">
      <formula>$C103&gt;$E103</formula>
    </cfRule>
  </conditionalFormatting>
  <conditionalFormatting sqref="C103">
    <cfRule type="expression" dxfId="220" priority="221">
      <formula>$C103&lt;$E103</formula>
    </cfRule>
  </conditionalFormatting>
  <conditionalFormatting sqref="C104">
    <cfRule type="expression" dxfId="219" priority="220">
      <formula>$C104&gt;$E104</formula>
    </cfRule>
  </conditionalFormatting>
  <conditionalFormatting sqref="C104">
    <cfRule type="expression" dxfId="218" priority="219">
      <formula>$C104&lt;$E104</formula>
    </cfRule>
  </conditionalFormatting>
  <conditionalFormatting sqref="C105">
    <cfRule type="expression" dxfId="217" priority="218">
      <formula>$C105&gt;$E105</formula>
    </cfRule>
  </conditionalFormatting>
  <conditionalFormatting sqref="C105">
    <cfRule type="expression" dxfId="216" priority="217">
      <formula>$C105&lt;$E105</formula>
    </cfRule>
  </conditionalFormatting>
  <conditionalFormatting sqref="C106">
    <cfRule type="expression" dxfId="215" priority="216">
      <formula>$C106&gt;$E106</formula>
    </cfRule>
  </conditionalFormatting>
  <conditionalFormatting sqref="C106">
    <cfRule type="expression" dxfId="214" priority="215">
      <formula>$C106&lt;$E106</formula>
    </cfRule>
  </conditionalFormatting>
  <conditionalFormatting sqref="C107">
    <cfRule type="expression" dxfId="213" priority="214">
      <formula>$C107&gt;$E107</formula>
    </cfRule>
  </conditionalFormatting>
  <conditionalFormatting sqref="C107">
    <cfRule type="expression" dxfId="212" priority="213">
      <formula>$C107&lt;$E107</formula>
    </cfRule>
  </conditionalFormatting>
  <conditionalFormatting sqref="C108">
    <cfRule type="expression" dxfId="211" priority="212">
      <formula>$C108&gt;$E108</formula>
    </cfRule>
  </conditionalFormatting>
  <conditionalFormatting sqref="C108">
    <cfRule type="expression" dxfId="210" priority="211">
      <formula>$C108&lt;$E108</formula>
    </cfRule>
  </conditionalFormatting>
  <conditionalFormatting sqref="C109:C110">
    <cfRule type="expression" dxfId="209" priority="210">
      <formula>$C109&gt;$E109</formula>
    </cfRule>
  </conditionalFormatting>
  <conditionalFormatting sqref="C109:C110">
    <cfRule type="expression" dxfId="208" priority="209">
      <formula>$C109&lt;$E109</formula>
    </cfRule>
  </conditionalFormatting>
  <conditionalFormatting sqref="C112">
    <cfRule type="expression" dxfId="207" priority="208">
      <formula>$C112&gt;$E112</formula>
    </cfRule>
  </conditionalFormatting>
  <conditionalFormatting sqref="C112">
    <cfRule type="expression" dxfId="206" priority="207">
      <formula>$C112&lt;$E112</formula>
    </cfRule>
  </conditionalFormatting>
  <conditionalFormatting sqref="C113">
    <cfRule type="expression" dxfId="205" priority="206">
      <formula>$C113&gt;$E113</formula>
    </cfRule>
  </conditionalFormatting>
  <conditionalFormatting sqref="C113">
    <cfRule type="expression" dxfId="204" priority="205">
      <formula>$C113&lt;$E113</formula>
    </cfRule>
  </conditionalFormatting>
  <conditionalFormatting sqref="C114">
    <cfRule type="expression" dxfId="203" priority="204">
      <formula>$C114&gt;$E114</formula>
    </cfRule>
  </conditionalFormatting>
  <conditionalFormatting sqref="C114">
    <cfRule type="expression" dxfId="202" priority="203">
      <formula>$C114&lt;$E114</formula>
    </cfRule>
  </conditionalFormatting>
  <conditionalFormatting sqref="C115">
    <cfRule type="expression" dxfId="201" priority="202">
      <formula>$C115&gt;$E115</formula>
    </cfRule>
  </conditionalFormatting>
  <conditionalFormatting sqref="C115">
    <cfRule type="expression" dxfId="200" priority="201">
      <formula>$C115&lt;$E115</formula>
    </cfRule>
  </conditionalFormatting>
  <conditionalFormatting sqref="C116">
    <cfRule type="expression" dxfId="199" priority="200">
      <formula>$C116&gt;$E116</formula>
    </cfRule>
  </conditionalFormatting>
  <conditionalFormatting sqref="C116">
    <cfRule type="expression" dxfId="198" priority="199">
      <formula>$C116&lt;$E116</formula>
    </cfRule>
  </conditionalFormatting>
  <conditionalFormatting sqref="C117">
    <cfRule type="expression" dxfId="197" priority="198">
      <formula>$C117&gt;$E117</formula>
    </cfRule>
  </conditionalFormatting>
  <conditionalFormatting sqref="C117">
    <cfRule type="expression" dxfId="196" priority="197">
      <formula>$C117&lt;$E117</formula>
    </cfRule>
  </conditionalFormatting>
  <conditionalFormatting sqref="C118">
    <cfRule type="expression" dxfId="195" priority="196">
      <formula>$C118&gt;$E118</formula>
    </cfRule>
  </conditionalFormatting>
  <conditionalFormatting sqref="C118">
    <cfRule type="expression" dxfId="194" priority="195">
      <formula>$C118&lt;$E118</formula>
    </cfRule>
  </conditionalFormatting>
  <conditionalFormatting sqref="C119:C120">
    <cfRule type="expression" dxfId="193" priority="194">
      <formula>$C119&gt;$E119</formula>
    </cfRule>
  </conditionalFormatting>
  <conditionalFormatting sqref="C119:C120">
    <cfRule type="expression" dxfId="192" priority="193">
      <formula>$C119&lt;$E119</formula>
    </cfRule>
  </conditionalFormatting>
  <conditionalFormatting sqref="E2">
    <cfRule type="expression" dxfId="191" priority="191">
      <formula>$C2&gt;$E2</formula>
    </cfRule>
    <cfRule type="expression" dxfId="190" priority="192">
      <formula>$C2&lt;$E2</formula>
    </cfRule>
  </conditionalFormatting>
  <conditionalFormatting sqref="E3">
    <cfRule type="expression" dxfId="189" priority="189">
      <formula>$C3&gt;$E3</formula>
    </cfRule>
    <cfRule type="expression" dxfId="188" priority="190">
      <formula>$C3&lt;$E3</formula>
    </cfRule>
  </conditionalFormatting>
  <conditionalFormatting sqref="E4">
    <cfRule type="expression" dxfId="187" priority="187">
      <formula>$C4&gt;$E4</formula>
    </cfRule>
    <cfRule type="expression" dxfId="186" priority="188">
      <formula>$C4&lt;$E4</formula>
    </cfRule>
  </conditionalFormatting>
  <conditionalFormatting sqref="E5">
    <cfRule type="expression" dxfId="185" priority="185">
      <formula>$C5&gt;$E5</formula>
    </cfRule>
    <cfRule type="expression" dxfId="184" priority="186">
      <formula>$C5&lt;$E5</formula>
    </cfRule>
  </conditionalFormatting>
  <conditionalFormatting sqref="E6">
    <cfRule type="expression" dxfId="183" priority="183">
      <formula>$C6&gt;$E6</formula>
    </cfRule>
    <cfRule type="expression" dxfId="182" priority="184">
      <formula>$C6&lt;$E6</formula>
    </cfRule>
  </conditionalFormatting>
  <conditionalFormatting sqref="E7">
    <cfRule type="expression" dxfId="181" priority="181">
      <formula>$C7&gt;$E7</formula>
    </cfRule>
    <cfRule type="expression" dxfId="180" priority="182">
      <formula>$C7&lt;$E7</formula>
    </cfRule>
  </conditionalFormatting>
  <conditionalFormatting sqref="E8">
    <cfRule type="expression" dxfId="179" priority="179">
      <formula>$C8&gt;$E8</formula>
    </cfRule>
    <cfRule type="expression" dxfId="178" priority="180">
      <formula>$C8&lt;$E8</formula>
    </cfRule>
  </conditionalFormatting>
  <conditionalFormatting sqref="E9:E10">
    <cfRule type="expression" dxfId="177" priority="177">
      <formula>$C9&gt;$E9</formula>
    </cfRule>
    <cfRule type="expression" dxfId="176" priority="178">
      <formula>$C9&lt;$E9</formula>
    </cfRule>
  </conditionalFormatting>
  <conditionalFormatting sqref="E12">
    <cfRule type="expression" dxfId="175" priority="175">
      <formula>$C12&gt;$E12</formula>
    </cfRule>
    <cfRule type="expression" dxfId="174" priority="176">
      <formula>$C12&lt;$E12</formula>
    </cfRule>
  </conditionalFormatting>
  <conditionalFormatting sqref="E13">
    <cfRule type="expression" dxfId="173" priority="173">
      <formula>$C13&gt;$E13</formula>
    </cfRule>
    <cfRule type="expression" dxfId="172" priority="174">
      <formula>$C13&lt;$E13</formula>
    </cfRule>
  </conditionalFormatting>
  <conditionalFormatting sqref="E14">
    <cfRule type="expression" dxfId="171" priority="172">
      <formula>$C14&lt;$E14</formula>
    </cfRule>
  </conditionalFormatting>
  <conditionalFormatting sqref="E14">
    <cfRule type="expression" dxfId="170" priority="171">
      <formula>$C14&gt;$E14</formula>
    </cfRule>
  </conditionalFormatting>
  <conditionalFormatting sqref="E15">
    <cfRule type="expression" dxfId="169" priority="170">
      <formula>$C15&lt;$E15</formula>
    </cfRule>
  </conditionalFormatting>
  <conditionalFormatting sqref="E15">
    <cfRule type="expression" dxfId="168" priority="169">
      <formula>$C15&gt;$E15</formula>
    </cfRule>
  </conditionalFormatting>
  <conditionalFormatting sqref="E16">
    <cfRule type="expression" dxfId="167" priority="168">
      <formula>$C16&lt;$E16</formula>
    </cfRule>
  </conditionalFormatting>
  <conditionalFormatting sqref="E16">
    <cfRule type="expression" dxfId="166" priority="167">
      <formula>$C16&gt;$E16</formula>
    </cfRule>
  </conditionalFormatting>
  <conditionalFormatting sqref="E17">
    <cfRule type="expression" dxfId="165" priority="166">
      <formula>$C17&lt;$E17</formula>
    </cfRule>
  </conditionalFormatting>
  <conditionalFormatting sqref="E17">
    <cfRule type="expression" dxfId="164" priority="165">
      <formula>$C17&gt;$E17</formula>
    </cfRule>
  </conditionalFormatting>
  <conditionalFormatting sqref="E18">
    <cfRule type="expression" dxfId="163" priority="164">
      <formula>$C18&lt;$E18</formula>
    </cfRule>
  </conditionalFormatting>
  <conditionalFormatting sqref="E18">
    <cfRule type="expression" dxfId="162" priority="163">
      <formula>$C18&gt;$E18</formula>
    </cfRule>
  </conditionalFormatting>
  <conditionalFormatting sqref="E19:E20">
    <cfRule type="expression" dxfId="161" priority="162">
      <formula>$C19&lt;$E19</formula>
    </cfRule>
  </conditionalFormatting>
  <conditionalFormatting sqref="E19:E20">
    <cfRule type="expression" dxfId="160" priority="161">
      <formula>$C19&gt;$E19</formula>
    </cfRule>
  </conditionalFormatting>
  <conditionalFormatting sqref="E22">
    <cfRule type="expression" dxfId="159" priority="160">
      <formula>$C22&lt;$E22</formula>
    </cfRule>
  </conditionalFormatting>
  <conditionalFormatting sqref="E22">
    <cfRule type="expression" dxfId="158" priority="159">
      <formula>$C22&gt;$E22</formula>
    </cfRule>
  </conditionalFormatting>
  <conditionalFormatting sqref="E23">
    <cfRule type="expression" dxfId="157" priority="158">
      <formula>$C23&lt;$E23</formula>
    </cfRule>
  </conditionalFormatting>
  <conditionalFormatting sqref="E23">
    <cfRule type="expression" dxfId="156" priority="157">
      <formula>$C23&gt;$E23</formula>
    </cfRule>
  </conditionalFormatting>
  <conditionalFormatting sqref="E24">
    <cfRule type="expression" dxfId="155" priority="156">
      <formula>$C24&lt;$E24</formula>
    </cfRule>
  </conditionalFormatting>
  <conditionalFormatting sqref="E24">
    <cfRule type="expression" dxfId="154" priority="155">
      <formula>$C24&gt;$E24</formula>
    </cfRule>
  </conditionalFormatting>
  <conditionalFormatting sqref="E25">
    <cfRule type="expression" dxfId="153" priority="154">
      <formula>$C25&lt;$E25</formula>
    </cfRule>
  </conditionalFormatting>
  <conditionalFormatting sqref="E25">
    <cfRule type="expression" dxfId="152" priority="153">
      <formula>$C25&gt;$E25</formula>
    </cfRule>
  </conditionalFormatting>
  <conditionalFormatting sqref="E26">
    <cfRule type="expression" dxfId="151" priority="152">
      <formula>$C26&lt;$E26</formula>
    </cfRule>
  </conditionalFormatting>
  <conditionalFormatting sqref="E26">
    <cfRule type="expression" dxfId="150" priority="151">
      <formula>$C26&gt;$E26</formula>
    </cfRule>
  </conditionalFormatting>
  <conditionalFormatting sqref="E27">
    <cfRule type="expression" dxfId="149" priority="150">
      <formula>$C27&lt;$E27</formula>
    </cfRule>
  </conditionalFormatting>
  <conditionalFormatting sqref="E27">
    <cfRule type="expression" dxfId="148" priority="149">
      <formula>$C27&gt;$E27</formula>
    </cfRule>
  </conditionalFormatting>
  <conditionalFormatting sqref="E28">
    <cfRule type="expression" dxfId="147" priority="148">
      <formula>$C28&lt;$E28</formula>
    </cfRule>
  </conditionalFormatting>
  <conditionalFormatting sqref="E28">
    <cfRule type="expression" dxfId="146" priority="147">
      <formula>$C28&gt;$E28</formula>
    </cfRule>
  </conditionalFormatting>
  <conditionalFormatting sqref="E29:E30">
    <cfRule type="expression" dxfId="145" priority="146">
      <formula>$C29&lt;$E29</formula>
    </cfRule>
  </conditionalFormatting>
  <conditionalFormatting sqref="E29:E30">
    <cfRule type="expression" dxfId="144" priority="145">
      <formula>$C29&gt;$E29</formula>
    </cfRule>
  </conditionalFormatting>
  <conditionalFormatting sqref="E32">
    <cfRule type="expression" dxfId="143" priority="144">
      <formula>$C32&lt;$E32</formula>
    </cfRule>
  </conditionalFormatting>
  <conditionalFormatting sqref="E32">
    <cfRule type="expression" dxfId="142" priority="143">
      <formula>$C32&gt;$E32</formula>
    </cfRule>
  </conditionalFormatting>
  <conditionalFormatting sqref="E33">
    <cfRule type="expression" dxfId="141" priority="142">
      <formula>$C33&lt;$E33</formula>
    </cfRule>
  </conditionalFormatting>
  <conditionalFormatting sqref="E33">
    <cfRule type="expression" dxfId="140" priority="141">
      <formula>$C33&gt;$E33</formula>
    </cfRule>
  </conditionalFormatting>
  <conditionalFormatting sqref="E34">
    <cfRule type="expression" dxfId="139" priority="140">
      <formula>$C34&lt;$E34</formula>
    </cfRule>
  </conditionalFormatting>
  <conditionalFormatting sqref="E34">
    <cfRule type="expression" dxfId="138" priority="139">
      <formula>$C34&gt;$E34</formula>
    </cfRule>
  </conditionalFormatting>
  <conditionalFormatting sqref="E35">
    <cfRule type="expression" dxfId="137" priority="138">
      <formula>$C35&lt;$E35</formula>
    </cfRule>
  </conditionalFormatting>
  <conditionalFormatting sqref="E35">
    <cfRule type="expression" dxfId="136" priority="137">
      <formula>$C35&gt;$E35</formula>
    </cfRule>
  </conditionalFormatting>
  <conditionalFormatting sqref="E36">
    <cfRule type="expression" dxfId="135" priority="136">
      <formula>$C36&lt;$E36</formula>
    </cfRule>
  </conditionalFormatting>
  <conditionalFormatting sqref="E36">
    <cfRule type="expression" dxfId="134" priority="135">
      <formula>$C36&gt;$E36</formula>
    </cfRule>
  </conditionalFormatting>
  <conditionalFormatting sqref="E37">
    <cfRule type="expression" dxfId="133" priority="134">
      <formula>$C37&lt;$E37</formula>
    </cfRule>
  </conditionalFormatting>
  <conditionalFormatting sqref="E37">
    <cfRule type="expression" dxfId="132" priority="133">
      <formula>$C37&gt;$E37</formula>
    </cfRule>
  </conditionalFormatting>
  <conditionalFormatting sqref="E38">
    <cfRule type="expression" dxfId="131" priority="132">
      <formula>$C38&lt;$E38</formula>
    </cfRule>
  </conditionalFormatting>
  <conditionalFormatting sqref="E38">
    <cfRule type="expression" dxfId="130" priority="131">
      <formula>$C38&gt;$E38</formula>
    </cfRule>
  </conditionalFormatting>
  <conditionalFormatting sqref="E39:E40">
    <cfRule type="expression" dxfId="129" priority="130">
      <formula>$C39&lt;$E39</formula>
    </cfRule>
  </conditionalFormatting>
  <conditionalFormatting sqref="E39:E40">
    <cfRule type="expression" dxfId="128" priority="129">
      <formula>$C39&gt;$E39</formula>
    </cfRule>
  </conditionalFormatting>
  <conditionalFormatting sqref="E42">
    <cfRule type="expression" dxfId="127" priority="128">
      <formula>$C42&lt;$E42</formula>
    </cfRule>
  </conditionalFormatting>
  <conditionalFormatting sqref="E42">
    <cfRule type="expression" dxfId="126" priority="127">
      <formula>$C42&gt;$E42</formula>
    </cfRule>
  </conditionalFormatting>
  <conditionalFormatting sqref="E43">
    <cfRule type="expression" dxfId="125" priority="126">
      <formula>$C43&lt;$E43</formula>
    </cfRule>
  </conditionalFormatting>
  <conditionalFormatting sqref="E43">
    <cfRule type="expression" dxfId="124" priority="125">
      <formula>$C43&gt;$E43</formula>
    </cfRule>
  </conditionalFormatting>
  <conditionalFormatting sqref="E44">
    <cfRule type="expression" dxfId="123" priority="124">
      <formula>$C44&lt;$E44</formula>
    </cfRule>
  </conditionalFormatting>
  <conditionalFormatting sqref="E44">
    <cfRule type="expression" dxfId="122" priority="123">
      <formula>$C44&gt;$E44</formula>
    </cfRule>
  </conditionalFormatting>
  <conditionalFormatting sqref="E45">
    <cfRule type="expression" dxfId="121" priority="122">
      <formula>$C45&lt;$E45</formula>
    </cfRule>
  </conditionalFormatting>
  <conditionalFormatting sqref="E45">
    <cfRule type="expression" dxfId="120" priority="121">
      <formula>$C45&gt;$E45</formula>
    </cfRule>
  </conditionalFormatting>
  <conditionalFormatting sqref="E46">
    <cfRule type="expression" dxfId="119" priority="120">
      <formula>$C46&lt;$E46</formula>
    </cfRule>
  </conditionalFormatting>
  <conditionalFormatting sqref="E46">
    <cfRule type="expression" dxfId="118" priority="119">
      <formula>$C46&gt;$E46</formula>
    </cfRule>
  </conditionalFormatting>
  <conditionalFormatting sqref="E47">
    <cfRule type="expression" dxfId="117" priority="118">
      <formula>$C47&lt;$E47</formula>
    </cfRule>
  </conditionalFormatting>
  <conditionalFormatting sqref="E47">
    <cfRule type="expression" dxfId="116" priority="117">
      <formula>$C47&gt;$E47</formula>
    </cfRule>
  </conditionalFormatting>
  <conditionalFormatting sqref="E48">
    <cfRule type="expression" dxfId="115" priority="116">
      <formula>$C48&lt;$E48</formula>
    </cfRule>
  </conditionalFormatting>
  <conditionalFormatting sqref="E48">
    <cfRule type="expression" dxfId="114" priority="115">
      <formula>$C48&gt;$E48</formula>
    </cfRule>
  </conditionalFormatting>
  <conditionalFormatting sqref="E49:E50">
    <cfRule type="expression" dxfId="113" priority="114">
      <formula>$C49&lt;$E49</formula>
    </cfRule>
  </conditionalFormatting>
  <conditionalFormatting sqref="E49:E50">
    <cfRule type="expression" dxfId="112" priority="113">
      <formula>$C49&gt;$E49</formula>
    </cfRule>
  </conditionalFormatting>
  <conditionalFormatting sqref="E52">
    <cfRule type="expression" dxfId="111" priority="112">
      <formula>$C52&lt;$E52</formula>
    </cfRule>
  </conditionalFormatting>
  <conditionalFormatting sqref="E52">
    <cfRule type="expression" dxfId="110" priority="111">
      <formula>$C52&gt;$E52</formula>
    </cfRule>
  </conditionalFormatting>
  <conditionalFormatting sqref="E53">
    <cfRule type="expression" dxfId="109" priority="110">
      <formula>$C53&lt;$E53</formula>
    </cfRule>
  </conditionalFormatting>
  <conditionalFormatting sqref="E53">
    <cfRule type="expression" dxfId="108" priority="109">
      <formula>$C53&gt;$E53</formula>
    </cfRule>
  </conditionalFormatting>
  <conditionalFormatting sqref="E54">
    <cfRule type="expression" dxfId="107" priority="108">
      <formula>$C54&lt;$E54</formula>
    </cfRule>
  </conditionalFormatting>
  <conditionalFormatting sqref="E54">
    <cfRule type="expression" dxfId="106" priority="107">
      <formula>$C54&gt;$E54</formula>
    </cfRule>
  </conditionalFormatting>
  <conditionalFormatting sqref="E55">
    <cfRule type="expression" dxfId="105" priority="106">
      <formula>$C55&lt;$E55</formula>
    </cfRule>
  </conditionalFormatting>
  <conditionalFormatting sqref="E55">
    <cfRule type="expression" dxfId="104" priority="105">
      <formula>$C55&gt;$E55</formula>
    </cfRule>
  </conditionalFormatting>
  <conditionalFormatting sqref="E56">
    <cfRule type="expression" dxfId="103" priority="104">
      <formula>$C56&lt;$E56</formula>
    </cfRule>
  </conditionalFormatting>
  <conditionalFormatting sqref="E56">
    <cfRule type="expression" dxfId="102" priority="103">
      <formula>$C56&gt;$E56</formula>
    </cfRule>
  </conditionalFormatting>
  <conditionalFormatting sqref="E57">
    <cfRule type="expression" dxfId="101" priority="102">
      <formula>$C57&lt;$E57</formula>
    </cfRule>
  </conditionalFormatting>
  <conditionalFormatting sqref="E57">
    <cfRule type="expression" dxfId="100" priority="101">
      <formula>$C57&gt;$E57</formula>
    </cfRule>
  </conditionalFormatting>
  <conditionalFormatting sqref="E58">
    <cfRule type="expression" dxfId="99" priority="100">
      <formula>$C58&lt;$E58</formula>
    </cfRule>
  </conditionalFormatting>
  <conditionalFormatting sqref="E58">
    <cfRule type="expression" dxfId="98" priority="99">
      <formula>$C58&gt;$E58</formula>
    </cfRule>
  </conditionalFormatting>
  <conditionalFormatting sqref="E59:E60">
    <cfRule type="expression" dxfId="97" priority="98">
      <formula>$C59&lt;$E59</formula>
    </cfRule>
  </conditionalFormatting>
  <conditionalFormatting sqref="E59:E60">
    <cfRule type="expression" dxfId="96" priority="97">
      <formula>$C59&gt;$E59</formula>
    </cfRule>
  </conditionalFormatting>
  <conditionalFormatting sqref="E62">
    <cfRule type="expression" dxfId="95" priority="96">
      <formula>$C62&lt;$E62</formula>
    </cfRule>
  </conditionalFormatting>
  <conditionalFormatting sqref="E62">
    <cfRule type="expression" dxfId="94" priority="95">
      <formula>$C62&gt;$E62</formula>
    </cfRule>
  </conditionalFormatting>
  <conditionalFormatting sqref="E63">
    <cfRule type="expression" dxfId="93" priority="94">
      <formula>$C63&lt;$E63</formula>
    </cfRule>
  </conditionalFormatting>
  <conditionalFormatting sqref="E63">
    <cfRule type="expression" dxfId="92" priority="93">
      <formula>$C63&gt;$E63</formula>
    </cfRule>
  </conditionalFormatting>
  <conditionalFormatting sqref="E64">
    <cfRule type="expression" dxfId="91" priority="92">
      <formula>$C64&lt;$E64</formula>
    </cfRule>
  </conditionalFormatting>
  <conditionalFormatting sqref="E64">
    <cfRule type="expression" dxfId="90" priority="91">
      <formula>$C64&gt;$E64</formula>
    </cfRule>
  </conditionalFormatting>
  <conditionalFormatting sqref="E65">
    <cfRule type="expression" dxfId="89" priority="90">
      <formula>$C65&lt;$E65</formula>
    </cfRule>
  </conditionalFormatting>
  <conditionalFormatting sqref="E65">
    <cfRule type="expression" dxfId="88" priority="89">
      <formula>$C65&gt;$E65</formula>
    </cfRule>
  </conditionalFormatting>
  <conditionalFormatting sqref="E66">
    <cfRule type="expression" dxfId="87" priority="88">
      <formula>$C66&lt;$E66</formula>
    </cfRule>
  </conditionalFormatting>
  <conditionalFormatting sqref="E66">
    <cfRule type="expression" dxfId="86" priority="87">
      <formula>$C66&gt;$E66</formula>
    </cfRule>
  </conditionalFormatting>
  <conditionalFormatting sqref="E67">
    <cfRule type="expression" dxfId="85" priority="86">
      <formula>$C67&lt;$E67</formula>
    </cfRule>
  </conditionalFormatting>
  <conditionalFormatting sqref="E67">
    <cfRule type="expression" dxfId="84" priority="85">
      <formula>$C67&gt;$E67</formula>
    </cfRule>
  </conditionalFormatting>
  <conditionalFormatting sqref="E68">
    <cfRule type="expression" dxfId="83" priority="84">
      <formula>$C68&lt;$E68</formula>
    </cfRule>
  </conditionalFormatting>
  <conditionalFormatting sqref="E68">
    <cfRule type="expression" dxfId="82" priority="83">
      <formula>$C68&gt;$E68</formula>
    </cfRule>
  </conditionalFormatting>
  <conditionalFormatting sqref="E69:E70">
    <cfRule type="expression" dxfId="81" priority="82">
      <formula>$C69&lt;$E69</formula>
    </cfRule>
  </conditionalFormatting>
  <conditionalFormatting sqref="E69:E70">
    <cfRule type="expression" dxfId="80" priority="81">
      <formula>$C69&gt;$E69</formula>
    </cfRule>
  </conditionalFormatting>
  <conditionalFormatting sqref="E72">
    <cfRule type="expression" dxfId="79" priority="80">
      <formula>$C72&lt;$E72</formula>
    </cfRule>
  </conditionalFormatting>
  <conditionalFormatting sqref="E72">
    <cfRule type="expression" dxfId="78" priority="79">
      <formula>$C72&gt;$E72</formula>
    </cfRule>
  </conditionalFormatting>
  <conditionalFormatting sqref="E73">
    <cfRule type="expression" dxfId="77" priority="78">
      <formula>$C73&lt;$E73</formula>
    </cfRule>
  </conditionalFormatting>
  <conditionalFormatting sqref="E73">
    <cfRule type="expression" dxfId="76" priority="77">
      <formula>$C73&gt;$E73</formula>
    </cfRule>
  </conditionalFormatting>
  <conditionalFormatting sqref="E74">
    <cfRule type="expression" dxfId="75" priority="76">
      <formula>$C74&lt;$E74</formula>
    </cfRule>
  </conditionalFormatting>
  <conditionalFormatting sqref="E74">
    <cfRule type="expression" dxfId="74" priority="75">
      <formula>$C74&gt;$E74</formula>
    </cfRule>
  </conditionalFormatting>
  <conditionalFormatting sqref="E75">
    <cfRule type="expression" dxfId="73" priority="74">
      <formula>$C75&lt;$E75</formula>
    </cfRule>
  </conditionalFormatting>
  <conditionalFormatting sqref="E75">
    <cfRule type="expression" dxfId="72" priority="73">
      <formula>$C75&gt;$E75</formula>
    </cfRule>
  </conditionalFormatting>
  <conditionalFormatting sqref="E76">
    <cfRule type="expression" dxfId="71" priority="72">
      <formula>$C76&lt;$E76</formula>
    </cfRule>
  </conditionalFormatting>
  <conditionalFormatting sqref="E76">
    <cfRule type="expression" dxfId="70" priority="71">
      <formula>$C76&gt;$E76</formula>
    </cfRule>
  </conditionalFormatting>
  <conditionalFormatting sqref="E77">
    <cfRule type="expression" dxfId="69" priority="70">
      <formula>$C77&lt;$E77</formula>
    </cfRule>
  </conditionalFormatting>
  <conditionalFormatting sqref="E77">
    <cfRule type="expression" dxfId="68" priority="69">
      <formula>$C77&gt;$E77</formula>
    </cfRule>
  </conditionalFormatting>
  <conditionalFormatting sqref="E78">
    <cfRule type="expression" dxfId="67" priority="68">
      <formula>$C78&lt;$E78</formula>
    </cfRule>
  </conditionalFormatting>
  <conditionalFormatting sqref="E78">
    <cfRule type="expression" dxfId="66" priority="67">
      <formula>$C78&gt;$E78</formula>
    </cfRule>
  </conditionalFormatting>
  <conditionalFormatting sqref="E79:E80">
    <cfRule type="expression" dxfId="65" priority="66">
      <formula>$C79&lt;$E79</formula>
    </cfRule>
  </conditionalFormatting>
  <conditionalFormatting sqref="E79:E80">
    <cfRule type="expression" dxfId="64" priority="65">
      <formula>$C79&gt;$E79</formula>
    </cfRule>
  </conditionalFormatting>
  <conditionalFormatting sqref="E82">
    <cfRule type="expression" dxfId="63" priority="64">
      <formula>$C82&lt;$E82</formula>
    </cfRule>
  </conditionalFormatting>
  <conditionalFormatting sqref="E82">
    <cfRule type="expression" dxfId="62" priority="63">
      <formula>$C82&gt;$E82</formula>
    </cfRule>
  </conditionalFormatting>
  <conditionalFormatting sqref="E83">
    <cfRule type="expression" dxfId="61" priority="62">
      <formula>$C83&lt;$E83</formula>
    </cfRule>
  </conditionalFormatting>
  <conditionalFormatting sqref="E83">
    <cfRule type="expression" dxfId="60" priority="61">
      <formula>$C83&gt;$E83</formula>
    </cfRule>
  </conditionalFormatting>
  <conditionalFormatting sqref="E84">
    <cfRule type="expression" dxfId="59" priority="60">
      <formula>$C84&lt;$E84</formula>
    </cfRule>
  </conditionalFormatting>
  <conditionalFormatting sqref="E84">
    <cfRule type="expression" dxfId="58" priority="59">
      <formula>$C84&gt;$E84</formula>
    </cfRule>
  </conditionalFormatting>
  <conditionalFormatting sqref="E85">
    <cfRule type="expression" dxfId="57" priority="58">
      <formula>$C85&lt;$E85</formula>
    </cfRule>
  </conditionalFormatting>
  <conditionalFormatting sqref="E85">
    <cfRule type="expression" dxfId="56" priority="57">
      <formula>$C85&gt;$E85</formula>
    </cfRule>
  </conditionalFormatting>
  <conditionalFormatting sqref="E86">
    <cfRule type="expression" dxfId="55" priority="56">
      <formula>$C86&lt;$E86</formula>
    </cfRule>
  </conditionalFormatting>
  <conditionalFormatting sqref="E86">
    <cfRule type="expression" dxfId="54" priority="55">
      <formula>$C86&gt;$E86</formula>
    </cfRule>
  </conditionalFormatting>
  <conditionalFormatting sqref="E87">
    <cfRule type="expression" dxfId="53" priority="54">
      <formula>$C87&lt;$E87</formula>
    </cfRule>
  </conditionalFormatting>
  <conditionalFormatting sqref="E87">
    <cfRule type="expression" dxfId="52" priority="53">
      <formula>$C87&gt;$E87</formula>
    </cfRule>
  </conditionalFormatting>
  <conditionalFormatting sqref="E88">
    <cfRule type="expression" dxfId="51" priority="52">
      <formula>$C88&lt;$E88</formula>
    </cfRule>
  </conditionalFormatting>
  <conditionalFormatting sqref="E88">
    <cfRule type="expression" dxfId="50" priority="51">
      <formula>$C88&gt;$E88</formula>
    </cfRule>
  </conditionalFormatting>
  <conditionalFormatting sqref="E89:E90">
    <cfRule type="expression" dxfId="49" priority="50">
      <formula>$C89&lt;$E89</formula>
    </cfRule>
  </conditionalFormatting>
  <conditionalFormatting sqref="E89:E90">
    <cfRule type="expression" dxfId="48" priority="49">
      <formula>$C89&gt;$E89</formula>
    </cfRule>
  </conditionalFormatting>
  <conditionalFormatting sqref="E92">
    <cfRule type="expression" dxfId="47" priority="48">
      <formula>$C92&lt;$E92</formula>
    </cfRule>
  </conditionalFormatting>
  <conditionalFormatting sqref="E92">
    <cfRule type="expression" dxfId="46" priority="47">
      <formula>$C92&gt;$E92</formula>
    </cfRule>
  </conditionalFormatting>
  <conditionalFormatting sqref="E93">
    <cfRule type="expression" dxfId="45" priority="46">
      <formula>$C93&lt;$E93</formula>
    </cfRule>
  </conditionalFormatting>
  <conditionalFormatting sqref="E93">
    <cfRule type="expression" dxfId="44" priority="45">
      <formula>$C93&gt;$E93</formula>
    </cfRule>
  </conditionalFormatting>
  <conditionalFormatting sqref="E94">
    <cfRule type="expression" dxfId="43" priority="44">
      <formula>$C94&lt;$E94</formula>
    </cfRule>
  </conditionalFormatting>
  <conditionalFormatting sqref="E94">
    <cfRule type="expression" dxfId="42" priority="43">
      <formula>$C94&gt;$E94</formula>
    </cfRule>
  </conditionalFormatting>
  <conditionalFormatting sqref="E95">
    <cfRule type="expression" dxfId="41" priority="42">
      <formula>$C95&lt;$E95</formula>
    </cfRule>
  </conditionalFormatting>
  <conditionalFormatting sqref="E95">
    <cfRule type="expression" dxfId="40" priority="41">
      <formula>$C95&gt;$E95</formula>
    </cfRule>
  </conditionalFormatting>
  <conditionalFormatting sqref="E96">
    <cfRule type="expression" dxfId="39" priority="40">
      <formula>$C96&lt;$E96</formula>
    </cfRule>
  </conditionalFormatting>
  <conditionalFormatting sqref="E96">
    <cfRule type="expression" dxfId="38" priority="39">
      <formula>$C96&gt;$E96</formula>
    </cfRule>
  </conditionalFormatting>
  <conditionalFormatting sqref="E97">
    <cfRule type="expression" dxfId="37" priority="38">
      <formula>$C97&lt;$E97</formula>
    </cfRule>
  </conditionalFormatting>
  <conditionalFormatting sqref="E97">
    <cfRule type="expression" dxfId="36" priority="37">
      <formula>$C97&gt;$E97</formula>
    </cfRule>
  </conditionalFormatting>
  <conditionalFormatting sqref="E98">
    <cfRule type="expression" dxfId="35" priority="36">
      <formula>$C98&lt;$E98</formula>
    </cfRule>
  </conditionalFormatting>
  <conditionalFormatting sqref="E98">
    <cfRule type="expression" dxfId="34" priority="35">
      <formula>$C98&gt;$E98</formula>
    </cfRule>
  </conditionalFormatting>
  <conditionalFormatting sqref="E99:E100">
    <cfRule type="expression" dxfId="33" priority="34">
      <formula>$C99&lt;$E99</formula>
    </cfRule>
  </conditionalFormatting>
  <conditionalFormatting sqref="E99:E100">
    <cfRule type="expression" dxfId="32" priority="33">
      <formula>$C99&gt;$E99</formula>
    </cfRule>
  </conditionalFormatting>
  <conditionalFormatting sqref="E102">
    <cfRule type="expression" dxfId="31" priority="32">
      <formula>$C102&lt;$E102</formula>
    </cfRule>
  </conditionalFormatting>
  <conditionalFormatting sqref="E102">
    <cfRule type="expression" dxfId="30" priority="31">
      <formula>$C102&gt;$E102</formula>
    </cfRule>
  </conditionalFormatting>
  <conditionalFormatting sqref="E103">
    <cfRule type="expression" dxfId="29" priority="30">
      <formula>$C103&lt;$E103</formula>
    </cfRule>
  </conditionalFormatting>
  <conditionalFormatting sqref="E103">
    <cfRule type="expression" dxfId="28" priority="29">
      <formula>$C103&gt;$E103</formula>
    </cfRule>
  </conditionalFormatting>
  <conditionalFormatting sqref="E104">
    <cfRule type="expression" dxfId="27" priority="28">
      <formula>$C104&lt;$E104</formula>
    </cfRule>
  </conditionalFormatting>
  <conditionalFormatting sqref="E104">
    <cfRule type="expression" dxfId="26" priority="27">
      <formula>$C104&gt;$E104</formula>
    </cfRule>
  </conditionalFormatting>
  <conditionalFormatting sqref="E105">
    <cfRule type="expression" dxfId="25" priority="26">
      <formula>$C105&lt;$E105</formula>
    </cfRule>
  </conditionalFormatting>
  <conditionalFormatting sqref="E105">
    <cfRule type="expression" dxfId="24" priority="25">
      <formula>$C105&gt;$E105</formula>
    </cfRule>
  </conditionalFormatting>
  <conditionalFormatting sqref="E106">
    <cfRule type="expression" dxfId="23" priority="24">
      <formula>$C106&lt;$E106</formula>
    </cfRule>
  </conditionalFormatting>
  <conditionalFormatting sqref="E106">
    <cfRule type="expression" dxfId="22" priority="23">
      <formula>$C106&gt;$E106</formula>
    </cfRule>
  </conditionalFormatting>
  <conditionalFormatting sqref="E107">
    <cfRule type="expression" dxfId="21" priority="22">
      <formula>$C107&lt;$E107</formula>
    </cfRule>
  </conditionalFormatting>
  <conditionalFormatting sqref="E107">
    <cfRule type="expression" dxfId="20" priority="21">
      <formula>$C107&gt;$E107</formula>
    </cfRule>
  </conditionalFormatting>
  <conditionalFormatting sqref="E108">
    <cfRule type="expression" dxfId="19" priority="20">
      <formula>$C108&lt;$E108</formula>
    </cfRule>
  </conditionalFormatting>
  <conditionalFormatting sqref="E108">
    <cfRule type="expression" dxfId="18" priority="19">
      <formula>$C108&gt;$E108</formula>
    </cfRule>
  </conditionalFormatting>
  <conditionalFormatting sqref="E109:E110">
    <cfRule type="expression" dxfId="17" priority="18">
      <formula>$C109&lt;$E109</formula>
    </cfRule>
  </conditionalFormatting>
  <conditionalFormatting sqref="E109:E110">
    <cfRule type="expression" dxfId="16" priority="17">
      <formula>$C109&gt;$E109</formula>
    </cfRule>
  </conditionalFormatting>
  <conditionalFormatting sqref="E112">
    <cfRule type="expression" dxfId="15" priority="16">
      <formula>$C112&lt;$E112</formula>
    </cfRule>
  </conditionalFormatting>
  <conditionalFormatting sqref="E112">
    <cfRule type="expression" dxfId="14" priority="15">
      <formula>$C112&gt;$E112</formula>
    </cfRule>
  </conditionalFormatting>
  <conditionalFormatting sqref="E113">
    <cfRule type="expression" dxfId="13" priority="14">
      <formula>$C113&lt;$E113</formula>
    </cfRule>
  </conditionalFormatting>
  <conditionalFormatting sqref="E113">
    <cfRule type="expression" dxfId="12" priority="13">
      <formula>$C113&gt;$E113</formula>
    </cfRule>
  </conditionalFormatting>
  <conditionalFormatting sqref="E114">
    <cfRule type="expression" dxfId="11" priority="12">
      <formula>$C114&lt;$E114</formula>
    </cfRule>
  </conditionalFormatting>
  <conditionalFormatting sqref="E114">
    <cfRule type="expression" dxfId="10" priority="11">
      <formula>$C114&gt;$E114</formula>
    </cfRule>
  </conditionalFormatting>
  <conditionalFormatting sqref="E115">
    <cfRule type="expression" dxfId="9" priority="10">
      <formula>$C115&lt;$E115</formula>
    </cfRule>
  </conditionalFormatting>
  <conditionalFormatting sqref="E115">
    <cfRule type="expression" dxfId="8" priority="9">
      <formula>$C115&gt;$E115</formula>
    </cfRule>
  </conditionalFormatting>
  <conditionalFormatting sqref="E116">
    <cfRule type="expression" dxfId="7" priority="8">
      <formula>$C116&lt;$E116</formula>
    </cfRule>
  </conditionalFormatting>
  <conditionalFormatting sqref="E116">
    <cfRule type="expression" dxfId="6" priority="7">
      <formula>$C116&gt;$E116</formula>
    </cfRule>
  </conditionalFormatting>
  <conditionalFormatting sqref="E117">
    <cfRule type="expression" dxfId="5" priority="6">
      <formula>$C117&lt;$E117</formula>
    </cfRule>
  </conditionalFormatting>
  <conditionalFormatting sqref="E117">
    <cfRule type="expression" dxfId="4" priority="5">
      <formula>$C117&gt;$E117</formula>
    </cfRule>
  </conditionalFormatting>
  <conditionalFormatting sqref="E118">
    <cfRule type="expression" dxfId="3" priority="4">
      <formula>$C118&lt;$E118</formula>
    </cfRule>
  </conditionalFormatting>
  <conditionalFormatting sqref="E118">
    <cfRule type="expression" dxfId="2" priority="3">
      <formula>$C118&gt;$E118</formula>
    </cfRule>
  </conditionalFormatting>
  <conditionalFormatting sqref="E119:E120">
    <cfRule type="expression" dxfId="1" priority="2">
      <formula>$C119&lt;$E119</formula>
    </cfRule>
  </conditionalFormatting>
  <conditionalFormatting sqref="E119:E120">
    <cfRule type="expression" dxfId="0" priority="1">
      <formula>$C119&gt;$E119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ECE5CCF1-2777-4963-877E-A981D53B3F8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C4PPMatchph">
              <controlPr defaultSize="0" print="0" autoFill="0" autoPict="0" macro="[0]!'copyimage &quot;A2:F108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A2DC7-C822-4508-8738-0616539FB40B}">
  <sheetPr codeName="Feuil17"/>
  <dimension ref="A2:L34"/>
  <sheetViews>
    <sheetView workbookViewId="0"/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304</v>
      </c>
    </row>
    <row r="3" spans="1:12" x14ac:dyDescent="0.25">
      <c r="A3" s="100" t="str">
        <f>IF(OR(PHASE_FINAL_H_CONFIRME!O8="",PHASE_FINAL_H_CONFIRME!O9=""),"",IF(PHASE_FINAL_H_CONFIRME!O8&gt;PHASE_FINAL_H_CONFIRME!O9,PHASE_FINAL_H_CONFIRME!N8,PHASE_FINAL_H_CONFIRME!N9))</f>
        <v/>
      </c>
      <c r="B3" s="105">
        <v>1</v>
      </c>
    </row>
    <row r="4" spans="1:12" x14ac:dyDescent="0.25">
      <c r="A4" s="112" t="str">
        <f>IF(OR(PHASE_FINAL_H_CONFIRME!O8="",PHASE_FINAL_H_CONFIRME!O9=""),"",IF(PHASE_FINAL_H_CONFIRME!O8&lt;PHASE_FINAL_H_CONFIRME!O9,PHASE_FINAL_H_CONFIRME!N8,PHASE_FINAL_H_CONFIRME!N9))</f>
        <v/>
      </c>
      <c r="B4" s="113">
        <v>2</v>
      </c>
    </row>
    <row r="5" spans="1:12" x14ac:dyDescent="0.25">
      <c r="A5" s="112" t="str">
        <f>IF(OR(PHASE_FINAL_H_CONFIRME!O12="",PHASE_FINAL_H_CONFIRME!O13=""),"",IF(PHASE_FINAL_H_CONFIRME!O12&gt;PHASE_FINAL_H_CONFIRME!O13,PHASE_FINAL_H_CONFIRME!N12,PHASE_FINAL_H_CONFIRME!N13))</f>
        <v/>
      </c>
      <c r="B5" s="113">
        <v>3</v>
      </c>
    </row>
    <row r="6" spans="1:12" x14ac:dyDescent="0.25">
      <c r="A6" s="112" t="str">
        <f>IF(OR(PHASE_FINAL_H_CONFIRME!O12="",PHASE_FINAL_H_CONFIRME!O13=""),"",IF(PHASE_FINAL_H_CONFIRME!O12&lt;PHASE_FINAL_H_CONFIRME!O13,PHASE_FINAL_H_CONFIRME!N12,PHASE_FINAL_H_CONFIRME!N13))</f>
        <v/>
      </c>
      <c r="B6" s="113">
        <v>4</v>
      </c>
    </row>
    <row r="7" spans="1:12" x14ac:dyDescent="0.25">
      <c r="A7" s="112" t="str">
        <f>IF(OR(PHASE_FINAL_H_CONFIRME!B8="",PHASE_FINAL_H_CONFIRME!B9=""),"",IF(PHASE_FINAL_H_CONFIRME!B8&gt;PHASE_FINAL_H_CONFIRME!B9,PHASE_FINAL_H_CONFIRME!C8,PHASE_FINAL_H_CONFIRME!C9))</f>
        <v/>
      </c>
      <c r="B7" s="113">
        <v>5</v>
      </c>
      <c r="G7" s="188" t="str">
        <f>A3</f>
        <v/>
      </c>
      <c r="H7" s="188"/>
      <c r="I7" s="188"/>
    </row>
    <row r="8" spans="1:12" x14ac:dyDescent="0.25">
      <c r="A8" s="112" t="str">
        <f>IF(OR(PHASE_FINAL_H_CONFIRME!B8="",PHASE_FINAL_H_CONFIRME!B9=""),"",IF(PHASE_FINAL_H_CONFIRME!B8&lt;PHASE_FINAL_H_CONFIRME!B9,PHASE_FINAL_H_CONFIRME!C8,PHASE_FINAL_H_CONFIRME!C9))</f>
        <v/>
      </c>
      <c r="B8" s="113">
        <v>6</v>
      </c>
      <c r="D8" s="188" t="str">
        <f>A4</f>
        <v/>
      </c>
      <c r="E8" s="188"/>
      <c r="F8" s="188"/>
      <c r="G8" s="189"/>
      <c r="H8" s="189"/>
      <c r="I8" s="189"/>
    </row>
    <row r="9" spans="1:12" x14ac:dyDescent="0.25">
      <c r="A9" s="112" t="str">
        <f>IF(OR(PHASE_FINAL_H_CONFIRME!B12="",PHASE_FINAL_H_CONFIRME!B13=""),"",IF(PHASE_FINAL_H_CONFIRME!B12&gt;PHASE_FINAL_H_CONFIRME!B13,PHASE_FINAL_H_CONFIRME!C12,PHASE_FINAL_H_CONFIRME!C13))</f>
        <v/>
      </c>
      <c r="B9" s="113">
        <v>7</v>
      </c>
      <c r="D9" s="189"/>
      <c r="E9" s="189"/>
      <c r="F9" s="189"/>
      <c r="G9" s="114"/>
      <c r="H9" s="115"/>
      <c r="I9" s="115"/>
      <c r="J9" s="190" t="str">
        <f>A5</f>
        <v/>
      </c>
      <c r="K9" s="188"/>
      <c r="L9" s="188"/>
    </row>
    <row r="10" spans="1:12" x14ac:dyDescent="0.25">
      <c r="A10" s="112" t="str">
        <f>IF(OR(PHASE_FINAL_H_CONFIRME!B12="",PHASE_FINAL_H_CONFIRME!B13=""),"",IF(PHASE_FINAL_H_CONFIRME!B12&lt;PHASE_FINAL_H_CONFIRME!B13,PHASE_FINAL_H_CONFIRME!C12,PHASE_FINAL_H_CONFIRME!C13))</f>
        <v/>
      </c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 t="str">
        <f>IF(OR(PHASE_FINAL_H_CONFIRME!O25="",PHASE_FINAL_H_CONFIRME!O26=""),"",IF(PHASE_FINAL_H_CONFIRME!O25&gt;PHASE_FINAL_H_CONFIRME!O26,PHASE_FINAL_H_CONFIRME!N25,PHASE_FINAL_H_CONFIRME!N26))</f>
        <v/>
      </c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 t="str">
        <f>IF(OR(PHASE_FINAL_H_CONFIRME!O25="",PHASE_FINAL_H_CONFIRME!O26=""),"",IF(PHASE_FINAL_H_CONFIRME!O25&lt;PHASE_FINAL_H_CONFIRME!O26,PHASE_FINAL_H_CONFIRME!N25,PHASE_FINAL_H_CONFIRME!N26))</f>
        <v/>
      </c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 t="str">
        <f>IF(OR(PHASE_FINAL_H_CONFIRME!O29="",PHASE_FINAL_H_CONFIRME!O30=""),"",IF(PHASE_FINAL_H_CONFIRME!O29&gt;PHASE_FINAL_H_CONFIRME!O30,PHASE_FINAL_H_CONFIRME!N29,PHASE_FINAL_H_CONFIRME!N30))</f>
        <v/>
      </c>
      <c r="B13" s="113">
        <v>11</v>
      </c>
    </row>
    <row r="14" spans="1:12" x14ac:dyDescent="0.25">
      <c r="A14" s="112" t="str">
        <f>IF(OR(PHASE_FINAL_H_CONFIRME!O29="",PHASE_FINAL_H_CONFIRME!O30=""),"",IF(PHASE_FINAL_H_CONFIRME!O29&lt;PHASE_FINAL_H_CONFIRME!O30,PHASE_FINAL_H_CONFIRME!N29,PHASE_FINAL_H_CONFIRME!N30))</f>
        <v/>
      </c>
      <c r="B14" s="113">
        <v>12</v>
      </c>
    </row>
    <row r="15" spans="1:12" x14ac:dyDescent="0.25">
      <c r="A15" s="112"/>
      <c r="B15" s="113">
        <v>13</v>
      </c>
    </row>
    <row r="16" spans="1:12" x14ac:dyDescent="0.25">
      <c r="A16" s="112"/>
      <c r="B16" s="113">
        <v>14</v>
      </c>
    </row>
    <row r="17" spans="1:2" x14ac:dyDescent="0.25">
      <c r="A17" s="112"/>
      <c r="B17" s="113">
        <v>15</v>
      </c>
    </row>
    <row r="18" spans="1:2" x14ac:dyDescent="0.25">
      <c r="A18" s="112"/>
      <c r="B18" s="113">
        <v>16</v>
      </c>
    </row>
    <row r="19" spans="1:2" x14ac:dyDescent="0.25">
      <c r="A19" s="112" t="str">
        <f>IF(OR(PHASE_FINAL_H_CONFIRME!O42="",PHASE_FINAL_H_CONFIRME!O43=""),"",IF(PHASE_FINAL_H_CONFIRME!O42&gt;PHASE_FINAL_H_CONFIRME!O43,PHASE_FINAL_H_CONFIRME!N42,PHASE_FINAL_H_CONFIRME!N43))</f>
        <v/>
      </c>
      <c r="B19" s="113">
        <v>17</v>
      </c>
    </row>
    <row r="20" spans="1:2" x14ac:dyDescent="0.25">
      <c r="A20" s="112" t="str">
        <f>IF(OR(PHASE_FINAL_H_CONFIRME!O42="",PHASE_FINAL_H_CONFIRME!O43=""),"",IF(PHASE_FINAL_H_CONFIRME!O42&lt;PHASE_FINAL_H_CONFIRME!O43,PHASE_FINAL_H_CONFIRME!N42,PHASE_FINAL_H_CONFIRME!N43))</f>
        <v/>
      </c>
      <c r="B20" s="113">
        <v>18</v>
      </c>
    </row>
    <row r="21" spans="1:2" x14ac:dyDescent="0.25">
      <c r="A21" s="112" t="str">
        <f>IF(OR(PHASE_FINAL_H_CONFIRME!O46="",PHASE_FINAL_H_CONFIRME!O47=""),"",IF(PHASE_FINAL_H_CONFIRME!O46&gt;PHASE_FINAL_H_CONFIRME!O47,PHASE_FINAL_H_CONFIRME!N46,PHASE_FINAL_H_CONFIRME!N47))</f>
        <v/>
      </c>
      <c r="B21" s="113">
        <v>19</v>
      </c>
    </row>
    <row r="22" spans="1:2" x14ac:dyDescent="0.25">
      <c r="A22" s="112" t="str">
        <f>IF(OR(PHASE_FINAL_H_CONFIRME!O46="",PHASE_FINAL_H_CONFIRME!O47=""),"",IF(PHASE_FINAL_H_CONFIRME!O46&lt;PHASE_FINAL_H_CONFIRME!O47,PHASE_FINAL_H_CONFIRME!N46,PHASE_FINAL_H_CONFIRME!N47))</f>
        <v/>
      </c>
      <c r="B22" s="113">
        <v>20</v>
      </c>
    </row>
    <row r="23" spans="1:2" x14ac:dyDescent="0.25">
      <c r="A23" s="112" t="str">
        <f>IF(OR(PHASE_FINAL_H_CONFIRME!B42="",PHASE_FINAL_H_CONFIRME!B43=""),"",IF(PHASE_FINAL_H_CONFIRME!B42&gt;PHASE_FINAL_H_CONFIRME!B43,PHASE_FINAL_H_CONFIRME!C42,PHASE_FINAL_H_CONFIRME!C43))</f>
        <v/>
      </c>
      <c r="B23" s="113">
        <v>21</v>
      </c>
    </row>
    <row r="24" spans="1:2" x14ac:dyDescent="0.25">
      <c r="A24" s="112" t="str">
        <f>IF(OR(PHASE_FINAL_H_CONFIRME!B42="",PHASE_FINAL_H_CONFIRME!B43=""),"",IF(PHASE_FINAL_H_CONFIRME!B42&lt;PHASE_FINAL_H_CONFIRME!B43,PHASE_FINAL_H_CONFIRME!C42,PHASE_FINAL_H_CONFIRME!C43))</f>
        <v/>
      </c>
      <c r="B24" s="113">
        <v>22</v>
      </c>
    </row>
    <row r="25" spans="1:2" x14ac:dyDescent="0.25">
      <c r="A25" s="112" t="str">
        <f>IF(OR(PHASE_FINAL_H_CONFIRME!B46="",PHASE_FINAL_H_CONFIRME!B47=""),"",IF(PHASE_FINAL_H_CONFIRME!B46&gt;PHASE_FINAL_H_CONFIRME!B47,PHASE_FINAL_H_CONFIRME!C46,PHASE_FINAL_H_CONFIRME!C47))</f>
        <v/>
      </c>
      <c r="B25" s="113">
        <v>23</v>
      </c>
    </row>
    <row r="26" spans="1:2" x14ac:dyDescent="0.25">
      <c r="A26" s="112" t="str">
        <f>IF(OR(PHASE_FINAL_H_CONFIRME!O49="",PHASE_FINAL_H_CONFIRME!O50=""),"",IF(PHASE_FINAL_H_CONFIRME!O49&gt;PHASE_FINAL_H_CONFIRME!O50,PHASE_FINAL_H_CONFIRME!N49,PHASE_FINAL_H_CONFIRME!N50))</f>
        <v/>
      </c>
      <c r="B26" s="113">
        <v>24</v>
      </c>
    </row>
    <row r="27" spans="1:2" x14ac:dyDescent="0.25">
      <c r="A27" s="112" t="str">
        <f>IF(OR(PHASE_FINAL_H_CONFIRME!O59="",PHASE_FINAL_H_CONFIRME!O60=""),"",IF(PHASE_FINAL_H_CONFIRME!O59&gt;PHASE_FINAL_H_CONFIRME!O60,PHASE_FINAL_H_CONFIRME!N59,PHASE_FINAL_H_CONFIRME!N60))</f>
        <v/>
      </c>
      <c r="B27" s="113">
        <v>25</v>
      </c>
    </row>
    <row r="28" spans="1:2" x14ac:dyDescent="0.25">
      <c r="A28" s="112" t="str">
        <f>IF(OR(PHASE_FINAL_H_CONFIRME!O59="",PHASE_FINAL_H_CONFIRME!O60=""),"",IF(PHASE_FINAL_H_CONFIRME!O59&lt;PHASE_FINAL_H_CONFIRME!O60,PHASE_FINAL_H_CONFIRME!N59,PHASE_FINAL_H_CONFIRME!N60))</f>
        <v/>
      </c>
      <c r="B28" s="113">
        <v>26</v>
      </c>
    </row>
    <row r="29" spans="1:2" x14ac:dyDescent="0.25">
      <c r="A29" s="112" t="str">
        <f>IF(OR(PHASE_FINAL_H_CONFIRME!O63="",PHASE_FINAL_H_CONFIRME!O64=""),"",IF(PHASE_FINAL_H_CONFIRME!O63&gt;PHASE_FINAL_H_CONFIRME!O64,PHASE_FINAL_H_CONFIRME!N63,PHASE_FINAL_H_CONFIRME!N64))</f>
        <v/>
      </c>
      <c r="B29" s="113">
        <v>27</v>
      </c>
    </row>
    <row r="30" spans="1:2" x14ac:dyDescent="0.25">
      <c r="A30" s="112" t="str">
        <f>IF(OR(PHASE_FINAL_H_CONFIRME!O63="",PHASE_FINAL_H_CONFIRME!O64=""),"",IF(PHASE_FINAL_H_CONFIRME!O63&lt;PHASE_FINAL_H_CONFIRME!O64,PHASE_FINAL_H_CONFIRME!N63,PHASE_FINAL_H_CONFIRME!N64))</f>
        <v/>
      </c>
      <c r="B30" s="113">
        <v>28</v>
      </c>
    </row>
    <row r="31" spans="1:2" x14ac:dyDescent="0.25">
      <c r="A31" s="112" t="str">
        <f>IF(OR(PHASE_FINAL_H_CONFIRME!B59="",PHASE_FINAL_H_CONFIRME!B60=""),"",IF(PHASE_FINAL_H_CONFIRME!B59&gt;PHASE_FINAL_H_CONFIRME!B60,PHASE_FINAL_H_CONFIRME!C59,PHASE_FINAL_H_CONFIRME!C60))</f>
        <v/>
      </c>
      <c r="B31" s="113">
        <v>29</v>
      </c>
    </row>
    <row r="32" spans="1:2" x14ac:dyDescent="0.25">
      <c r="A32" s="112" t="str">
        <f>IF(OR(PHASE_FINAL_H_CONFIRME!B59="",PHASE_FINAL_H_CONFIRME!B60=""),"",IF(PHASE_FINAL_H_CONFIRME!B59&lt;PHASE_FINAL_H_CONFIRME!B60,PHASE_FINAL_H_CONFIRME!C59,PHASE_FINAL_H_CONFIRME!C60))</f>
        <v/>
      </c>
      <c r="B32" s="113">
        <v>30</v>
      </c>
    </row>
    <row r="33" spans="1:2" x14ac:dyDescent="0.25">
      <c r="A33" s="112" t="str">
        <f>IF(OR(PHASE_FINAL_H_CONFIRME!B63="",PHASE_FINAL_H_CONFIRME!B64=""),"",IF(PHASE_FINAL_H_CONFIRME!B63&gt;PHASE_FINAL_H_CONFIRME!B64,PHASE_FINAL_H_CONFIRME!C63,PHASE_FINAL_H_CONFIRME!C64))</f>
        <v/>
      </c>
      <c r="B33" s="113">
        <v>31</v>
      </c>
    </row>
    <row r="34" spans="1:2" ht="15.75" thickBot="1" x14ac:dyDescent="0.3">
      <c r="A34" s="112" t="str">
        <f>IF(OR(PHASE_FINAL_H_CONFIRME!B63="",PHASE_FINAL_H_CONFIRME!B64=""),"",IF(PHASE_FINAL_H_CONFIRME!B63&lt;PHASE_FINAL_H_CONFIRME!B64,PHASE_FINAL_H_CONFIRME!C63,PHASE_FINAL_H_CONFIRME!C64))</f>
        <v/>
      </c>
      <c r="B34" s="107">
        <v>32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C4PPphfinalh">
              <controlPr defaultSize="0" print="0" autoFill="0" autoPict="0" macro="[0]!'copyimage &quot;A2:L6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3BFD-75A1-4056-8B92-132D82F3061E}">
  <sheetPr codeName="Feuil18"/>
  <dimension ref="A2:L18"/>
  <sheetViews>
    <sheetView workbookViewId="0">
      <selection activeCell="P38" sqref="P38"/>
    </sheetView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305</v>
      </c>
    </row>
    <row r="3" spans="1:12" x14ac:dyDescent="0.25">
      <c r="A3" s="100" t="str">
        <f>IF(OR(PHASE_FINAL_H_INTERMEDIAIRE!O8="",PHASE_FINAL_H_INTERMEDIAIRE!O9=""),"",IF(PHASE_FINAL_H_INTERMEDIAIRE!O8&gt;PHASE_FINAL_H_INTERMEDIAIRE!O9,PHASE_FINAL_H_INTERMEDIAIRE!N8,PHASE_FINAL_H_INTERMEDIAIRE!N9))</f>
        <v/>
      </c>
      <c r="B3" s="105">
        <v>1</v>
      </c>
    </row>
    <row r="4" spans="1:12" x14ac:dyDescent="0.25">
      <c r="A4" s="112" t="str">
        <f>IF(OR(PHASE_FINAL_H_INTERMEDIAIRE!O8="",PHASE_FINAL_H_INTERMEDIAIRE!O9=""),"",IF(PHASE_FINAL_H_INTERMEDIAIRE!O8&lt;PHASE_FINAL_H_INTERMEDIAIRE!O9,PHASE_FINAL_H_INTERMEDIAIRE!N8,PHASE_FINAL_H_INTERMEDIAIRE!N9))</f>
        <v/>
      </c>
      <c r="B4" s="113">
        <v>2</v>
      </c>
    </row>
    <row r="5" spans="1:12" x14ac:dyDescent="0.25">
      <c r="A5" s="112" t="str">
        <f>IF(OR(PHASE_FINAL_H_INTERMEDIAIRE!O12="",PHASE_FINAL_H_INTERMEDIAIRE!O13=""),"",IF(PHASE_FINAL_H_INTERMEDIAIRE!O12&gt;PHASE_FINAL_H_INTERMEDIAIRE!O13,PHASE_FINAL_H_INTERMEDIAIRE!N12,PHASE_FINAL_H_INTERMEDIAIRE!N13))</f>
        <v/>
      </c>
      <c r="B5" s="113">
        <v>3</v>
      </c>
    </row>
    <row r="6" spans="1:12" x14ac:dyDescent="0.25">
      <c r="A6" s="112" t="str">
        <f>IF(OR(PHASE_FINAL_H_INTERMEDIAIRE!O12="",PHASE_FINAL_H_INTERMEDIAIRE!O13=""),"",IF(PHASE_FINAL_H_INTERMEDIAIRE!O12&lt;PHASE_FINAL_H_INTERMEDIAIRE!O13,PHASE_FINAL_H_INTERMEDIAIRE!N12,PHASE_FINAL_H_INTERMEDIAIRE!N13))</f>
        <v/>
      </c>
      <c r="B6" s="113">
        <v>4</v>
      </c>
    </row>
    <row r="7" spans="1:12" x14ac:dyDescent="0.25">
      <c r="A7" s="112" t="str">
        <f>IF(OR(PHASE_FINAL_H_INTERMEDIAIRE!B8="",PHASE_FINAL_H_INTERMEDIAIRE!B9=""),"",IF(PHASE_FINAL_H_INTERMEDIAIRE!B8&gt;PHASE_FINAL_H_INTERMEDIAIRE!B9,PHASE_FINAL_H_INTERMEDIAIRE!C8,PHASE_FINAL_H_INTERMEDIAIRE!C9))</f>
        <v/>
      </c>
      <c r="B7" s="113">
        <v>5</v>
      </c>
      <c r="G7" s="188" t="str">
        <f>A3</f>
        <v/>
      </c>
      <c r="H7" s="188"/>
      <c r="I7" s="188"/>
    </row>
    <row r="8" spans="1:12" x14ac:dyDescent="0.25">
      <c r="A8" s="112" t="str">
        <f>IF(OR(PHASE_FINAL_H_INTERMEDIAIRE!B8="",PHASE_FINAL_H_INTERMEDIAIRE!B9=""),"",IF(PHASE_FINAL_H_INTERMEDIAIRE!B8&lt;PHASE_FINAL_H_INTERMEDIAIRE!B9,PHASE_FINAL_H_INTERMEDIAIRE!C8,PHASE_FINAL_H_INTERMEDIAIRE!C9))</f>
        <v/>
      </c>
      <c r="B8" s="113">
        <v>6</v>
      </c>
      <c r="D8" s="188" t="str">
        <f>A4</f>
        <v/>
      </c>
      <c r="E8" s="188"/>
      <c r="F8" s="188"/>
      <c r="G8" s="189"/>
      <c r="H8" s="189"/>
      <c r="I8" s="189"/>
    </row>
    <row r="9" spans="1:12" x14ac:dyDescent="0.25">
      <c r="A9" s="112" t="str">
        <f>IF(OR(PHASE_FINAL_H_INTERMEDIAIRE!B12="",PHASE_FINAL_H_INTERMEDIAIRE!B13=""),"",IF(PHASE_FINAL_H_INTERMEDIAIRE!B12&gt;PHASE_FINAL_H_INTERMEDIAIRE!B13,PHASE_FINAL_H_INTERMEDIAIRE!C12,PHASE_FINAL_H_INTERMEDIAIRE!C13))</f>
        <v/>
      </c>
      <c r="B9" s="113">
        <v>7</v>
      </c>
      <c r="D9" s="189"/>
      <c r="E9" s="189"/>
      <c r="F9" s="189"/>
      <c r="G9" s="114"/>
      <c r="H9" s="115"/>
      <c r="I9" s="115"/>
      <c r="J9" s="190" t="str">
        <f>A5</f>
        <v/>
      </c>
      <c r="K9" s="188"/>
      <c r="L9" s="188"/>
    </row>
    <row r="10" spans="1:12" x14ac:dyDescent="0.25">
      <c r="A10" s="112" t="str">
        <f>IF(OR(PHASE_FINAL_H_INTERMEDIAIRE!B12="",PHASE_FINAL_H_INTERMEDIAIRE!B13=""),"",IF(PHASE_FINAL_H_INTERMEDIAIRE!B12&lt;PHASE_FINAL_H_INTERMEDIAIRE!B13,PHASE_FINAL_H_INTERMEDIAIRE!C12,PHASE_FINAL_H_INTERMEDIAIRE!C13))</f>
        <v/>
      </c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 t="str">
        <f>IF(OR(PHASE_FINAL_H_INTERMEDIAIRE!O25="",PHASE_FINAL_H_INTERMEDIAIRE!O26=""),"",IF(PHASE_FINAL_H_INTERMEDIAIRE!O25&gt;PHASE_FINAL_H_INTERMEDIAIRE!O26,PHASE_FINAL_H_INTERMEDIAIRE!N25,PHASE_FINAL_H_INTERMEDIAIRE!N26))</f>
        <v/>
      </c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 t="str">
        <f>IF(OR(PHASE_FINAL_H_INTERMEDIAIRE!O25="",PHASE_FINAL_H_INTERMEDIAIRE!O26=""),"",IF(PHASE_FINAL_H_INTERMEDIAIRE!O25&lt;PHASE_FINAL_H_INTERMEDIAIRE!O26,PHASE_FINAL_H_INTERMEDIAIRE!N25,PHASE_FINAL_H_INTERMEDIAIRE!N26))</f>
        <v/>
      </c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 t="str">
        <f>IF(OR(PHASE_FINAL_H_INTERMEDIAIRE!O29="",PHASE_FINAL_H_INTERMEDIAIRE!O30=""),"",IF(PHASE_FINAL_H_INTERMEDIAIRE!O29&gt;PHASE_FINAL_H_INTERMEDIAIRE!O30,PHASE_FINAL_H_INTERMEDIAIRE!N29,PHASE_FINAL_H_INTERMEDIAIRE!N30))</f>
        <v/>
      </c>
      <c r="B13" s="113">
        <v>11</v>
      </c>
    </row>
    <row r="14" spans="1:12" x14ac:dyDescent="0.25">
      <c r="A14" s="112" t="str">
        <f>IF(OR(PHASE_FINAL_H_INTERMEDIAIRE!O29="",PHASE_FINAL_H_INTERMEDIAIRE!O30=""),"",IF(PHASE_FINAL_H_INTERMEDIAIRE!O29&lt;PHASE_FINAL_H_INTERMEDIAIRE!O30,PHASE_FINAL_H_INTERMEDIAIRE!N29,PHASE_FINAL_H_INTERMEDIAIRE!N30))</f>
        <v/>
      </c>
      <c r="B14" s="113">
        <v>12</v>
      </c>
    </row>
    <row r="15" spans="1:12" x14ac:dyDescent="0.25">
      <c r="A15" s="112" t="str">
        <f>IF(OR(PHASE_FINAL_H_INTERMEDIAIRE!B25="",PHASE_FINAL_H_INTERMEDIAIRE!B26=""),"",IF(PHASE_FINAL_H_INTERMEDIAIRE!B25&gt;PHASE_FINAL_H_INTERMEDIAIRE!B26,PHASE_FINAL_H_INTERMEDIAIRE!C25,PHASE_FINAL_H_INTERMEDIAIRE!C26))</f>
        <v/>
      </c>
      <c r="B15" s="113">
        <v>13</v>
      </c>
    </row>
    <row r="16" spans="1:12" x14ac:dyDescent="0.25">
      <c r="A16" s="112" t="str">
        <f>IF(OR(PHASE_FINAL_H_INTERMEDIAIRE!B25="",PHASE_FINAL_H_INTERMEDIAIRE!B26=""),"",IF(PHASE_FINAL_H_INTERMEDIAIRE!B25&lt;PHASE_FINAL_H_INTERMEDIAIRE!B26,PHASE_FINAL_H_INTERMEDIAIRE!C25,PHASE_FINAL_H_INTERMEDIAIRE!C26))</f>
        <v/>
      </c>
      <c r="B16" s="113">
        <v>14</v>
      </c>
    </row>
    <row r="17" spans="1:2" x14ac:dyDescent="0.25">
      <c r="A17" s="112" t="str">
        <f>IF(OR(PHASE_FINAL_H_INTERMEDIAIRE!B29="",PHASE_FINAL_H_INTERMEDIAIRE!B30=""),"",IF(PHASE_FINAL_H_INTERMEDIAIRE!B29&gt;PHASE_FINAL_H_INTERMEDIAIRE!B30,PHASE_FINAL_H_INTERMEDIAIRE!C29,PHASE_FINAL_H_INTERMEDIAIRE!C30))</f>
        <v/>
      </c>
      <c r="B17" s="113">
        <v>15</v>
      </c>
    </row>
    <row r="18" spans="1:2" ht="15.75" thickBot="1" x14ac:dyDescent="0.3">
      <c r="A18" s="112" t="str">
        <f>IF(OR(PHASE_FINAL_H_INTERMEDIAIRE!B29="",PHASE_FINAL_H_INTERMEDIAIRE!B30=""),"",IF(PHASE_FINAL_H_INTERMEDIAIRE!B29&lt;PHASE_FINAL_H_INTERMEDIAIRE!B30,PHASE_FINAL_H_INTERMEDIAIRE!C29,PHASE_FINAL_H_INTERMEDIAIRE!C30))</f>
        <v/>
      </c>
      <c r="B18" s="107">
        <v>16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C4PPphfinalh">
              <controlPr defaultSize="0" print="0" autoFill="0" autoPict="0" macro="[0]!'copyimage &quot;A2:L6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D30CF-1EC7-42F6-A790-B21B643A9E7D}">
  <sheetPr codeName="Feuil19"/>
  <dimension ref="A2:L14"/>
  <sheetViews>
    <sheetView workbookViewId="0"/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306</v>
      </c>
    </row>
    <row r="3" spans="1:12" x14ac:dyDescent="0.25">
      <c r="A3" s="100" t="str">
        <f>IF(OR(PHASE_FINAL_F_CONF_ET_INTER!O8="",PHASE_FINAL_F_CONF_ET_INTER!O9=""),"",IF(PHASE_FINAL_F_CONF_ET_INTER!O8&gt;PHASE_FINAL_F_CONF_ET_INTER!O9,PHASE_FINAL_F_CONF_ET_INTER!N8,PHASE_FINAL_F_CONF_ET_INTER!N9))</f>
        <v/>
      </c>
      <c r="B3" s="105">
        <v>1</v>
      </c>
    </row>
    <row r="4" spans="1:12" x14ac:dyDescent="0.25">
      <c r="A4" s="112" t="str">
        <f>IF(OR(PHASE_FINAL_F_CONF_ET_INTER!O8="",PHASE_FINAL_F_CONF_ET_INTER!O9=""),"",IF(PHASE_FINAL_F_CONF_ET_INTER!O8&lt;PHASE_FINAL_F_CONF_ET_INTER!O9,PHASE_FINAL_F_CONF_ET_INTER!N8,PHASE_FINAL_F_CONF_ET_INTER!N9))</f>
        <v/>
      </c>
      <c r="B4" s="113">
        <v>2</v>
      </c>
    </row>
    <row r="5" spans="1:12" x14ac:dyDescent="0.25">
      <c r="A5" s="112" t="str">
        <f>IF(OR(PHASE_FINAL_F_CONF_ET_INTER!O12="",PHASE_FINAL_F_CONF_ET_INTER!O13=""),"",IF(PHASE_FINAL_F_CONF_ET_INTER!O12&gt;PHASE_FINAL_F_CONF_ET_INTER!O13,PHASE_FINAL_F_CONF_ET_INTER!N12,PHASE_FINAL_F_CONF_ET_INTER!N13))</f>
        <v/>
      </c>
      <c r="B5" s="113">
        <v>3</v>
      </c>
    </row>
    <row r="6" spans="1:12" x14ac:dyDescent="0.25">
      <c r="A6" s="112" t="str">
        <f>IF(OR(PHASE_FINAL_F_CONF_ET_INTER!O12="",PHASE_FINAL_F_CONF_ET_INTER!O13=""),"",IF(PHASE_FINAL_F_CONF_ET_INTER!O12&lt;PHASE_FINAL_F_CONF_ET_INTER!O13,PHASE_FINAL_F_CONF_ET_INTER!N12,PHASE_FINAL_F_CONF_ET_INTER!N13))</f>
        <v/>
      </c>
      <c r="B6" s="113">
        <v>4</v>
      </c>
    </row>
    <row r="7" spans="1:12" x14ac:dyDescent="0.25">
      <c r="A7" s="112" t="str">
        <f>IF(OR(PHASE_FINAL_F_CONF_ET_INTER!B8="",PHASE_FINAL_F_CONF_ET_INTER!B9=""),"",IF(PHASE_FINAL_F_CONF_ET_INTER!B8&gt;PHASE_FINAL_F_CONF_ET_INTER!B9,PHASE_FINAL_F_CONF_ET_INTER!C8,PHASE_FINAL_F_CONF_ET_INTER!C9))</f>
        <v/>
      </c>
      <c r="B7" s="113">
        <v>5</v>
      </c>
      <c r="G7" s="188" t="str">
        <f>A3</f>
        <v/>
      </c>
      <c r="H7" s="188"/>
      <c r="I7" s="188"/>
    </row>
    <row r="8" spans="1:12" x14ac:dyDescent="0.25">
      <c r="A8" s="112" t="str">
        <f>IF(OR(PHASE_FINAL_F_CONF_ET_INTER!B8="",PHASE_FINAL_F_CONF_ET_INTER!B9=""),"",IF(PHASE_FINAL_F_CONF_ET_INTER!B8&lt;PHASE_FINAL_F_CONF_ET_INTER!B9,PHASE_FINAL_F_CONF_ET_INTER!C8,PHASE_FINAL_F_CONF_ET_INTER!C9))</f>
        <v/>
      </c>
      <c r="B8" s="113">
        <v>6</v>
      </c>
      <c r="D8" s="188" t="str">
        <f>A4</f>
        <v/>
      </c>
      <c r="E8" s="188"/>
      <c r="F8" s="188"/>
      <c r="G8" s="189"/>
      <c r="H8" s="189"/>
      <c r="I8" s="189"/>
    </row>
    <row r="9" spans="1:12" x14ac:dyDescent="0.25">
      <c r="A9" s="112" t="str">
        <f>IF(OR(PHASE_FINAL_F_CONF_ET_INTER!B12="",PHASE_FINAL_F_CONF_ET_INTER!B13=""),"",IF(PHASE_FINAL_F_CONF_ET_INTER!B12&gt;PHASE_FINAL_F_CONF_ET_INTER!B13,PHASE_FINAL_F_CONF_ET_INTER!C12,PHASE_FINAL_F_CONF_ET_INTER!C13))</f>
        <v/>
      </c>
      <c r="B9" s="113">
        <v>7</v>
      </c>
      <c r="D9" s="189"/>
      <c r="E9" s="189"/>
      <c r="F9" s="189"/>
      <c r="G9" s="114"/>
      <c r="H9" s="115"/>
      <c r="I9" s="115"/>
      <c r="J9" s="190" t="str">
        <f>A5</f>
        <v/>
      </c>
      <c r="K9" s="188"/>
      <c r="L9" s="188"/>
    </row>
    <row r="10" spans="1:12" x14ac:dyDescent="0.25">
      <c r="A10" s="112" t="str">
        <f>IF(OR(PHASE_FINAL_F_CONF_ET_INTER!B12="",PHASE_FINAL_F_CONF_ET_INTER!B13=""),"",IF(PHASE_FINAL_F_CONF_ET_INTER!B12&lt;PHASE_FINAL_F_CONF_ET_INTER!B13,PHASE_FINAL_F_CONF_ET_INTER!C12,PHASE_FINAL_F_CONF_ET_INTER!C13))</f>
        <v/>
      </c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 t="str">
        <f>IF(OR(PHASE_FINAL_F_CONF_ET_INTER!O25="",PHASE_FINAL_F_CONF_ET_INTER!O26=""),"",IF(PHASE_FINAL_F_CONF_ET_INTER!O25&gt;PHASE_FINAL_F_CONF_ET_INTER!O26,PHASE_FINAL_F_CONF_ET_INTER!N25,PHASE_FINAL_F_CONF_ET_INTER!N26))</f>
        <v/>
      </c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 t="str">
        <f>IF(OR(PHASE_FINAL_F_CONF_ET_INTER!O25="",PHASE_FINAL_F_CONF_ET_INTER!O26=""),"",IF(PHASE_FINAL_F_CONF_ET_INTER!O25&lt;PHASE_FINAL_F_CONF_ET_INTER!O26,PHASE_FINAL_F_CONF_ET_INTER!N25,PHASE_FINAL_F_CONF_ET_INTER!N26))</f>
        <v/>
      </c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 t="str">
        <f>IF(OR(PHASE_FINAL_F_CONF_ET_INTER!B25="",PHASE_FINAL_F_CONF_ET_INTER!B26=""),"",IF(PHASE_FINAL_F_CONF_ET_INTER!B25&gt;PHASE_FINAL_F_CONF_ET_INTER!B26,PHASE_FINAL_F_CONF_ET_INTER!C25,PHASE_FINAL_F_CONF_ET_INTER!C26))</f>
        <v/>
      </c>
      <c r="B13" s="113">
        <v>11</v>
      </c>
    </row>
    <row r="14" spans="1:12" ht="15.75" thickBot="1" x14ac:dyDescent="0.3">
      <c r="A14" s="112" t="str">
        <f>IF(OR(PHASE_FINAL_F_CONF_ET_INTER!B25="",PHASE_FINAL_F_CONF_ET_INTER!B26=""),"",IF(PHASE_FINAL_F_CONF_ET_INTER!B25&lt;PHASE_FINAL_F_CONF_ET_INTER!B26,PHASE_FINAL_F_CONF_ET_INTER!C25,PHASE_FINAL_F_CONF_ET_INTER!C26))</f>
        <v/>
      </c>
      <c r="B14" s="107">
        <v>12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C4PPphfinalh">
              <controlPr defaultSize="0" print="0" autoFill="0" autoPict="0" macro="[0]!'copyimage &quot;A2:L62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C2574-D32A-49EF-96D1-5E22A97BB5EA}">
  <sheetPr codeName="Feuil11"/>
  <dimension ref="A2:L16"/>
  <sheetViews>
    <sheetView workbookViewId="0"/>
  </sheetViews>
  <sheetFormatPr baseColWidth="10" defaultRowHeight="15" x14ac:dyDescent="0.25"/>
  <cols>
    <col min="1" max="1" width="30.7109375" style="99" customWidth="1"/>
    <col min="2" max="2" width="6.7109375" style="99" customWidth="1"/>
    <col min="3" max="16384" width="11.42578125" style="99"/>
  </cols>
  <sheetData>
    <row r="2" spans="1:12" ht="15.75" thickBot="1" x14ac:dyDescent="0.3">
      <c r="A2" s="99" t="s">
        <v>303</v>
      </c>
    </row>
    <row r="3" spans="1:12" x14ac:dyDescent="0.25">
      <c r="A3" s="100"/>
      <c r="B3" s="105">
        <v>1</v>
      </c>
    </row>
    <row r="4" spans="1:12" x14ac:dyDescent="0.25">
      <c r="A4" s="112"/>
      <c r="B4" s="113">
        <v>2</v>
      </c>
    </row>
    <row r="5" spans="1:12" x14ac:dyDescent="0.25">
      <c r="A5" s="112"/>
      <c r="B5" s="113">
        <v>3</v>
      </c>
    </row>
    <row r="6" spans="1:12" x14ac:dyDescent="0.25">
      <c r="A6" s="112"/>
      <c r="B6" s="113">
        <v>4</v>
      </c>
    </row>
    <row r="7" spans="1:12" x14ac:dyDescent="0.25">
      <c r="A7" s="112"/>
      <c r="B7" s="113">
        <v>5</v>
      </c>
      <c r="G7" s="188">
        <f>A3</f>
        <v>0</v>
      </c>
      <c r="H7" s="188"/>
      <c r="I7" s="188"/>
    </row>
    <row r="8" spans="1:12" x14ac:dyDescent="0.25">
      <c r="A8" s="112"/>
      <c r="B8" s="113">
        <v>6</v>
      </c>
      <c r="D8" s="188">
        <f>A4</f>
        <v>0</v>
      </c>
      <c r="E8" s="188"/>
      <c r="F8" s="188"/>
      <c r="G8" s="189"/>
      <c r="H8" s="189"/>
      <c r="I8" s="189"/>
    </row>
    <row r="9" spans="1:12" x14ac:dyDescent="0.25">
      <c r="A9" s="112"/>
      <c r="B9" s="113">
        <v>7</v>
      </c>
      <c r="D9" s="189"/>
      <c r="E9" s="189"/>
      <c r="F9" s="189"/>
      <c r="G9" s="114"/>
      <c r="H9" s="115"/>
      <c r="I9" s="115"/>
      <c r="J9" s="190">
        <f>A5</f>
        <v>0</v>
      </c>
      <c r="K9" s="188"/>
      <c r="L9" s="188"/>
    </row>
    <row r="10" spans="1:12" x14ac:dyDescent="0.25">
      <c r="A10" s="112"/>
      <c r="B10" s="113">
        <v>8</v>
      </c>
      <c r="D10" s="115"/>
      <c r="E10" s="115"/>
      <c r="F10" s="115"/>
      <c r="G10" s="115"/>
      <c r="H10" s="192">
        <v>1</v>
      </c>
      <c r="I10" s="115"/>
      <c r="J10" s="191"/>
      <c r="K10" s="189"/>
      <c r="L10" s="189"/>
    </row>
    <row r="11" spans="1:12" x14ac:dyDescent="0.25">
      <c r="A11" s="112"/>
      <c r="B11" s="113">
        <v>9</v>
      </c>
      <c r="D11" s="115"/>
      <c r="E11" s="193">
        <v>2</v>
      </c>
      <c r="F11" s="115"/>
      <c r="G11" s="115"/>
      <c r="H11" s="192"/>
      <c r="I11" s="115"/>
      <c r="J11" s="115"/>
      <c r="K11" s="195">
        <v>3</v>
      </c>
      <c r="L11" s="115"/>
    </row>
    <row r="12" spans="1:12" x14ac:dyDescent="0.25">
      <c r="A12" s="112"/>
      <c r="B12" s="113">
        <v>10</v>
      </c>
      <c r="D12" s="116"/>
      <c r="E12" s="194"/>
      <c r="F12" s="116"/>
      <c r="G12" s="116"/>
      <c r="H12" s="116"/>
      <c r="I12" s="116"/>
      <c r="J12" s="116"/>
      <c r="K12" s="196"/>
      <c r="L12" s="116"/>
    </row>
    <row r="13" spans="1:12" x14ac:dyDescent="0.25">
      <c r="A13" s="112"/>
      <c r="B13" s="113">
        <v>11</v>
      </c>
    </row>
    <row r="14" spans="1:12" x14ac:dyDescent="0.25">
      <c r="A14" s="112"/>
      <c r="B14" s="113">
        <v>12</v>
      </c>
    </row>
    <row r="15" spans="1:12" x14ac:dyDescent="0.25">
      <c r="A15" s="112"/>
      <c r="B15" s="113">
        <v>13</v>
      </c>
    </row>
    <row r="16" spans="1:12" ht="15.75" thickBot="1" x14ac:dyDescent="0.3">
      <c r="A16" s="102"/>
      <c r="B16" s="107">
        <v>14</v>
      </c>
    </row>
  </sheetData>
  <mergeCells count="6">
    <mergeCell ref="G7:I8"/>
    <mergeCell ref="D8:F9"/>
    <mergeCell ref="J9:L10"/>
    <mergeCell ref="H10:H11"/>
    <mergeCell ref="E11:E12"/>
    <mergeCell ref="K11:K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C4PPphfinalh">
              <controlPr defaultSize="0" print="0" autoFill="0" autoPict="0" macro="[0]!'copyimage &quot;A2:L16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AK14" sqref="AF14:AK14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28</v>
      </c>
      <c r="B1" s="39" t="s">
        <v>27</v>
      </c>
      <c r="C1" s="39" t="s">
        <v>28</v>
      </c>
      <c r="D1" s="39" t="s">
        <v>29</v>
      </c>
      <c r="E1" s="39" t="s">
        <v>28</v>
      </c>
      <c r="F1" s="39" t="s">
        <v>30</v>
      </c>
      <c r="G1" s="39" t="s">
        <v>28</v>
      </c>
      <c r="H1" s="39" t="s">
        <v>31</v>
      </c>
      <c r="I1" s="39" t="s">
        <v>28</v>
      </c>
      <c r="J1" s="39" t="s">
        <v>32</v>
      </c>
      <c r="K1" s="39" t="s">
        <v>28</v>
      </c>
      <c r="L1" s="39" t="s">
        <v>27</v>
      </c>
      <c r="M1" s="39" t="s">
        <v>28</v>
      </c>
      <c r="N1" s="39" t="s">
        <v>29</v>
      </c>
      <c r="O1" s="39" t="s">
        <v>28</v>
      </c>
      <c r="P1" s="39" t="s">
        <v>30</v>
      </c>
      <c r="Q1" s="39" t="s">
        <v>28</v>
      </c>
      <c r="R1" s="39" t="s">
        <v>31</v>
      </c>
      <c r="S1" s="39" t="s">
        <v>28</v>
      </c>
      <c r="T1" s="39" t="s">
        <v>32</v>
      </c>
      <c r="U1" s="39" t="s">
        <v>28</v>
      </c>
      <c r="V1" s="39" t="s">
        <v>27</v>
      </c>
      <c r="W1" s="39" t="s">
        <v>28</v>
      </c>
      <c r="X1" s="39" t="s">
        <v>29</v>
      </c>
      <c r="Y1" s="39" t="s">
        <v>28</v>
      </c>
      <c r="Z1" s="39" t="s">
        <v>30</v>
      </c>
      <c r="AA1" s="39" t="s">
        <v>28</v>
      </c>
      <c r="AB1" s="39" t="s">
        <v>31</v>
      </c>
      <c r="AC1" s="39" t="s">
        <v>28</v>
      </c>
      <c r="AD1" s="39" t="s">
        <v>32</v>
      </c>
      <c r="AE1" s="39" t="s">
        <v>28</v>
      </c>
      <c r="AF1" s="39" t="s">
        <v>27</v>
      </c>
      <c r="AG1" s="39" t="s">
        <v>28</v>
      </c>
      <c r="AH1" s="39" t="s">
        <v>29</v>
      </c>
      <c r="AI1" s="39" t="s">
        <v>28</v>
      </c>
      <c r="AJ1" s="39" t="s">
        <v>30</v>
      </c>
      <c r="AK1" s="39" t="s">
        <v>28</v>
      </c>
      <c r="AL1" s="39" t="s">
        <v>31</v>
      </c>
      <c r="AM1" s="39" t="s">
        <v>28</v>
      </c>
      <c r="AN1" s="39" t="s">
        <v>32</v>
      </c>
      <c r="AO1" s="39" t="s">
        <v>28</v>
      </c>
      <c r="AP1" s="39" t="s">
        <v>27</v>
      </c>
      <c r="AQ1" s="39" t="s">
        <v>28</v>
      </c>
      <c r="AR1" s="39" t="s">
        <v>29</v>
      </c>
      <c r="AS1" s="39" t="s">
        <v>28</v>
      </c>
      <c r="AT1" s="39" t="s">
        <v>30</v>
      </c>
      <c r="AU1" s="39" t="s">
        <v>28</v>
      </c>
      <c r="AV1" s="39" t="s">
        <v>31</v>
      </c>
      <c r="AW1" s="39" t="s">
        <v>28</v>
      </c>
      <c r="AX1" s="39" t="s">
        <v>32</v>
      </c>
      <c r="AY1" s="39" t="s">
        <v>28</v>
      </c>
      <c r="AZ1" s="39" t="s">
        <v>27</v>
      </c>
      <c r="BA1" s="39" t="s">
        <v>28</v>
      </c>
      <c r="BB1" s="39" t="s">
        <v>29</v>
      </c>
      <c r="BC1" s="39" t="s">
        <v>28</v>
      </c>
      <c r="BD1" s="39" t="s">
        <v>30</v>
      </c>
      <c r="BE1" s="39" t="s">
        <v>28</v>
      </c>
      <c r="BF1" s="39" t="s">
        <v>31</v>
      </c>
      <c r="BG1" s="39" t="s">
        <v>28</v>
      </c>
      <c r="BH1" s="39" t="s">
        <v>32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21</vt:i4>
      </vt:variant>
    </vt:vector>
  </HeadingPairs>
  <TitlesOfParts>
    <vt:vector size="21" baseType="lpstr">
      <vt:lpstr>Parametres</vt:lpstr>
      <vt:lpstr>NOTES</vt:lpstr>
      <vt:lpstr>INSCRIPTS</vt:lpstr>
      <vt:lpstr>INSCRIPTS_M</vt:lpstr>
      <vt:lpstr>MATCHS</vt:lpstr>
      <vt:lpstr>MATCHS_M</vt:lpstr>
      <vt:lpstr>CLASSEMENTS_POULE</vt:lpstr>
      <vt:lpstr>INSCRIPTS_PH</vt:lpstr>
      <vt:lpstr>INSCRIPTS_14</vt:lpstr>
      <vt:lpstr>MATCHS_14</vt:lpstr>
      <vt:lpstr>CLASSEMENTS</vt:lpstr>
      <vt:lpstr>CLASSEMENTS_14</vt:lpstr>
      <vt:lpstr>PHASE_FINAL_H_CONFIRME</vt:lpstr>
      <vt:lpstr>PHASE_FINAL_H_INTERMEDIAIRE</vt:lpstr>
      <vt:lpstr>PHASE_FINAL_F_CONF_ET_INTER</vt:lpstr>
      <vt:lpstr>FINAL_MATCHS</vt:lpstr>
      <vt:lpstr>PLACE_FINAL_H_CONFIRME</vt:lpstr>
      <vt:lpstr>PLACE_FINAL_H_INTERMEDIAIRE</vt:lpstr>
      <vt:lpstr>PLACE_FINAL_F_CONF_ET_INTER</vt:lpstr>
      <vt:lpstr>PLACE_FINAL_MIXE_LOISIR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2022-06-03T15:01:19Z</dcterms:modified>
</cp:coreProperties>
</file>