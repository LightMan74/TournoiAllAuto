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source\repos\LightMan74\TournoisAllExe\TournoisAllExe\bin\Release\"/>
    </mc:Choice>
  </mc:AlternateContent>
  <xr:revisionPtr revIDLastSave="0" documentId="13_ncr:1_{A9155265-041A-484B-A653-3A1E0E170C67}" xr6:coauthVersionLast="47" xr6:coauthVersionMax="47" xr10:uidLastSave="{00000000-0000-0000-0000-000000000000}"/>
  <bookViews>
    <workbookView xWindow="-28920" yWindow="-120" windowWidth="29040" windowHeight="16440" firstSheet="2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OMPN" sheetId="2" state="hidden" r:id="rId4"/>
    <sheet name="NOTES" sheetId="71" r:id="rId5"/>
    <sheet name="TEMPLATE" sheetId="133" r:id="rId6"/>
    <sheet name="INSCRITS" sheetId="136" r:id="rId7"/>
    <sheet name="MATCHS" sheetId="137" r:id="rId8"/>
    <sheet name="CLASSEMENTS" sheetId="138" r:id="rId9"/>
    <sheet name="PHASE_FINALE_DM" sheetId="139" r:id="rId10"/>
    <sheet name="PHASE_FINALE_SH" sheetId="140" r:id="rId11"/>
    <sheet name="FINAL_MATCHS" sheetId="141" r:id="rId12"/>
    <sheet name="PLACE_FINALE_DM" sheetId="142" r:id="rId13"/>
    <sheet name="PLACE_FINALE_SH" sheetId="143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" i="133" l="1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0" i="143"/>
  <c r="A9" i="143"/>
  <c r="A8" i="143"/>
  <c r="A7" i="143"/>
  <c r="A6" i="143"/>
  <c r="A5" i="143"/>
  <c r="J9" i="143" s="1"/>
  <c r="A4" i="143"/>
  <c r="D8" i="143" s="1"/>
  <c r="A3" i="143"/>
  <c r="A18" i="142"/>
  <c r="A17" i="142"/>
  <c r="A16" i="142"/>
  <c r="A15" i="142"/>
  <c r="A14" i="142"/>
  <c r="A13" i="142"/>
  <c r="A12" i="142"/>
  <c r="A11" i="142"/>
  <c r="A10" i="142"/>
  <c r="A9" i="142"/>
  <c r="A8" i="142"/>
  <c r="A7" i="142"/>
  <c r="A6" i="142"/>
  <c r="A5" i="142"/>
  <c r="J9" i="142" s="1"/>
  <c r="A4" i="142"/>
  <c r="A3" i="142"/>
  <c r="G7" i="142" s="1"/>
  <c r="G7" i="143"/>
  <c r="D8" i="142"/>
  <c r="D57" i="141"/>
  <c r="D50" i="141"/>
  <c r="D43" i="141"/>
  <c r="D36" i="141"/>
  <c r="D29" i="141"/>
  <c r="D22" i="141"/>
  <c r="D15" i="141"/>
  <c r="D8" i="141"/>
  <c r="D1" i="141"/>
  <c r="E42" i="141"/>
  <c r="C42" i="141"/>
  <c r="F42" i="141"/>
  <c r="B42" i="141"/>
  <c r="E41" i="141"/>
  <c r="C41" i="141"/>
  <c r="F41" i="141"/>
  <c r="B41" i="141"/>
  <c r="E40" i="141"/>
  <c r="C40" i="141"/>
  <c r="F40" i="141"/>
  <c r="B40" i="141"/>
  <c r="E39" i="141"/>
  <c r="C39" i="141"/>
  <c r="F39" i="141"/>
  <c r="B39" i="141"/>
  <c r="E38" i="141"/>
  <c r="C38" i="141"/>
  <c r="F38" i="141"/>
  <c r="B38" i="141"/>
  <c r="E37" i="141"/>
  <c r="C37" i="141"/>
  <c r="F37" i="141"/>
  <c r="B37" i="141"/>
  <c r="E35" i="141"/>
  <c r="C35" i="141"/>
  <c r="F35" i="141"/>
  <c r="B35" i="141"/>
  <c r="E34" i="141"/>
  <c r="C34" i="141"/>
  <c r="F34" i="141"/>
  <c r="B34" i="141"/>
  <c r="E33" i="141"/>
  <c r="C33" i="141"/>
  <c r="F33" i="141"/>
  <c r="B33" i="141"/>
  <c r="E32" i="141"/>
  <c r="C32" i="141"/>
  <c r="F32" i="141"/>
  <c r="B32" i="141"/>
  <c r="E31" i="141"/>
  <c r="C31" i="141"/>
  <c r="F31" i="141"/>
  <c r="B31" i="141"/>
  <c r="E30" i="141"/>
  <c r="C30" i="141"/>
  <c r="F30" i="141"/>
  <c r="B30" i="141"/>
  <c r="E28" i="141"/>
  <c r="C28" i="141"/>
  <c r="F28" i="141"/>
  <c r="B28" i="141"/>
  <c r="E27" i="141"/>
  <c r="C27" i="141"/>
  <c r="F27" i="141"/>
  <c r="B27" i="141"/>
  <c r="E26" i="141"/>
  <c r="C26" i="141"/>
  <c r="F26" i="141"/>
  <c r="B26" i="141"/>
  <c r="E25" i="141"/>
  <c r="C25" i="141"/>
  <c r="F25" i="141"/>
  <c r="B25" i="141"/>
  <c r="E24" i="141"/>
  <c r="C24" i="141"/>
  <c r="F24" i="141"/>
  <c r="B24" i="141"/>
  <c r="E23" i="141"/>
  <c r="C23" i="141"/>
  <c r="F23" i="141"/>
  <c r="B23" i="141"/>
  <c r="E21" i="141"/>
  <c r="C21" i="141"/>
  <c r="F21" i="141"/>
  <c r="B21" i="141"/>
  <c r="E20" i="141"/>
  <c r="C20" i="141"/>
  <c r="F20" i="141"/>
  <c r="B20" i="141"/>
  <c r="E19" i="141"/>
  <c r="C19" i="141"/>
  <c r="F19" i="141"/>
  <c r="B19" i="141"/>
  <c r="E18" i="141"/>
  <c r="C18" i="141"/>
  <c r="F18" i="141"/>
  <c r="B18" i="141"/>
  <c r="E17" i="141"/>
  <c r="C17" i="141"/>
  <c r="F17" i="141"/>
  <c r="B17" i="141"/>
  <c r="E16" i="141"/>
  <c r="C16" i="141"/>
  <c r="F16" i="141"/>
  <c r="B16" i="141"/>
  <c r="E14" i="141"/>
  <c r="C14" i="141"/>
  <c r="F14" i="141"/>
  <c r="B14" i="141"/>
  <c r="E13" i="141"/>
  <c r="C13" i="141"/>
  <c r="F13" i="141"/>
  <c r="B13" i="141"/>
  <c r="E12" i="141"/>
  <c r="C12" i="141"/>
  <c r="F12" i="141"/>
  <c r="B12" i="141"/>
  <c r="E11" i="141"/>
  <c r="C11" i="141"/>
  <c r="F11" i="141"/>
  <c r="B11" i="141"/>
  <c r="E10" i="141"/>
  <c r="C10" i="141"/>
  <c r="F10" i="141"/>
  <c r="B10" i="141"/>
  <c r="E9" i="141"/>
  <c r="C9" i="141"/>
  <c r="F9" i="141"/>
  <c r="B9" i="141"/>
  <c r="E7" i="141"/>
  <c r="C7" i="141"/>
  <c r="F7" i="141"/>
  <c r="B7" i="141"/>
  <c r="E6" i="141"/>
  <c r="C6" i="141"/>
  <c r="F6" i="141"/>
  <c r="B6" i="141"/>
  <c r="E5" i="141"/>
  <c r="C5" i="141"/>
  <c r="F5" i="141"/>
  <c r="B5" i="141"/>
  <c r="E4" i="141"/>
  <c r="C4" i="141"/>
  <c r="F4" i="141"/>
  <c r="B4" i="141"/>
  <c r="E3" i="141"/>
  <c r="C3" i="141"/>
  <c r="F3" i="141"/>
  <c r="B3" i="141"/>
  <c r="E2" i="141"/>
  <c r="C2" i="141"/>
  <c r="F2" i="141"/>
  <c r="B2" i="141"/>
  <c r="C47" i="140"/>
  <c r="C46" i="140"/>
  <c r="C43" i="140"/>
  <c r="C42" i="140"/>
  <c r="F49" i="140"/>
  <c r="F48" i="140"/>
  <c r="F41" i="140"/>
  <c r="F40" i="140"/>
  <c r="K49" i="140"/>
  <c r="K48" i="140"/>
  <c r="K41" i="140"/>
  <c r="K40" i="140"/>
  <c r="N47" i="140"/>
  <c r="N46" i="140"/>
  <c r="N43" i="140"/>
  <c r="N42" i="140"/>
  <c r="C30" i="140"/>
  <c r="C29" i="140"/>
  <c r="C26" i="140"/>
  <c r="C25" i="140"/>
  <c r="F32" i="140"/>
  <c r="F31" i="140"/>
  <c r="F24" i="140"/>
  <c r="F23" i="140"/>
  <c r="K32" i="140"/>
  <c r="K31" i="140"/>
  <c r="K24" i="140"/>
  <c r="K23" i="140"/>
  <c r="N30" i="140"/>
  <c r="N29" i="140"/>
  <c r="N26" i="140"/>
  <c r="N25" i="140"/>
  <c r="C13" i="140"/>
  <c r="C12" i="140"/>
  <c r="C9" i="140"/>
  <c r="C8" i="140"/>
  <c r="F15" i="140"/>
  <c r="F14" i="140"/>
  <c r="F7" i="140"/>
  <c r="F6" i="140"/>
  <c r="K15" i="140"/>
  <c r="K14" i="140"/>
  <c r="K7" i="140"/>
  <c r="K6" i="140"/>
  <c r="N13" i="140"/>
  <c r="N12" i="140"/>
  <c r="N9" i="140"/>
  <c r="N8" i="140"/>
  <c r="C47" i="139"/>
  <c r="C46" i="139"/>
  <c r="C43" i="139"/>
  <c r="C42" i="139"/>
  <c r="F49" i="139"/>
  <c r="F48" i="139"/>
  <c r="F41" i="139"/>
  <c r="F40" i="139"/>
  <c r="K49" i="139"/>
  <c r="K48" i="139"/>
  <c r="K41" i="139"/>
  <c r="K40" i="139"/>
  <c r="N47" i="139"/>
  <c r="N46" i="139"/>
  <c r="N43" i="139"/>
  <c r="N42" i="139"/>
  <c r="C30" i="139"/>
  <c r="C29" i="139"/>
  <c r="C26" i="139"/>
  <c r="C25" i="139"/>
  <c r="F32" i="139"/>
  <c r="F31" i="139"/>
  <c r="F24" i="139"/>
  <c r="F23" i="139"/>
  <c r="K32" i="139"/>
  <c r="K31" i="139"/>
  <c r="K24" i="139"/>
  <c r="K23" i="139"/>
  <c r="N30" i="139"/>
  <c r="N29" i="139"/>
  <c r="N26" i="139"/>
  <c r="N25" i="139"/>
  <c r="C13" i="139"/>
  <c r="C12" i="139"/>
  <c r="C9" i="139"/>
  <c r="C8" i="139"/>
  <c r="F15" i="139"/>
  <c r="F14" i="139"/>
  <c r="F7" i="139"/>
  <c r="F6" i="139"/>
  <c r="K15" i="139"/>
  <c r="K14" i="139"/>
  <c r="K7" i="139"/>
  <c r="K6" i="139"/>
  <c r="N13" i="139"/>
  <c r="N12" i="139"/>
  <c r="N9" i="139"/>
  <c r="N8" i="139"/>
  <c r="N33" i="138"/>
  <c r="D33" i="138"/>
  <c r="N32" i="138"/>
  <c r="D32" i="138"/>
  <c r="N31" i="138"/>
  <c r="D31" i="138"/>
  <c r="N30" i="138"/>
  <c r="D30" i="138"/>
  <c r="N29" i="138"/>
  <c r="D29" i="138"/>
  <c r="N28" i="138"/>
  <c r="D28" i="138"/>
  <c r="N27" i="138"/>
  <c r="D27" i="138"/>
  <c r="N26" i="138"/>
  <c r="D26" i="138"/>
  <c r="N22" i="138"/>
  <c r="D22" i="138"/>
  <c r="N21" i="138"/>
  <c r="D21" i="138"/>
  <c r="N20" i="138"/>
  <c r="D20" i="138"/>
  <c r="N19" i="138"/>
  <c r="D19" i="138"/>
  <c r="N18" i="138"/>
  <c r="D18" i="138"/>
  <c r="N17" i="138"/>
  <c r="D17" i="138"/>
  <c r="N16" i="138"/>
  <c r="D16" i="138"/>
  <c r="N15" i="138"/>
  <c r="D15" i="138"/>
  <c r="N11" i="138"/>
  <c r="D11" i="138"/>
  <c r="N10" i="138"/>
  <c r="D10" i="138"/>
  <c r="N9" i="138"/>
  <c r="D9" i="138"/>
  <c r="N8" i="138"/>
  <c r="D8" i="138"/>
  <c r="N7" i="138"/>
  <c r="D7" i="138"/>
  <c r="N6" i="138"/>
  <c r="D6" i="138"/>
  <c r="N5" i="138"/>
  <c r="D5" i="138"/>
  <c r="N4" i="138"/>
  <c r="D4" i="138"/>
  <c r="F95" i="137"/>
  <c r="F82" i="137"/>
  <c r="F69" i="137"/>
  <c r="F56" i="137"/>
  <c r="F41" i="137"/>
  <c r="F28" i="137"/>
  <c r="F14" i="137"/>
  <c r="F96" i="137"/>
  <c r="F81" i="137"/>
  <c r="F70" i="137"/>
  <c r="F55" i="137"/>
  <c r="F42" i="137"/>
  <c r="F27" i="137"/>
  <c r="B14" i="137"/>
  <c r="F97" i="137"/>
  <c r="F84" i="137"/>
  <c r="F67" i="137"/>
  <c r="F54" i="137"/>
  <c r="B42" i="137"/>
  <c r="B28" i="137"/>
  <c r="F13" i="137"/>
  <c r="F98" i="137"/>
  <c r="F83" i="137"/>
  <c r="F68" i="137"/>
  <c r="F53" i="137"/>
  <c r="B41" i="137"/>
  <c r="B27" i="137"/>
  <c r="B13" i="137"/>
  <c r="B98" i="137"/>
  <c r="B84" i="137"/>
  <c r="B70" i="137"/>
  <c r="B56" i="137"/>
  <c r="F39" i="137"/>
  <c r="F26" i="137"/>
  <c r="F12" i="137"/>
  <c r="B97" i="137"/>
  <c r="B83" i="137"/>
  <c r="B69" i="137"/>
  <c r="B55" i="137"/>
  <c r="F40" i="137"/>
  <c r="F25" i="137"/>
  <c r="B12" i="137"/>
  <c r="B96" i="137"/>
  <c r="B82" i="137"/>
  <c r="B68" i="137"/>
  <c r="B54" i="137"/>
  <c r="B40" i="137"/>
  <c r="B26" i="137"/>
  <c r="F11" i="137"/>
  <c r="B95" i="137"/>
  <c r="B81" i="137"/>
  <c r="B67" i="137"/>
  <c r="B53" i="137"/>
  <c r="B39" i="137"/>
  <c r="B25" i="137"/>
  <c r="B11" i="137"/>
  <c r="F90" i="137"/>
  <c r="F77" i="137"/>
  <c r="F65" i="137"/>
  <c r="F52" i="137"/>
  <c r="F37" i="137"/>
  <c r="F24" i="137"/>
  <c r="F10" i="137"/>
  <c r="F91" i="137"/>
  <c r="F76" i="137"/>
  <c r="F66" i="137"/>
  <c r="F51" i="137"/>
  <c r="F38" i="137"/>
  <c r="F23" i="137"/>
  <c r="B10" i="137"/>
  <c r="F93" i="137"/>
  <c r="F80" i="137"/>
  <c r="F62" i="137"/>
  <c r="F49" i="137"/>
  <c r="B38" i="137"/>
  <c r="B24" i="137"/>
  <c r="F9" i="137"/>
  <c r="F94" i="137"/>
  <c r="F79" i="137"/>
  <c r="F63" i="137"/>
  <c r="F48" i="137"/>
  <c r="B37" i="137"/>
  <c r="B23" i="137"/>
  <c r="B9" i="137"/>
  <c r="B94" i="137"/>
  <c r="B80" i="137"/>
  <c r="B66" i="137"/>
  <c r="B52" i="137"/>
  <c r="F34" i="137"/>
  <c r="F21" i="137"/>
  <c r="F7" i="137"/>
  <c r="B93" i="137"/>
  <c r="B79" i="137"/>
  <c r="B65" i="137"/>
  <c r="B51" i="137"/>
  <c r="F35" i="137"/>
  <c r="F20" i="137"/>
  <c r="B7" i="137"/>
  <c r="B91" i="137"/>
  <c r="B77" i="137"/>
  <c r="B63" i="137"/>
  <c r="B49" i="137"/>
  <c r="B35" i="137"/>
  <c r="B21" i="137"/>
  <c r="F6" i="137"/>
  <c r="B90" i="137"/>
  <c r="B76" i="137"/>
  <c r="B62" i="137"/>
  <c r="B48" i="137"/>
  <c r="B34" i="137"/>
  <c r="B20" i="137"/>
  <c r="B6" i="137"/>
  <c r="F86" i="137"/>
  <c r="F73" i="137"/>
  <c r="F60" i="137"/>
  <c r="F47" i="137"/>
  <c r="F32" i="137"/>
  <c r="F19" i="137"/>
  <c r="F5" i="137"/>
  <c r="F87" i="137"/>
  <c r="F72" i="137"/>
  <c r="F61" i="137"/>
  <c r="F46" i="137"/>
  <c r="F33" i="137"/>
  <c r="F18" i="137"/>
  <c r="B5" i="137"/>
  <c r="F88" i="137"/>
  <c r="F75" i="137"/>
  <c r="F58" i="137"/>
  <c r="F45" i="137"/>
  <c r="B33" i="137"/>
  <c r="B19" i="137"/>
  <c r="F4" i="137"/>
  <c r="F89" i="137"/>
  <c r="F74" i="137"/>
  <c r="F59" i="137"/>
  <c r="F44" i="137"/>
  <c r="B32" i="137"/>
  <c r="B18" i="137"/>
  <c r="B4" i="137"/>
  <c r="B89" i="137"/>
  <c r="B75" i="137"/>
  <c r="B61" i="137"/>
  <c r="B47" i="137"/>
  <c r="F30" i="137"/>
  <c r="F17" i="137"/>
  <c r="F3" i="137"/>
  <c r="B88" i="137"/>
  <c r="B74" i="137"/>
  <c r="B60" i="137"/>
  <c r="B46" i="137"/>
  <c r="F31" i="137"/>
  <c r="F16" i="137"/>
  <c r="B3" i="137"/>
  <c r="B87" i="137"/>
  <c r="B73" i="137"/>
  <c r="B59" i="137"/>
  <c r="B45" i="137"/>
  <c r="B31" i="137"/>
  <c r="B17" i="137"/>
  <c r="F2" i="137"/>
  <c r="B86" i="137"/>
  <c r="B72" i="137"/>
  <c r="B58" i="137"/>
  <c r="B44" i="137"/>
  <c r="B30" i="137"/>
  <c r="B16" i="137"/>
  <c r="B2" i="137"/>
  <c r="D582" i="137"/>
  <c r="D575" i="137"/>
  <c r="D568" i="137"/>
  <c r="D561" i="137"/>
  <c r="D554" i="137"/>
  <c r="D547" i="137"/>
  <c r="D540" i="137"/>
  <c r="D533" i="137"/>
  <c r="D526" i="137"/>
  <c r="D519" i="137"/>
  <c r="D512" i="137"/>
  <c r="D505" i="137"/>
  <c r="D498" i="137"/>
  <c r="D491" i="137"/>
  <c r="D484" i="137"/>
  <c r="D477" i="137"/>
  <c r="D470" i="137"/>
  <c r="D463" i="137"/>
  <c r="D456" i="137"/>
  <c r="D449" i="137"/>
  <c r="D442" i="137"/>
  <c r="D435" i="137"/>
  <c r="D428" i="137"/>
  <c r="D421" i="137"/>
  <c r="D414" i="137"/>
  <c r="D407" i="137"/>
  <c r="D400" i="137"/>
  <c r="D393" i="137"/>
  <c r="D386" i="137"/>
  <c r="D379" i="137"/>
  <c r="D372" i="137"/>
  <c r="D365" i="137"/>
  <c r="D358" i="137"/>
  <c r="D351" i="137"/>
  <c r="D344" i="137"/>
  <c r="D337" i="137"/>
  <c r="D330" i="137"/>
  <c r="D323" i="137"/>
  <c r="D316" i="137"/>
  <c r="D309" i="137"/>
  <c r="D302" i="137"/>
  <c r="D295" i="137"/>
  <c r="D288" i="137"/>
  <c r="D281" i="137"/>
  <c r="D274" i="137"/>
  <c r="D267" i="137"/>
  <c r="D260" i="137"/>
  <c r="D253" i="137"/>
  <c r="D246" i="137"/>
  <c r="D239" i="137"/>
  <c r="D232" i="137"/>
  <c r="D225" i="137"/>
  <c r="D218" i="137"/>
  <c r="D211" i="137"/>
  <c r="D204" i="137"/>
  <c r="D197" i="137"/>
  <c r="D190" i="137"/>
  <c r="D183" i="137"/>
  <c r="D176" i="137"/>
  <c r="D169" i="137"/>
  <c r="D162" i="137"/>
  <c r="D155" i="137"/>
  <c r="D148" i="137"/>
  <c r="D141" i="137"/>
  <c r="D134" i="137"/>
  <c r="D127" i="137"/>
  <c r="D120" i="137"/>
  <c r="D113" i="137"/>
  <c r="D106" i="137"/>
  <c r="D99" i="137"/>
  <c r="D92" i="137"/>
  <c r="D85" i="137"/>
  <c r="D78" i="137"/>
  <c r="D71" i="137"/>
  <c r="D64" i="137"/>
  <c r="D57" i="137"/>
  <c r="D50" i="137"/>
  <c r="D43" i="137"/>
  <c r="D36" i="137"/>
  <c r="D29" i="137"/>
  <c r="D22" i="137"/>
  <c r="D15" i="137"/>
  <c r="D8" i="137"/>
  <c r="A17" i="1"/>
  <c r="G33" i="138"/>
  <c r="I33" i="138"/>
  <c r="H33" i="138"/>
  <c r="F33" i="138"/>
  <c r="E33" i="138"/>
  <c r="G32" i="138"/>
  <c r="I32" i="138"/>
  <c r="H32" i="138"/>
  <c r="F32" i="138"/>
  <c r="E32" i="138"/>
  <c r="G31" i="138"/>
  <c r="I31" i="138"/>
  <c r="H31" i="138"/>
  <c r="F31" i="138"/>
  <c r="E31" i="138"/>
  <c r="G30" i="138"/>
  <c r="I30" i="138"/>
  <c r="H30" i="138"/>
  <c r="F30" i="138"/>
  <c r="E30" i="138"/>
  <c r="G29" i="138"/>
  <c r="I29" i="138"/>
  <c r="H29" i="138"/>
  <c r="F29" i="138"/>
  <c r="E29" i="138"/>
  <c r="G28" i="138"/>
  <c r="I28" i="138"/>
  <c r="H28" i="138"/>
  <c r="F28" i="138"/>
  <c r="E28" i="138"/>
  <c r="G27" i="138"/>
  <c r="I27" i="138"/>
  <c r="H27" i="138"/>
  <c r="F27" i="138"/>
  <c r="E27" i="138"/>
  <c r="G26" i="138"/>
  <c r="I26" i="138"/>
  <c r="H26" i="138"/>
  <c r="F26" i="138"/>
  <c r="E26" i="138"/>
  <c r="G22" i="138"/>
  <c r="I22" i="138"/>
  <c r="H22" i="138"/>
  <c r="F22" i="138"/>
  <c r="E22" i="138"/>
  <c r="G21" i="138"/>
  <c r="I21" i="138"/>
  <c r="H21" i="138"/>
  <c r="F21" i="138"/>
  <c r="E21" i="138"/>
  <c r="G20" i="138"/>
  <c r="I20" i="138"/>
  <c r="H20" i="138"/>
  <c r="F20" i="138"/>
  <c r="E20" i="138"/>
  <c r="G19" i="138"/>
  <c r="I19" i="138"/>
  <c r="H19" i="138"/>
  <c r="F19" i="138"/>
  <c r="E19" i="138"/>
  <c r="G18" i="138"/>
  <c r="I18" i="138"/>
  <c r="H18" i="138"/>
  <c r="F18" i="138"/>
  <c r="E18" i="138"/>
  <c r="G17" i="138"/>
  <c r="I17" i="138"/>
  <c r="H17" i="138"/>
  <c r="F17" i="138"/>
  <c r="E17" i="138"/>
  <c r="G16" i="138"/>
  <c r="I16" i="138"/>
  <c r="H16" i="138"/>
  <c r="F16" i="138"/>
  <c r="E16" i="138"/>
  <c r="G15" i="138"/>
  <c r="I15" i="138"/>
  <c r="H15" i="138"/>
  <c r="F15" i="138"/>
  <c r="E15" i="138"/>
  <c r="G11" i="138"/>
  <c r="I11" i="138"/>
  <c r="H11" i="138"/>
  <c r="F11" i="138"/>
  <c r="E11" i="138"/>
  <c r="G10" i="138"/>
  <c r="I10" i="138"/>
  <c r="H10" i="138"/>
  <c r="F10" i="138"/>
  <c r="E10" i="138"/>
  <c r="G9" i="138"/>
  <c r="I9" i="138"/>
  <c r="H9" i="138"/>
  <c r="F9" i="138"/>
  <c r="E9" i="138"/>
  <c r="G8" i="138"/>
  <c r="I8" i="138"/>
  <c r="H8" i="138"/>
  <c r="F8" i="138"/>
  <c r="E8" i="138"/>
  <c r="G7" i="138"/>
  <c r="I7" i="138"/>
  <c r="H7" i="138"/>
  <c r="F7" i="138"/>
  <c r="E7" i="138"/>
  <c r="G6" i="138"/>
  <c r="I6" i="138"/>
  <c r="H6" i="138"/>
  <c r="F6" i="138"/>
  <c r="E6" i="138"/>
  <c r="G5" i="138"/>
  <c r="I5" i="138"/>
  <c r="H5" i="138"/>
  <c r="F5" i="138"/>
  <c r="E5" i="138"/>
  <c r="G4" i="138"/>
  <c r="I4" i="138"/>
  <c r="H4" i="138"/>
  <c r="F4" i="138"/>
  <c r="E4" i="138"/>
  <c r="J33" i="138" l="1"/>
  <c r="J32" i="138"/>
  <c r="J31" i="138"/>
  <c r="J30" i="138"/>
  <c r="J29" i="138"/>
  <c r="J28" i="138"/>
  <c r="J27" i="138"/>
  <c r="J26" i="138"/>
  <c r="J22" i="138"/>
  <c r="J21" i="138"/>
  <c r="J20" i="138"/>
  <c r="J19" i="138"/>
  <c r="J18" i="138"/>
  <c r="J17" i="138"/>
  <c r="J16" i="138"/>
  <c r="J15" i="138"/>
  <c r="J11" i="138"/>
  <c r="J10" i="138"/>
  <c r="J9" i="138"/>
  <c r="J8" i="138"/>
  <c r="J7" i="138"/>
  <c r="J6" i="138"/>
  <c r="J5" i="138"/>
  <c r="J4" i="138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<sst xmlns="http://schemas.openxmlformats.org/spreadsheetml/2006/main" count="4606" uniqueCount="193">
  <si>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</si>
  <si>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</si>
  <si>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</si>
  <si>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</si>
  <si>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</si>
  <si>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</si>
  <si>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</si>
  <si>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</si>
  <si>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</si>
  <si>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</si>
  <si>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</si>
  <si>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</si>
  <si>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</si>
  <si>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</si>
  <si>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</si>
  <si>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</si>
  <si>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</si>
  <si>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</si>
  <si>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</si>
  <si>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</si>
  <si>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</si>
  <si>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</si>
  <si>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</si>
  <si>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</si>
  <si>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</si>
  <si>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</si>
  <si>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</si>
  <si>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</si>
  <si>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</si>
  <si>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</si>
  <si>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</si>
  <si>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</si>
  <si>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</si>
  <si>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</si>
  <si>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</si>
  <si>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</si>
  <si>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</si>
  <si>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</si>
  <si>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</si>
  <si>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</si>
  <si>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</si>
  <si>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</si>
  <si>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</si>
  <si>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</si>
  <si>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</si>
  <si>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</si>
  <si>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</si>
  <si>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</si>
  <si>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</si>
  <si>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</si>
  <si>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</si>
  <si>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</si>
  <si>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1A</t>
  </si>
  <si>
    <t>2A</t>
  </si>
  <si>
    <t>3A</t>
  </si>
  <si>
    <t>4A</t>
  </si>
  <si>
    <t>5A</t>
  </si>
  <si>
    <t>6A</t>
  </si>
  <si>
    <t>7A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</si>
  <si>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</si>
  <si>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</si>
  <si>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</si>
  <si>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</si>
  <si>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</si>
  <si>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</si>
  <si>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</si>
  <si>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8A</t>
  </si>
  <si>
    <t>7B</t>
  </si>
  <si>
    <t>1B</t>
  </si>
  <si>
    <t>2B</t>
  </si>
  <si>
    <t>3B</t>
  </si>
  <si>
    <t>4B</t>
  </si>
  <si>
    <t>5B</t>
  </si>
  <si>
    <t>6B</t>
  </si>
  <si>
    <t>A</t>
  </si>
  <si>
    <t>B</t>
  </si>
  <si>
    <t>C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</si>
  <si>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</si>
  <si>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</si>
  <si>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</si>
  <si>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</si>
  <si>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</si>
  <si>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</si>
  <si>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</si>
  <si>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</si>
  <si>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</si>
  <si>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Lettre</t>
  </si>
  <si>
    <t>Gagnés</t>
  </si>
  <si>
    <t>Perdus</t>
  </si>
  <si>
    <t>Set Gagnés</t>
  </si>
  <si>
    <t>Marqués</t>
  </si>
  <si>
    <t>Encaissés</t>
  </si>
  <si>
    <t>Différence</t>
  </si>
  <si>
    <t>Confrontation Direct</t>
  </si>
  <si>
    <t>Ordre Inscrip</t>
  </si>
  <si>
    <t>Ordre Ph</t>
  </si>
  <si>
    <t>PHASE FINAL 1</t>
  </si>
  <si>
    <t>TERRAIN 1</t>
  </si>
  <si>
    <t>TERRAIN 2</t>
  </si>
  <si>
    <t>TERRAIN 3</t>
  </si>
  <si>
    <t>TERRAIN 4</t>
  </si>
  <si>
    <t>PHASE FINAL 2</t>
  </si>
  <si>
    <t>TERRAIN 5</t>
  </si>
  <si>
    <t>TERRAIN 6</t>
  </si>
  <si>
    <t>Place 1 et 2</t>
  </si>
  <si>
    <t>Place 3 et 4</t>
  </si>
  <si>
    <t>Place 5 et 6</t>
  </si>
  <si>
    <t>Place 7 et 8</t>
  </si>
  <si>
    <t>Place 9 et 10</t>
  </si>
  <si>
    <t>Place 11 et 12</t>
  </si>
  <si>
    <t>Place 13 et 14</t>
  </si>
  <si>
    <t>Place 15 et 16</t>
  </si>
  <si>
    <t>09:00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</si>
  <si>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</si>
  <si>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</si>
  <si>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DM</t>
  </si>
  <si>
    <t>SH</t>
  </si>
  <si>
    <t>00:20</t>
  </si>
  <si>
    <t>1 DM 1</t>
  </si>
  <si>
    <t>2 DM 2</t>
  </si>
  <si>
    <t>3 DM 3</t>
  </si>
  <si>
    <t>4 DM 4</t>
  </si>
  <si>
    <t>5 DM 5</t>
  </si>
  <si>
    <t>6 DM 6</t>
  </si>
  <si>
    <t>3 SH 3</t>
  </si>
  <si>
    <t>4 SH 4</t>
  </si>
  <si>
    <t>5 SH 5</t>
  </si>
  <si>
    <t>6 SH 6</t>
  </si>
  <si>
    <t>PHASE FINAL DM</t>
  </si>
  <si>
    <t>PHASE FINAL SH</t>
  </si>
  <si>
    <t>CLASSEMENT FINAL DM</t>
  </si>
  <si>
    <t>CLASSEMENT FINAL SH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</si>
  <si>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</si>
  <si>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</si>
  <si>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</si>
  <si>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</si>
  <si>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</si>
  <si>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</si>
  <si>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</si>
  <si>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</si>
  <si>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</si>
  <si>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</si>
  <si>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</si>
  <si>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</si>
  <si>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</si>
  <si>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</si>
  <si>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</si>
  <si>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</si>
  <si>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</si>
  <si>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</si>
  <si>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</si>
  <si>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</si>
  <si>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</si>
  <si>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</si>
  <si>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</si>
  <si>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</si>
  <si>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</si>
  <si>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</si>
  <si>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</si>
  <si>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</si>
  <si>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</si>
  <si>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</si>
  <si>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</si>
  <si>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</si>
  <si>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</si>
  <si>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</si>
  <si>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</si>
  <si>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</si>
  <si>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</si>
  <si>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</si>
  <si>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</si>
  <si>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</si>
  <si>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</si>
  <si>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</si>
  <si>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</si>
  <si>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</si>
  <si>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</si>
  <si>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</si>
  <si>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</si>
  <si>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</si>
  <si>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</si>
  <si>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</si>
  <si>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</si>
  <si>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</si>
  <si>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</si>
  <si>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</si>
  <si>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</si>
  <si>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</si>
  <si>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</si>
  <si>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</si>
  <si>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</si>
  <si>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</si>
  <si>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Version 3.20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</si>
</sst>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hh:mm;@"/>
    <numFmt numFmtId="166" formatCode="hh:mm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  <font>
      <sz val="20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4" borderId="0" xfId="0" applyFill="1"/>
    <xf numFmtId="0" fontId="14" fillId="5" borderId="30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14" fillId="5" borderId="32" xfId="0" applyFont="1" applyFill="1" applyBorder="1" applyAlignment="1">
      <alignment horizontal="center" vertical="center"/>
    </xf>
    <xf numFmtId="0" fontId="15" fillId="5" borderId="33" xfId="0" applyFont="1" applyFill="1" applyBorder="1" applyAlignment="1" applyProtection="1">
      <alignment horizontal="center" vertical="center"/>
      <protection locked="0"/>
    </xf>
    <xf numFmtId="0" fontId="15" fillId="5" borderId="34" xfId="0" applyFont="1" applyFill="1" applyBorder="1" applyAlignment="1" applyProtection="1">
      <alignment horizontal="center" vertical="center"/>
      <protection locked="0"/>
    </xf>
    <xf numFmtId="0" fontId="15" fillId="5" borderId="35" xfId="0" applyFont="1" applyFill="1" applyBorder="1" applyAlignment="1" applyProtection="1">
      <alignment horizontal="center" vertical="center"/>
      <protection locked="0"/>
    </xf>
    <xf numFmtId="0" fontId="14" fillId="6" borderId="30" xfId="0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center" vertical="center"/>
    </xf>
    <xf numFmtId="0" fontId="15" fillId="6" borderId="33" xfId="0" applyFont="1" applyFill="1" applyBorder="1" applyAlignment="1" applyProtection="1">
      <alignment horizontal="center" vertical="center"/>
      <protection locked="0"/>
    </xf>
    <xf numFmtId="0" fontId="15" fillId="6" borderId="34" xfId="0" applyFont="1" applyFill="1" applyBorder="1" applyAlignment="1" applyProtection="1">
      <alignment horizontal="center" vertical="center"/>
      <protection locked="0"/>
    </xf>
    <xf numFmtId="0" fontId="15" fillId="6" borderId="35" xfId="0" applyFont="1" applyFill="1" applyBorder="1" applyAlignment="1" applyProtection="1">
      <alignment horizontal="center" vertical="center"/>
      <protection locked="0"/>
    </xf>
    <xf numFmtId="0" fontId="14" fillId="7" borderId="30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5" fillId="7" borderId="33" xfId="0" applyFont="1" applyFill="1" applyBorder="1" applyAlignment="1" applyProtection="1">
      <alignment horizontal="center" vertical="center"/>
      <protection locked="0"/>
    </xf>
    <xf numFmtId="0" fontId="15" fillId="7" borderId="34" xfId="0" applyFont="1" applyFill="1" applyBorder="1" applyAlignment="1" applyProtection="1">
      <alignment horizontal="center" vertical="center"/>
      <protection locked="0"/>
    </xf>
    <xf numFmtId="0" fontId="15" fillId="7" borderId="35" xfId="0" applyFont="1" applyFill="1" applyBorder="1" applyAlignment="1" applyProtection="1">
      <alignment horizontal="center" vertical="center"/>
      <protection locked="0"/>
    </xf>
    <xf numFmtId="0" fontId="16" fillId="9" borderId="0" xfId="0" applyFont="1" applyFill="1" applyAlignment="1">
      <alignment horizontal="center" vertical="center"/>
    </xf>
    <xf numFmtId="166" fontId="16" fillId="9" borderId="0" xfId="0" applyNumberFormat="1" applyFont="1" applyFill="1" applyAlignment="1">
      <alignment horizontal="center" vertical="center"/>
    </xf>
    <xf numFmtId="0" fontId="16" fillId="9" borderId="36" xfId="0" applyFont="1" applyFill="1" applyBorder="1" applyAlignment="1">
      <alignment horizontal="center" vertical="center"/>
    </xf>
    <xf numFmtId="0" fontId="13" fillId="5" borderId="39" xfId="0" applyFont="1" applyFill="1" applyBorder="1" applyAlignment="1">
      <alignment horizontal="center" vertical="center"/>
    </xf>
    <xf numFmtId="0" fontId="13" fillId="6" borderId="39" xfId="0" applyFont="1" applyFill="1" applyBorder="1" applyAlignment="1">
      <alignment horizontal="center" vertical="center"/>
    </xf>
    <xf numFmtId="0" fontId="13" fillId="7" borderId="39" xfId="0" applyFont="1" applyFill="1" applyBorder="1" applyAlignment="1">
      <alignment horizontal="center" vertical="center"/>
    </xf>
    <xf numFmtId="0" fontId="13" fillId="8" borderId="39" xfId="0" applyFont="1" applyFill="1" applyBorder="1" applyAlignment="1">
      <alignment horizontal="center" vertical="center"/>
    </xf>
    <xf numFmtId="0" fontId="16" fillId="9" borderId="0" xfId="0" applyFont="1" applyFill="1" applyAlignment="1" applyProtection="1">
      <alignment horizontal="center" vertical="center"/>
      <protection locked="0"/>
    </xf>
    <xf numFmtId="0" fontId="17" fillId="0" borderId="38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8" fillId="10" borderId="37" xfId="0" applyFont="1" applyFill="1" applyBorder="1" applyAlignment="1">
      <alignment horizontal="center" vertical="center"/>
    </xf>
    <xf numFmtId="0" fontId="19" fillId="10" borderId="37" xfId="0" applyFont="1" applyFill="1" applyBorder="1" applyAlignment="1">
      <alignment horizontal="center" vertical="center" wrapText="1"/>
    </xf>
    <xf numFmtId="0" fontId="14" fillId="5" borderId="0" xfId="0" applyFont="1" applyFill="1" applyBorder="1" applyAlignment="1">
      <alignment horizontal="center" vertical="center"/>
    </xf>
    <xf numFmtId="0" fontId="15" fillId="5" borderId="39" xfId="0" applyFont="1" applyFill="1" applyBorder="1" applyAlignment="1" applyProtection="1">
      <alignment horizontal="center" vertical="center"/>
      <protection locked="0"/>
    </xf>
    <xf numFmtId="0" fontId="14" fillId="6" borderId="0" xfId="0" applyFont="1" applyFill="1" applyBorder="1" applyAlignment="1">
      <alignment horizontal="center" vertical="center"/>
    </xf>
    <xf numFmtId="0" fontId="15" fillId="6" borderId="39" xfId="0" applyFont="1" applyFill="1" applyBorder="1" applyAlignment="1" applyProtection="1">
      <alignment horizontal="center" vertical="center"/>
      <protection locked="0"/>
    </xf>
    <xf numFmtId="0" fontId="14" fillId="7" borderId="0" xfId="0" applyFont="1" applyFill="1" applyBorder="1" applyAlignment="1">
      <alignment horizontal="center" vertical="center"/>
    </xf>
    <xf numFmtId="0" fontId="15" fillId="7" borderId="39" xfId="0" applyFont="1" applyFill="1" applyBorder="1" applyAlignment="1" applyProtection="1">
      <alignment horizontal="center" vertical="center"/>
      <protection locked="0"/>
    </xf>
    <xf numFmtId="1" fontId="0" fillId="4" borderId="0" xfId="0" applyNumberFormat="1" applyFill="1"/>
    <xf numFmtId="1" fontId="18" fillId="10" borderId="37" xfId="0" applyNumberFormat="1" applyFont="1" applyFill="1" applyBorder="1" applyAlignment="1">
      <alignment horizontal="center" vertical="center"/>
    </xf>
    <xf numFmtId="1" fontId="15" fillId="5" borderId="39" xfId="0" applyNumberFormat="1" applyFont="1" applyFill="1" applyBorder="1" applyAlignment="1" applyProtection="1">
      <alignment horizontal="center" vertical="center"/>
      <protection locked="0"/>
    </xf>
    <xf numFmtId="1" fontId="15" fillId="6" borderId="39" xfId="0" applyNumberFormat="1" applyFont="1" applyFill="1" applyBorder="1" applyAlignment="1" applyProtection="1">
      <alignment horizontal="center" vertical="center"/>
      <protection locked="0"/>
    </xf>
    <xf numFmtId="1" fontId="15" fillId="7" borderId="39" xfId="0" applyNumberFormat="1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Alignment="1">
      <alignment horizontal="center" vertical="center"/>
    </xf>
    <xf numFmtId="0" fontId="17" fillId="10" borderId="3" xfId="0" applyFont="1" applyFill="1" applyBorder="1" applyAlignment="1">
      <alignment horizontal="center" vertical="center"/>
    </xf>
    <xf numFmtId="0" fontId="17" fillId="10" borderId="4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7" fillId="10" borderId="11" xfId="0" applyFont="1" applyFill="1" applyBorder="1" applyAlignment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7" fillId="10" borderId="3" xfId="0" applyFont="1" applyFill="1" applyBorder="1" applyAlignment="1" applyProtection="1">
      <alignment horizontal="center" vertical="center"/>
      <protection locked="0"/>
    </xf>
    <xf numFmtId="0" fontId="17" fillId="10" borderId="10" xfId="0" applyFont="1" applyFill="1" applyBorder="1" applyAlignment="1" applyProtection="1">
      <alignment horizontal="center" vertical="center"/>
      <protection locked="0"/>
    </xf>
    <xf numFmtId="0" fontId="17" fillId="10" borderId="4" xfId="0" applyFont="1" applyFill="1" applyBorder="1" applyAlignment="1" applyProtection="1">
      <alignment horizontal="center" vertical="center"/>
      <protection locked="0"/>
    </xf>
    <xf numFmtId="0" fontId="17" fillId="10" borderId="11" xfId="0" applyFont="1" applyFill="1" applyBorder="1" applyAlignment="1" applyProtection="1">
      <alignment horizontal="center" vertical="center"/>
      <protection locked="0"/>
    </xf>
    <xf numFmtId="0" fontId="17" fillId="10" borderId="6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16" fillId="11" borderId="40" xfId="0" applyFont="1" applyFill="1" applyBorder="1" applyAlignment="1">
      <alignment horizontal="center" vertical="center"/>
    </xf>
    <xf numFmtId="0" fontId="16" fillId="11" borderId="43" xfId="0" applyFont="1" applyFill="1" applyBorder="1" applyAlignment="1">
      <alignment horizontal="center" vertical="center"/>
    </xf>
    <xf numFmtId="0" fontId="20" fillId="11" borderId="0" xfId="0" applyFont="1" applyFill="1" applyBorder="1" applyAlignment="1">
      <alignment horizontal="center" vertical="center"/>
    </xf>
    <xf numFmtId="0" fontId="21" fillId="11" borderId="0" xfId="0" applyFont="1" applyFill="1" applyBorder="1" applyAlignment="1">
      <alignment horizontal="center" vertical="center"/>
    </xf>
    <xf numFmtId="0" fontId="21" fillId="11" borderId="40" xfId="0" applyFont="1" applyFill="1" applyBorder="1" applyAlignment="1">
      <alignment horizontal="center" vertical="center"/>
    </xf>
    <xf numFmtId="0" fontId="22" fillId="11" borderId="0" xfId="0" applyFont="1" applyFill="1" applyBorder="1" applyAlignment="1">
      <alignment horizontal="center" vertical="center"/>
    </xf>
    <xf numFmtId="0" fontId="22" fillId="11" borderId="40" xfId="0" applyFont="1" applyFill="1" applyBorder="1" applyAlignment="1">
      <alignment horizontal="center" vertical="center"/>
    </xf>
    <xf numFmtId="0" fontId="23" fillId="11" borderId="0" xfId="0" applyFont="1" applyFill="1" applyBorder="1" applyAlignment="1">
      <alignment horizontal="center"/>
    </xf>
    <xf numFmtId="0" fontId="23" fillId="11" borderId="40" xfId="0" applyFont="1" applyFill="1" applyBorder="1" applyAlignment="1">
      <alignment horizontal="center"/>
    </xf>
    <xf numFmtId="0" fontId="23" fillId="11" borderId="42" xfId="0" applyFont="1" applyFill="1" applyBorder="1" applyAlignment="1">
      <alignment horizontal="center"/>
    </xf>
    <xf numFmtId="0" fontId="23" fillId="11" borderId="41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 applyProtection="1">
      <alignment horizontal="center" vertical="center"/>
      <protection locked="0"/>
    </xf>
    <xf numFmtId="164" fontId="1" fillId="0" borderId="5" xfId="0" applyNumberFormat="1" applyFont="1" applyFill="1" applyBorder="1" applyAlignment="1" applyProtection="1">
      <alignment horizontal="center" vertical="center"/>
      <protection locked="0"/>
    </xf>
    <xf numFmtId="0" fontId="17" fillId="10" borderId="44" xfId="0" applyFont="1" applyFill="1" applyBorder="1" applyAlignment="1">
      <alignment horizontal="center" vertical="center"/>
    </xf>
    <xf numFmtId="0" fontId="17" fillId="10" borderId="45" xfId="0" applyFont="1" applyFill="1" applyBorder="1" applyAlignment="1">
      <alignment horizontal="center" vertical="center"/>
    </xf>
    <xf numFmtId="0" fontId="13" fillId="4" borderId="0" xfId="0" applyFont="1" applyFill="1"/>
    <xf numFmtId="0" fontId="13" fillId="12" borderId="39" xfId="0" applyFont="1" applyFill="1" applyBorder="1" applyAlignment="1">
      <alignment horizontal="center" vertical="center"/>
    </xf>
    <xf numFmtId="0" fontId="12" fillId="13" borderId="46" xfId="0" applyFont="1" applyFill="1" applyBorder="1" applyAlignment="1">
      <alignment horizontal="center" vertical="center"/>
    </xf>
    <xf numFmtId="0" fontId="12" fillId="14" borderId="46" xfId="0" applyFont="1" applyFill="1" applyBorder="1" applyAlignment="1">
      <alignment horizontal="center" vertical="center"/>
    </xf>
    <xf numFmtId="0" fontId="12" fillId="15" borderId="46" xfId="0" applyFont="1" applyFill="1" applyBorder="1" applyAlignment="1">
      <alignment horizontal="center" vertical="center"/>
    </xf>
    <xf numFmtId="0" fontId="12" fillId="16" borderId="46" xfId="0" applyFont="1" applyFill="1" applyBorder="1" applyAlignment="1">
      <alignment horizontal="center" vertical="center"/>
    </xf>
    <xf numFmtId="0" fontId="24" fillId="17" borderId="12" xfId="0" applyFont="1" applyFill="1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19" borderId="12" xfId="0" applyFill="1" applyBorder="1" applyAlignment="1">
      <alignment horizontal="center" vertical="center"/>
    </xf>
    <xf numFmtId="0" fontId="24" fillId="17" borderId="47" xfId="0" applyFont="1" applyFill="1" applyBorder="1" applyAlignment="1">
      <alignment horizontal="center" vertical="center"/>
    </xf>
    <xf numFmtId="0" fontId="24" fillId="17" borderId="48" xfId="0" applyFont="1" applyFill="1" applyBorder="1" applyAlignment="1">
      <alignment horizontal="center" vertical="center"/>
    </xf>
    <xf numFmtId="0" fontId="24" fillId="17" borderId="49" xfId="0" applyFont="1" applyFill="1" applyBorder="1" applyAlignment="1">
      <alignment horizontal="center" vertical="center"/>
    </xf>
    <xf numFmtId="0" fontId="0" fillId="20" borderId="12" xfId="0" applyFill="1" applyBorder="1" applyAlignment="1">
      <alignment horizontal="center" vertical="center"/>
    </xf>
    <xf numFmtId="0" fontId="12" fillId="18" borderId="12" xfId="0" applyFont="1" applyFill="1" applyBorder="1" applyAlignment="1">
      <alignment horizontal="center" vertical="center"/>
    </xf>
    <xf numFmtId="0" fontId="12" fillId="18" borderId="50" xfId="0" applyFont="1" applyFill="1" applyBorder="1" applyAlignment="1">
      <alignment horizontal="center" vertical="center"/>
    </xf>
    <xf numFmtId="0" fontId="12" fillId="21" borderId="12" xfId="0" applyFont="1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12" fillId="21" borderId="50" xfId="0" applyFont="1" applyFill="1" applyBorder="1" applyAlignment="1">
      <alignment horizontal="center" vertical="center"/>
    </xf>
    <xf numFmtId="0" fontId="12" fillId="20" borderId="12" xfId="0" applyFont="1" applyFill="1" applyBorder="1" applyAlignment="1">
      <alignment horizontal="center" vertical="center"/>
    </xf>
    <xf numFmtId="0" fontId="12" fillId="20" borderId="50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19" borderId="12" xfId="0" applyFont="1" applyFill="1" applyBorder="1" applyAlignment="1">
      <alignment horizontal="center" vertical="center"/>
    </xf>
    <xf numFmtId="0" fontId="12" fillId="19" borderId="50" xfId="0" applyFont="1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9" borderId="5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4" borderId="47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49" xfId="0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480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23</xdr:row>
      <xdr:rowOff>1681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75777" name="C4PPinscript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75D855EE-A89C-2CA6-61C3-B88A53625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98</xdr:row>
          <xdr:rowOff>0</xdr:rowOff>
        </xdr:to>
        <xdr:sp macro="" textlink="">
          <xdr:nvSpPr>
            <xdr:cNvPr id="76801" name="MAJHEUREB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A8C2DE4-40A1-835B-AFCB-2D3EF2A6C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98</xdr:row>
          <xdr:rowOff>0</xdr:rowOff>
        </xdr:to>
        <xdr:sp macro="" textlink="">
          <xdr:nvSpPr>
            <xdr:cNvPr id="76802" name="C4PPMatch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2DEC2450-7E59-4AA9-BFE3-B2D50687B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77825" name="TRIPOULE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577481E2-0BE0-B030-7756-95D4B11F1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77826" name="ValiderOrdrePhaseFinale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AE32501C-FFFE-A22F-389E-F40BC0537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33</xdr:row>
          <xdr:rowOff>0</xdr:rowOff>
        </xdr:to>
        <xdr:sp macro="" textlink="">
          <xdr:nvSpPr>
            <xdr:cNvPr id="77827" name="C4PPClassement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D4503A6A-FF77-10A7-C20F-7EEBB6CF0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78849" name="C4PPph14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6D3ED307-6F95-1E59-3024-A96FB9264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79873" name="C4PPph14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21107579-BF5A-C915-FA90-516592A74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80897" name="MAJHEUREB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2561BE37-83B5-8E91-C3BE-1F1C5DF23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80898" name="C4PPMatchph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A34F9437-D092-FFE1-CA4A-5D079AB5B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81921" name="C4PPphfinalh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6A1A6AC6-5582-2268-E793-E87EB9D1A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82945" name="C4PPphfinalh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5A6135B2-007A-463F-CACA-1B1251842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59" t="s">
        <v>13</v>
      </c>
      <c r="B1" s="60"/>
      <c r="C1" s="60"/>
      <c r="D1" s="60"/>
      <c r="E1" s="60"/>
      <c r="F1" s="60"/>
      <c r="G1" s="60"/>
      <c r="H1" s="60"/>
      <c r="I1" s="60"/>
      <c r="J1" s="60"/>
      <c r="K1" s="61"/>
    </row>
    <row r="2" spans="1:11" ht="15" customHeight="1" x14ac:dyDescent="0.25">
      <c r="A2" s="62"/>
      <c r="B2" s="63"/>
      <c r="C2" s="63"/>
      <c r="D2" s="63"/>
      <c r="E2" s="63"/>
      <c r="F2" s="63"/>
      <c r="G2" s="63"/>
      <c r="H2" s="63"/>
      <c r="I2" s="63"/>
      <c r="J2" s="63"/>
      <c r="K2" s="64"/>
    </row>
    <row r="3" spans="1:11" ht="15" customHeight="1" x14ac:dyDescent="0.25">
      <c r="A3" s="62"/>
      <c r="B3" s="63"/>
      <c r="C3" s="63"/>
      <c r="D3" s="63"/>
      <c r="E3" s="63"/>
      <c r="F3" s="63"/>
      <c r="G3" s="63"/>
      <c r="H3" s="63"/>
      <c r="I3" s="63"/>
      <c r="J3" s="63"/>
      <c r="K3" s="64"/>
    </row>
    <row r="4" spans="1:11" ht="15" customHeight="1" x14ac:dyDescent="0.25">
      <c r="A4" s="62"/>
      <c r="B4" s="63"/>
      <c r="C4" s="63"/>
      <c r="D4" s="63"/>
      <c r="E4" s="63"/>
      <c r="F4" s="63"/>
      <c r="G4" s="63"/>
      <c r="H4" s="63"/>
      <c r="I4" s="63"/>
      <c r="J4" s="63"/>
      <c r="K4" s="64"/>
    </row>
    <row r="5" spans="1:11" ht="15" customHeight="1" x14ac:dyDescent="0.25">
      <c r="A5" s="62"/>
      <c r="B5" s="63"/>
      <c r="C5" s="63"/>
      <c r="D5" s="63"/>
      <c r="E5" s="63"/>
      <c r="F5" s="63"/>
      <c r="G5" s="63"/>
      <c r="H5" s="63"/>
      <c r="I5" s="63"/>
      <c r="J5" s="63"/>
      <c r="K5" s="64"/>
    </row>
    <row r="6" spans="1:11" ht="15" customHeight="1" x14ac:dyDescent="0.25">
      <c r="A6" s="62"/>
      <c r="B6" s="63"/>
      <c r="C6" s="63"/>
      <c r="D6" s="63"/>
      <c r="E6" s="63"/>
      <c r="F6" s="63"/>
      <c r="G6" s="63"/>
      <c r="H6" s="63"/>
      <c r="I6" s="63"/>
      <c r="J6" s="63"/>
      <c r="K6" s="64"/>
    </row>
    <row r="7" spans="1:11" ht="15" customHeight="1" x14ac:dyDescent="0.25">
      <c r="A7" s="62"/>
      <c r="B7" s="63"/>
      <c r="C7" s="63"/>
      <c r="D7" s="63"/>
      <c r="E7" s="63"/>
      <c r="F7" s="63"/>
      <c r="G7" s="63"/>
      <c r="H7" s="63"/>
      <c r="I7" s="63"/>
      <c r="J7" s="63"/>
      <c r="K7" s="64"/>
    </row>
    <row r="8" spans="1:11" ht="15" customHeight="1" x14ac:dyDescent="0.25">
      <c r="A8" s="62"/>
      <c r="B8" s="63"/>
      <c r="C8" s="63"/>
      <c r="D8" s="63"/>
      <c r="E8" s="63"/>
      <c r="F8" s="63"/>
      <c r="G8" s="63"/>
      <c r="H8" s="63"/>
      <c r="I8" s="63"/>
      <c r="J8" s="63"/>
      <c r="K8" s="64"/>
    </row>
    <row r="9" spans="1:11" ht="15" customHeight="1" x14ac:dyDescent="0.25">
      <c r="A9" s="62"/>
      <c r="B9" s="63"/>
      <c r="C9" s="63"/>
      <c r="D9" s="63"/>
      <c r="E9" s="63"/>
      <c r="F9" s="63"/>
      <c r="G9" s="63"/>
      <c r="H9" s="63"/>
      <c r="I9" s="63"/>
      <c r="J9" s="63"/>
      <c r="K9" s="64"/>
    </row>
    <row r="10" spans="1:11" ht="15" customHeight="1" x14ac:dyDescent="0.25">
      <c r="A10" s="62"/>
      <c r="B10" s="63"/>
      <c r="C10" s="63"/>
      <c r="D10" s="63"/>
      <c r="E10" s="63"/>
      <c r="F10" s="63"/>
      <c r="G10" s="63"/>
      <c r="H10" s="63"/>
      <c r="I10" s="63"/>
      <c r="J10" s="63"/>
      <c r="K10" s="64"/>
    </row>
    <row r="11" spans="1:11" ht="15" customHeight="1" x14ac:dyDescent="0.25">
      <c r="A11" s="62"/>
      <c r="B11" s="63"/>
      <c r="C11" s="63"/>
      <c r="D11" s="63"/>
      <c r="E11" s="63"/>
      <c r="F11" s="63"/>
      <c r="G11" s="63"/>
      <c r="H11" s="63"/>
      <c r="I11" s="63"/>
      <c r="J11" s="63"/>
      <c r="K11" s="64"/>
    </row>
    <row r="12" spans="1:11" ht="15" customHeight="1" x14ac:dyDescent="0.25">
      <c r="A12" s="62"/>
      <c r="B12" s="63"/>
      <c r="C12" s="63"/>
      <c r="D12" s="63"/>
      <c r="E12" s="63"/>
      <c r="F12" s="63"/>
      <c r="G12" s="63"/>
      <c r="H12" s="63"/>
      <c r="I12" s="63"/>
      <c r="J12" s="63"/>
      <c r="K12" s="64"/>
    </row>
    <row r="13" spans="1:11" ht="15" customHeight="1" x14ac:dyDescent="0.25">
      <c r="A13" s="62"/>
      <c r="B13" s="63"/>
      <c r="C13" s="63"/>
      <c r="D13" s="63"/>
      <c r="E13" s="63"/>
      <c r="F13" s="63"/>
      <c r="G13" s="63"/>
      <c r="H13" s="63"/>
      <c r="I13" s="63"/>
      <c r="J13" s="63"/>
      <c r="K13" s="64"/>
    </row>
    <row r="14" spans="1:11" ht="15" customHeight="1" x14ac:dyDescent="0.25">
      <c r="A14" s="62"/>
      <c r="B14" s="63"/>
      <c r="C14" s="63"/>
      <c r="D14" s="63"/>
      <c r="E14" s="63"/>
      <c r="F14" s="63"/>
      <c r="G14" s="63"/>
      <c r="H14" s="63"/>
      <c r="I14" s="63"/>
      <c r="J14" s="63"/>
      <c r="K14" s="64"/>
    </row>
    <row r="15" spans="1:11" ht="15" customHeight="1" x14ac:dyDescent="0.25">
      <c r="A15" s="62"/>
      <c r="B15" s="63"/>
      <c r="C15" s="63"/>
      <c r="D15" s="63"/>
      <c r="E15" s="63"/>
      <c r="F15" s="63"/>
      <c r="G15" s="63"/>
      <c r="H15" s="63"/>
      <c r="I15" s="63"/>
      <c r="J15" s="63"/>
      <c r="K15" s="64"/>
    </row>
    <row r="16" spans="1:11" ht="15" customHeight="1" x14ac:dyDescent="0.25">
      <c r="A16" s="62"/>
      <c r="B16" s="63"/>
      <c r="C16" s="63"/>
      <c r="D16" s="63"/>
      <c r="E16" s="63"/>
      <c r="F16" s="63"/>
      <c r="G16" s="63"/>
      <c r="H16" s="63"/>
      <c r="I16" s="63"/>
      <c r="J16" s="63"/>
      <c r="K16" s="64"/>
    </row>
    <row r="17" spans="1:11" ht="15" customHeight="1" x14ac:dyDescent="0.25">
      <c r="A17" s="62"/>
      <c r="B17" s="63"/>
      <c r="C17" s="63"/>
      <c r="D17" s="63"/>
      <c r="E17" s="63"/>
      <c r="F17" s="63"/>
      <c r="G17" s="63"/>
      <c r="H17" s="63"/>
      <c r="I17" s="63"/>
      <c r="J17" s="63"/>
      <c r="K17" s="64"/>
    </row>
    <row r="18" spans="1:11" ht="15" customHeight="1" x14ac:dyDescent="0.25">
      <c r="A18" s="62"/>
      <c r="B18" s="63"/>
      <c r="C18" s="63"/>
      <c r="D18" s="63"/>
      <c r="E18" s="63"/>
      <c r="F18" s="63"/>
      <c r="G18" s="63"/>
      <c r="H18" s="63"/>
      <c r="I18" s="63"/>
      <c r="J18" s="63"/>
      <c r="K18" s="64"/>
    </row>
    <row r="19" spans="1:11" ht="15" customHeight="1" x14ac:dyDescent="0.25">
      <c r="A19" s="62"/>
      <c r="B19" s="63"/>
      <c r="C19" s="63"/>
      <c r="D19" s="63"/>
      <c r="E19" s="63"/>
      <c r="F19" s="63"/>
      <c r="G19" s="63"/>
      <c r="H19" s="63"/>
      <c r="I19" s="63"/>
      <c r="J19" s="63"/>
      <c r="K19" s="64"/>
    </row>
    <row r="20" spans="1:11" ht="15" customHeight="1" x14ac:dyDescent="0.25">
      <c r="A20" s="62"/>
      <c r="B20" s="63"/>
      <c r="C20" s="63"/>
      <c r="D20" s="63"/>
      <c r="E20" s="63"/>
      <c r="F20" s="63"/>
      <c r="G20" s="63"/>
      <c r="H20" s="63"/>
      <c r="I20" s="63"/>
      <c r="J20" s="63"/>
      <c r="K20" s="64"/>
    </row>
    <row r="21" spans="1:11" ht="15" customHeight="1" x14ac:dyDescent="0.25">
      <c r="A21" s="62"/>
      <c r="B21" s="63"/>
      <c r="C21" s="63"/>
      <c r="D21" s="63"/>
      <c r="E21" s="63"/>
      <c r="F21" s="63"/>
      <c r="G21" s="63"/>
      <c r="H21" s="63"/>
      <c r="I21" s="63"/>
      <c r="J21" s="63"/>
      <c r="K21" s="64"/>
    </row>
    <row r="22" spans="1:11" ht="15" customHeight="1" x14ac:dyDescent="0.25">
      <c r="A22" s="62"/>
      <c r="B22" s="63"/>
      <c r="C22" s="63"/>
      <c r="D22" s="63"/>
      <c r="E22" s="63"/>
      <c r="F22" s="63"/>
      <c r="G22" s="63"/>
      <c r="H22" s="63"/>
      <c r="I22" s="63"/>
      <c r="J22" s="63"/>
      <c r="K22" s="64"/>
    </row>
    <row r="23" spans="1:11" ht="15" customHeight="1" x14ac:dyDescent="0.25">
      <c r="A23" s="56" t="s">
        <v>15</v>
      </c>
      <c r="B23" s="57"/>
      <c r="C23" s="57"/>
      <c r="D23" s="57"/>
      <c r="E23" s="57"/>
      <c r="F23" s="57"/>
      <c r="G23" s="57"/>
      <c r="H23" s="57"/>
      <c r="I23" s="57"/>
      <c r="J23" s="57"/>
      <c r="K23" s="58"/>
    </row>
    <row r="24" spans="1:11" ht="15" customHeight="1" x14ac:dyDescent="0.25">
      <c r="A24" s="56"/>
      <c r="B24" s="57"/>
      <c r="C24" s="57"/>
      <c r="D24" s="57"/>
      <c r="E24" s="57"/>
      <c r="F24" s="57"/>
      <c r="G24" s="57"/>
      <c r="H24" s="57"/>
      <c r="I24" s="57"/>
      <c r="J24" s="57"/>
      <c r="K24" s="58"/>
    </row>
    <row r="25" spans="1:11" ht="15" customHeight="1" x14ac:dyDescent="0.25">
      <c r="A25" s="56"/>
      <c r="B25" s="57"/>
      <c r="C25" s="57"/>
      <c r="D25" s="57"/>
      <c r="E25" s="57"/>
      <c r="F25" s="57"/>
      <c r="G25" s="57"/>
      <c r="H25" s="57"/>
      <c r="I25" s="57"/>
      <c r="J25" s="57"/>
      <c r="K25" s="58"/>
    </row>
    <row r="26" spans="1:11" ht="15" customHeight="1" x14ac:dyDescent="0.25">
      <c r="A26" s="56"/>
      <c r="B26" s="57"/>
      <c r="C26" s="57"/>
      <c r="D26" s="57"/>
      <c r="E26" s="57"/>
      <c r="F26" s="57"/>
      <c r="G26" s="57"/>
      <c r="H26" s="57"/>
      <c r="I26" s="57"/>
      <c r="J26" s="57"/>
      <c r="K26" s="58"/>
    </row>
    <row r="27" spans="1:11" ht="1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2"/>
      <c r="K27" s="43"/>
    </row>
    <row r="28" spans="1:11" ht="15" customHeight="1" thickBot="1" x14ac:dyDescent="0.3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6"/>
    </row>
    <row r="29" spans="1:11" ht="15" customHeight="1" x14ac:dyDescent="0.25">
      <c r="A29" s="47" t="s">
        <v>14</v>
      </c>
      <c r="B29" s="48"/>
      <c r="C29" s="48"/>
      <c r="D29" s="48"/>
      <c r="E29" s="48"/>
      <c r="F29" s="48"/>
      <c r="G29" s="48"/>
      <c r="H29" s="48"/>
      <c r="I29" s="48"/>
      <c r="J29" s="48"/>
      <c r="K29" s="49"/>
    </row>
    <row r="30" spans="1:11" ht="15" customHeight="1" x14ac:dyDescent="0.25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2"/>
    </row>
    <row r="31" spans="1:11" ht="15" customHeight="1" thickBot="1" x14ac:dyDescent="0.3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5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5"/>
  <sheetViews>
    <sheetView workbookViewId="0">
      <selection activeCell="R12" sqref="R12"/>
    </sheetView>
  </sheetViews>
  <sheetFormatPr baseColWidth="10" defaultRowHeight="15" x14ac:dyDescent="0.25"/>
  <sheetData>
    <row r="1" spans="1:17" x14ac:dyDescent="0.25">
      <c r="A1" s="65" t="s">
        <v>36</v>
      </c>
      <c r="B1" s="65"/>
      <c r="C1" s="65"/>
      <c r="D1" s="65"/>
      <c r="E1" s="65"/>
      <c r="F1" s="65"/>
      <c r="G1" s="65"/>
      <c r="H1" s="65"/>
    </row>
    <row r="2" spans="1:17" x14ac:dyDescent="0.25">
      <c r="A2" s="65"/>
      <c r="B2" s="65"/>
      <c r="C2" s="65"/>
      <c r="D2" s="65"/>
      <c r="E2" s="65"/>
      <c r="F2" s="65"/>
      <c r="G2" s="65"/>
      <c r="H2" s="65"/>
    </row>
    <row r="3" spans="1:17" x14ac:dyDescent="0.25">
      <c r="A3" s="65"/>
      <c r="B3" s="65"/>
      <c r="C3" s="65"/>
      <c r="D3" s="65"/>
      <c r="E3" s="65"/>
      <c r="F3" s="65"/>
      <c r="G3" s="65"/>
      <c r="H3" s="65"/>
    </row>
    <row r="4" spans="1:17" x14ac:dyDescent="0.25">
      <c r="A4" s="66" t="str">
        <f>Parametres!F16</f>
        <v>Version 3.20</v>
      </c>
      <c r="B4" s="66"/>
      <c r="C4" s="66"/>
      <c r="D4" s="66"/>
      <c r="E4" s="66"/>
      <c r="F4" s="66"/>
      <c r="G4" s="66"/>
      <c r="H4" s="66"/>
    </row>
    <row r="6" spans="1:17" x14ac:dyDescent="0.25">
      <c r="K6" s="67" t="s">
        <v>114</v>
      </c>
      <c r="L6" s="68"/>
      <c r="M6" s="68"/>
      <c r="N6" s="68"/>
      <c r="O6" s="68"/>
      <c r="P6" s="68"/>
      <c r="Q6" s="68"/>
    </row>
    <row r="7" spans="1:17" x14ac:dyDescent="0.25">
      <c r="K7" s="68"/>
      <c r="L7" s="68"/>
      <c r="M7" s="68"/>
      <c r="N7" s="68"/>
      <c r="O7" s="68"/>
      <c r="P7" s="68"/>
      <c r="Q7" s="68"/>
    </row>
    <row r="8" spans="1:17" x14ac:dyDescent="0.25">
      <c r="K8" s="68"/>
      <c r="L8" s="68"/>
      <c r="M8" s="68"/>
      <c r="N8" s="68"/>
      <c r="O8" s="68"/>
      <c r="P8" s="68"/>
      <c r="Q8" s="68"/>
    </row>
    <row r="9" spans="1:17" x14ac:dyDescent="0.25">
      <c r="K9" s="68"/>
      <c r="L9" s="68"/>
      <c r="M9" s="68"/>
      <c r="N9" s="68"/>
      <c r="O9" s="68"/>
      <c r="P9" s="68"/>
      <c r="Q9" s="68"/>
    </row>
    <row r="10" spans="1:17" x14ac:dyDescent="0.25">
      <c r="K10" s="68"/>
      <c r="L10" s="68"/>
      <c r="M10" s="68"/>
      <c r="N10" s="68"/>
      <c r="O10" s="68"/>
      <c r="P10" s="68"/>
      <c r="Q10" s="68"/>
    </row>
    <row r="11" spans="1:17" x14ac:dyDescent="0.25">
      <c r="K11" s="68"/>
      <c r="L11" s="68"/>
      <c r="M11" s="68"/>
      <c r="N11" s="68"/>
      <c r="O11" s="68"/>
      <c r="P11" s="68"/>
      <c r="Q11" s="68"/>
    </row>
    <row r="12" spans="1:17" x14ac:dyDescent="0.25">
      <c r="K12" s="68"/>
      <c r="L12" s="68"/>
      <c r="M12" s="68"/>
      <c r="N12" s="68"/>
      <c r="O12" s="68"/>
      <c r="P12" s="68"/>
      <c r="Q12" s="68"/>
    </row>
    <row r="13" spans="1:17" x14ac:dyDescent="0.25">
      <c r="K13" s="68"/>
      <c r="L13" s="68"/>
      <c r="M13" s="68"/>
      <c r="N13" s="68"/>
      <c r="O13" s="68"/>
      <c r="P13" s="68"/>
      <c r="Q13" s="68"/>
    </row>
    <row r="14" spans="1:17" x14ac:dyDescent="0.25">
      <c r="K14" s="68"/>
      <c r="L14" s="68"/>
      <c r="M14" s="68"/>
      <c r="N14" s="68"/>
      <c r="O14" s="68"/>
      <c r="P14" s="68"/>
      <c r="Q14" s="68"/>
    </row>
    <row r="15" spans="1:17" x14ac:dyDescent="0.25">
      <c r="K15" s="68"/>
      <c r="L15" s="68"/>
      <c r="M15" s="68"/>
      <c r="N15" s="68"/>
      <c r="O15" s="68"/>
      <c r="P15" s="68"/>
      <c r="Q15" s="68"/>
    </row>
    <row r="16" spans="1:17" x14ac:dyDescent="0.25">
      <c r="K16" s="68"/>
      <c r="L16" s="68"/>
      <c r="M16" s="68"/>
      <c r="N16" s="68"/>
      <c r="O16" s="68"/>
      <c r="P16" s="68"/>
      <c r="Q16" s="68"/>
    </row>
    <row r="17" spans="11:17" x14ac:dyDescent="0.25">
      <c r="K17" s="68"/>
      <c r="L17" s="68"/>
      <c r="M17" s="68"/>
      <c r="N17" s="68"/>
      <c r="O17" s="68"/>
      <c r="P17" s="68"/>
      <c r="Q17" s="68"/>
    </row>
    <row r="18" spans="11:17" x14ac:dyDescent="0.25">
      <c r="K18" s="68"/>
      <c r="L18" s="68"/>
      <c r="M18" s="68"/>
      <c r="N18" s="68"/>
      <c r="O18" s="68"/>
      <c r="P18" s="68"/>
      <c r="Q18" s="68"/>
    </row>
    <row r="19" spans="11:17" x14ac:dyDescent="0.25">
      <c r="K19" s="68"/>
      <c r="L19" s="68"/>
      <c r="M19" s="68"/>
      <c r="N19" s="68"/>
      <c r="O19" s="68"/>
      <c r="P19" s="68"/>
      <c r="Q19" s="68"/>
    </row>
    <row r="20" spans="11:17" x14ac:dyDescent="0.25">
      <c r="K20" s="68"/>
      <c r="L20" s="68"/>
      <c r="M20" s="68"/>
      <c r="N20" s="68"/>
      <c r="O20" s="68"/>
      <c r="P20" s="68"/>
      <c r="Q20" s="68"/>
    </row>
    <row r="21" spans="11:17" x14ac:dyDescent="0.25">
      <c r="K21" s="68"/>
      <c r="L21" s="68"/>
      <c r="M21" s="68"/>
      <c r="N21" s="68"/>
      <c r="O21" s="68"/>
      <c r="P21" s="68"/>
      <c r="Q21" s="68"/>
    </row>
    <row r="22" spans="11:17" x14ac:dyDescent="0.25">
      <c r="K22" s="68"/>
      <c r="L22" s="68"/>
      <c r="M22" s="68"/>
      <c r="N22" s="68"/>
      <c r="O22" s="68"/>
      <c r="P22" s="68"/>
      <c r="Q22" s="68"/>
    </row>
    <row r="23" spans="11:17" x14ac:dyDescent="0.25">
      <c r="K23" s="68"/>
      <c r="L23" s="68"/>
      <c r="M23" s="68"/>
      <c r="N23" s="68"/>
      <c r="O23" s="68"/>
      <c r="P23" s="68"/>
      <c r="Q23" s="68"/>
    </row>
    <row r="24" spans="11:17" x14ac:dyDescent="0.25">
      <c r="K24" s="68"/>
      <c r="L24" s="68"/>
      <c r="M24" s="68"/>
      <c r="N24" s="68"/>
      <c r="O24" s="68"/>
      <c r="P24" s="68"/>
      <c r="Q24" s="68"/>
    </row>
    <row r="25" spans="11:17" x14ac:dyDescent="0.25">
      <c r="K25" s="68"/>
      <c r="L25" s="68"/>
      <c r="M25" s="68"/>
      <c r="N25" s="68"/>
      <c r="O25" s="68"/>
      <c r="P25" s="68"/>
      <c r="Q25" s="68"/>
    </row>
  </sheetData>
  <mergeCells count="3">
    <mergeCell ref="A1:H3"/>
    <mergeCell ref="A4:H4"/>
    <mergeCell ref="K6:Q2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tabSelected="1" zoomScale="85" zoomScaleNormal="85" workbookViewId="0">
      <selection activeCell="F17" sqref="F1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42</v>
      </c>
      <c r="B1" s="1"/>
      <c r="C1" s="71"/>
      <c r="D1" s="21" t="s">
        <v>37</v>
      </c>
      <c r="E1" s="36" t="s">
        <v>38</v>
      </c>
      <c r="F1" s="3" t="s">
        <v>40</v>
      </c>
      <c r="H1" s="13" t="s">
        <v>52</v>
      </c>
      <c r="I1" s="13" t="s">
        <v>53</v>
      </c>
      <c r="J1" s="13" t="s">
        <v>115</v>
      </c>
    </row>
    <row r="2" spans="1:27" ht="15.75" thickBot="1" x14ac:dyDescent="0.3">
      <c r="A2" s="37" t="s">
        <v>117</v>
      </c>
      <c r="C2" s="71"/>
      <c r="D2" s="25">
        <v>3</v>
      </c>
      <c r="E2" s="26" t="s">
        <v>8</v>
      </c>
      <c r="F2" s="20">
        <v>2</v>
      </c>
      <c r="H2" s="13" t="s">
        <v>54</v>
      </c>
      <c r="I2" s="13" t="s">
        <v>55</v>
      </c>
      <c r="J2" s="13" t="s">
        <v>115</v>
      </c>
    </row>
    <row r="3" spans="1:27" ht="15.75" thickBot="1" x14ac:dyDescent="0.3">
      <c r="A3" s="144">
        <v>0</v>
      </c>
      <c r="C3" s="72"/>
      <c r="D3" s="4" t="s">
        <v>39</v>
      </c>
      <c r="E3" s="34" t="str">
        <f>"Nbre de Catégories : " &amp; B30</f>
        <v>Nbre de Catégories : 2</v>
      </c>
      <c r="H3" s="13" t="s">
        <v>56</v>
      </c>
      <c r="I3" s="13" t="s">
        <v>57</v>
      </c>
      <c r="J3" s="13" t="s">
        <v>115</v>
      </c>
    </row>
    <row r="4" spans="1:27" x14ac:dyDescent="0.25">
      <c r="A4" s="7" t="s">
        <v>43</v>
      </c>
      <c r="B4" s="2">
        <v>1</v>
      </c>
      <c r="C4" s="22" t="str">
        <f t="shared" ref="C4:C29" si="0">IF($D$2&gt;=B4,CHAR(64+B4),"")</f>
        <v>A</v>
      </c>
      <c r="D4" s="27">
        <v>8</v>
      </c>
      <c r="E4" s="6" t="s">
        <v>115</v>
      </c>
      <c r="H4" s="13" t="s">
        <v>58</v>
      </c>
      <c r="I4" s="13" t="s">
        <v>66</v>
      </c>
      <c r="J4" s="13" t="s">
        <v>115</v>
      </c>
    </row>
    <row r="5" spans="1:27" ht="15.75" thickBot="1" x14ac:dyDescent="0.3">
      <c r="A5" s="20">
        <v>3</v>
      </c>
      <c r="B5" s="2">
        <v>2</v>
      </c>
      <c r="C5" s="23" t="str">
        <f t="shared" si="0"/>
        <v>B</v>
      </c>
      <c r="D5" s="27">
        <v>8</v>
      </c>
      <c r="E5" s="6" t="s">
        <v>115</v>
      </c>
      <c r="H5" s="13" t="s">
        <v>68</v>
      </c>
      <c r="I5" s="13" t="s">
        <v>69</v>
      </c>
      <c r="J5" s="13" t="s">
        <v>115</v>
      </c>
      <c r="AA5"/>
    </row>
    <row r="6" spans="1:27" ht="15.75" thickBot="1" x14ac:dyDescent="0.3">
      <c r="B6" s="2">
        <v>3</v>
      </c>
      <c r="C6" s="23" t="str">
        <f t="shared" si="0"/>
        <v>C</v>
      </c>
      <c r="D6" s="27">
        <v>8</v>
      </c>
      <c r="E6" s="6" t="s">
        <v>116</v>
      </c>
      <c r="H6" s="13" t="s">
        <v>70</v>
      </c>
      <c r="I6" s="13" t="s">
        <v>71</v>
      </c>
      <c r="J6" s="13" t="s">
        <v>115</v>
      </c>
      <c r="AA6"/>
    </row>
    <row r="7" spans="1:27" x14ac:dyDescent="0.25">
      <c r="A7" s="8" t="s">
        <v>44</v>
      </c>
      <c r="B7" s="2">
        <v>4</v>
      </c>
      <c r="C7" s="23" t="str">
        <f t="shared" si="0"/>
        <v/>
      </c>
      <c r="D7" s="27"/>
      <c r="E7" s="6"/>
      <c r="AA7"/>
    </row>
    <row r="8" spans="1:27" ht="15.75" thickBot="1" x14ac:dyDescent="0.3">
      <c r="A8" s="5">
        <f>ROUNDUP(SUM(D4:D29)/16,0)</f>
        <v>2</v>
      </c>
      <c r="B8" s="2">
        <v>5</v>
      </c>
      <c r="C8" s="23" t="str">
        <f t="shared" si="0"/>
        <v/>
      </c>
      <c r="D8" s="27"/>
      <c r="E8" s="6"/>
      <c r="H8" s="13" t="s">
        <v>72</v>
      </c>
      <c r="I8" s="13" t="s">
        <v>73</v>
      </c>
      <c r="J8" s="13" t="s">
        <v>115</v>
      </c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H9" s="13" t="s">
        <v>67</v>
      </c>
      <c r="I9" s="13" t="s">
        <v>77</v>
      </c>
      <c r="J9" s="13" t="s">
        <v>115</v>
      </c>
      <c r="AA9"/>
    </row>
    <row r="10" spans="1:27" x14ac:dyDescent="0.25">
      <c r="A10" s="140"/>
      <c r="B10" s="2">
        <v>7</v>
      </c>
      <c r="C10" s="23" t="str">
        <f t="shared" si="0"/>
        <v/>
      </c>
      <c r="D10" s="27"/>
      <c r="E10" s="6"/>
      <c r="H10" s="13" t="s">
        <v>78</v>
      </c>
      <c r="I10" s="13" t="s">
        <v>79</v>
      </c>
      <c r="J10" s="13" t="s">
        <v>116</v>
      </c>
      <c r="AA10"/>
    </row>
    <row r="11" spans="1:27" x14ac:dyDescent="0.25">
      <c r="A11" s="141" t="s">
        <v>0</v>
      </c>
      <c r="B11" s="2">
        <v>8</v>
      </c>
      <c r="C11" s="23" t="str">
        <f t="shared" si="0"/>
        <v/>
      </c>
      <c r="D11" s="27"/>
      <c r="E11" s="6"/>
      <c r="H11" s="13" t="s">
        <v>80</v>
      </c>
      <c r="I11" s="13" t="s">
        <v>81</v>
      </c>
      <c r="J11" s="13" t="s">
        <v>116</v>
      </c>
      <c r="AA11"/>
    </row>
    <row r="12" spans="1:27" x14ac:dyDescent="0.25">
      <c r="A12" s="141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82</v>
      </c>
      <c r="I12" s="13" t="s">
        <v>83</v>
      </c>
      <c r="J12" s="13" t="s">
        <v>116</v>
      </c>
      <c r="AA12"/>
    </row>
    <row r="13" spans="1:27" x14ac:dyDescent="0.25">
      <c r="A13" s="142" t="str">
        <f>A2</f>
        <v>00:20</v>
      </c>
      <c r="B13" s="2">
        <v>10</v>
      </c>
      <c r="C13" s="23" t="str">
        <f t="shared" si="0"/>
        <v/>
      </c>
      <c r="D13" s="27"/>
      <c r="E13" s="6"/>
      <c r="H13" s="13" t="s">
        <v>84</v>
      </c>
      <c r="I13" s="13" t="s">
        <v>85</v>
      </c>
      <c r="J13" s="13" t="s">
        <v>116</v>
      </c>
      <c r="AA13"/>
    </row>
    <row r="14" spans="1:27" x14ac:dyDescent="0.25">
      <c r="A14" s="141" t="s">
        <v>45</v>
      </c>
      <c r="B14" s="2">
        <v>11</v>
      </c>
      <c r="C14" s="23" t="str">
        <f t="shared" si="0"/>
        <v/>
      </c>
      <c r="D14" s="27"/>
      <c r="E14" s="6"/>
      <c r="AA14"/>
    </row>
    <row r="15" spans="1:27" x14ac:dyDescent="0.25">
      <c r="A15" s="143">
        <v>0.83333333333333337</v>
      </c>
      <c r="B15" s="2">
        <v>12</v>
      </c>
      <c r="C15" s="23" t="str">
        <f t="shared" si="0"/>
        <v/>
      </c>
      <c r="D15" s="27"/>
      <c r="E15" s="6"/>
      <c r="H15" s="13" t="s">
        <v>52</v>
      </c>
      <c r="I15" s="13" t="s">
        <v>54</v>
      </c>
      <c r="J15" s="13" t="s">
        <v>115</v>
      </c>
      <c r="AA15"/>
    </row>
    <row r="16" spans="1:27" x14ac:dyDescent="0.25">
      <c r="A16" s="141" t="s">
        <v>46</v>
      </c>
      <c r="B16" s="2">
        <v>13</v>
      </c>
      <c r="C16" s="23" t="str">
        <f t="shared" si="0"/>
        <v/>
      </c>
      <c r="D16" s="27"/>
      <c r="E16" s="6"/>
      <c r="F16" s="2" t="s">
        <v>192</v>
      </c>
      <c r="H16" s="13" t="s">
        <v>53</v>
      </c>
      <c r="I16" s="13" t="s">
        <v>55</v>
      </c>
      <c r="J16" s="13" t="s">
        <v>115</v>
      </c>
      <c r="AA16"/>
    </row>
    <row r="17" spans="1:27" x14ac:dyDescent="0.25">
      <c r="A17" s="143">
        <f>(counttour()/E2*(A2+A3)) + (ROUNDUP(IF(B31=TRUE,12*A5,12*A5*B30)/E2,0)*(A2+A3))</f>
        <v>0.27777777777777773</v>
      </c>
      <c r="B17" s="2">
        <v>14</v>
      </c>
      <c r="C17" s="23" t="str">
        <f t="shared" si="0"/>
        <v/>
      </c>
      <c r="D17" s="27"/>
      <c r="E17" s="6"/>
      <c r="H17" s="13" t="s">
        <v>56</v>
      </c>
      <c r="I17" s="13" t="s">
        <v>58</v>
      </c>
      <c r="J17" s="13" t="s">
        <v>115</v>
      </c>
      <c r="AA17"/>
    </row>
    <row r="18" spans="1:27" x14ac:dyDescent="0.25">
      <c r="A18" s="141" t="s">
        <v>1</v>
      </c>
      <c r="B18" s="2">
        <v>15</v>
      </c>
      <c r="C18" s="23" t="str">
        <f t="shared" si="0"/>
        <v/>
      </c>
      <c r="D18" s="27"/>
      <c r="E18" s="6"/>
      <c r="F18" s="69" t="s">
        <v>41</v>
      </c>
      <c r="H18" s="13" t="s">
        <v>57</v>
      </c>
      <c r="I18" s="13" t="s">
        <v>66</v>
      </c>
      <c r="J18" s="13" t="s">
        <v>115</v>
      </c>
      <c r="AA18"/>
    </row>
    <row r="19" spans="1:27" x14ac:dyDescent="0.25">
      <c r="A19" s="142">
        <f>A15+A17+A21</f>
        <v>1.1111111111111112</v>
      </c>
      <c r="B19" s="2">
        <v>16</v>
      </c>
      <c r="C19" s="23" t="str">
        <f t="shared" si="0"/>
        <v/>
      </c>
      <c r="D19" s="27"/>
      <c r="E19" s="6"/>
      <c r="F19" s="69"/>
      <c r="H19" s="13" t="s">
        <v>68</v>
      </c>
      <c r="I19" s="13" t="s">
        <v>70</v>
      </c>
      <c r="J19" s="13" t="s">
        <v>115</v>
      </c>
      <c r="AA19"/>
    </row>
    <row r="20" spans="1:27" x14ac:dyDescent="0.25">
      <c r="A20" s="141" t="s">
        <v>2</v>
      </c>
      <c r="B20" s="2">
        <v>17</v>
      </c>
      <c r="C20" s="23" t="str">
        <f t="shared" si="0"/>
        <v/>
      </c>
      <c r="D20" s="27"/>
      <c r="E20" s="6"/>
      <c r="F20" s="69"/>
      <c r="H20" s="13" t="s">
        <v>69</v>
      </c>
      <c r="I20" s="13" t="s">
        <v>71</v>
      </c>
      <c r="J20" s="13" t="s">
        <v>115</v>
      </c>
      <c r="AA20"/>
    </row>
    <row r="21" spans="1:27" x14ac:dyDescent="0.25">
      <c r="A21" s="143">
        <v>0</v>
      </c>
      <c r="B21" s="2">
        <v>18</v>
      </c>
      <c r="C21" s="23" t="str">
        <f t="shared" si="0"/>
        <v/>
      </c>
      <c r="D21" s="27"/>
      <c r="E21" s="6"/>
      <c r="F21" s="69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H22" s="13" t="s">
        <v>72</v>
      </c>
      <c r="I22" s="13" t="s">
        <v>67</v>
      </c>
      <c r="J22" s="13" t="s">
        <v>115</v>
      </c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H23" s="13" t="s">
        <v>73</v>
      </c>
      <c r="I23" s="13" t="s">
        <v>77</v>
      </c>
      <c r="J23" s="13" t="s">
        <v>115</v>
      </c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70" t="s">
        <v>14</v>
      </c>
      <c r="H24" s="13" t="s">
        <v>78</v>
      </c>
      <c r="I24" s="13" t="s">
        <v>80</v>
      </c>
      <c r="J24" s="13" t="s">
        <v>116</v>
      </c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70"/>
      <c r="H25" s="13" t="s">
        <v>79</v>
      </c>
      <c r="I25" s="13" t="s">
        <v>81</v>
      </c>
      <c r="J25" s="13" t="s">
        <v>116</v>
      </c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70"/>
      <c r="H26" s="13" t="s">
        <v>82</v>
      </c>
      <c r="I26" s="13" t="s">
        <v>84</v>
      </c>
      <c r="J26" s="13" t="s">
        <v>116</v>
      </c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70"/>
      <c r="H27" s="13" t="s">
        <v>83</v>
      </c>
      <c r="I27" s="13" t="s">
        <v>85</v>
      </c>
      <c r="J27" s="13" t="s">
        <v>116</v>
      </c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70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70" t="s">
        <v>51</v>
      </c>
      <c r="H29" s="13" t="s">
        <v>52</v>
      </c>
      <c r="I29" s="13" t="s">
        <v>55</v>
      </c>
      <c r="J29" s="13" t="s">
        <v>115</v>
      </c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2</v>
      </c>
      <c r="E30" s="30"/>
      <c r="F30" s="70"/>
      <c r="H30" s="13" t="s">
        <v>53</v>
      </c>
      <c r="I30" s="13" t="s">
        <v>54</v>
      </c>
      <c r="J30" s="13" t="s">
        <v>115</v>
      </c>
    </row>
    <row r="31" spans="1:27" x14ac:dyDescent="0.25">
      <c r="A31" s="9" t="s">
        <v>45</v>
      </c>
      <c r="B31" s="33" t="b">
        <v>1</v>
      </c>
      <c r="D31" s="9" t="s">
        <v>33</v>
      </c>
      <c r="F31" s="70"/>
      <c r="H31" s="13" t="s">
        <v>56</v>
      </c>
      <c r="I31" s="13" t="s">
        <v>66</v>
      </c>
      <c r="J31" s="13" t="s">
        <v>115</v>
      </c>
    </row>
    <row r="32" spans="1:27" x14ac:dyDescent="0.25">
      <c r="A32" s="37" t="s">
        <v>112</v>
      </c>
      <c r="B32" s="33" t="b">
        <v>0</v>
      </c>
      <c r="D32" s="26">
        <v>0</v>
      </c>
      <c r="H32" s="13" t="s">
        <v>57</v>
      </c>
      <c r="I32" s="13" t="s">
        <v>58</v>
      </c>
      <c r="J32" s="13" t="s">
        <v>115</v>
      </c>
    </row>
    <row r="33" spans="1:10" x14ac:dyDescent="0.25">
      <c r="A33" s="9" t="s">
        <v>47</v>
      </c>
      <c r="B33" s="33" t="b">
        <v>1</v>
      </c>
      <c r="D33" s="9" t="s">
        <v>34</v>
      </c>
      <c r="F33" s="29"/>
      <c r="H33" s="13" t="s">
        <v>68</v>
      </c>
      <c r="I33" s="13" t="s">
        <v>71</v>
      </c>
      <c r="J33" s="13" t="s">
        <v>115</v>
      </c>
    </row>
    <row r="34" spans="1:10" x14ac:dyDescent="0.25">
      <c r="A34" s="35">
        <f>(counttour()/E2*(A2+A3))+A32</f>
        <v>0.56944444444444442</v>
      </c>
      <c r="B34" s="33" t="b">
        <v>1</v>
      </c>
      <c r="D34" s="26">
        <v>0</v>
      </c>
      <c r="E34" s="2" t="str">
        <f>ROUNDUP(D32/E2,0) &amp; " ?"</f>
        <v>0 ?</v>
      </c>
      <c r="F34" s="2" t="s">
        <v>65</v>
      </c>
      <c r="H34" s="13" t="s">
        <v>69</v>
      </c>
      <c r="I34" s="13" t="s">
        <v>70</v>
      </c>
      <c r="J34" s="13" t="s">
        <v>115</v>
      </c>
    </row>
    <row r="35" spans="1:10" x14ac:dyDescent="0.25">
      <c r="A35" s="9" t="s">
        <v>48</v>
      </c>
      <c r="D35" s="9" t="s">
        <v>50</v>
      </c>
    </row>
    <row r="36" spans="1:10" x14ac:dyDescent="0.25">
      <c r="A36" s="37" t="s">
        <v>113</v>
      </c>
      <c r="D36" s="26" t="b">
        <v>1</v>
      </c>
      <c r="E36" s="2" t="s">
        <v>35</v>
      </c>
      <c r="H36" s="13" t="s">
        <v>72</v>
      </c>
      <c r="I36" s="13" t="s">
        <v>77</v>
      </c>
      <c r="J36" s="13" t="s">
        <v>115</v>
      </c>
    </row>
    <row r="37" spans="1:10" x14ac:dyDescent="0.25">
      <c r="A37" s="9" t="s">
        <v>32</v>
      </c>
      <c r="H37" s="13" t="s">
        <v>73</v>
      </c>
      <c r="I37" s="13" t="s">
        <v>67</v>
      </c>
      <c r="J37" s="13" t="s">
        <v>115</v>
      </c>
    </row>
    <row r="38" spans="1:10" x14ac:dyDescent="0.25">
      <c r="A38" s="35">
        <f>A36+(ROUNDUP(IF(B31=TRUE,12*A5,12*A5*B30)/E2,0)*(A2+A3))</f>
        <v>8.3333333333333329E-2</v>
      </c>
      <c r="H38" s="13" t="s">
        <v>78</v>
      </c>
      <c r="I38" s="13" t="s">
        <v>81</v>
      </c>
      <c r="J38" s="13" t="s">
        <v>116</v>
      </c>
    </row>
    <row r="39" spans="1:10" ht="16.5" thickBot="1" x14ac:dyDescent="0.3">
      <c r="A39" s="11"/>
      <c r="H39" s="13" t="s">
        <v>79</v>
      </c>
      <c r="I39" s="13" t="s">
        <v>80</v>
      </c>
      <c r="J39" s="13" t="s">
        <v>116</v>
      </c>
    </row>
    <row r="40" spans="1:10" x14ac:dyDescent="0.25">
      <c r="A40" s="3" t="s">
        <v>49</v>
      </c>
      <c r="H40" s="13" t="s">
        <v>82</v>
      </c>
      <c r="I40" s="13" t="s">
        <v>85</v>
      </c>
      <c r="J40" s="13" t="s">
        <v>116</v>
      </c>
    </row>
    <row r="41" spans="1:10" x14ac:dyDescent="0.25">
      <c r="A41" s="26" t="s">
        <v>8</v>
      </c>
      <c r="H41" s="13" t="s">
        <v>83</v>
      </c>
      <c r="I41" s="13" t="s">
        <v>84</v>
      </c>
      <c r="J41" s="13" t="s">
        <v>116</v>
      </c>
    </row>
    <row r="42" spans="1:10" ht="15.75" x14ac:dyDescent="0.25">
      <c r="A42" s="11"/>
    </row>
    <row r="43" spans="1:10" ht="15.75" x14ac:dyDescent="0.25">
      <c r="A43" s="11"/>
      <c r="H43" s="13" t="s">
        <v>52</v>
      </c>
      <c r="I43" s="13" t="s">
        <v>56</v>
      </c>
      <c r="J43" s="13" t="s">
        <v>115</v>
      </c>
    </row>
    <row r="44" spans="1:10" x14ac:dyDescent="0.25">
      <c r="A44" s="15"/>
      <c r="H44" s="13" t="s">
        <v>53</v>
      </c>
      <c r="I44" s="13" t="s">
        <v>57</v>
      </c>
      <c r="J44" s="13" t="s">
        <v>115</v>
      </c>
    </row>
    <row r="45" spans="1:10" x14ac:dyDescent="0.25">
      <c r="A45" s="15"/>
      <c r="H45" s="13" t="s">
        <v>54</v>
      </c>
      <c r="I45" s="13" t="s">
        <v>58</v>
      </c>
      <c r="J45" s="13" t="s">
        <v>115</v>
      </c>
    </row>
    <row r="46" spans="1:10" x14ac:dyDescent="0.25">
      <c r="A46" s="14"/>
      <c r="H46" s="13" t="s">
        <v>55</v>
      </c>
      <c r="I46" s="13" t="s">
        <v>66</v>
      </c>
      <c r="J46" s="13" t="s">
        <v>115</v>
      </c>
    </row>
    <row r="47" spans="1:10" x14ac:dyDescent="0.25">
      <c r="A47" s="10"/>
      <c r="H47" s="13" t="s">
        <v>68</v>
      </c>
      <c r="I47" s="13" t="s">
        <v>72</v>
      </c>
      <c r="J47" s="13" t="s">
        <v>115</v>
      </c>
    </row>
    <row r="48" spans="1:10" ht="15.75" x14ac:dyDescent="0.25">
      <c r="A48" s="11"/>
      <c r="H48" s="13" t="s">
        <v>69</v>
      </c>
      <c r="I48" s="13" t="s">
        <v>73</v>
      </c>
      <c r="J48" s="13" t="s">
        <v>115</v>
      </c>
    </row>
    <row r="49" spans="1:10" ht="15.75" x14ac:dyDescent="0.25">
      <c r="A49" s="11"/>
    </row>
    <row r="50" spans="1:10" ht="15.75" x14ac:dyDescent="0.25">
      <c r="A50" s="11"/>
      <c r="H50" s="13" t="s">
        <v>70</v>
      </c>
      <c r="I50" s="13" t="s">
        <v>67</v>
      </c>
      <c r="J50" s="13" t="s">
        <v>115</v>
      </c>
    </row>
    <row r="51" spans="1:10" ht="15.75" x14ac:dyDescent="0.25">
      <c r="A51" s="11"/>
      <c r="H51" s="13" t="s">
        <v>71</v>
      </c>
      <c r="I51" s="13" t="s">
        <v>77</v>
      </c>
      <c r="J51" s="13" t="s">
        <v>115</v>
      </c>
    </row>
    <row r="52" spans="1:10" ht="15.75" x14ac:dyDescent="0.25">
      <c r="A52" s="11"/>
      <c r="H52" s="13" t="s">
        <v>78</v>
      </c>
      <c r="I52" s="13" t="s">
        <v>82</v>
      </c>
      <c r="J52" s="13" t="s">
        <v>116</v>
      </c>
    </row>
    <row r="53" spans="1:10" ht="15.75" x14ac:dyDescent="0.25">
      <c r="A53" s="11"/>
      <c r="H53" s="13" t="s">
        <v>79</v>
      </c>
      <c r="I53" s="13" t="s">
        <v>83</v>
      </c>
      <c r="J53" s="13" t="s">
        <v>116</v>
      </c>
    </row>
    <row r="54" spans="1:10" ht="15.75" x14ac:dyDescent="0.25">
      <c r="A54" s="11"/>
      <c r="H54" s="13" t="s">
        <v>80</v>
      </c>
      <c r="I54" s="13" t="s">
        <v>84</v>
      </c>
      <c r="J54" s="13" t="s">
        <v>116</v>
      </c>
    </row>
    <row r="55" spans="1:10" ht="15.75" x14ac:dyDescent="0.25">
      <c r="A55" s="11"/>
      <c r="H55" s="13" t="s">
        <v>81</v>
      </c>
      <c r="I55" s="13" t="s">
        <v>85</v>
      </c>
      <c r="J55" s="13" t="s">
        <v>116</v>
      </c>
    </row>
    <row r="56" spans="1:10" x14ac:dyDescent="0.25">
      <c r="A56" s="10"/>
    </row>
    <row r="57" spans="1:10" x14ac:dyDescent="0.25">
      <c r="A57" s="14"/>
      <c r="H57" s="13" t="s">
        <v>52</v>
      </c>
      <c r="I57" s="13" t="s">
        <v>57</v>
      </c>
      <c r="J57" s="13" t="s">
        <v>115</v>
      </c>
    </row>
    <row r="58" spans="1:10" x14ac:dyDescent="0.25">
      <c r="A58" s="10"/>
      <c r="H58" s="13" t="s">
        <v>53</v>
      </c>
      <c r="I58" s="13" t="s">
        <v>56</v>
      </c>
      <c r="J58" s="13" t="s">
        <v>115</v>
      </c>
    </row>
    <row r="59" spans="1:10" ht="15.75" x14ac:dyDescent="0.25">
      <c r="A59" s="11"/>
      <c r="H59" s="13" t="s">
        <v>54</v>
      </c>
      <c r="I59" s="13" t="s">
        <v>66</v>
      </c>
      <c r="J59" s="13" t="s">
        <v>115</v>
      </c>
    </row>
    <row r="60" spans="1:10" ht="15.75" x14ac:dyDescent="0.25">
      <c r="A60" s="11"/>
      <c r="H60" s="13" t="s">
        <v>55</v>
      </c>
      <c r="I60" s="13" t="s">
        <v>58</v>
      </c>
      <c r="J60" s="13" t="s">
        <v>115</v>
      </c>
    </row>
    <row r="61" spans="1:10" ht="15.75" x14ac:dyDescent="0.25">
      <c r="A61" s="11"/>
      <c r="H61" s="13" t="s">
        <v>68</v>
      </c>
      <c r="I61" s="13" t="s">
        <v>73</v>
      </c>
      <c r="J61" s="13" t="s">
        <v>115</v>
      </c>
    </row>
    <row r="62" spans="1:10" ht="15.75" x14ac:dyDescent="0.25">
      <c r="A62" s="11"/>
      <c r="H62" s="13" t="s">
        <v>69</v>
      </c>
      <c r="I62" s="13" t="s">
        <v>72</v>
      </c>
      <c r="J62" s="13" t="s">
        <v>115</v>
      </c>
    </row>
    <row r="63" spans="1:10" ht="15.75" x14ac:dyDescent="0.25">
      <c r="A63" s="11"/>
    </row>
    <row r="64" spans="1:10" ht="15.75" x14ac:dyDescent="0.25">
      <c r="A64" s="11"/>
      <c r="H64" s="13" t="s">
        <v>70</v>
      </c>
      <c r="I64" s="13" t="s">
        <v>77</v>
      </c>
      <c r="J64" s="13" t="s">
        <v>115</v>
      </c>
    </row>
    <row r="65" spans="1:10" ht="15.75" x14ac:dyDescent="0.25">
      <c r="A65" s="11"/>
      <c r="H65" s="13" t="s">
        <v>71</v>
      </c>
      <c r="I65" s="13" t="s">
        <v>67</v>
      </c>
      <c r="J65" s="13" t="s">
        <v>115</v>
      </c>
    </row>
    <row r="66" spans="1:10" ht="15.75" x14ac:dyDescent="0.25">
      <c r="A66" s="11"/>
      <c r="H66" s="13" t="s">
        <v>78</v>
      </c>
      <c r="I66" s="13" t="s">
        <v>83</v>
      </c>
      <c r="J66" s="13" t="s">
        <v>116</v>
      </c>
    </row>
    <row r="67" spans="1:10" x14ac:dyDescent="0.25">
      <c r="A67" s="10"/>
      <c r="H67" s="13" t="s">
        <v>79</v>
      </c>
      <c r="I67" s="13" t="s">
        <v>82</v>
      </c>
      <c r="J67" s="13" t="s">
        <v>116</v>
      </c>
    </row>
    <row r="68" spans="1:10" x14ac:dyDescent="0.25">
      <c r="A68" s="14"/>
      <c r="H68" s="13" t="s">
        <v>80</v>
      </c>
      <c r="I68" s="13" t="s">
        <v>85</v>
      </c>
      <c r="J68" s="13" t="s">
        <v>116</v>
      </c>
    </row>
    <row r="69" spans="1:10" x14ac:dyDescent="0.25">
      <c r="A69" s="10"/>
      <c r="H69" s="13" t="s">
        <v>81</v>
      </c>
      <c r="I69" s="13" t="s">
        <v>84</v>
      </c>
      <c r="J69" s="13" t="s">
        <v>116</v>
      </c>
    </row>
    <row r="70" spans="1:10" ht="15.75" x14ac:dyDescent="0.25">
      <c r="A70" s="11"/>
    </row>
    <row r="71" spans="1:10" ht="15.75" x14ac:dyDescent="0.25">
      <c r="A71" s="11"/>
      <c r="H71" s="13" t="s">
        <v>52</v>
      </c>
      <c r="I71" s="13" t="s">
        <v>58</v>
      </c>
      <c r="J71" s="13" t="s">
        <v>115</v>
      </c>
    </row>
    <row r="72" spans="1:10" ht="15.75" x14ac:dyDescent="0.25">
      <c r="A72" s="11"/>
      <c r="H72" s="13" t="s">
        <v>53</v>
      </c>
      <c r="I72" s="13" t="s">
        <v>66</v>
      </c>
      <c r="J72" s="13" t="s">
        <v>115</v>
      </c>
    </row>
    <row r="73" spans="1:10" ht="15.75" x14ac:dyDescent="0.25">
      <c r="A73" s="11"/>
      <c r="H73" s="13" t="s">
        <v>54</v>
      </c>
      <c r="I73" s="13" t="s">
        <v>56</v>
      </c>
      <c r="J73" s="13" t="s">
        <v>115</v>
      </c>
    </row>
    <row r="74" spans="1:10" ht="15.75" x14ac:dyDescent="0.25">
      <c r="A74" s="11"/>
      <c r="H74" s="13" t="s">
        <v>55</v>
      </c>
      <c r="I74" s="13" t="s">
        <v>57</v>
      </c>
      <c r="J74" s="13" t="s">
        <v>115</v>
      </c>
    </row>
    <row r="75" spans="1:10" ht="15.75" x14ac:dyDescent="0.25">
      <c r="A75" s="11"/>
      <c r="H75" s="13" t="s">
        <v>68</v>
      </c>
      <c r="I75" s="13" t="s">
        <v>67</v>
      </c>
      <c r="J75" s="13" t="s">
        <v>115</v>
      </c>
    </row>
    <row r="76" spans="1:10" ht="15.75" x14ac:dyDescent="0.25">
      <c r="A76" s="11"/>
      <c r="H76" s="13" t="s">
        <v>69</v>
      </c>
      <c r="I76" s="13" t="s">
        <v>77</v>
      </c>
      <c r="J76" s="13" t="s">
        <v>115</v>
      </c>
    </row>
    <row r="77" spans="1:10" ht="15.75" x14ac:dyDescent="0.25">
      <c r="A77" s="11"/>
    </row>
    <row r="78" spans="1:10" x14ac:dyDescent="0.25">
      <c r="A78" s="10"/>
      <c r="H78" s="13" t="s">
        <v>70</v>
      </c>
      <c r="I78" s="13" t="s">
        <v>72</v>
      </c>
      <c r="J78" s="13" t="s">
        <v>115</v>
      </c>
    </row>
    <row r="79" spans="1:10" x14ac:dyDescent="0.25">
      <c r="A79" s="14"/>
      <c r="H79" s="13" t="s">
        <v>71</v>
      </c>
      <c r="I79" s="13" t="s">
        <v>73</v>
      </c>
      <c r="J79" s="13" t="s">
        <v>115</v>
      </c>
    </row>
    <row r="80" spans="1:10" x14ac:dyDescent="0.25">
      <c r="A80" s="10"/>
      <c r="H80" s="13" t="s">
        <v>78</v>
      </c>
      <c r="I80" s="13" t="s">
        <v>84</v>
      </c>
      <c r="J80" s="13" t="s">
        <v>116</v>
      </c>
    </row>
    <row r="81" spans="1:10" ht="15.75" x14ac:dyDescent="0.25">
      <c r="A81" s="11"/>
      <c r="H81" s="13" t="s">
        <v>79</v>
      </c>
      <c r="I81" s="13" t="s">
        <v>85</v>
      </c>
      <c r="J81" s="13" t="s">
        <v>116</v>
      </c>
    </row>
    <row r="82" spans="1:10" ht="15.75" x14ac:dyDescent="0.25">
      <c r="A82" s="11"/>
      <c r="H82" s="13" t="s">
        <v>80</v>
      </c>
      <c r="I82" s="13" t="s">
        <v>82</v>
      </c>
      <c r="J82" s="13" t="s">
        <v>116</v>
      </c>
    </row>
    <row r="83" spans="1:10" ht="15.75" x14ac:dyDescent="0.25">
      <c r="A83" s="11"/>
      <c r="H83" s="13" t="s">
        <v>81</v>
      </c>
      <c r="I83" s="13" t="s">
        <v>83</v>
      </c>
      <c r="J83" s="13" t="s">
        <v>116</v>
      </c>
    </row>
    <row r="84" spans="1:10" ht="15.75" x14ac:dyDescent="0.25">
      <c r="A84" s="11"/>
    </row>
    <row r="85" spans="1:10" ht="15.75" x14ac:dyDescent="0.25">
      <c r="A85" s="11"/>
      <c r="H85" s="13" t="s">
        <v>52</v>
      </c>
      <c r="I85" s="13" t="s">
        <v>66</v>
      </c>
      <c r="J85" s="13" t="s">
        <v>115</v>
      </c>
    </row>
    <row r="86" spans="1:10" ht="15.75" x14ac:dyDescent="0.25">
      <c r="A86" s="11"/>
      <c r="H86" s="13" t="s">
        <v>53</v>
      </c>
      <c r="I86" s="13" t="s">
        <v>58</v>
      </c>
      <c r="J86" s="13" t="s">
        <v>115</v>
      </c>
    </row>
    <row r="87" spans="1:10" ht="15.75" x14ac:dyDescent="0.25">
      <c r="A87" s="11"/>
      <c r="H87" s="13" t="s">
        <v>54</v>
      </c>
      <c r="I87" s="13" t="s">
        <v>57</v>
      </c>
      <c r="J87" s="13" t="s">
        <v>115</v>
      </c>
    </row>
    <row r="88" spans="1:10" ht="15.75" x14ac:dyDescent="0.25">
      <c r="A88" s="11"/>
      <c r="H88" s="13" t="s">
        <v>55</v>
      </c>
      <c r="I88" s="13" t="s">
        <v>56</v>
      </c>
      <c r="J88" s="13" t="s">
        <v>115</v>
      </c>
    </row>
    <row r="89" spans="1:10" x14ac:dyDescent="0.25">
      <c r="A89" s="15"/>
      <c r="H89" s="13" t="s">
        <v>68</v>
      </c>
      <c r="I89" s="13" t="s">
        <v>77</v>
      </c>
      <c r="J89" s="13" t="s">
        <v>115</v>
      </c>
    </row>
    <row r="90" spans="1:10" x14ac:dyDescent="0.25">
      <c r="A90" s="15"/>
      <c r="H90" s="13" t="s">
        <v>69</v>
      </c>
      <c r="I90" s="13" t="s">
        <v>67</v>
      </c>
      <c r="J90" s="13" t="s">
        <v>115</v>
      </c>
    </row>
    <row r="91" spans="1:10" x14ac:dyDescent="0.25">
      <c r="A91" s="15"/>
    </row>
    <row r="92" spans="1:10" x14ac:dyDescent="0.25">
      <c r="A92" s="15"/>
      <c r="H92" s="13" t="s">
        <v>70</v>
      </c>
      <c r="I92" s="13" t="s">
        <v>73</v>
      </c>
      <c r="J92" s="13" t="s">
        <v>115</v>
      </c>
    </row>
    <row r="93" spans="1:10" x14ac:dyDescent="0.25">
      <c r="A93" s="15"/>
      <c r="H93" s="13" t="s">
        <v>71</v>
      </c>
      <c r="I93" s="13" t="s">
        <v>72</v>
      </c>
      <c r="J93" s="13" t="s">
        <v>115</v>
      </c>
    </row>
    <row r="94" spans="1:10" x14ac:dyDescent="0.25">
      <c r="A94" s="15"/>
      <c r="H94" s="13" t="s">
        <v>78</v>
      </c>
      <c r="I94" s="13" t="s">
        <v>85</v>
      </c>
      <c r="J94" s="13" t="s">
        <v>116</v>
      </c>
    </row>
    <row r="95" spans="1:10" x14ac:dyDescent="0.25">
      <c r="A95" s="15"/>
      <c r="H95" s="13" t="s">
        <v>79</v>
      </c>
      <c r="I95" s="13" t="s">
        <v>84</v>
      </c>
      <c r="J95" s="13" t="s">
        <v>116</v>
      </c>
    </row>
    <row r="96" spans="1:10" x14ac:dyDescent="0.25">
      <c r="A96" s="15"/>
      <c r="H96" s="13" t="s">
        <v>80</v>
      </c>
      <c r="I96" s="13" t="s">
        <v>83</v>
      </c>
      <c r="J96" s="13" t="s">
        <v>116</v>
      </c>
    </row>
    <row r="97" spans="1:10" x14ac:dyDescent="0.25">
      <c r="A97" s="15"/>
      <c r="H97" s="13" t="s">
        <v>81</v>
      </c>
      <c r="I97" s="13" t="s">
        <v>82</v>
      </c>
      <c r="J97" s="13" t="s">
        <v>116</v>
      </c>
    </row>
    <row r="98" spans="1:10" x14ac:dyDescent="0.25">
      <c r="A98" s="15"/>
    </row>
    <row r="99" spans="1:10" x14ac:dyDescent="0.25">
      <c r="A99" s="15"/>
    </row>
    <row r="100" spans="1:10" x14ac:dyDescent="0.25">
      <c r="A100" s="15"/>
    </row>
    <row r="101" spans="1:10" x14ac:dyDescent="0.25">
      <c r="A101" s="15"/>
    </row>
    <row r="102" spans="1:10" x14ac:dyDescent="0.25">
      <c r="A102" s="15"/>
    </row>
    <row r="103" spans="1:10" x14ac:dyDescent="0.25">
      <c r="A103" s="15"/>
    </row>
    <row r="104" spans="1:10" x14ac:dyDescent="0.25">
      <c r="A104" s="15"/>
    </row>
    <row r="105" spans="1:10" x14ac:dyDescent="0.25">
      <c r="A105" s="15"/>
    </row>
    <row r="106" spans="1:10" x14ac:dyDescent="0.25">
      <c r="A106" s="15"/>
    </row>
    <row r="107" spans="1:10" x14ac:dyDescent="0.25">
      <c r="A107" s="15"/>
    </row>
    <row r="108" spans="1:10" x14ac:dyDescent="0.25">
      <c r="A108" s="15"/>
    </row>
    <row r="109" spans="1:10" x14ac:dyDescent="0.25">
      <c r="A109" s="15"/>
    </row>
    <row r="110" spans="1:10" x14ac:dyDescent="0.25">
      <c r="A110" s="15"/>
    </row>
    <row r="111" spans="1:10" x14ac:dyDescent="0.25">
      <c r="A111" s="15"/>
    </row>
    <row r="112" spans="1:10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61</v>
      </c>
      <c r="L1" s="31" t="s">
        <v>59</v>
      </c>
      <c r="M1" s="31" t="s">
        <v>61</v>
      </c>
      <c r="N1" s="31" t="s">
        <v>60</v>
      </c>
      <c r="O1" s="31" t="s">
        <v>61</v>
      </c>
      <c r="P1" s="31" t="s">
        <v>64</v>
      </c>
      <c r="Q1" s="31" t="s">
        <v>61</v>
      </c>
      <c r="R1" s="31" t="s">
        <v>63</v>
      </c>
      <c r="S1" s="31" t="s">
        <v>61</v>
      </c>
      <c r="T1" s="31" t="s">
        <v>62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61</v>
      </c>
      <c r="AF1" s="31" t="s">
        <v>59</v>
      </c>
      <c r="AG1" s="31" t="s">
        <v>61</v>
      </c>
      <c r="AH1" s="31" t="s">
        <v>60</v>
      </c>
      <c r="AI1" s="31" t="s">
        <v>61</v>
      </c>
      <c r="AJ1" s="31" t="s">
        <v>64</v>
      </c>
      <c r="AK1" s="31" t="s">
        <v>61</v>
      </c>
      <c r="AL1" s="31" t="s">
        <v>63</v>
      </c>
      <c r="AM1" s="31" t="s">
        <v>61</v>
      </c>
      <c r="AN1" s="31" t="s">
        <v>62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61</v>
      </c>
      <c r="AZ1" s="31" t="s">
        <v>59</v>
      </c>
      <c r="BA1" s="31" t="s">
        <v>61</v>
      </c>
      <c r="BB1" s="31" t="s">
        <v>60</v>
      </c>
      <c r="BC1" s="31" t="s">
        <v>61</v>
      </c>
      <c r="BD1" s="31" t="s">
        <v>64</v>
      </c>
      <c r="BE1" s="31" t="s">
        <v>61</v>
      </c>
      <c r="BF1" s="31" t="s">
        <v>63</v>
      </c>
      <c r="BG1" s="31" t="s">
        <v>61</v>
      </c>
      <c r="BH1" s="31" t="s">
        <v>62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61</v>
      </c>
      <c r="BT1" s="31" t="s">
        <v>59</v>
      </c>
      <c r="BU1" s="31" t="s">
        <v>61</v>
      </c>
      <c r="BV1" s="31" t="s">
        <v>60</v>
      </c>
      <c r="BW1" s="31" t="s">
        <v>61</v>
      </c>
      <c r="BX1" s="31" t="s">
        <v>64</v>
      </c>
      <c r="BY1" s="31" t="s">
        <v>61</v>
      </c>
      <c r="BZ1" s="31" t="s">
        <v>63</v>
      </c>
      <c r="CA1" s="31" t="s">
        <v>61</v>
      </c>
      <c r="CB1" s="31" t="s">
        <v>62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D23" sqref="D2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340" workbookViewId="0">
      <selection activeCell="L355" sqref="L355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56" t="s">
        <v>132</v>
      </c>
      <c r="C2" s="157"/>
      <c r="D2" s="157"/>
      <c r="E2" s="157"/>
      <c r="F2" s="157"/>
      <c r="G2" s="157"/>
      <c r="H2" s="157"/>
      <c r="I2" s="158"/>
    </row>
    <row r="4" spans="1:15" x14ac:dyDescent="0.25">
      <c r="B4" s="159" t="s">
        <v>133</v>
      </c>
      <c r="C4" s="159">
        <v>1</v>
      </c>
      <c r="E4" s="162" t="s">
        <v>133</v>
      </c>
      <c r="F4" s="163">
        <v>1</v>
      </c>
      <c r="H4" s="162" t="s">
        <v>133</v>
      </c>
      <c r="I4" s="163">
        <v>4</v>
      </c>
    </row>
    <row r="5" spans="1:15" x14ac:dyDescent="0.25">
      <c r="B5" s="159" t="s">
        <v>134</v>
      </c>
      <c r="C5" s="159">
        <v>3</v>
      </c>
      <c r="E5" s="164" t="s">
        <v>135</v>
      </c>
      <c r="F5" s="163">
        <v>3</v>
      </c>
      <c r="H5" s="164" t="s">
        <v>135</v>
      </c>
      <c r="I5" s="163">
        <v>2</v>
      </c>
    </row>
    <row r="6" spans="1:15" x14ac:dyDescent="0.25">
      <c r="B6" s="159" t="s">
        <v>136</v>
      </c>
      <c r="C6" s="159">
        <v>2</v>
      </c>
      <c r="E6" s="164" t="s">
        <v>137</v>
      </c>
      <c r="F6" s="163">
        <v>2</v>
      </c>
      <c r="H6" s="164" t="s">
        <v>137</v>
      </c>
      <c r="I6" s="163">
        <v>3</v>
      </c>
    </row>
    <row r="7" spans="1:15" x14ac:dyDescent="0.25">
      <c r="B7" s="159" t="s">
        <v>138</v>
      </c>
      <c r="C7" s="159">
        <v>4</v>
      </c>
      <c r="E7" s="164" t="s">
        <v>139</v>
      </c>
      <c r="F7" s="163">
        <v>4</v>
      </c>
      <c r="H7" s="164" t="s">
        <v>139</v>
      </c>
      <c r="I7" s="163">
        <v>1</v>
      </c>
    </row>
    <row r="8" spans="1:15" x14ac:dyDescent="0.25">
      <c r="B8" s="159" t="s">
        <v>140</v>
      </c>
      <c r="C8" s="159">
        <v>4</v>
      </c>
    </row>
    <row r="9" spans="1:15" x14ac:dyDescent="0.25">
      <c r="B9" s="159" t="s">
        <v>141</v>
      </c>
      <c r="C9" s="159">
        <v>2</v>
      </c>
    </row>
    <row r="10" spans="1:15" x14ac:dyDescent="0.25">
      <c r="B10" s="159" t="s">
        <v>142</v>
      </c>
      <c r="C10" s="159">
        <v>3</v>
      </c>
    </row>
    <row r="11" spans="1:15" x14ac:dyDescent="0.25">
      <c r="B11" s="159" t="s">
        <v>143</v>
      </c>
      <c r="C11" s="159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53" t="s">
        <v>144</v>
      </c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165" t="s">
        <v>133</v>
      </c>
      <c r="C15" s="159">
        <v>1</v>
      </c>
      <c r="D15" s="2"/>
      <c r="E15" s="162" t="s">
        <v>133</v>
      </c>
      <c r="F15" s="163">
        <v>1</v>
      </c>
      <c r="G15" s="2"/>
      <c r="H15" s="162" t="s">
        <v>133</v>
      </c>
      <c r="I15" s="163">
        <v>4</v>
      </c>
      <c r="J15" s="2"/>
      <c r="K15" s="160" t="s">
        <v>133</v>
      </c>
      <c r="L15" s="154">
        <v>1</v>
      </c>
      <c r="M15" s="2"/>
      <c r="N15" s="160" t="s">
        <v>133</v>
      </c>
      <c r="O15" s="154">
        <v>2</v>
      </c>
    </row>
    <row r="16" spans="1:15" x14ac:dyDescent="0.25">
      <c r="A16" s="2"/>
      <c r="B16" s="166" t="s">
        <v>135</v>
      </c>
      <c r="C16" s="159">
        <v>3</v>
      </c>
      <c r="D16" s="2"/>
      <c r="E16" s="164" t="s">
        <v>135</v>
      </c>
      <c r="F16" s="163">
        <v>3</v>
      </c>
      <c r="G16" s="2"/>
      <c r="H16" s="164" t="s">
        <v>135</v>
      </c>
      <c r="I16" s="163">
        <v>2</v>
      </c>
      <c r="J16" s="2"/>
      <c r="K16" s="160" t="s">
        <v>135</v>
      </c>
      <c r="L16" s="154">
        <v>3</v>
      </c>
      <c r="M16" s="2"/>
      <c r="N16" s="161" t="s">
        <v>135</v>
      </c>
      <c r="O16" s="154">
        <v>3</v>
      </c>
    </row>
    <row r="17" spans="1:15" x14ac:dyDescent="0.25">
      <c r="A17" s="2"/>
      <c r="B17" s="166" t="s">
        <v>137</v>
      </c>
      <c r="C17" s="159">
        <v>2</v>
      </c>
      <c r="D17" s="2"/>
      <c r="E17" s="164" t="s">
        <v>137</v>
      </c>
      <c r="F17" s="163">
        <v>2</v>
      </c>
      <c r="G17" s="2"/>
      <c r="H17" s="164" t="s">
        <v>137</v>
      </c>
      <c r="I17" s="163">
        <v>3</v>
      </c>
      <c r="J17" s="2"/>
      <c r="K17" s="160" t="s">
        <v>145</v>
      </c>
      <c r="L17" s="154">
        <v>5</v>
      </c>
      <c r="M17" s="2"/>
      <c r="N17" s="160" t="s">
        <v>146</v>
      </c>
      <c r="O17" s="154">
        <v>4</v>
      </c>
    </row>
    <row r="18" spans="1:15" x14ac:dyDescent="0.25">
      <c r="A18" s="2"/>
      <c r="B18" s="166" t="s">
        <v>139</v>
      </c>
      <c r="C18" s="159">
        <v>4</v>
      </c>
      <c r="D18" s="2"/>
      <c r="E18" s="164" t="s">
        <v>139</v>
      </c>
      <c r="F18" s="163">
        <v>4</v>
      </c>
      <c r="G18" s="2"/>
      <c r="H18" s="164" t="s">
        <v>145</v>
      </c>
      <c r="I18" s="163">
        <v>5</v>
      </c>
      <c r="J18" s="2"/>
      <c r="K18" s="167"/>
      <c r="L18" s="2"/>
      <c r="M18" s="2"/>
      <c r="N18" s="167"/>
      <c r="O18" s="2"/>
    </row>
    <row r="19" spans="1:15" x14ac:dyDescent="0.25">
      <c r="A19" s="2"/>
      <c r="B19" s="165" t="s">
        <v>147</v>
      </c>
      <c r="C19" s="159">
        <v>4</v>
      </c>
      <c r="D19" s="2"/>
      <c r="E19" s="162" t="s">
        <v>147</v>
      </c>
      <c r="F19" s="163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166" t="s">
        <v>148</v>
      </c>
      <c r="C20" s="159">
        <v>2</v>
      </c>
      <c r="D20" s="2"/>
      <c r="E20" s="2"/>
      <c r="F20" s="2"/>
      <c r="G20" s="2"/>
      <c r="H20" s="2"/>
      <c r="I20" s="2"/>
      <c r="J20" s="2"/>
      <c r="K20" s="160" t="s">
        <v>133</v>
      </c>
      <c r="L20" s="154">
        <v>4</v>
      </c>
      <c r="M20" s="2"/>
      <c r="N20" s="2"/>
      <c r="O20" s="2"/>
    </row>
    <row r="21" spans="1:15" x14ac:dyDescent="0.25">
      <c r="A21" s="2"/>
      <c r="B21" s="166" t="s">
        <v>149</v>
      </c>
      <c r="C21" s="159">
        <v>3</v>
      </c>
      <c r="D21" s="2"/>
      <c r="E21" s="2"/>
      <c r="F21" s="2"/>
      <c r="G21" s="2"/>
      <c r="H21" s="2"/>
      <c r="I21" s="2"/>
      <c r="J21" s="2"/>
      <c r="K21" s="160" t="s">
        <v>135</v>
      </c>
      <c r="L21" s="154">
        <v>2</v>
      </c>
      <c r="M21" s="2"/>
      <c r="N21" s="2"/>
      <c r="O21" s="2"/>
    </row>
    <row r="22" spans="1:15" x14ac:dyDescent="0.25">
      <c r="A22" s="2"/>
      <c r="B22" s="166" t="s">
        <v>150</v>
      </c>
      <c r="C22" s="159">
        <v>1</v>
      </c>
      <c r="D22" s="2"/>
      <c r="E22" s="2"/>
      <c r="F22" s="2"/>
      <c r="G22" s="2"/>
      <c r="H22" s="2"/>
      <c r="I22" s="2"/>
      <c r="J22" s="2"/>
      <c r="K22" s="160" t="s">
        <v>146</v>
      </c>
      <c r="L22" s="154">
        <v>1</v>
      </c>
      <c r="M22" s="2"/>
      <c r="N22" s="2"/>
      <c r="O22" s="2"/>
    </row>
    <row r="23" spans="1:15" x14ac:dyDescent="0.25">
      <c r="A23" s="2"/>
      <c r="B23" s="165" t="s">
        <v>151</v>
      </c>
      <c r="C23" s="159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53" t="s">
        <v>152</v>
      </c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159" t="s">
        <v>133</v>
      </c>
      <c r="C28" s="159">
        <v>1</v>
      </c>
      <c r="D28" s="2"/>
      <c r="E28" s="163" t="s">
        <v>133</v>
      </c>
      <c r="F28" s="163">
        <v>1</v>
      </c>
      <c r="G28" s="2"/>
      <c r="H28" s="163" t="s">
        <v>133</v>
      </c>
      <c r="I28" s="163">
        <v>4</v>
      </c>
      <c r="J28" s="2"/>
      <c r="K28" s="154" t="s">
        <v>133</v>
      </c>
      <c r="L28" s="154">
        <v>2</v>
      </c>
      <c r="M28" s="2"/>
      <c r="N28" s="154" t="s">
        <v>133</v>
      </c>
      <c r="O28" s="154">
        <v>1</v>
      </c>
    </row>
    <row r="29" spans="1:15" x14ac:dyDescent="0.25">
      <c r="A29" s="2"/>
      <c r="B29" s="159" t="s">
        <v>134</v>
      </c>
      <c r="C29" s="159">
        <v>3</v>
      </c>
      <c r="D29" s="2"/>
      <c r="E29" s="163" t="s">
        <v>135</v>
      </c>
      <c r="F29" s="163">
        <v>3</v>
      </c>
      <c r="G29" s="2"/>
      <c r="H29" s="163" t="s">
        <v>135</v>
      </c>
      <c r="I29" s="163">
        <v>2</v>
      </c>
      <c r="J29" s="2"/>
      <c r="K29" s="154" t="s">
        <v>135</v>
      </c>
      <c r="L29" s="154">
        <v>3</v>
      </c>
      <c r="M29" s="2"/>
      <c r="N29" s="154" t="s">
        <v>135</v>
      </c>
      <c r="O29" s="154">
        <v>4</v>
      </c>
    </row>
    <row r="30" spans="1:15" x14ac:dyDescent="0.25">
      <c r="A30" s="2"/>
      <c r="B30" s="159" t="s">
        <v>136</v>
      </c>
      <c r="C30" s="159">
        <v>2</v>
      </c>
      <c r="D30" s="2"/>
      <c r="E30" s="163" t="s">
        <v>137</v>
      </c>
      <c r="F30" s="163">
        <v>2</v>
      </c>
      <c r="G30" s="2"/>
      <c r="H30" s="163" t="s">
        <v>137</v>
      </c>
      <c r="I30" s="163">
        <v>3</v>
      </c>
      <c r="J30" s="2"/>
      <c r="K30" s="154" t="s">
        <v>146</v>
      </c>
      <c r="L30" s="154">
        <v>1</v>
      </c>
      <c r="M30" s="2"/>
      <c r="N30" s="154" t="s">
        <v>146</v>
      </c>
      <c r="O30" s="154">
        <v>2</v>
      </c>
    </row>
    <row r="31" spans="1:15" x14ac:dyDescent="0.25">
      <c r="A31" s="2"/>
      <c r="B31" s="159" t="s">
        <v>138</v>
      </c>
      <c r="C31" s="159">
        <v>4</v>
      </c>
      <c r="D31" s="2"/>
      <c r="E31" s="163" t="s">
        <v>139</v>
      </c>
      <c r="F31" s="163">
        <v>4</v>
      </c>
      <c r="G31" s="2"/>
      <c r="H31" s="163" t="s">
        <v>139</v>
      </c>
      <c r="I31" s="163">
        <v>1</v>
      </c>
      <c r="J31" s="2"/>
      <c r="K31" s="154" t="s">
        <v>139</v>
      </c>
      <c r="L31" s="154">
        <v>5</v>
      </c>
      <c r="M31" s="2"/>
      <c r="N31" s="2"/>
      <c r="O31" s="2"/>
    </row>
    <row r="32" spans="1:15" x14ac:dyDescent="0.25">
      <c r="A32" s="2"/>
      <c r="B32" s="159" t="s">
        <v>140</v>
      </c>
      <c r="C32" s="159">
        <v>4</v>
      </c>
      <c r="D32" s="2"/>
      <c r="E32" s="163" t="s">
        <v>147</v>
      </c>
      <c r="F32" s="163">
        <v>5</v>
      </c>
      <c r="G32" s="2"/>
      <c r="H32" s="163" t="s">
        <v>147</v>
      </c>
      <c r="I32" s="163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159" t="s">
        <v>141</v>
      </c>
      <c r="C33" s="159">
        <v>2</v>
      </c>
      <c r="D33" s="2"/>
      <c r="E33" s="2"/>
      <c r="F33" s="2"/>
      <c r="G33" s="2"/>
      <c r="H33" s="2"/>
      <c r="I33" s="2"/>
      <c r="J33" s="2"/>
      <c r="K33" s="154" t="s">
        <v>133</v>
      </c>
      <c r="L33" s="154">
        <v>3</v>
      </c>
      <c r="M33" s="2"/>
      <c r="N33" s="2"/>
      <c r="O33" s="2"/>
    </row>
    <row r="34" spans="1:18" x14ac:dyDescent="0.25">
      <c r="A34" s="2"/>
      <c r="B34" s="159" t="s">
        <v>142</v>
      </c>
      <c r="C34" s="159">
        <v>3</v>
      </c>
      <c r="D34" s="2"/>
      <c r="E34" s="2"/>
      <c r="F34" s="2"/>
      <c r="G34" s="2"/>
      <c r="H34" s="2"/>
      <c r="I34" s="2"/>
      <c r="J34" s="2"/>
      <c r="K34" s="154" t="s">
        <v>135</v>
      </c>
      <c r="L34" s="154">
        <v>4</v>
      </c>
      <c r="M34" s="2"/>
      <c r="N34" s="2"/>
      <c r="O34" s="2"/>
    </row>
    <row r="35" spans="1:18" x14ac:dyDescent="0.25">
      <c r="A35" s="2"/>
      <c r="B35" s="159" t="s">
        <v>143</v>
      </c>
      <c r="C35" s="159">
        <v>1</v>
      </c>
      <c r="D35" s="2"/>
      <c r="E35" s="2"/>
      <c r="F35" s="2"/>
      <c r="G35" s="2"/>
      <c r="H35" s="2"/>
      <c r="I35" s="2"/>
      <c r="J35" s="2"/>
      <c r="K35" s="154" t="s">
        <v>146</v>
      </c>
      <c r="L35" s="154">
        <v>5</v>
      </c>
      <c r="M35" s="2"/>
      <c r="N35" s="2"/>
      <c r="O35" s="2"/>
    </row>
    <row r="36" spans="1:18" x14ac:dyDescent="0.25">
      <c r="A36" s="2"/>
      <c r="B36" s="159" t="s">
        <v>153</v>
      </c>
      <c r="C36" s="159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159" t="s">
        <v>154</v>
      </c>
      <c r="C37" s="159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53" t="s">
        <v>155</v>
      </c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163" t="s">
        <v>133</v>
      </c>
      <c r="C41" s="163">
        <f>C53</f>
        <v>1</v>
      </c>
      <c r="D41" s="2"/>
      <c r="E41" s="163" t="s">
        <v>133</v>
      </c>
      <c r="F41" s="163">
        <f>F53</f>
        <v>4</v>
      </c>
      <c r="G41" s="2"/>
      <c r="H41" s="160" t="s">
        <v>133</v>
      </c>
      <c r="I41" s="154">
        <f>I53</f>
        <v>1</v>
      </c>
      <c r="J41" s="2"/>
      <c r="K41" s="160" t="s">
        <v>133</v>
      </c>
      <c r="L41" s="154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163" t="s">
        <v>135</v>
      </c>
      <c r="C42" s="163">
        <f t="shared" ref="C42:C46" si="0">C54</f>
        <v>3</v>
      </c>
      <c r="D42" s="2"/>
      <c r="E42" s="163" t="s">
        <v>135</v>
      </c>
      <c r="F42" s="163">
        <f t="shared" ref="F42:F44" si="1">F54</f>
        <v>2</v>
      </c>
      <c r="G42" s="2"/>
      <c r="H42" s="161" t="s">
        <v>135</v>
      </c>
      <c r="I42" s="154">
        <f t="shared" ref="I42:I44" si="2">I54</f>
        <v>3</v>
      </c>
      <c r="J42" s="2"/>
      <c r="K42" s="161" t="s">
        <v>135</v>
      </c>
      <c r="L42" s="154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163" t="s">
        <v>137</v>
      </c>
      <c r="C43" s="163">
        <f t="shared" si="0"/>
        <v>2</v>
      </c>
      <c r="D43" s="2"/>
      <c r="E43" s="163" t="s">
        <v>137</v>
      </c>
      <c r="F43" s="163">
        <f t="shared" si="1"/>
        <v>3</v>
      </c>
      <c r="G43" s="2"/>
      <c r="H43" s="161" t="s">
        <v>146</v>
      </c>
      <c r="I43" s="154">
        <f t="shared" si="2"/>
        <v>2</v>
      </c>
      <c r="J43" s="2"/>
      <c r="K43" s="161" t="s">
        <v>146</v>
      </c>
      <c r="L43" s="154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163" t="s">
        <v>139</v>
      </c>
      <c r="C44" s="163">
        <f t="shared" si="0"/>
        <v>4</v>
      </c>
      <c r="D44" s="2"/>
      <c r="E44" s="163" t="s">
        <v>139</v>
      </c>
      <c r="F44" s="163">
        <f t="shared" si="1"/>
        <v>1</v>
      </c>
      <c r="G44" s="2"/>
      <c r="H44" s="161" t="s">
        <v>139</v>
      </c>
      <c r="I44" s="154">
        <f t="shared" si="2"/>
        <v>5</v>
      </c>
      <c r="J44" s="2"/>
      <c r="K44" s="161" t="s">
        <v>139</v>
      </c>
      <c r="L44" s="154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163" t="s">
        <v>147</v>
      </c>
      <c r="C45" s="163">
        <f t="shared" si="0"/>
        <v>5</v>
      </c>
      <c r="D45" s="2"/>
      <c r="E45" s="163" t="s">
        <v>147</v>
      </c>
      <c r="F45" s="163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163" t="s">
        <v>145</v>
      </c>
      <c r="C46" s="163">
        <f t="shared" si="0"/>
        <v>6</v>
      </c>
      <c r="D46" s="2"/>
      <c r="E46" s="2"/>
      <c r="F46" s="2"/>
      <c r="G46" s="2"/>
      <c r="H46" s="160" t="s">
        <v>133</v>
      </c>
      <c r="I46" s="154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160" t="s">
        <v>135</v>
      </c>
      <c r="I47" s="154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160" t="s">
        <v>137</v>
      </c>
      <c r="I48" s="154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167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53" t="s">
        <v>156</v>
      </c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163" t="s">
        <v>133</v>
      </c>
      <c r="C53" s="163">
        <v>1</v>
      </c>
      <c r="D53" s="2"/>
      <c r="E53" s="163" t="s">
        <v>133</v>
      </c>
      <c r="F53" s="163">
        <v>4</v>
      </c>
      <c r="G53" s="2"/>
      <c r="H53" s="160" t="s">
        <v>133</v>
      </c>
      <c r="I53" s="154">
        <v>1</v>
      </c>
      <c r="J53" s="2"/>
      <c r="K53" s="160" t="s">
        <v>133</v>
      </c>
      <c r="L53" s="154">
        <v>2</v>
      </c>
      <c r="M53" s="2"/>
      <c r="N53" s="168" t="s">
        <v>133</v>
      </c>
      <c r="O53" s="155">
        <v>1</v>
      </c>
      <c r="P53" s="2"/>
      <c r="Q53" s="168" t="s">
        <v>133</v>
      </c>
      <c r="R53" s="155">
        <v>2</v>
      </c>
    </row>
    <row r="54" spans="1:21" x14ac:dyDescent="0.25">
      <c r="A54" s="2"/>
      <c r="B54" s="163" t="s">
        <v>134</v>
      </c>
      <c r="C54" s="163">
        <v>3</v>
      </c>
      <c r="D54" s="2"/>
      <c r="E54" s="163" t="s">
        <v>134</v>
      </c>
      <c r="F54" s="163">
        <v>2</v>
      </c>
      <c r="G54" s="2"/>
      <c r="H54" s="161" t="s">
        <v>135</v>
      </c>
      <c r="I54" s="154">
        <v>3</v>
      </c>
      <c r="J54" s="2"/>
      <c r="K54" s="161" t="s">
        <v>135</v>
      </c>
      <c r="L54" s="154">
        <v>4</v>
      </c>
      <c r="M54" s="2"/>
      <c r="N54" s="169" t="s">
        <v>135</v>
      </c>
      <c r="O54" s="155">
        <v>3</v>
      </c>
      <c r="P54" s="2"/>
      <c r="Q54" s="169" t="s">
        <v>135</v>
      </c>
      <c r="R54" s="155">
        <v>4</v>
      </c>
    </row>
    <row r="55" spans="1:21" x14ac:dyDescent="0.25">
      <c r="A55" s="2"/>
      <c r="B55" s="163" t="s">
        <v>136</v>
      </c>
      <c r="C55" s="163">
        <v>2</v>
      </c>
      <c r="D55" s="2"/>
      <c r="E55" s="163" t="s">
        <v>136</v>
      </c>
      <c r="F55" s="163">
        <v>3</v>
      </c>
      <c r="G55" s="2"/>
      <c r="H55" s="161" t="s">
        <v>146</v>
      </c>
      <c r="I55" s="154">
        <v>2</v>
      </c>
      <c r="J55" s="2"/>
      <c r="K55" s="161" t="s">
        <v>146</v>
      </c>
      <c r="L55" s="154">
        <v>5</v>
      </c>
      <c r="M55" s="2"/>
      <c r="N55" s="169" t="s">
        <v>137</v>
      </c>
      <c r="O55" s="155">
        <v>5</v>
      </c>
      <c r="P55" s="2"/>
      <c r="Q55" s="169" t="s">
        <v>137</v>
      </c>
      <c r="R55" s="155">
        <v>6</v>
      </c>
    </row>
    <row r="56" spans="1:21" x14ac:dyDescent="0.25">
      <c r="A56" s="2"/>
      <c r="B56" s="163" t="s">
        <v>138</v>
      </c>
      <c r="C56" s="163">
        <v>4</v>
      </c>
      <c r="D56" s="2"/>
      <c r="E56" s="163" t="s">
        <v>138</v>
      </c>
      <c r="F56" s="163">
        <v>1</v>
      </c>
      <c r="G56" s="2"/>
      <c r="H56" s="161" t="s">
        <v>139</v>
      </c>
      <c r="I56" s="154">
        <v>5</v>
      </c>
      <c r="J56" s="2"/>
      <c r="K56" s="161" t="s">
        <v>139</v>
      </c>
      <c r="L56" s="154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163" t="s">
        <v>140</v>
      </c>
      <c r="C57" s="163">
        <v>5</v>
      </c>
      <c r="D57" s="2"/>
      <c r="E57" s="163" t="s">
        <v>140</v>
      </c>
      <c r="F57" s="163">
        <v>6</v>
      </c>
      <c r="G57" s="2"/>
      <c r="H57" s="2"/>
      <c r="I57" s="2"/>
      <c r="J57" s="2"/>
      <c r="K57" s="2"/>
      <c r="L57" s="2"/>
      <c r="M57" s="2"/>
      <c r="N57" s="168" t="s">
        <v>133</v>
      </c>
      <c r="O57" s="155">
        <v>4</v>
      </c>
      <c r="P57" s="2"/>
      <c r="Q57" s="168" t="s">
        <v>133</v>
      </c>
      <c r="R57" s="155">
        <v>3</v>
      </c>
    </row>
    <row r="58" spans="1:21" x14ac:dyDescent="0.25">
      <c r="A58" s="2"/>
      <c r="B58" s="163" t="s">
        <v>141</v>
      </c>
      <c r="C58" s="163">
        <v>6</v>
      </c>
      <c r="D58" s="2"/>
      <c r="E58" s="163" t="s">
        <v>141</v>
      </c>
      <c r="F58" s="163">
        <v>5</v>
      </c>
      <c r="G58" s="2"/>
      <c r="H58" s="160" t="s">
        <v>133</v>
      </c>
      <c r="I58" s="154">
        <v>3</v>
      </c>
      <c r="J58" s="2"/>
      <c r="K58" s="2"/>
      <c r="L58" s="2"/>
      <c r="M58" s="2"/>
      <c r="N58" s="169" t="s">
        <v>135</v>
      </c>
      <c r="O58" s="155">
        <v>2</v>
      </c>
      <c r="P58" s="2"/>
      <c r="Q58" s="169" t="s">
        <v>135</v>
      </c>
      <c r="R58" s="155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161" t="s">
        <v>135</v>
      </c>
      <c r="I59" s="154">
        <v>4</v>
      </c>
      <c r="J59" s="2"/>
      <c r="K59" s="2"/>
      <c r="L59" s="2"/>
      <c r="M59" s="2"/>
      <c r="N59" s="169" t="s">
        <v>137</v>
      </c>
      <c r="O59" s="155">
        <v>6</v>
      </c>
      <c r="P59" s="2"/>
      <c r="Q59" s="169" t="s">
        <v>137</v>
      </c>
      <c r="R59" s="155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161" t="s">
        <v>146</v>
      </c>
      <c r="I60" s="154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161" t="s">
        <v>139</v>
      </c>
      <c r="I61" s="154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53" t="s">
        <v>157</v>
      </c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163" t="s">
        <v>133</v>
      </c>
      <c r="C65" s="163">
        <v>1</v>
      </c>
      <c r="D65" s="2"/>
      <c r="E65" s="163" t="s">
        <v>133</v>
      </c>
      <c r="F65" s="163">
        <v>4</v>
      </c>
      <c r="G65" s="2"/>
      <c r="H65" s="154" t="s">
        <v>133</v>
      </c>
      <c r="I65" s="154">
        <v>1</v>
      </c>
      <c r="J65" s="2"/>
      <c r="K65" s="154" t="s">
        <v>133</v>
      </c>
      <c r="L65" s="154">
        <v>2</v>
      </c>
      <c r="M65" s="2"/>
      <c r="N65" s="154" t="s">
        <v>133</v>
      </c>
      <c r="O65" s="154">
        <v>3</v>
      </c>
      <c r="P65" s="2"/>
      <c r="Q65" s="168" t="s">
        <v>133</v>
      </c>
      <c r="R65" s="155">
        <v>1</v>
      </c>
      <c r="S65" s="2"/>
      <c r="T65" s="168" t="s">
        <v>133</v>
      </c>
      <c r="U65" s="155">
        <v>2</v>
      </c>
    </row>
    <row r="66" spans="1:21" x14ac:dyDescent="0.25">
      <c r="A66" s="2"/>
      <c r="B66" s="163" t="s">
        <v>134</v>
      </c>
      <c r="C66" s="163">
        <v>3</v>
      </c>
      <c r="D66" s="2"/>
      <c r="E66" s="163" t="s">
        <v>134</v>
      </c>
      <c r="F66" s="163">
        <v>2</v>
      </c>
      <c r="G66" s="2"/>
      <c r="H66" s="154" t="s">
        <v>134</v>
      </c>
      <c r="I66" s="154">
        <v>3</v>
      </c>
      <c r="J66" s="2"/>
      <c r="K66" s="154" t="s">
        <v>134</v>
      </c>
      <c r="L66" s="154">
        <v>4</v>
      </c>
      <c r="M66" s="2"/>
      <c r="N66" s="154" t="s">
        <v>134</v>
      </c>
      <c r="O66" s="154">
        <v>4</v>
      </c>
      <c r="P66" s="2"/>
      <c r="Q66" s="169" t="s">
        <v>135</v>
      </c>
      <c r="R66" s="155">
        <v>4</v>
      </c>
      <c r="S66" s="2"/>
      <c r="T66" s="169" t="s">
        <v>135</v>
      </c>
      <c r="U66" s="155">
        <v>1</v>
      </c>
    </row>
    <row r="67" spans="1:21" x14ac:dyDescent="0.25">
      <c r="A67" s="2"/>
      <c r="B67" s="163" t="s">
        <v>136</v>
      </c>
      <c r="C67" s="163">
        <v>2</v>
      </c>
      <c r="D67" s="2"/>
      <c r="E67" s="163" t="s">
        <v>136</v>
      </c>
      <c r="F67" s="163">
        <v>3</v>
      </c>
      <c r="G67" s="2"/>
      <c r="H67" s="154" t="s">
        <v>158</v>
      </c>
      <c r="I67" s="154">
        <v>2</v>
      </c>
      <c r="J67" s="2"/>
      <c r="K67" s="154" t="s">
        <v>159</v>
      </c>
      <c r="L67" s="154">
        <v>1</v>
      </c>
      <c r="M67" s="2"/>
      <c r="N67" s="154" t="s">
        <v>136</v>
      </c>
      <c r="O67" s="154">
        <v>5</v>
      </c>
      <c r="P67" s="2"/>
      <c r="Q67" s="169" t="s">
        <v>137</v>
      </c>
      <c r="R67" s="155">
        <v>5</v>
      </c>
      <c r="S67" s="2"/>
      <c r="T67" s="169" t="s">
        <v>137</v>
      </c>
      <c r="U67" s="155">
        <v>6</v>
      </c>
    </row>
    <row r="68" spans="1:21" x14ac:dyDescent="0.25">
      <c r="A68" s="2"/>
      <c r="B68" s="163" t="s">
        <v>138</v>
      </c>
      <c r="C68" s="163">
        <v>4</v>
      </c>
      <c r="D68" s="2"/>
      <c r="E68" s="163" t="s">
        <v>138</v>
      </c>
      <c r="F68" s="163">
        <v>1</v>
      </c>
      <c r="G68" s="2"/>
      <c r="H68" s="154" t="s">
        <v>138</v>
      </c>
      <c r="I68" s="154">
        <v>6</v>
      </c>
      <c r="J68" s="2"/>
      <c r="K68" s="154" t="s">
        <v>138</v>
      </c>
      <c r="L68" s="154">
        <v>7</v>
      </c>
      <c r="M68" s="2"/>
      <c r="N68" s="154" t="s">
        <v>138</v>
      </c>
      <c r="O68" s="154">
        <v>6</v>
      </c>
      <c r="P68" s="2"/>
      <c r="Q68" s="169" t="s">
        <v>139</v>
      </c>
      <c r="R68" s="155">
        <v>7</v>
      </c>
      <c r="S68" s="2"/>
      <c r="T68" s="2"/>
      <c r="U68" s="2"/>
    </row>
    <row r="69" spans="1:21" x14ac:dyDescent="0.25">
      <c r="A69" s="2"/>
      <c r="B69" s="163" t="s">
        <v>140</v>
      </c>
      <c r="C69" s="163">
        <v>6</v>
      </c>
      <c r="D69" s="2"/>
      <c r="E69" s="163" t="s">
        <v>140</v>
      </c>
      <c r="F69" s="163">
        <v>5</v>
      </c>
      <c r="G69" s="2"/>
      <c r="H69" s="154" t="s">
        <v>140</v>
      </c>
      <c r="I69" s="154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163" t="s">
        <v>141</v>
      </c>
      <c r="C70" s="163">
        <v>7</v>
      </c>
      <c r="D70" s="2"/>
      <c r="E70" s="163" t="s">
        <v>141</v>
      </c>
      <c r="F70" s="163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163" t="s">
        <v>142</v>
      </c>
      <c r="C71" s="163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168" t="s">
        <v>133</v>
      </c>
      <c r="R71" s="155">
        <v>3</v>
      </c>
      <c r="S71" s="2"/>
      <c r="T71" s="168" t="s">
        <v>133</v>
      </c>
      <c r="U71" s="155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169" t="s">
        <v>135</v>
      </c>
      <c r="R72" s="155">
        <v>2</v>
      </c>
      <c r="S72" s="2"/>
      <c r="T72" s="169" t="s">
        <v>135</v>
      </c>
      <c r="U72" s="155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169" t="s">
        <v>137</v>
      </c>
      <c r="R73" s="155">
        <v>6</v>
      </c>
      <c r="S73" s="2"/>
      <c r="T73" s="169" t="s">
        <v>137</v>
      </c>
      <c r="U73" s="155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53" t="s">
        <v>160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163" t="s">
        <v>133</v>
      </c>
      <c r="C78" s="163">
        <v>1</v>
      </c>
      <c r="D78" s="2"/>
      <c r="E78" s="163" t="s">
        <v>133</v>
      </c>
      <c r="F78" s="163">
        <v>4</v>
      </c>
      <c r="G78" s="2"/>
      <c r="H78" s="154" t="s">
        <v>133</v>
      </c>
      <c r="I78" s="154">
        <v>1</v>
      </c>
      <c r="J78" s="2"/>
      <c r="K78" s="154" t="s">
        <v>133</v>
      </c>
      <c r="L78" s="154">
        <v>2</v>
      </c>
      <c r="M78" s="2"/>
      <c r="N78" s="154" t="s">
        <v>133</v>
      </c>
      <c r="O78" s="154">
        <v>3</v>
      </c>
      <c r="P78" s="2"/>
      <c r="Q78" s="168" t="s">
        <v>133</v>
      </c>
      <c r="R78" s="155">
        <v>1</v>
      </c>
      <c r="S78" s="2"/>
      <c r="T78" s="168" t="s">
        <v>133</v>
      </c>
      <c r="U78" s="155">
        <v>2</v>
      </c>
    </row>
    <row r="79" spans="1:21" x14ac:dyDescent="0.25">
      <c r="A79" s="2"/>
      <c r="B79" s="163" t="s">
        <v>134</v>
      </c>
      <c r="C79" s="163">
        <v>3</v>
      </c>
      <c r="D79" s="2"/>
      <c r="E79" s="163" t="s">
        <v>134</v>
      </c>
      <c r="F79" s="163">
        <v>2</v>
      </c>
      <c r="G79" s="2"/>
      <c r="H79" s="154" t="s">
        <v>134</v>
      </c>
      <c r="I79" s="154">
        <v>3</v>
      </c>
      <c r="J79" s="2"/>
      <c r="K79" s="154" t="s">
        <v>134</v>
      </c>
      <c r="L79" s="154">
        <v>4</v>
      </c>
      <c r="M79" s="2"/>
      <c r="N79" s="154" t="s">
        <v>134</v>
      </c>
      <c r="O79" s="154">
        <v>4</v>
      </c>
      <c r="P79" s="2"/>
      <c r="Q79" s="169" t="s">
        <v>135</v>
      </c>
      <c r="R79" s="155">
        <v>4</v>
      </c>
      <c r="S79" s="2"/>
      <c r="T79" s="169" t="s">
        <v>135</v>
      </c>
      <c r="U79" s="155">
        <v>1</v>
      </c>
    </row>
    <row r="80" spans="1:21" x14ac:dyDescent="0.25">
      <c r="A80" s="2"/>
      <c r="B80" s="163" t="s">
        <v>136</v>
      </c>
      <c r="C80" s="163">
        <v>2</v>
      </c>
      <c r="D80" s="2"/>
      <c r="E80" s="163" t="s">
        <v>136</v>
      </c>
      <c r="F80" s="163">
        <v>3</v>
      </c>
      <c r="G80" s="2"/>
      <c r="H80" s="154" t="s">
        <v>158</v>
      </c>
      <c r="I80" s="154">
        <v>2</v>
      </c>
      <c r="J80" s="2"/>
      <c r="K80" s="154" t="s">
        <v>159</v>
      </c>
      <c r="L80" s="154">
        <v>1</v>
      </c>
      <c r="M80" s="2"/>
      <c r="N80" s="154" t="s">
        <v>136</v>
      </c>
      <c r="O80" s="154">
        <v>5</v>
      </c>
      <c r="P80" s="2"/>
      <c r="Q80" s="169" t="s">
        <v>137</v>
      </c>
      <c r="R80" s="155">
        <v>5</v>
      </c>
      <c r="S80" s="2"/>
      <c r="T80" s="169" t="s">
        <v>137</v>
      </c>
      <c r="U80" s="155">
        <v>6</v>
      </c>
    </row>
    <row r="81" spans="1:21" x14ac:dyDescent="0.25">
      <c r="A81" s="2"/>
      <c r="B81" s="163" t="s">
        <v>138</v>
      </c>
      <c r="C81" s="163">
        <v>4</v>
      </c>
      <c r="D81" s="2"/>
      <c r="E81" s="163" t="s">
        <v>138</v>
      </c>
      <c r="F81" s="163">
        <v>1</v>
      </c>
      <c r="G81" s="2"/>
      <c r="H81" s="154" t="s">
        <v>138</v>
      </c>
      <c r="I81" s="154">
        <v>6</v>
      </c>
      <c r="J81" s="2"/>
      <c r="K81" s="154" t="s">
        <v>138</v>
      </c>
      <c r="L81" s="154">
        <v>7</v>
      </c>
      <c r="M81" s="2"/>
      <c r="N81" s="154" t="s">
        <v>138</v>
      </c>
      <c r="O81" s="154">
        <v>6</v>
      </c>
      <c r="P81" s="2"/>
      <c r="Q81" s="169" t="s">
        <v>139</v>
      </c>
      <c r="R81" s="155">
        <v>7</v>
      </c>
      <c r="S81" s="2"/>
      <c r="T81" s="169" t="s">
        <v>139</v>
      </c>
      <c r="U81" s="155">
        <v>5</v>
      </c>
    </row>
    <row r="82" spans="1:21" x14ac:dyDescent="0.25">
      <c r="A82" s="2"/>
      <c r="B82" s="163" t="s">
        <v>140</v>
      </c>
      <c r="C82" s="163">
        <v>5</v>
      </c>
      <c r="D82" s="2"/>
      <c r="E82" s="163" t="s">
        <v>140</v>
      </c>
      <c r="F82" s="163">
        <v>6</v>
      </c>
      <c r="G82" s="2"/>
      <c r="H82" s="154" t="s">
        <v>140</v>
      </c>
      <c r="I82" s="154">
        <v>7</v>
      </c>
      <c r="J82" s="2"/>
      <c r="K82" s="154" t="s">
        <v>140</v>
      </c>
      <c r="L82" s="154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163" t="s">
        <v>141</v>
      </c>
      <c r="C83" s="163">
        <v>7</v>
      </c>
      <c r="D83" s="2"/>
      <c r="E83" s="163" t="s">
        <v>141</v>
      </c>
      <c r="F83" s="163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163" t="s">
        <v>142</v>
      </c>
      <c r="C84" s="163">
        <v>6</v>
      </c>
      <c r="D84" s="2"/>
      <c r="E84" s="163" t="s">
        <v>142</v>
      </c>
      <c r="F84" s="163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168" t="s">
        <v>133</v>
      </c>
      <c r="R84" s="155">
        <v>3</v>
      </c>
      <c r="S84" s="2"/>
      <c r="T84" s="168" t="s">
        <v>133</v>
      </c>
      <c r="U84" s="155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69" t="s">
        <v>135</v>
      </c>
      <c r="R85" s="155">
        <v>2</v>
      </c>
      <c r="S85" s="2"/>
      <c r="T85" s="169" t="s">
        <v>135</v>
      </c>
      <c r="U85" s="155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69" t="s">
        <v>137</v>
      </c>
      <c r="R86" s="155">
        <v>7</v>
      </c>
      <c r="S86" s="2"/>
      <c r="T86" s="169" t="s">
        <v>137</v>
      </c>
      <c r="U86" s="155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53" t="s">
        <v>161</v>
      </c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</row>
    <row r="89" spans="1:21" x14ac:dyDescent="0.25">
      <c r="A89" s="2"/>
      <c r="B89" s="69"/>
      <c r="C89" s="69"/>
      <c r="D89" s="69"/>
      <c r="E89" s="69"/>
      <c r="F89" s="69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163" t="s">
        <v>133</v>
      </c>
      <c r="C90" s="163">
        <v>1</v>
      </c>
      <c r="D90" s="2"/>
      <c r="E90" s="163" t="s">
        <v>133</v>
      </c>
      <c r="F90" s="163">
        <v>4</v>
      </c>
      <c r="G90" s="2"/>
      <c r="H90" s="154" t="s">
        <v>133</v>
      </c>
      <c r="I90" s="154">
        <v>1</v>
      </c>
      <c r="J90" s="2"/>
      <c r="K90" s="154" t="s">
        <v>133</v>
      </c>
      <c r="L90" s="154">
        <v>2</v>
      </c>
      <c r="M90" s="2"/>
      <c r="N90" s="155" t="s">
        <v>133</v>
      </c>
      <c r="O90" s="155">
        <v>1</v>
      </c>
      <c r="P90" s="2"/>
      <c r="Q90" s="155" t="s">
        <v>133</v>
      </c>
      <c r="R90" s="155">
        <v>2</v>
      </c>
    </row>
    <row r="91" spans="1:21" x14ac:dyDescent="0.25">
      <c r="A91" s="2"/>
      <c r="B91" s="163" t="s">
        <v>134</v>
      </c>
      <c r="C91" s="163">
        <v>3</v>
      </c>
      <c r="D91" s="2"/>
      <c r="E91" s="163" t="s">
        <v>134</v>
      </c>
      <c r="F91" s="163">
        <v>2</v>
      </c>
      <c r="G91" s="2"/>
      <c r="H91" s="154" t="s">
        <v>134</v>
      </c>
      <c r="I91" s="154">
        <v>3</v>
      </c>
      <c r="J91" s="2"/>
      <c r="K91" s="154" t="s">
        <v>134</v>
      </c>
      <c r="L91" s="154">
        <v>4</v>
      </c>
      <c r="M91" s="2"/>
      <c r="N91" s="155" t="s">
        <v>134</v>
      </c>
      <c r="O91" s="155">
        <v>4</v>
      </c>
      <c r="P91" s="2"/>
      <c r="Q91" s="155" t="s">
        <v>134</v>
      </c>
      <c r="R91" s="155">
        <v>1</v>
      </c>
    </row>
    <row r="92" spans="1:21" x14ac:dyDescent="0.25">
      <c r="A92" s="2"/>
      <c r="B92" s="163" t="s">
        <v>136</v>
      </c>
      <c r="C92" s="163">
        <v>2</v>
      </c>
      <c r="D92" s="2"/>
      <c r="E92" s="163" t="s">
        <v>136</v>
      </c>
      <c r="F92" s="163">
        <v>3</v>
      </c>
      <c r="G92" s="2"/>
      <c r="H92" s="154" t="s">
        <v>162</v>
      </c>
      <c r="I92" s="154">
        <v>5</v>
      </c>
      <c r="J92" s="2"/>
      <c r="K92" s="154" t="s">
        <v>162</v>
      </c>
      <c r="L92" s="154">
        <v>1</v>
      </c>
      <c r="M92" s="2"/>
      <c r="N92" s="155" t="s">
        <v>136</v>
      </c>
      <c r="O92" s="155">
        <v>5</v>
      </c>
      <c r="P92" s="2"/>
      <c r="Q92" s="155" t="s">
        <v>136</v>
      </c>
      <c r="R92" s="155">
        <v>6</v>
      </c>
    </row>
    <row r="93" spans="1:21" x14ac:dyDescent="0.25">
      <c r="A93" s="2"/>
      <c r="B93" s="163" t="s">
        <v>138</v>
      </c>
      <c r="C93" s="163">
        <v>4</v>
      </c>
      <c r="D93" s="2"/>
      <c r="E93" s="163" t="s">
        <v>138</v>
      </c>
      <c r="F93" s="163">
        <v>1</v>
      </c>
      <c r="G93" s="2"/>
      <c r="H93" s="154" t="s">
        <v>138</v>
      </c>
      <c r="I93" s="154">
        <v>6</v>
      </c>
      <c r="J93" s="2"/>
      <c r="K93" s="154" t="s">
        <v>138</v>
      </c>
      <c r="L93" s="154">
        <v>7</v>
      </c>
      <c r="M93" s="2"/>
      <c r="N93" s="155" t="s">
        <v>163</v>
      </c>
      <c r="O93" s="155">
        <v>8</v>
      </c>
      <c r="P93" s="2"/>
      <c r="Q93" s="155" t="s">
        <v>138</v>
      </c>
      <c r="R93" s="155">
        <v>5</v>
      </c>
    </row>
    <row r="94" spans="1:21" x14ac:dyDescent="0.25">
      <c r="A94" s="2"/>
      <c r="B94" s="163" t="s">
        <v>140</v>
      </c>
      <c r="C94" s="163">
        <v>5</v>
      </c>
      <c r="D94" s="2"/>
      <c r="E94" s="163" t="s">
        <v>140</v>
      </c>
      <c r="F94" s="163">
        <v>8</v>
      </c>
      <c r="G94" s="2"/>
      <c r="H94" s="154" t="s">
        <v>164</v>
      </c>
      <c r="I94" s="154">
        <v>8</v>
      </c>
      <c r="J94" s="2"/>
      <c r="K94" s="154" t="s">
        <v>165</v>
      </c>
      <c r="L94" s="154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163" t="s">
        <v>141</v>
      </c>
      <c r="C95" s="163">
        <v>7</v>
      </c>
      <c r="D95" s="2"/>
      <c r="E95" s="163" t="s">
        <v>141</v>
      </c>
      <c r="F95" s="163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163" t="s">
        <v>142</v>
      </c>
      <c r="C96" s="163">
        <v>6</v>
      </c>
      <c r="D96" s="2"/>
      <c r="E96" s="163" t="s">
        <v>142</v>
      </c>
      <c r="F96" s="163">
        <v>7</v>
      </c>
      <c r="G96" s="2"/>
      <c r="H96" s="154" t="s">
        <v>133</v>
      </c>
      <c r="I96" s="154">
        <v>3</v>
      </c>
      <c r="J96" s="2"/>
      <c r="K96" s="2"/>
      <c r="L96" s="2"/>
      <c r="M96" s="2"/>
      <c r="N96" s="155" t="s">
        <v>133</v>
      </c>
      <c r="O96" s="155">
        <v>4</v>
      </c>
      <c r="P96" s="2"/>
      <c r="Q96" s="155" t="s">
        <v>133</v>
      </c>
      <c r="R96" s="155">
        <v>3</v>
      </c>
    </row>
    <row r="97" spans="1:18" x14ac:dyDescent="0.25">
      <c r="A97" s="2"/>
      <c r="B97" s="163" t="s">
        <v>143</v>
      </c>
      <c r="C97" s="163">
        <v>8</v>
      </c>
      <c r="D97" s="2"/>
      <c r="E97" s="2"/>
      <c r="F97" s="2"/>
      <c r="G97" s="2"/>
      <c r="H97" s="154" t="s">
        <v>134</v>
      </c>
      <c r="I97" s="154">
        <v>4</v>
      </c>
      <c r="J97" s="2"/>
      <c r="K97" s="2"/>
      <c r="L97" s="2"/>
      <c r="M97" s="2"/>
      <c r="N97" s="155" t="s">
        <v>134</v>
      </c>
      <c r="O97" s="155">
        <v>3</v>
      </c>
      <c r="P97" s="2"/>
      <c r="Q97" s="155" t="s">
        <v>134</v>
      </c>
      <c r="R97" s="155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154" t="s">
        <v>162</v>
      </c>
      <c r="I98" s="154">
        <v>2</v>
      </c>
      <c r="J98" s="2"/>
      <c r="K98" s="2"/>
      <c r="L98" s="2"/>
      <c r="M98" s="2"/>
      <c r="N98" s="155" t="s">
        <v>136</v>
      </c>
      <c r="O98" s="155">
        <v>6</v>
      </c>
      <c r="P98" s="2"/>
      <c r="Q98" s="155" t="s">
        <v>136</v>
      </c>
      <c r="R98" s="155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154" t="s">
        <v>138</v>
      </c>
      <c r="I99" s="154">
        <v>7</v>
      </c>
      <c r="J99" s="2"/>
      <c r="K99" s="2"/>
      <c r="L99" s="2"/>
      <c r="M99" s="2"/>
      <c r="N99" s="155" t="s">
        <v>138</v>
      </c>
      <c r="O99" s="155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154" t="s">
        <v>165</v>
      </c>
      <c r="I100" s="154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53" t="s">
        <v>166</v>
      </c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163" t="s">
        <v>133</v>
      </c>
      <c r="C105" s="163">
        <v>1</v>
      </c>
      <c r="D105" s="2"/>
      <c r="E105" s="163" t="s">
        <v>133</v>
      </c>
      <c r="F105" s="163">
        <v>4</v>
      </c>
      <c r="G105" s="2"/>
      <c r="H105" s="154" t="s">
        <v>133</v>
      </c>
      <c r="I105" s="154">
        <v>1</v>
      </c>
      <c r="J105" s="2"/>
      <c r="K105" s="154" t="s">
        <v>133</v>
      </c>
      <c r="L105" s="154">
        <v>4</v>
      </c>
      <c r="M105" s="2"/>
      <c r="N105" s="155" t="s">
        <v>133</v>
      </c>
      <c r="O105" s="155">
        <v>1</v>
      </c>
      <c r="P105" s="2"/>
      <c r="Q105" s="155" t="s">
        <v>133</v>
      </c>
      <c r="R105" s="155">
        <v>2</v>
      </c>
    </row>
    <row r="106" spans="1:18" x14ac:dyDescent="0.25">
      <c r="A106" s="2"/>
      <c r="B106" s="163" t="s">
        <v>134</v>
      </c>
      <c r="C106" s="163">
        <v>3</v>
      </c>
      <c r="D106" s="2"/>
      <c r="E106" s="163" t="s">
        <v>134</v>
      </c>
      <c r="F106" s="163">
        <v>2</v>
      </c>
      <c r="G106" s="2"/>
      <c r="H106" s="154" t="s">
        <v>134</v>
      </c>
      <c r="I106" s="154">
        <v>3</v>
      </c>
      <c r="J106" s="2"/>
      <c r="K106" s="154" t="s">
        <v>134</v>
      </c>
      <c r="L106" s="154">
        <v>2</v>
      </c>
      <c r="M106" s="2"/>
      <c r="N106" s="155" t="s">
        <v>134</v>
      </c>
      <c r="O106" s="155">
        <v>4</v>
      </c>
      <c r="P106" s="2"/>
      <c r="Q106" s="155" t="s">
        <v>134</v>
      </c>
      <c r="R106" s="155">
        <v>1</v>
      </c>
    </row>
    <row r="107" spans="1:18" x14ac:dyDescent="0.25">
      <c r="A107" s="2"/>
      <c r="B107" s="163" t="s">
        <v>136</v>
      </c>
      <c r="C107" s="163">
        <v>2</v>
      </c>
      <c r="D107" s="2"/>
      <c r="E107" s="163" t="s">
        <v>136</v>
      </c>
      <c r="F107" s="163">
        <v>3</v>
      </c>
      <c r="G107" s="2"/>
      <c r="H107" s="154" t="s">
        <v>136</v>
      </c>
      <c r="I107" s="154">
        <v>2</v>
      </c>
      <c r="J107" s="2"/>
      <c r="K107" s="154" t="s">
        <v>136</v>
      </c>
      <c r="L107" s="154">
        <v>3</v>
      </c>
      <c r="M107" s="2"/>
      <c r="N107" s="155" t="s">
        <v>136</v>
      </c>
      <c r="O107" s="155">
        <v>5</v>
      </c>
      <c r="P107" s="2"/>
      <c r="Q107" s="155" t="s">
        <v>136</v>
      </c>
      <c r="R107" s="155">
        <v>6</v>
      </c>
    </row>
    <row r="108" spans="1:18" x14ac:dyDescent="0.25">
      <c r="A108" s="2"/>
      <c r="B108" s="163" t="s">
        <v>138</v>
      </c>
      <c r="C108" s="163">
        <v>4</v>
      </c>
      <c r="D108" s="2"/>
      <c r="E108" s="163" t="s">
        <v>138</v>
      </c>
      <c r="F108" s="163">
        <v>1</v>
      </c>
      <c r="G108" s="2"/>
      <c r="H108" s="154" t="s">
        <v>138</v>
      </c>
      <c r="I108" s="154">
        <v>4</v>
      </c>
      <c r="J108" s="2"/>
      <c r="K108" s="154" t="s">
        <v>138</v>
      </c>
      <c r="L108" s="154">
        <v>1</v>
      </c>
      <c r="M108" s="2"/>
      <c r="N108" s="155" t="s">
        <v>138</v>
      </c>
      <c r="O108" s="155">
        <v>8</v>
      </c>
      <c r="P108" s="2"/>
      <c r="Q108" s="155" t="s">
        <v>138</v>
      </c>
      <c r="R108" s="155">
        <v>5</v>
      </c>
    </row>
    <row r="109" spans="1:18" x14ac:dyDescent="0.25">
      <c r="A109" s="2"/>
      <c r="B109" s="163" t="s">
        <v>140</v>
      </c>
      <c r="C109" s="163">
        <v>5</v>
      </c>
      <c r="D109" s="2"/>
      <c r="E109" s="163" t="s">
        <v>140</v>
      </c>
      <c r="F109" s="163">
        <v>8</v>
      </c>
      <c r="G109" s="2"/>
      <c r="H109" s="154" t="s">
        <v>133</v>
      </c>
      <c r="I109" s="154">
        <v>1</v>
      </c>
      <c r="J109" s="2"/>
      <c r="K109" s="154" t="s">
        <v>140</v>
      </c>
      <c r="L109" s="154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163" t="s">
        <v>141</v>
      </c>
      <c r="C110" s="163">
        <v>7</v>
      </c>
      <c r="D110" s="2"/>
      <c r="E110" s="163" t="s">
        <v>141</v>
      </c>
      <c r="F110" s="163">
        <v>6</v>
      </c>
      <c r="G110" s="2"/>
      <c r="H110" s="154" t="s">
        <v>134</v>
      </c>
      <c r="I110" s="154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163" t="s">
        <v>142</v>
      </c>
      <c r="C111" s="163">
        <v>6</v>
      </c>
      <c r="D111" s="2"/>
      <c r="E111" s="163" t="s">
        <v>142</v>
      </c>
      <c r="F111" s="163">
        <v>7</v>
      </c>
      <c r="G111" s="2"/>
      <c r="H111" s="2"/>
      <c r="I111" s="2"/>
      <c r="J111" s="2"/>
      <c r="K111" s="154" t="s">
        <v>133</v>
      </c>
      <c r="L111" s="154">
        <v>4</v>
      </c>
      <c r="M111" s="2"/>
      <c r="N111" s="155" t="s">
        <v>133</v>
      </c>
      <c r="O111" s="155">
        <v>4</v>
      </c>
      <c r="P111" s="2"/>
      <c r="Q111" s="155" t="s">
        <v>133</v>
      </c>
      <c r="R111" s="155">
        <v>3</v>
      </c>
    </row>
    <row r="112" spans="1:18" x14ac:dyDescent="0.25">
      <c r="A112" s="2"/>
      <c r="B112" s="163" t="s">
        <v>143</v>
      </c>
      <c r="C112" s="163">
        <v>8</v>
      </c>
      <c r="D112" s="2"/>
      <c r="E112" s="163" t="s">
        <v>143</v>
      </c>
      <c r="F112" s="163">
        <v>5</v>
      </c>
      <c r="G112" s="2"/>
      <c r="H112" s="2"/>
      <c r="I112" s="2"/>
      <c r="J112" s="2"/>
      <c r="K112" s="154" t="s">
        <v>134</v>
      </c>
      <c r="L112" s="154">
        <v>2</v>
      </c>
      <c r="M112" s="2"/>
      <c r="N112" s="155" t="s">
        <v>134</v>
      </c>
      <c r="O112" s="155">
        <v>3</v>
      </c>
      <c r="P112" s="2"/>
      <c r="Q112" s="155" t="s">
        <v>134</v>
      </c>
      <c r="R112" s="155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154" t="s">
        <v>136</v>
      </c>
      <c r="L113" s="154">
        <v>3</v>
      </c>
      <c r="M113" s="2"/>
      <c r="N113" s="155" t="s">
        <v>136</v>
      </c>
      <c r="O113" s="155">
        <v>8</v>
      </c>
      <c r="P113" s="2"/>
      <c r="Q113" s="155" t="s">
        <v>136</v>
      </c>
      <c r="R113" s="155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154" t="s">
        <v>138</v>
      </c>
      <c r="L114" s="154">
        <v>1</v>
      </c>
      <c r="M114" s="2"/>
      <c r="N114" s="155" t="s">
        <v>138</v>
      </c>
      <c r="O114" s="155">
        <v>7</v>
      </c>
      <c r="P114" s="2"/>
      <c r="Q114" s="155" t="s">
        <v>138</v>
      </c>
      <c r="R114" s="155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154" t="s">
        <v>140</v>
      </c>
      <c r="L115" s="154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56" t="s">
        <v>167</v>
      </c>
      <c r="C117" s="157"/>
      <c r="D117" s="157"/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8"/>
    </row>
    <row r="119" spans="1:18" x14ac:dyDescent="0.25">
      <c r="B119" s="154" t="s">
        <v>133</v>
      </c>
      <c r="C119" s="154">
        <v>1</v>
      </c>
      <c r="D119" s="2"/>
      <c r="E119" s="154" t="s">
        <v>133</v>
      </c>
      <c r="F119" s="154">
        <v>2</v>
      </c>
      <c r="H119" s="154" t="s">
        <v>133</v>
      </c>
      <c r="I119" s="154">
        <v>3</v>
      </c>
      <c r="K119" s="155" t="s">
        <v>133</v>
      </c>
      <c r="L119" s="155">
        <v>1</v>
      </c>
      <c r="M119" s="2"/>
      <c r="N119" s="155" t="s">
        <v>133</v>
      </c>
      <c r="O119" s="155">
        <v>2</v>
      </c>
    </row>
    <row r="120" spans="1:18" x14ac:dyDescent="0.25">
      <c r="B120" s="154" t="s">
        <v>134</v>
      </c>
      <c r="C120" s="154">
        <v>3</v>
      </c>
      <c r="D120" s="2"/>
      <c r="E120" s="154" t="s">
        <v>134</v>
      </c>
      <c r="F120" s="154">
        <v>4</v>
      </c>
      <c r="H120" s="154" t="s">
        <v>134</v>
      </c>
      <c r="I120" s="154">
        <v>4</v>
      </c>
      <c r="K120" s="155" t="s">
        <v>134</v>
      </c>
      <c r="L120" s="155">
        <v>4</v>
      </c>
      <c r="M120" s="2"/>
      <c r="N120" s="155" t="s">
        <v>134</v>
      </c>
      <c r="O120" s="155">
        <v>1</v>
      </c>
    </row>
    <row r="121" spans="1:18" x14ac:dyDescent="0.25">
      <c r="B121" s="154" t="s">
        <v>168</v>
      </c>
      <c r="C121" s="154">
        <v>2</v>
      </c>
      <c r="D121" s="2"/>
      <c r="E121" s="154" t="s">
        <v>159</v>
      </c>
      <c r="F121" s="154">
        <v>1</v>
      </c>
      <c r="H121" s="154" t="s">
        <v>136</v>
      </c>
      <c r="I121" s="154">
        <v>5</v>
      </c>
      <c r="K121" s="155" t="s">
        <v>136</v>
      </c>
      <c r="L121" s="155">
        <v>5</v>
      </c>
      <c r="M121" s="2"/>
      <c r="N121" s="155" t="s">
        <v>136</v>
      </c>
      <c r="O121" s="155">
        <v>6</v>
      </c>
    </row>
    <row r="122" spans="1:18" x14ac:dyDescent="0.25">
      <c r="B122" s="154" t="s">
        <v>138</v>
      </c>
      <c r="C122" s="154">
        <v>6</v>
      </c>
      <c r="D122" s="2"/>
      <c r="E122" s="154" t="s">
        <v>138</v>
      </c>
      <c r="F122" s="154">
        <v>7</v>
      </c>
      <c r="H122" s="154" t="s">
        <v>138</v>
      </c>
      <c r="I122" s="154">
        <v>8</v>
      </c>
      <c r="K122" s="155" t="s">
        <v>138</v>
      </c>
      <c r="L122" s="155">
        <v>8</v>
      </c>
      <c r="M122" s="2"/>
      <c r="N122" s="155" t="s">
        <v>138</v>
      </c>
      <c r="O122" s="155">
        <v>5</v>
      </c>
    </row>
    <row r="123" spans="1:18" x14ac:dyDescent="0.25">
      <c r="B123" s="154" t="s">
        <v>140</v>
      </c>
      <c r="C123" s="154">
        <v>8</v>
      </c>
      <c r="D123" s="2"/>
      <c r="E123" s="154" t="s">
        <v>140</v>
      </c>
      <c r="F123" s="154">
        <v>6</v>
      </c>
      <c r="H123" s="154" t="s">
        <v>140</v>
      </c>
      <c r="I123" s="154">
        <v>7</v>
      </c>
      <c r="K123" s="155" t="s">
        <v>169</v>
      </c>
      <c r="L123" s="155">
        <v>9</v>
      </c>
      <c r="M123" s="2"/>
      <c r="N123" s="2"/>
      <c r="O123" s="2"/>
    </row>
    <row r="124" spans="1:18" x14ac:dyDescent="0.25">
      <c r="B124" s="154" t="s">
        <v>141</v>
      </c>
      <c r="C124" s="154">
        <v>5</v>
      </c>
      <c r="D124" s="2"/>
      <c r="E124" s="154" t="s">
        <v>170</v>
      </c>
      <c r="F124" s="154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155" t="s">
        <v>133</v>
      </c>
      <c r="L126" s="155">
        <v>4</v>
      </c>
      <c r="N126" s="155" t="s">
        <v>133</v>
      </c>
      <c r="O126" s="155">
        <v>3</v>
      </c>
    </row>
    <row r="127" spans="1:18" x14ac:dyDescent="0.25">
      <c r="K127" s="155" t="s">
        <v>134</v>
      </c>
      <c r="L127" s="155">
        <v>3</v>
      </c>
      <c r="N127" s="155" t="s">
        <v>134</v>
      </c>
      <c r="O127" s="155">
        <v>2</v>
      </c>
    </row>
    <row r="128" spans="1:18" x14ac:dyDescent="0.25">
      <c r="K128" s="155" t="s">
        <v>136</v>
      </c>
      <c r="L128" s="155">
        <v>8</v>
      </c>
      <c r="N128" s="155" t="s">
        <v>136</v>
      </c>
      <c r="O128" s="155">
        <v>7</v>
      </c>
    </row>
    <row r="129" spans="2:16" x14ac:dyDescent="0.25">
      <c r="K129" s="155" t="s">
        <v>138</v>
      </c>
      <c r="L129" s="155">
        <v>7</v>
      </c>
      <c r="N129" s="155" t="s">
        <v>138</v>
      </c>
      <c r="O129" s="155">
        <v>6</v>
      </c>
    </row>
    <row r="132" spans="2:16" ht="26.25" x14ac:dyDescent="0.25">
      <c r="B132" s="156" t="s">
        <v>171</v>
      </c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8"/>
    </row>
    <row r="134" spans="2:16" x14ac:dyDescent="0.25">
      <c r="B134" s="154" t="s">
        <v>133</v>
      </c>
      <c r="C134" s="154">
        <v>1</v>
      </c>
      <c r="D134" s="2"/>
      <c r="E134" s="154" t="s">
        <v>133</v>
      </c>
      <c r="F134" s="154">
        <v>2</v>
      </c>
      <c r="H134" s="154" t="s">
        <v>133</v>
      </c>
      <c r="I134" s="154">
        <v>3</v>
      </c>
      <c r="K134" s="155" t="s">
        <v>133</v>
      </c>
      <c r="L134" s="155">
        <v>1</v>
      </c>
      <c r="M134" s="2"/>
      <c r="N134" s="155" t="s">
        <v>133</v>
      </c>
      <c r="O134" s="155">
        <v>2</v>
      </c>
    </row>
    <row r="135" spans="2:16" x14ac:dyDescent="0.25">
      <c r="B135" s="154" t="s">
        <v>134</v>
      </c>
      <c r="C135" s="154">
        <v>3</v>
      </c>
      <c r="D135" s="2"/>
      <c r="E135" s="154" t="s">
        <v>134</v>
      </c>
      <c r="F135" s="154">
        <v>4</v>
      </c>
      <c r="H135" s="154" t="s">
        <v>134</v>
      </c>
      <c r="I135" s="154">
        <v>4</v>
      </c>
      <c r="K135" s="155" t="s">
        <v>134</v>
      </c>
      <c r="L135" s="155">
        <v>4</v>
      </c>
      <c r="M135" s="2"/>
      <c r="N135" s="155" t="s">
        <v>134</v>
      </c>
      <c r="O135" s="155">
        <v>1</v>
      </c>
    </row>
    <row r="136" spans="2:16" x14ac:dyDescent="0.25">
      <c r="B136" s="154" t="s">
        <v>158</v>
      </c>
      <c r="C136" s="154">
        <v>2</v>
      </c>
      <c r="D136" s="2"/>
      <c r="E136" s="154" t="s">
        <v>159</v>
      </c>
      <c r="F136" s="154">
        <v>1</v>
      </c>
      <c r="H136" s="154" t="s">
        <v>136</v>
      </c>
      <c r="I136" s="154">
        <v>5</v>
      </c>
      <c r="K136" s="155" t="s">
        <v>136</v>
      </c>
      <c r="L136" s="155">
        <v>5</v>
      </c>
      <c r="M136" s="2"/>
      <c r="N136" s="155" t="s">
        <v>136</v>
      </c>
      <c r="O136" s="155">
        <v>6</v>
      </c>
    </row>
    <row r="137" spans="2:16" x14ac:dyDescent="0.25">
      <c r="B137" s="154" t="s">
        <v>138</v>
      </c>
      <c r="C137" s="154">
        <v>6</v>
      </c>
      <c r="D137" s="2"/>
      <c r="E137" s="154" t="s">
        <v>138</v>
      </c>
      <c r="F137" s="154">
        <v>7</v>
      </c>
      <c r="H137" s="154" t="s">
        <v>138</v>
      </c>
      <c r="I137" s="154">
        <v>8</v>
      </c>
      <c r="K137" s="155" t="s">
        <v>138</v>
      </c>
      <c r="L137" s="155">
        <v>8</v>
      </c>
      <c r="M137" s="2"/>
      <c r="N137" s="155" t="s">
        <v>138</v>
      </c>
      <c r="O137" s="155">
        <v>5</v>
      </c>
    </row>
    <row r="138" spans="2:16" x14ac:dyDescent="0.25">
      <c r="B138" s="154" t="s">
        <v>140</v>
      </c>
      <c r="C138" s="154">
        <v>8</v>
      </c>
      <c r="D138" s="2"/>
      <c r="E138" s="154" t="s">
        <v>140</v>
      </c>
      <c r="F138" s="154">
        <v>6</v>
      </c>
      <c r="H138" s="154" t="s">
        <v>140</v>
      </c>
      <c r="I138" s="154">
        <v>7</v>
      </c>
      <c r="K138" s="155" t="s">
        <v>140</v>
      </c>
      <c r="L138" s="155">
        <v>9</v>
      </c>
      <c r="M138" s="2"/>
      <c r="N138" s="155" t="s">
        <v>140</v>
      </c>
      <c r="O138" s="155">
        <v>9</v>
      </c>
    </row>
    <row r="139" spans="2:16" x14ac:dyDescent="0.25">
      <c r="B139" s="154" t="s">
        <v>172</v>
      </c>
      <c r="C139" s="154">
        <v>5</v>
      </c>
      <c r="D139" s="2"/>
      <c r="E139" s="154" t="s">
        <v>141</v>
      </c>
      <c r="F139" s="154">
        <v>9</v>
      </c>
      <c r="H139" s="154" t="s">
        <v>141</v>
      </c>
      <c r="I139" s="154">
        <v>9</v>
      </c>
      <c r="K139" s="2"/>
      <c r="L139" s="2"/>
      <c r="M139" s="2"/>
      <c r="N139" s="2"/>
      <c r="O139" s="2"/>
    </row>
    <row r="141" spans="2:16" x14ac:dyDescent="0.25">
      <c r="K141" s="155" t="s">
        <v>133</v>
      </c>
      <c r="L141" s="155">
        <v>4</v>
      </c>
      <c r="N141" s="155" t="s">
        <v>133</v>
      </c>
      <c r="O141" s="155">
        <v>3</v>
      </c>
    </row>
    <row r="142" spans="2:16" x14ac:dyDescent="0.25">
      <c r="K142" s="155" t="s">
        <v>134</v>
      </c>
      <c r="L142" s="155">
        <v>3</v>
      </c>
      <c r="N142" s="155" t="s">
        <v>134</v>
      </c>
      <c r="O142" s="155">
        <v>2</v>
      </c>
    </row>
    <row r="143" spans="2:16" x14ac:dyDescent="0.25">
      <c r="K143" s="155" t="s">
        <v>136</v>
      </c>
      <c r="L143" s="155">
        <v>8</v>
      </c>
      <c r="N143" s="155" t="s">
        <v>136</v>
      </c>
      <c r="O143" s="155">
        <v>7</v>
      </c>
    </row>
    <row r="144" spans="2:16" x14ac:dyDescent="0.25">
      <c r="K144" s="155" t="s">
        <v>138</v>
      </c>
      <c r="L144" s="155">
        <v>7</v>
      </c>
      <c r="N144" s="155" t="s">
        <v>138</v>
      </c>
      <c r="O144" s="155">
        <v>6</v>
      </c>
    </row>
    <row r="146" spans="2:15" ht="26.25" x14ac:dyDescent="0.25">
      <c r="B146" s="153" t="s">
        <v>173</v>
      </c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</row>
    <row r="148" spans="2:15" x14ac:dyDescent="0.25">
      <c r="B148" s="154" t="s">
        <v>133</v>
      </c>
      <c r="C148" s="154">
        <v>1</v>
      </c>
      <c r="D148" s="2"/>
      <c r="E148" s="154" t="s">
        <v>133</v>
      </c>
      <c r="F148" s="154">
        <v>2</v>
      </c>
      <c r="H148" s="154" t="s">
        <v>133</v>
      </c>
      <c r="I148" s="154">
        <v>3</v>
      </c>
      <c r="K148" s="155" t="s">
        <v>133</v>
      </c>
      <c r="L148" s="155">
        <v>1</v>
      </c>
      <c r="N148" s="155" t="s">
        <v>133</v>
      </c>
      <c r="O148" s="155">
        <v>2</v>
      </c>
    </row>
    <row r="149" spans="2:15" x14ac:dyDescent="0.25">
      <c r="B149" s="154" t="s">
        <v>134</v>
      </c>
      <c r="C149" s="154">
        <v>3</v>
      </c>
      <c r="D149" s="2"/>
      <c r="E149" s="154" t="s">
        <v>134</v>
      </c>
      <c r="F149" s="154">
        <v>4</v>
      </c>
      <c r="H149" s="154" t="s">
        <v>134</v>
      </c>
      <c r="I149" s="154">
        <v>4</v>
      </c>
      <c r="K149" s="155" t="s">
        <v>134</v>
      </c>
      <c r="L149" s="155">
        <v>4</v>
      </c>
      <c r="N149" s="155" t="s">
        <v>134</v>
      </c>
      <c r="O149" s="155">
        <v>1</v>
      </c>
    </row>
    <row r="150" spans="2:15" x14ac:dyDescent="0.25">
      <c r="B150" s="154" t="s">
        <v>158</v>
      </c>
      <c r="C150" s="154">
        <v>2</v>
      </c>
      <c r="D150" s="2"/>
      <c r="E150" s="154" t="s">
        <v>159</v>
      </c>
      <c r="F150" s="154">
        <v>1</v>
      </c>
      <c r="H150" s="154" t="s">
        <v>136</v>
      </c>
      <c r="I150" s="154">
        <v>5</v>
      </c>
      <c r="K150" s="155" t="s">
        <v>136</v>
      </c>
      <c r="L150" s="155">
        <v>5</v>
      </c>
      <c r="N150" s="155" t="s">
        <v>136</v>
      </c>
      <c r="O150" s="155">
        <v>6</v>
      </c>
    </row>
    <row r="151" spans="2:15" x14ac:dyDescent="0.25">
      <c r="B151" s="154" t="s">
        <v>138</v>
      </c>
      <c r="C151" s="154">
        <v>6</v>
      </c>
      <c r="D151" s="2"/>
      <c r="E151" s="154" t="s">
        <v>138</v>
      </c>
      <c r="F151" s="154">
        <v>7</v>
      </c>
      <c r="H151" s="154" t="s">
        <v>138</v>
      </c>
      <c r="I151" s="154">
        <v>8</v>
      </c>
      <c r="K151" s="155" t="s">
        <v>138</v>
      </c>
      <c r="L151" s="155">
        <v>8</v>
      </c>
      <c r="N151" s="155" t="s">
        <v>138</v>
      </c>
      <c r="O151" s="155">
        <v>5</v>
      </c>
    </row>
    <row r="152" spans="2:15" x14ac:dyDescent="0.25">
      <c r="B152" s="154" t="s">
        <v>140</v>
      </c>
      <c r="C152" s="154">
        <v>8</v>
      </c>
      <c r="D152" s="2"/>
      <c r="E152" s="154" t="s">
        <v>140</v>
      </c>
      <c r="F152" s="154">
        <v>6</v>
      </c>
      <c r="H152" s="154" t="s">
        <v>140</v>
      </c>
      <c r="I152" s="154">
        <v>7</v>
      </c>
      <c r="K152" s="155" t="s">
        <v>140</v>
      </c>
      <c r="L152" s="155">
        <v>9</v>
      </c>
      <c r="N152" s="155" t="s">
        <v>170</v>
      </c>
      <c r="O152" s="155">
        <v>10</v>
      </c>
    </row>
    <row r="153" spans="2:15" x14ac:dyDescent="0.25">
      <c r="B153" s="154" t="s">
        <v>172</v>
      </c>
      <c r="C153" s="154">
        <v>5</v>
      </c>
      <c r="D153" s="2"/>
      <c r="E153" s="154" t="s">
        <v>141</v>
      </c>
      <c r="F153" s="154">
        <v>9</v>
      </c>
      <c r="H153" s="154" t="s">
        <v>170</v>
      </c>
      <c r="I153" s="154">
        <v>10</v>
      </c>
    </row>
    <row r="154" spans="2:15" x14ac:dyDescent="0.25">
      <c r="B154" s="154" t="s">
        <v>142</v>
      </c>
      <c r="C154" s="154">
        <v>9</v>
      </c>
      <c r="E154" s="2"/>
      <c r="F154" s="2"/>
    </row>
    <row r="155" spans="2:15" x14ac:dyDescent="0.25">
      <c r="K155" s="155" t="s">
        <v>133</v>
      </c>
      <c r="L155" s="155">
        <v>4</v>
      </c>
      <c r="N155" s="155" t="s">
        <v>133</v>
      </c>
      <c r="O155" s="155">
        <v>3</v>
      </c>
    </row>
    <row r="156" spans="2:15" x14ac:dyDescent="0.25">
      <c r="K156" s="155" t="s">
        <v>134</v>
      </c>
      <c r="L156" s="155">
        <v>3</v>
      </c>
      <c r="N156" s="155" t="s">
        <v>134</v>
      </c>
      <c r="O156" s="155">
        <v>2</v>
      </c>
    </row>
    <row r="157" spans="2:15" x14ac:dyDescent="0.25">
      <c r="K157" s="155" t="s">
        <v>136</v>
      </c>
      <c r="L157" s="155">
        <v>8</v>
      </c>
      <c r="N157" s="155" t="s">
        <v>136</v>
      </c>
      <c r="O157" s="155">
        <v>7</v>
      </c>
    </row>
    <row r="158" spans="2:15" x14ac:dyDescent="0.25">
      <c r="K158" s="155" t="s">
        <v>138</v>
      </c>
      <c r="L158" s="155">
        <v>7</v>
      </c>
      <c r="N158" s="155" t="s">
        <v>138</v>
      </c>
      <c r="O158" s="155">
        <v>6</v>
      </c>
    </row>
    <row r="159" spans="2:15" x14ac:dyDescent="0.25">
      <c r="K159" s="155" t="s">
        <v>140</v>
      </c>
      <c r="L159" s="155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53" t="s">
        <v>174</v>
      </c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</row>
    <row r="163" spans="2:24" x14ac:dyDescent="0.25">
      <c r="B163" s="2"/>
      <c r="D163" s="2"/>
      <c r="E163" s="2"/>
      <c r="H163" s="2"/>
    </row>
    <row r="164" spans="2:24" x14ac:dyDescent="0.25">
      <c r="B164" s="154" t="s">
        <v>133</v>
      </c>
      <c r="C164" s="154">
        <v>1</v>
      </c>
      <c r="D164" s="2"/>
      <c r="E164" s="154" t="s">
        <v>133</v>
      </c>
      <c r="F164" s="154">
        <v>2</v>
      </c>
      <c r="H164" s="154" t="s">
        <v>133</v>
      </c>
      <c r="I164" s="154">
        <v>3</v>
      </c>
      <c r="K164" s="155" t="s">
        <v>133</v>
      </c>
      <c r="L164" s="155">
        <v>1</v>
      </c>
      <c r="N164" s="155" t="s">
        <v>133</v>
      </c>
      <c r="O164" s="155">
        <v>2</v>
      </c>
      <c r="Q164" s="170" t="s">
        <v>133</v>
      </c>
      <c r="R164" s="170">
        <v>1</v>
      </c>
      <c r="T164" s="170" t="s">
        <v>133</v>
      </c>
      <c r="U164" s="170">
        <v>2</v>
      </c>
      <c r="W164" s="170" t="s">
        <v>133</v>
      </c>
      <c r="X164" s="170">
        <v>3</v>
      </c>
    </row>
    <row r="165" spans="2:24" x14ac:dyDescent="0.25">
      <c r="B165" s="154" t="s">
        <v>134</v>
      </c>
      <c r="C165" s="154">
        <v>3</v>
      </c>
      <c r="D165" s="2"/>
      <c r="E165" s="154" t="s">
        <v>134</v>
      </c>
      <c r="F165" s="154">
        <v>4</v>
      </c>
      <c r="H165" s="154" t="s">
        <v>134</v>
      </c>
      <c r="I165" s="154">
        <v>4</v>
      </c>
      <c r="K165" s="155" t="s">
        <v>134</v>
      </c>
      <c r="L165" s="155">
        <v>4</v>
      </c>
      <c r="N165" s="155" t="s">
        <v>134</v>
      </c>
      <c r="O165" s="155">
        <v>1</v>
      </c>
      <c r="Q165" s="170" t="s">
        <v>175</v>
      </c>
      <c r="R165" s="170">
        <v>2</v>
      </c>
      <c r="T165" s="170" t="s">
        <v>175</v>
      </c>
      <c r="U165" s="170">
        <v>3</v>
      </c>
      <c r="W165" s="170" t="s">
        <v>134</v>
      </c>
      <c r="X165" s="170">
        <v>5</v>
      </c>
    </row>
    <row r="166" spans="2:24" x14ac:dyDescent="0.25">
      <c r="B166" s="154" t="s">
        <v>158</v>
      </c>
      <c r="C166" s="154">
        <v>2</v>
      </c>
      <c r="D166" s="2"/>
      <c r="E166" s="154" t="s">
        <v>159</v>
      </c>
      <c r="F166" s="154">
        <v>1</v>
      </c>
      <c r="H166" s="154" t="s">
        <v>136</v>
      </c>
      <c r="I166" s="154">
        <v>5</v>
      </c>
      <c r="K166" s="155" t="s">
        <v>136</v>
      </c>
      <c r="L166" s="155">
        <v>5</v>
      </c>
      <c r="N166" s="155" t="s">
        <v>136</v>
      </c>
      <c r="O166" s="155">
        <v>6</v>
      </c>
      <c r="Q166" s="170" t="s">
        <v>136</v>
      </c>
      <c r="R166" s="170">
        <v>7</v>
      </c>
      <c r="T166" s="170" t="s">
        <v>136</v>
      </c>
      <c r="U166" s="170">
        <v>8</v>
      </c>
      <c r="W166" s="170" t="s">
        <v>136</v>
      </c>
      <c r="X166" s="170">
        <v>6</v>
      </c>
    </row>
    <row r="167" spans="2:24" x14ac:dyDescent="0.25">
      <c r="B167" s="154" t="s">
        <v>138</v>
      </c>
      <c r="C167" s="154">
        <v>6</v>
      </c>
      <c r="D167" s="2"/>
      <c r="E167" s="154" t="s">
        <v>138</v>
      </c>
      <c r="F167" s="154">
        <v>7</v>
      </c>
      <c r="H167" s="154" t="s">
        <v>138</v>
      </c>
      <c r="I167" s="154">
        <v>8</v>
      </c>
      <c r="K167" s="155" t="s">
        <v>138</v>
      </c>
      <c r="L167" s="155">
        <v>8</v>
      </c>
      <c r="N167" s="155" t="s">
        <v>138</v>
      </c>
      <c r="O167" s="155">
        <v>5</v>
      </c>
      <c r="Q167" s="170" t="s">
        <v>176</v>
      </c>
      <c r="R167" s="170">
        <v>8</v>
      </c>
      <c r="T167" s="170" t="s">
        <v>138</v>
      </c>
      <c r="U167" s="170">
        <v>9</v>
      </c>
      <c r="W167" s="170" t="s">
        <v>138</v>
      </c>
      <c r="X167" s="170">
        <v>9</v>
      </c>
    </row>
    <row r="168" spans="2:24" x14ac:dyDescent="0.25">
      <c r="B168" s="154" t="s">
        <v>140</v>
      </c>
      <c r="C168" s="154">
        <v>8</v>
      </c>
      <c r="D168" s="2"/>
      <c r="E168" s="154" t="s">
        <v>140</v>
      </c>
      <c r="F168" s="154">
        <v>6</v>
      </c>
      <c r="H168" s="154" t="s">
        <v>140</v>
      </c>
      <c r="I168" s="154">
        <v>7</v>
      </c>
      <c r="K168" s="155" t="s">
        <v>140</v>
      </c>
      <c r="L168" s="155">
        <v>9</v>
      </c>
      <c r="N168" s="155" t="s">
        <v>140</v>
      </c>
      <c r="O168" s="155">
        <v>10</v>
      </c>
    </row>
    <row r="169" spans="2:24" x14ac:dyDescent="0.25">
      <c r="B169" s="154" t="s">
        <v>172</v>
      </c>
      <c r="C169" s="154">
        <v>5</v>
      </c>
      <c r="D169" s="2"/>
      <c r="E169" s="154" t="s">
        <v>141</v>
      </c>
      <c r="F169" s="154">
        <v>9</v>
      </c>
      <c r="H169" s="154" t="s">
        <v>141</v>
      </c>
      <c r="I169" s="154">
        <v>10</v>
      </c>
    </row>
    <row r="170" spans="2:24" x14ac:dyDescent="0.25">
      <c r="B170" s="154" t="s">
        <v>142</v>
      </c>
      <c r="C170" s="154">
        <v>9</v>
      </c>
      <c r="E170" s="154" t="s">
        <v>142</v>
      </c>
      <c r="F170" s="154">
        <v>10</v>
      </c>
    </row>
    <row r="171" spans="2:24" x14ac:dyDescent="0.25">
      <c r="K171" s="155" t="s">
        <v>133</v>
      </c>
      <c r="L171" s="155">
        <v>4</v>
      </c>
      <c r="N171" s="155" t="s">
        <v>133</v>
      </c>
      <c r="O171" s="155">
        <v>3</v>
      </c>
      <c r="Q171" s="170" t="s">
        <v>133</v>
      </c>
      <c r="R171" s="170">
        <v>4</v>
      </c>
      <c r="T171" s="170" t="s">
        <v>133</v>
      </c>
      <c r="U171" s="170">
        <v>1</v>
      </c>
    </row>
    <row r="172" spans="2:24" x14ac:dyDescent="0.25">
      <c r="K172" s="155" t="s">
        <v>134</v>
      </c>
      <c r="L172" s="155">
        <v>3</v>
      </c>
      <c r="N172" s="155" t="s">
        <v>134</v>
      </c>
      <c r="O172" s="155">
        <v>2</v>
      </c>
      <c r="Q172" s="170" t="s">
        <v>134</v>
      </c>
      <c r="R172" s="170">
        <v>6</v>
      </c>
      <c r="T172" s="170" t="s">
        <v>175</v>
      </c>
      <c r="U172" s="170">
        <v>4</v>
      </c>
    </row>
    <row r="173" spans="2:24" x14ac:dyDescent="0.25">
      <c r="K173" s="155" t="s">
        <v>136</v>
      </c>
      <c r="L173" s="155">
        <v>8</v>
      </c>
      <c r="N173" s="155" t="s">
        <v>136</v>
      </c>
      <c r="O173" s="155">
        <v>7</v>
      </c>
      <c r="Q173" s="170" t="s">
        <v>136</v>
      </c>
      <c r="R173" s="170">
        <v>5</v>
      </c>
      <c r="T173" s="170" t="s">
        <v>136</v>
      </c>
      <c r="U173" s="170">
        <v>7</v>
      </c>
    </row>
    <row r="174" spans="2:24" x14ac:dyDescent="0.25">
      <c r="K174" s="155" t="s">
        <v>138</v>
      </c>
      <c r="L174" s="155">
        <v>7</v>
      </c>
      <c r="N174" s="171" t="s">
        <v>138</v>
      </c>
      <c r="O174" s="171">
        <v>6</v>
      </c>
      <c r="Q174" s="170" t="s">
        <v>138</v>
      </c>
      <c r="R174" s="170">
        <v>10</v>
      </c>
      <c r="T174" s="170" t="s">
        <v>138</v>
      </c>
      <c r="U174" s="170">
        <v>10</v>
      </c>
    </row>
    <row r="175" spans="2:24" x14ac:dyDescent="0.25">
      <c r="K175" s="155" t="s">
        <v>140</v>
      </c>
      <c r="L175" s="155">
        <v>10</v>
      </c>
      <c r="N175" s="155" t="s">
        <v>140</v>
      </c>
      <c r="O175" s="155">
        <v>9</v>
      </c>
    </row>
    <row r="177" spans="2:15" ht="26.25" x14ac:dyDescent="0.25">
      <c r="B177" s="153" t="s">
        <v>177</v>
      </c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</row>
    <row r="179" spans="2:15" x14ac:dyDescent="0.25">
      <c r="B179" s="154" t="s">
        <v>133</v>
      </c>
      <c r="C179" s="154">
        <v>1</v>
      </c>
      <c r="D179" s="2"/>
      <c r="E179" s="154" t="s">
        <v>133</v>
      </c>
      <c r="F179" s="154">
        <v>2</v>
      </c>
      <c r="H179" s="154" t="s">
        <v>133</v>
      </c>
      <c r="I179" s="154">
        <v>3</v>
      </c>
      <c r="K179" s="155" t="s">
        <v>133</v>
      </c>
      <c r="L179" s="155">
        <v>1</v>
      </c>
      <c r="M179" s="2"/>
      <c r="N179" s="155" t="s">
        <v>133</v>
      </c>
      <c r="O179" s="155">
        <v>2</v>
      </c>
    </row>
    <row r="180" spans="2:15" x14ac:dyDescent="0.25">
      <c r="B180" s="154" t="s">
        <v>134</v>
      </c>
      <c r="C180" s="154">
        <v>3</v>
      </c>
      <c r="D180" s="2"/>
      <c r="E180" s="154" t="s">
        <v>134</v>
      </c>
      <c r="F180" s="154">
        <v>4</v>
      </c>
      <c r="H180" s="154" t="s">
        <v>134</v>
      </c>
      <c r="I180" s="154">
        <v>4</v>
      </c>
      <c r="K180" s="155" t="s">
        <v>134</v>
      </c>
      <c r="L180" s="155">
        <v>4</v>
      </c>
      <c r="M180" s="2"/>
      <c r="N180" s="155" t="s">
        <v>134</v>
      </c>
      <c r="O180" s="155">
        <v>1</v>
      </c>
    </row>
    <row r="181" spans="2:15" x14ac:dyDescent="0.25">
      <c r="B181" s="154" t="s">
        <v>162</v>
      </c>
      <c r="C181" s="154">
        <v>2</v>
      </c>
      <c r="D181" s="2"/>
      <c r="E181" s="154" t="s">
        <v>162</v>
      </c>
      <c r="F181" s="154">
        <v>1</v>
      </c>
      <c r="H181" s="154" t="s">
        <v>136</v>
      </c>
      <c r="I181" s="154">
        <v>5</v>
      </c>
      <c r="K181" s="155" t="s">
        <v>136</v>
      </c>
      <c r="L181" s="155">
        <v>5</v>
      </c>
      <c r="M181" s="2"/>
      <c r="N181" s="155" t="s">
        <v>136</v>
      </c>
      <c r="O181" s="155">
        <v>6</v>
      </c>
    </row>
    <row r="182" spans="2:15" x14ac:dyDescent="0.25">
      <c r="B182" s="154" t="s">
        <v>138</v>
      </c>
      <c r="C182" s="154">
        <v>6</v>
      </c>
      <c r="D182" s="2"/>
      <c r="E182" s="154" t="s">
        <v>138</v>
      </c>
      <c r="F182" s="154">
        <v>7</v>
      </c>
      <c r="H182" s="154" t="s">
        <v>138</v>
      </c>
      <c r="I182" s="154">
        <v>8</v>
      </c>
      <c r="K182" s="155" t="s">
        <v>138</v>
      </c>
      <c r="L182" s="155">
        <v>8</v>
      </c>
      <c r="M182" s="2"/>
      <c r="N182" s="155" t="s">
        <v>138</v>
      </c>
      <c r="O182" s="155">
        <v>5</v>
      </c>
    </row>
    <row r="183" spans="2:15" x14ac:dyDescent="0.25">
      <c r="B183" s="154" t="s">
        <v>140</v>
      </c>
      <c r="C183" s="154">
        <v>8</v>
      </c>
      <c r="D183" s="2"/>
      <c r="E183" s="154" t="s">
        <v>140</v>
      </c>
      <c r="F183" s="154">
        <v>6</v>
      </c>
      <c r="H183" s="154" t="s">
        <v>140</v>
      </c>
      <c r="I183" s="154">
        <v>7</v>
      </c>
      <c r="K183" s="155" t="s">
        <v>140</v>
      </c>
      <c r="L183" s="155">
        <v>9</v>
      </c>
      <c r="M183" s="2"/>
      <c r="N183" s="155" t="s">
        <v>140</v>
      </c>
      <c r="O183" s="155">
        <v>9</v>
      </c>
    </row>
    <row r="184" spans="2:15" x14ac:dyDescent="0.25">
      <c r="B184" s="154" t="s">
        <v>178</v>
      </c>
      <c r="C184" s="154">
        <v>5</v>
      </c>
      <c r="D184" s="2"/>
      <c r="E184" s="154" t="s">
        <v>141</v>
      </c>
      <c r="F184" s="154">
        <v>9</v>
      </c>
      <c r="H184" s="154" t="s">
        <v>141</v>
      </c>
      <c r="I184" s="154">
        <v>10</v>
      </c>
      <c r="K184" s="155" t="s">
        <v>141</v>
      </c>
      <c r="L184" s="155">
        <v>10</v>
      </c>
    </row>
    <row r="185" spans="2:15" x14ac:dyDescent="0.25">
      <c r="B185" s="154" t="s">
        <v>142</v>
      </c>
      <c r="C185" s="154">
        <v>10</v>
      </c>
      <c r="D185" s="2"/>
      <c r="E185" s="154" t="s">
        <v>145</v>
      </c>
      <c r="F185" s="154">
        <v>11</v>
      </c>
      <c r="H185" s="154" t="s">
        <v>142</v>
      </c>
      <c r="I185" s="154">
        <v>9</v>
      </c>
    </row>
    <row r="187" spans="2:15" x14ac:dyDescent="0.25">
      <c r="K187" s="155" t="s">
        <v>133</v>
      </c>
      <c r="L187" s="155">
        <v>4</v>
      </c>
      <c r="N187" s="155" t="s">
        <v>133</v>
      </c>
      <c r="O187" s="155">
        <v>3</v>
      </c>
    </row>
    <row r="188" spans="2:15" x14ac:dyDescent="0.25">
      <c r="K188" s="155" t="s">
        <v>134</v>
      </c>
      <c r="L188" s="155">
        <v>3</v>
      </c>
      <c r="N188" s="155" t="s">
        <v>134</v>
      </c>
      <c r="O188" s="155">
        <v>2</v>
      </c>
    </row>
    <row r="189" spans="2:15" x14ac:dyDescent="0.25">
      <c r="K189" s="155" t="s">
        <v>136</v>
      </c>
      <c r="L189" s="155">
        <v>8</v>
      </c>
      <c r="N189" s="155" t="s">
        <v>136</v>
      </c>
      <c r="O189" s="155">
        <v>7</v>
      </c>
    </row>
    <row r="190" spans="2:15" x14ac:dyDescent="0.25">
      <c r="K190" s="155" t="s">
        <v>138</v>
      </c>
      <c r="L190" s="155">
        <v>7</v>
      </c>
      <c r="N190" s="155" t="s">
        <v>138</v>
      </c>
      <c r="O190" s="155">
        <v>6</v>
      </c>
    </row>
    <row r="191" spans="2:15" x14ac:dyDescent="0.25">
      <c r="K191" s="155" t="s">
        <v>140</v>
      </c>
      <c r="L191" s="155">
        <v>10</v>
      </c>
      <c r="N191" s="155" t="s">
        <v>145</v>
      </c>
      <c r="O191" s="155"/>
    </row>
    <row r="194" spans="2:15" ht="26.25" x14ac:dyDescent="0.25">
      <c r="B194" s="153" t="s">
        <v>179</v>
      </c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</row>
    <row r="196" spans="2:15" x14ac:dyDescent="0.25">
      <c r="B196" s="154" t="s">
        <v>133</v>
      </c>
      <c r="C196" s="154">
        <v>1</v>
      </c>
      <c r="D196" s="2"/>
      <c r="E196" s="154" t="s">
        <v>133</v>
      </c>
      <c r="F196" s="154">
        <v>2</v>
      </c>
      <c r="H196" s="154" t="s">
        <v>133</v>
      </c>
      <c r="I196" s="154">
        <v>3</v>
      </c>
      <c r="K196" s="155" t="s">
        <v>133</v>
      </c>
      <c r="L196" s="155">
        <v>1</v>
      </c>
      <c r="M196" s="2"/>
      <c r="N196" s="155" t="s">
        <v>133</v>
      </c>
      <c r="O196" s="155">
        <v>2</v>
      </c>
    </row>
    <row r="197" spans="2:15" x14ac:dyDescent="0.25">
      <c r="B197" s="154" t="s">
        <v>134</v>
      </c>
      <c r="C197" s="154">
        <v>3</v>
      </c>
      <c r="D197" s="2"/>
      <c r="E197" s="154" t="s">
        <v>134</v>
      </c>
      <c r="F197" s="154">
        <v>4</v>
      </c>
      <c r="H197" s="154" t="s">
        <v>134</v>
      </c>
      <c r="I197" s="154">
        <v>4</v>
      </c>
      <c r="K197" s="155" t="s">
        <v>134</v>
      </c>
      <c r="L197" s="155">
        <v>4</v>
      </c>
      <c r="M197" s="2"/>
      <c r="N197" s="155" t="s">
        <v>134</v>
      </c>
      <c r="O197" s="155">
        <v>1</v>
      </c>
    </row>
    <row r="198" spans="2:15" x14ac:dyDescent="0.25">
      <c r="B198" s="154" t="s">
        <v>158</v>
      </c>
      <c r="C198" s="154">
        <v>2</v>
      </c>
      <c r="D198" s="2"/>
      <c r="E198" s="154" t="s">
        <v>159</v>
      </c>
      <c r="F198" s="154">
        <v>1</v>
      </c>
      <c r="H198" s="154" t="s">
        <v>136</v>
      </c>
      <c r="I198" s="154">
        <v>5</v>
      </c>
      <c r="K198" s="155" t="s">
        <v>136</v>
      </c>
      <c r="L198" s="155">
        <v>5</v>
      </c>
      <c r="M198" s="2"/>
      <c r="N198" s="155" t="s">
        <v>136</v>
      </c>
      <c r="O198" s="155">
        <v>6</v>
      </c>
    </row>
    <row r="199" spans="2:15" x14ac:dyDescent="0.25">
      <c r="B199" s="154" t="s">
        <v>138</v>
      </c>
      <c r="C199" s="154">
        <v>6</v>
      </c>
      <c r="D199" s="2"/>
      <c r="E199" s="154" t="s">
        <v>138</v>
      </c>
      <c r="F199" s="154">
        <v>7</v>
      </c>
      <c r="H199" s="154" t="s">
        <v>138</v>
      </c>
      <c r="I199" s="154">
        <v>8</v>
      </c>
      <c r="K199" s="155" t="s">
        <v>138</v>
      </c>
      <c r="L199" s="155">
        <v>8</v>
      </c>
      <c r="M199" s="2"/>
      <c r="N199" s="155" t="s">
        <v>138</v>
      </c>
      <c r="O199" s="155">
        <v>5</v>
      </c>
    </row>
    <row r="200" spans="2:15" x14ac:dyDescent="0.25">
      <c r="B200" s="154" t="s">
        <v>140</v>
      </c>
      <c r="C200" s="154">
        <v>8</v>
      </c>
      <c r="D200" s="2"/>
      <c r="E200" s="154" t="s">
        <v>140</v>
      </c>
      <c r="F200" s="154">
        <v>6</v>
      </c>
      <c r="H200" s="154" t="s">
        <v>140</v>
      </c>
      <c r="I200" s="154">
        <v>7</v>
      </c>
      <c r="K200" s="155" t="s">
        <v>140</v>
      </c>
      <c r="L200" s="155">
        <v>9</v>
      </c>
      <c r="M200" s="2"/>
      <c r="N200" s="155" t="s">
        <v>140</v>
      </c>
      <c r="O200" s="155">
        <v>11</v>
      </c>
    </row>
    <row r="201" spans="2:15" x14ac:dyDescent="0.25">
      <c r="B201" s="154" t="s">
        <v>172</v>
      </c>
      <c r="C201" s="154">
        <v>5</v>
      </c>
      <c r="D201" s="2"/>
      <c r="E201" s="154" t="s">
        <v>141</v>
      </c>
      <c r="F201" s="154">
        <v>9</v>
      </c>
      <c r="H201" s="154" t="s">
        <v>141</v>
      </c>
      <c r="I201" s="154">
        <v>10</v>
      </c>
      <c r="K201" s="155" t="s">
        <v>141</v>
      </c>
      <c r="L201" s="155">
        <v>10</v>
      </c>
      <c r="M201" s="2"/>
      <c r="N201" s="155" t="s">
        <v>141</v>
      </c>
      <c r="O201" s="155">
        <v>9</v>
      </c>
    </row>
    <row r="202" spans="2:15" x14ac:dyDescent="0.25">
      <c r="B202" s="154" t="s">
        <v>142</v>
      </c>
      <c r="C202" s="154">
        <v>10</v>
      </c>
      <c r="D202" s="2"/>
      <c r="E202" s="154" t="s">
        <v>142</v>
      </c>
      <c r="F202" s="154">
        <v>11</v>
      </c>
      <c r="H202" s="154" t="s">
        <v>142</v>
      </c>
      <c r="I202" s="154">
        <v>11</v>
      </c>
    </row>
    <row r="203" spans="2:15" x14ac:dyDescent="0.25">
      <c r="B203" s="154" t="s">
        <v>143</v>
      </c>
      <c r="C203" s="154">
        <v>9</v>
      </c>
      <c r="D203" s="2"/>
    </row>
    <row r="204" spans="2:15" x14ac:dyDescent="0.25">
      <c r="K204" s="155" t="s">
        <v>133</v>
      </c>
      <c r="L204" s="155">
        <v>4</v>
      </c>
      <c r="M204" s="2"/>
      <c r="N204" s="155" t="s">
        <v>133</v>
      </c>
      <c r="O204" s="155">
        <v>3</v>
      </c>
    </row>
    <row r="205" spans="2:15" x14ac:dyDescent="0.25">
      <c r="K205" s="155" t="s">
        <v>134</v>
      </c>
      <c r="L205" s="155">
        <v>3</v>
      </c>
      <c r="M205" s="2"/>
      <c r="N205" s="155" t="s">
        <v>134</v>
      </c>
      <c r="O205" s="155">
        <v>2</v>
      </c>
    </row>
    <row r="206" spans="2:15" x14ac:dyDescent="0.25">
      <c r="K206" s="155" t="s">
        <v>136</v>
      </c>
      <c r="L206" s="155">
        <v>8</v>
      </c>
      <c r="M206" s="2"/>
      <c r="N206" s="155" t="s">
        <v>136</v>
      </c>
      <c r="O206" s="155">
        <v>7</v>
      </c>
    </row>
    <row r="207" spans="2:15" x14ac:dyDescent="0.25">
      <c r="K207" s="155" t="s">
        <v>138</v>
      </c>
      <c r="L207" s="155">
        <v>7</v>
      </c>
      <c r="M207" s="2"/>
      <c r="N207" s="155" t="s">
        <v>138</v>
      </c>
      <c r="O207" s="155">
        <v>6</v>
      </c>
    </row>
    <row r="208" spans="2:15" x14ac:dyDescent="0.25">
      <c r="K208" s="155" t="s">
        <v>140</v>
      </c>
      <c r="L208" s="155">
        <v>11</v>
      </c>
      <c r="M208" s="2"/>
      <c r="N208" s="155" t="s">
        <v>140</v>
      </c>
      <c r="O208" s="155">
        <v>10</v>
      </c>
    </row>
    <row r="210" spans="2:15" ht="26.25" x14ac:dyDescent="0.25">
      <c r="B210" s="153" t="s">
        <v>180</v>
      </c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154" t="s">
        <v>133</v>
      </c>
      <c r="C212" s="154">
        <v>1</v>
      </c>
      <c r="D212" s="2"/>
      <c r="E212" s="154" t="s">
        <v>133</v>
      </c>
      <c r="F212" s="154">
        <v>2</v>
      </c>
      <c r="H212" s="154" t="s">
        <v>133</v>
      </c>
      <c r="I212" s="154">
        <v>3</v>
      </c>
      <c r="K212" s="155" t="s">
        <v>133</v>
      </c>
      <c r="L212" s="155">
        <v>1</v>
      </c>
      <c r="M212" s="2"/>
      <c r="N212" s="155" t="s">
        <v>133</v>
      </c>
      <c r="O212" s="155">
        <v>2</v>
      </c>
    </row>
    <row r="213" spans="2:15" x14ac:dyDescent="0.25">
      <c r="B213" s="154" t="s">
        <v>134</v>
      </c>
      <c r="C213" s="154">
        <v>3</v>
      </c>
      <c r="D213" s="2"/>
      <c r="E213" s="154" t="s">
        <v>134</v>
      </c>
      <c r="F213" s="154">
        <v>4</v>
      </c>
      <c r="H213" s="154" t="s">
        <v>134</v>
      </c>
      <c r="I213" s="154">
        <v>4</v>
      </c>
      <c r="K213" s="155" t="s">
        <v>134</v>
      </c>
      <c r="L213" s="155">
        <v>4</v>
      </c>
      <c r="M213" s="2"/>
      <c r="N213" s="155" t="s">
        <v>134</v>
      </c>
      <c r="O213" s="155">
        <v>1</v>
      </c>
    </row>
    <row r="214" spans="2:15" x14ac:dyDescent="0.25">
      <c r="B214" s="154" t="s">
        <v>158</v>
      </c>
      <c r="C214" s="154">
        <v>2</v>
      </c>
      <c r="D214" s="2"/>
      <c r="E214" s="154" t="s">
        <v>159</v>
      </c>
      <c r="F214" s="154">
        <v>1</v>
      </c>
      <c r="H214" s="154" t="s">
        <v>136</v>
      </c>
      <c r="I214" s="154">
        <v>5</v>
      </c>
      <c r="K214" s="155" t="s">
        <v>158</v>
      </c>
      <c r="L214" s="155">
        <v>5</v>
      </c>
      <c r="M214" s="2"/>
      <c r="N214" s="155" t="s">
        <v>159</v>
      </c>
      <c r="O214" s="155">
        <v>6</v>
      </c>
    </row>
    <row r="215" spans="2:15" x14ac:dyDescent="0.25">
      <c r="B215" s="154" t="s">
        <v>138</v>
      </c>
      <c r="C215" s="154">
        <v>6</v>
      </c>
      <c r="D215" s="2"/>
      <c r="E215" s="154" t="s">
        <v>138</v>
      </c>
      <c r="F215" s="154">
        <v>7</v>
      </c>
      <c r="H215" s="154" t="s">
        <v>138</v>
      </c>
      <c r="I215" s="154">
        <v>8</v>
      </c>
      <c r="K215" s="155" t="s">
        <v>138</v>
      </c>
      <c r="L215" s="155">
        <v>8</v>
      </c>
      <c r="M215" s="2"/>
      <c r="N215" s="155" t="s">
        <v>138</v>
      </c>
      <c r="O215" s="155">
        <v>5</v>
      </c>
    </row>
    <row r="216" spans="2:15" x14ac:dyDescent="0.25">
      <c r="B216" s="154" t="s">
        <v>140</v>
      </c>
      <c r="C216" s="154">
        <v>8</v>
      </c>
      <c r="D216" s="2"/>
      <c r="E216" s="154" t="s">
        <v>140</v>
      </c>
      <c r="F216" s="154">
        <v>6</v>
      </c>
      <c r="H216" s="154" t="s">
        <v>140</v>
      </c>
      <c r="I216" s="154">
        <v>7</v>
      </c>
      <c r="K216" s="155" t="s">
        <v>140</v>
      </c>
      <c r="L216" s="155">
        <v>9</v>
      </c>
      <c r="M216" s="2"/>
      <c r="N216" s="155" t="s">
        <v>140</v>
      </c>
      <c r="O216" s="155">
        <v>10</v>
      </c>
    </row>
    <row r="217" spans="2:15" x14ac:dyDescent="0.25">
      <c r="B217" s="154" t="s">
        <v>172</v>
      </c>
      <c r="C217" s="154">
        <v>5</v>
      </c>
      <c r="D217" s="2"/>
      <c r="E217" s="154" t="s">
        <v>141</v>
      </c>
      <c r="F217" s="154">
        <v>9</v>
      </c>
      <c r="H217" s="154" t="s">
        <v>141</v>
      </c>
      <c r="I217" s="154">
        <v>10</v>
      </c>
      <c r="K217" s="155" t="s">
        <v>172</v>
      </c>
      <c r="L217" s="155">
        <v>11</v>
      </c>
      <c r="M217" s="2"/>
      <c r="N217" s="155" t="s">
        <v>141</v>
      </c>
      <c r="O217" s="155">
        <v>9</v>
      </c>
    </row>
    <row r="218" spans="2:15" x14ac:dyDescent="0.25">
      <c r="B218" s="154" t="s">
        <v>142</v>
      </c>
      <c r="C218" s="154">
        <v>11</v>
      </c>
      <c r="D218" s="2"/>
      <c r="E218" s="154" t="s">
        <v>142</v>
      </c>
      <c r="F218" s="154">
        <v>11</v>
      </c>
      <c r="H218" s="154" t="s">
        <v>142</v>
      </c>
      <c r="I218" s="154">
        <v>9</v>
      </c>
    </row>
    <row r="219" spans="2:15" x14ac:dyDescent="0.25">
      <c r="B219" s="154" t="s">
        <v>145</v>
      </c>
      <c r="C219" s="154">
        <v>12</v>
      </c>
      <c r="D219" s="2"/>
      <c r="E219" s="154" t="s">
        <v>143</v>
      </c>
      <c r="F219" s="154">
        <v>10</v>
      </c>
      <c r="H219" s="172"/>
      <c r="I219" s="172"/>
    </row>
    <row r="220" spans="2:15" x14ac:dyDescent="0.25">
      <c r="K220" s="155" t="s">
        <v>133</v>
      </c>
      <c r="L220" s="155">
        <v>4</v>
      </c>
      <c r="M220" s="2"/>
      <c r="N220" s="155" t="s">
        <v>133</v>
      </c>
      <c r="O220" s="155">
        <v>3</v>
      </c>
    </row>
    <row r="221" spans="2:15" x14ac:dyDescent="0.25">
      <c r="K221" s="155" t="s">
        <v>134</v>
      </c>
      <c r="L221" s="155">
        <v>3</v>
      </c>
      <c r="M221" s="2"/>
      <c r="N221" s="155" t="s">
        <v>134</v>
      </c>
      <c r="O221" s="155">
        <v>2</v>
      </c>
    </row>
    <row r="222" spans="2:15" x14ac:dyDescent="0.25">
      <c r="K222" s="155" t="s">
        <v>158</v>
      </c>
      <c r="L222" s="155">
        <v>8</v>
      </c>
      <c r="M222" s="2"/>
      <c r="N222" s="155" t="s">
        <v>159</v>
      </c>
      <c r="O222" s="155">
        <v>7</v>
      </c>
    </row>
    <row r="223" spans="2:15" x14ac:dyDescent="0.25">
      <c r="K223" s="155" t="s">
        <v>138</v>
      </c>
      <c r="L223" s="155">
        <v>7</v>
      </c>
      <c r="M223" s="2"/>
      <c r="N223" s="155" t="s">
        <v>138</v>
      </c>
      <c r="O223" s="155">
        <v>6</v>
      </c>
    </row>
    <row r="224" spans="2:15" x14ac:dyDescent="0.25">
      <c r="K224" s="155" t="s">
        <v>140</v>
      </c>
      <c r="L224" s="155">
        <v>11</v>
      </c>
      <c r="M224" s="2"/>
      <c r="N224" s="155" t="s">
        <v>140</v>
      </c>
      <c r="O224" s="155">
        <v>10</v>
      </c>
    </row>
    <row r="225" spans="2:15" x14ac:dyDescent="0.25">
      <c r="K225" s="155" t="s">
        <v>170</v>
      </c>
      <c r="L225" s="155">
        <v>12</v>
      </c>
      <c r="M225" s="2"/>
      <c r="N225" s="2"/>
      <c r="O225" s="2"/>
    </row>
    <row r="228" spans="2:15" ht="26.25" x14ac:dyDescent="0.25">
      <c r="B228" s="156" t="s">
        <v>181</v>
      </c>
      <c r="C228" s="157"/>
      <c r="D228" s="157"/>
      <c r="E228" s="157"/>
      <c r="F228" s="157"/>
      <c r="G228" s="157"/>
      <c r="H228" s="157"/>
      <c r="I228" s="157"/>
      <c r="J228" s="157"/>
      <c r="K228" s="157"/>
      <c r="L228" s="157"/>
      <c r="M228" s="157"/>
      <c r="N228" s="157"/>
      <c r="O228" s="158"/>
    </row>
    <row r="230" spans="2:15" x14ac:dyDescent="0.25">
      <c r="B230" s="154" t="s">
        <v>133</v>
      </c>
      <c r="C230" s="154">
        <v>1</v>
      </c>
      <c r="D230" s="2"/>
      <c r="E230" s="154" t="s">
        <v>133</v>
      </c>
      <c r="F230" s="154">
        <v>2</v>
      </c>
      <c r="H230" s="154" t="s">
        <v>133</v>
      </c>
      <c r="I230" s="154">
        <v>3</v>
      </c>
      <c r="K230" s="155" t="s">
        <v>133</v>
      </c>
      <c r="L230" s="155">
        <v>1</v>
      </c>
      <c r="M230" s="2"/>
      <c r="N230" s="155" t="s">
        <v>133</v>
      </c>
      <c r="O230" s="155">
        <v>2</v>
      </c>
    </row>
    <row r="231" spans="2:15" x14ac:dyDescent="0.25">
      <c r="B231" s="154" t="s">
        <v>134</v>
      </c>
      <c r="C231" s="154">
        <v>3</v>
      </c>
      <c r="D231" s="2"/>
      <c r="E231" s="154" t="s">
        <v>134</v>
      </c>
      <c r="F231" s="154">
        <v>4</v>
      </c>
      <c r="H231" s="154" t="s">
        <v>134</v>
      </c>
      <c r="I231" s="154">
        <v>4</v>
      </c>
      <c r="K231" s="155" t="s">
        <v>134</v>
      </c>
      <c r="L231" s="155">
        <v>4</v>
      </c>
      <c r="M231" s="2"/>
      <c r="N231" s="155" t="s">
        <v>134</v>
      </c>
      <c r="O231" s="155">
        <v>1</v>
      </c>
    </row>
    <row r="232" spans="2:15" x14ac:dyDescent="0.25">
      <c r="B232" s="154" t="s">
        <v>158</v>
      </c>
      <c r="C232" s="154">
        <v>2</v>
      </c>
      <c r="D232" s="2"/>
      <c r="E232" s="154" t="s">
        <v>159</v>
      </c>
      <c r="F232" s="154">
        <v>1</v>
      </c>
      <c r="H232" s="154" t="s">
        <v>136</v>
      </c>
      <c r="I232" s="154">
        <v>5</v>
      </c>
      <c r="K232" s="155" t="s">
        <v>136</v>
      </c>
      <c r="L232" s="155">
        <v>5</v>
      </c>
      <c r="M232" s="2"/>
      <c r="N232" s="155" t="s">
        <v>136</v>
      </c>
      <c r="O232" s="155">
        <v>6</v>
      </c>
    </row>
    <row r="233" spans="2:15" x14ac:dyDescent="0.25">
      <c r="B233" s="154" t="s">
        <v>138</v>
      </c>
      <c r="C233" s="154">
        <v>6</v>
      </c>
      <c r="D233" s="2"/>
      <c r="E233" s="154" t="s">
        <v>138</v>
      </c>
      <c r="F233" s="154">
        <v>7</v>
      </c>
      <c r="H233" s="154" t="s">
        <v>138</v>
      </c>
      <c r="I233" s="154">
        <v>8</v>
      </c>
      <c r="K233" s="155" t="s">
        <v>138</v>
      </c>
      <c r="L233" s="155">
        <v>8</v>
      </c>
      <c r="M233" s="2"/>
      <c r="N233" s="155" t="s">
        <v>138</v>
      </c>
      <c r="O233" s="155">
        <v>5</v>
      </c>
    </row>
    <row r="234" spans="2:15" x14ac:dyDescent="0.25">
      <c r="B234" s="154" t="s">
        <v>140</v>
      </c>
      <c r="C234" s="154">
        <v>8</v>
      </c>
      <c r="D234" s="2"/>
      <c r="E234" s="154" t="s">
        <v>140</v>
      </c>
      <c r="F234" s="154">
        <v>6</v>
      </c>
      <c r="H234" s="154" t="s">
        <v>140</v>
      </c>
      <c r="I234" s="154">
        <v>7</v>
      </c>
      <c r="K234" s="155" t="s">
        <v>140</v>
      </c>
      <c r="L234" s="155">
        <v>9</v>
      </c>
      <c r="M234" s="2"/>
      <c r="N234" s="155" t="s">
        <v>140</v>
      </c>
      <c r="O234" s="155">
        <v>10</v>
      </c>
    </row>
    <row r="235" spans="2:15" x14ac:dyDescent="0.25">
      <c r="B235" s="154" t="s">
        <v>172</v>
      </c>
      <c r="C235" s="154">
        <v>5</v>
      </c>
      <c r="D235" s="2"/>
      <c r="E235" s="154" t="s">
        <v>141</v>
      </c>
      <c r="F235" s="154">
        <v>9</v>
      </c>
      <c r="H235" s="154" t="s">
        <v>141</v>
      </c>
      <c r="I235" s="154">
        <v>10</v>
      </c>
      <c r="K235" s="155" t="s">
        <v>141</v>
      </c>
      <c r="L235" s="155">
        <v>12</v>
      </c>
      <c r="M235" s="2"/>
      <c r="N235" s="155" t="s">
        <v>141</v>
      </c>
      <c r="O235" s="155">
        <v>9</v>
      </c>
    </row>
    <row r="236" spans="2:15" x14ac:dyDescent="0.25">
      <c r="B236" s="154" t="s">
        <v>142</v>
      </c>
      <c r="C236" s="154">
        <v>12</v>
      </c>
      <c r="D236" s="2"/>
      <c r="E236" s="154" t="s">
        <v>142</v>
      </c>
      <c r="F236" s="154">
        <v>12</v>
      </c>
      <c r="H236" s="154" t="s">
        <v>142</v>
      </c>
      <c r="I236" s="154">
        <v>11</v>
      </c>
    </row>
    <row r="237" spans="2:15" x14ac:dyDescent="0.25">
      <c r="B237" s="154" t="s">
        <v>143</v>
      </c>
      <c r="C237" s="154">
        <v>11</v>
      </c>
      <c r="D237" s="2"/>
      <c r="E237" s="154" t="s">
        <v>143</v>
      </c>
      <c r="F237" s="154">
        <v>10</v>
      </c>
      <c r="H237" s="154" t="s">
        <v>143</v>
      </c>
      <c r="I237" s="154">
        <v>9</v>
      </c>
    </row>
    <row r="239" spans="2:15" x14ac:dyDescent="0.25">
      <c r="K239" s="155" t="s">
        <v>133</v>
      </c>
      <c r="L239" s="155">
        <v>4</v>
      </c>
      <c r="M239" s="2"/>
      <c r="N239" s="155" t="s">
        <v>133</v>
      </c>
      <c r="O239" s="155">
        <v>3</v>
      </c>
    </row>
    <row r="240" spans="2:15" x14ac:dyDescent="0.25">
      <c r="K240" s="155" t="s">
        <v>134</v>
      </c>
      <c r="L240" s="155">
        <v>3</v>
      </c>
      <c r="M240" s="2"/>
      <c r="N240" s="155" t="s">
        <v>134</v>
      </c>
      <c r="O240" s="155">
        <v>2</v>
      </c>
    </row>
    <row r="241" spans="2:30" x14ac:dyDescent="0.25">
      <c r="K241" s="155" t="s">
        <v>136</v>
      </c>
      <c r="L241" s="155">
        <v>8</v>
      </c>
      <c r="M241" s="2"/>
      <c r="N241" s="155" t="s">
        <v>136</v>
      </c>
      <c r="O241" s="155">
        <v>7</v>
      </c>
    </row>
    <row r="242" spans="2:30" x14ac:dyDescent="0.25">
      <c r="K242" s="155" t="s">
        <v>138</v>
      </c>
      <c r="L242" s="155">
        <v>7</v>
      </c>
      <c r="M242" s="2"/>
      <c r="N242" s="155" t="s">
        <v>138</v>
      </c>
      <c r="O242" s="155">
        <v>6</v>
      </c>
    </row>
    <row r="243" spans="2:30" x14ac:dyDescent="0.25">
      <c r="K243" s="155" t="s">
        <v>140</v>
      </c>
      <c r="L243" s="155">
        <v>12</v>
      </c>
      <c r="M243" s="2"/>
      <c r="N243" s="155" t="s">
        <v>140</v>
      </c>
      <c r="O243" s="155">
        <v>11</v>
      </c>
    </row>
    <row r="244" spans="2:30" x14ac:dyDescent="0.25">
      <c r="K244" s="155" t="s">
        <v>141</v>
      </c>
      <c r="L244" s="155">
        <v>11</v>
      </c>
      <c r="M244" s="2"/>
      <c r="N244" s="155" t="s">
        <v>141</v>
      </c>
      <c r="O244" s="155">
        <v>10</v>
      </c>
    </row>
    <row r="246" spans="2:30" ht="26.25" x14ac:dyDescent="0.25">
      <c r="B246" s="153" t="s">
        <v>182</v>
      </c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155" t="s">
        <v>133</v>
      </c>
      <c r="C248" s="155">
        <v>1</v>
      </c>
      <c r="D248" s="2"/>
      <c r="E248" s="155" t="s">
        <v>133</v>
      </c>
      <c r="F248" s="155">
        <v>2</v>
      </c>
      <c r="H248" s="155" t="s">
        <v>133</v>
      </c>
      <c r="I248" s="155">
        <v>3</v>
      </c>
      <c r="J248" s="2"/>
      <c r="K248" s="155" t="s">
        <v>133</v>
      </c>
      <c r="L248" s="155">
        <v>4</v>
      </c>
      <c r="N248" s="170" t="s">
        <v>133</v>
      </c>
      <c r="O248" s="170">
        <v>1</v>
      </c>
      <c r="P248" s="2"/>
      <c r="Q248" s="170" t="s">
        <v>133</v>
      </c>
      <c r="R248" s="170">
        <v>2</v>
      </c>
      <c r="T248" s="170" t="s">
        <v>133</v>
      </c>
      <c r="U248" s="170">
        <v>3</v>
      </c>
      <c r="W248" s="173" t="s">
        <v>133</v>
      </c>
      <c r="X248" s="173">
        <v>1</v>
      </c>
      <c r="Y248" s="2"/>
      <c r="Z248" s="173" t="s">
        <v>133</v>
      </c>
      <c r="AA248" s="173">
        <v>2</v>
      </c>
      <c r="AC248" s="173" t="s">
        <v>133</v>
      </c>
      <c r="AD248" s="173">
        <v>3</v>
      </c>
    </row>
    <row r="249" spans="2:30" x14ac:dyDescent="0.25">
      <c r="B249" s="155" t="s">
        <v>134</v>
      </c>
      <c r="C249" s="155">
        <v>3</v>
      </c>
      <c r="D249" s="2"/>
      <c r="E249" s="155" t="s">
        <v>134</v>
      </c>
      <c r="F249" s="155">
        <v>4</v>
      </c>
      <c r="H249" s="155" t="s">
        <v>134</v>
      </c>
      <c r="I249" s="155">
        <v>2</v>
      </c>
      <c r="J249" s="2"/>
      <c r="K249" s="155" t="s">
        <v>134</v>
      </c>
      <c r="L249" s="155">
        <v>1</v>
      </c>
      <c r="N249" s="170" t="s">
        <v>175</v>
      </c>
      <c r="O249" s="170">
        <v>2</v>
      </c>
      <c r="P249" s="2"/>
      <c r="Q249" s="170" t="s">
        <v>175</v>
      </c>
      <c r="R249" s="170">
        <v>3</v>
      </c>
      <c r="T249" s="170" t="s">
        <v>134</v>
      </c>
      <c r="U249" s="170">
        <v>5</v>
      </c>
      <c r="W249" s="173" t="s">
        <v>134</v>
      </c>
      <c r="X249" s="173">
        <v>5</v>
      </c>
      <c r="Y249" s="2"/>
      <c r="Z249" s="173" t="s">
        <v>175</v>
      </c>
      <c r="AA249" s="173">
        <v>3</v>
      </c>
      <c r="AC249" s="173" t="s">
        <v>134</v>
      </c>
      <c r="AD249" s="173">
        <v>6</v>
      </c>
    </row>
    <row r="250" spans="2:30" x14ac:dyDescent="0.25">
      <c r="B250" s="155" t="s">
        <v>136</v>
      </c>
      <c r="C250" s="155">
        <v>5</v>
      </c>
      <c r="D250" s="2"/>
      <c r="E250" s="155" t="s">
        <v>136</v>
      </c>
      <c r="F250" s="155">
        <v>6</v>
      </c>
      <c r="H250" s="155" t="s">
        <v>136</v>
      </c>
      <c r="I250" s="155">
        <v>7</v>
      </c>
      <c r="J250" s="2"/>
      <c r="K250" s="155" t="s">
        <v>136</v>
      </c>
      <c r="L250" s="155">
        <v>8</v>
      </c>
      <c r="N250" s="170" t="s">
        <v>136</v>
      </c>
      <c r="O250" s="170">
        <v>7</v>
      </c>
      <c r="P250" s="2"/>
      <c r="Q250" s="170" t="s">
        <v>136</v>
      </c>
      <c r="R250" s="170">
        <v>8</v>
      </c>
      <c r="T250" s="170" t="s">
        <v>136</v>
      </c>
      <c r="U250" s="170">
        <v>6</v>
      </c>
      <c r="W250" s="173" t="s">
        <v>162</v>
      </c>
      <c r="X250" s="173">
        <v>6</v>
      </c>
      <c r="Y250" s="2"/>
      <c r="Z250" s="173" t="s">
        <v>162</v>
      </c>
      <c r="AA250" s="173">
        <v>5</v>
      </c>
      <c r="AC250" s="173" t="s">
        <v>136</v>
      </c>
      <c r="AD250" s="173">
        <v>9</v>
      </c>
    </row>
    <row r="251" spans="2:30" x14ac:dyDescent="0.25">
      <c r="B251" s="155" t="s">
        <v>138</v>
      </c>
      <c r="C251" s="155">
        <v>7</v>
      </c>
      <c r="D251" s="2"/>
      <c r="E251" s="155" t="s">
        <v>138</v>
      </c>
      <c r="F251" s="155">
        <v>8</v>
      </c>
      <c r="H251" s="155" t="s">
        <v>138</v>
      </c>
      <c r="I251" s="155">
        <v>6</v>
      </c>
      <c r="J251" s="2"/>
      <c r="K251" s="155" t="s">
        <v>138</v>
      </c>
      <c r="L251" s="155">
        <v>5</v>
      </c>
      <c r="N251" s="170" t="s">
        <v>138</v>
      </c>
      <c r="O251" s="170">
        <v>8</v>
      </c>
      <c r="P251" s="2"/>
      <c r="Q251" s="170" t="s">
        <v>138</v>
      </c>
      <c r="R251" s="170">
        <v>9</v>
      </c>
      <c r="T251" s="170" t="s">
        <v>138</v>
      </c>
      <c r="U251" s="170">
        <v>9</v>
      </c>
      <c r="W251" s="173" t="s">
        <v>138</v>
      </c>
      <c r="X251" s="173">
        <v>11</v>
      </c>
      <c r="Y251" s="2"/>
      <c r="Z251" s="173" t="s">
        <v>138</v>
      </c>
      <c r="AA251" s="173">
        <v>12</v>
      </c>
      <c r="AC251" s="173" t="s">
        <v>138</v>
      </c>
      <c r="AD251" s="173">
        <v>11</v>
      </c>
    </row>
    <row r="252" spans="2:30" x14ac:dyDescent="0.25">
      <c r="B252" s="155" t="s">
        <v>140</v>
      </c>
      <c r="C252" s="155">
        <v>9</v>
      </c>
      <c r="D252" s="2"/>
      <c r="E252" s="155" t="s">
        <v>140</v>
      </c>
      <c r="F252" s="155">
        <v>10</v>
      </c>
      <c r="H252" s="155" t="s">
        <v>140</v>
      </c>
      <c r="I252" s="155">
        <v>11</v>
      </c>
      <c r="J252" s="2"/>
      <c r="K252" s="155" t="s">
        <v>140</v>
      </c>
      <c r="L252" s="155">
        <v>12</v>
      </c>
      <c r="N252" s="170" t="s">
        <v>140</v>
      </c>
      <c r="O252" s="170">
        <v>11</v>
      </c>
      <c r="P252" s="2"/>
      <c r="Q252" s="170" t="s">
        <v>140</v>
      </c>
      <c r="R252" s="170">
        <v>12</v>
      </c>
      <c r="T252" s="170" t="s">
        <v>140</v>
      </c>
      <c r="U252" s="170">
        <v>1</v>
      </c>
      <c r="W252" s="173" t="s">
        <v>140</v>
      </c>
      <c r="X252" s="173">
        <v>12</v>
      </c>
    </row>
    <row r="253" spans="2:30" x14ac:dyDescent="0.25">
      <c r="B253" s="155" t="s">
        <v>141</v>
      </c>
      <c r="C253" s="155">
        <v>11</v>
      </c>
      <c r="D253" s="2"/>
      <c r="E253" s="155" t="s">
        <v>141</v>
      </c>
      <c r="F253" s="155">
        <v>12</v>
      </c>
      <c r="H253" s="155" t="s">
        <v>141</v>
      </c>
      <c r="I253" s="155">
        <v>10</v>
      </c>
      <c r="J253" s="2"/>
      <c r="K253" s="155" t="s">
        <v>141</v>
      </c>
      <c r="L253" s="155">
        <v>9</v>
      </c>
    </row>
    <row r="254" spans="2:30" x14ac:dyDescent="0.25">
      <c r="B254" s="155" t="s">
        <v>170</v>
      </c>
      <c r="C254" s="155">
        <v>13</v>
      </c>
      <c r="D254" s="2"/>
      <c r="E254" s="2"/>
      <c r="F254" s="2"/>
      <c r="H254" s="2"/>
      <c r="I254" s="2"/>
      <c r="J254" s="2"/>
      <c r="N254" s="170" t="s">
        <v>133</v>
      </c>
      <c r="O254" s="170">
        <v>4</v>
      </c>
      <c r="P254" s="2"/>
      <c r="Q254" s="170" t="s">
        <v>133</v>
      </c>
      <c r="R254" s="170">
        <v>1</v>
      </c>
      <c r="W254" s="173" t="s">
        <v>133</v>
      </c>
      <c r="X254" s="173">
        <v>4</v>
      </c>
      <c r="Y254" s="2"/>
      <c r="Z254" s="173" t="s">
        <v>133</v>
      </c>
      <c r="AA254" s="173">
        <v>1</v>
      </c>
      <c r="AC254" s="173" t="s">
        <v>133</v>
      </c>
      <c r="AD254" s="173">
        <v>2</v>
      </c>
    </row>
    <row r="255" spans="2:30" x14ac:dyDescent="0.25">
      <c r="N255" s="170" t="s">
        <v>134</v>
      </c>
      <c r="O255" s="170">
        <v>6</v>
      </c>
      <c r="P255" s="2"/>
      <c r="Q255" s="170" t="s">
        <v>175</v>
      </c>
      <c r="R255" s="170">
        <v>4</v>
      </c>
      <c r="W255" s="173" t="s">
        <v>134</v>
      </c>
      <c r="X255" s="173">
        <v>7</v>
      </c>
      <c r="Y255" s="2"/>
      <c r="Z255" s="173" t="s">
        <v>175</v>
      </c>
      <c r="AA255" s="173">
        <v>4</v>
      </c>
      <c r="AC255" s="173" t="s">
        <v>134</v>
      </c>
      <c r="AD255" s="173">
        <v>8</v>
      </c>
    </row>
    <row r="256" spans="2:30" x14ac:dyDescent="0.25">
      <c r="N256" s="170" t="s">
        <v>136</v>
      </c>
      <c r="O256" s="170">
        <v>5</v>
      </c>
      <c r="P256" s="2"/>
      <c r="Q256" s="170" t="s">
        <v>136</v>
      </c>
      <c r="R256" s="170">
        <v>7</v>
      </c>
      <c r="W256" s="173" t="s">
        <v>162</v>
      </c>
      <c r="X256" s="173">
        <v>8</v>
      </c>
      <c r="Y256" s="2"/>
      <c r="Z256" s="173" t="s">
        <v>162</v>
      </c>
      <c r="AA256" s="173">
        <v>7</v>
      </c>
      <c r="AC256" s="173" t="s">
        <v>136</v>
      </c>
      <c r="AD256" s="173">
        <v>10</v>
      </c>
    </row>
    <row r="257" spans="2:30" x14ac:dyDescent="0.25">
      <c r="N257" s="170" t="s">
        <v>138</v>
      </c>
      <c r="O257" s="170">
        <v>10</v>
      </c>
      <c r="P257" s="2"/>
      <c r="Q257" s="170" t="s">
        <v>138</v>
      </c>
      <c r="R257" s="170">
        <v>10</v>
      </c>
      <c r="W257" s="173" t="s">
        <v>138</v>
      </c>
      <c r="X257" s="173">
        <v>10</v>
      </c>
      <c r="Y257" s="2"/>
      <c r="Z257" s="173" t="s">
        <v>138</v>
      </c>
      <c r="AA257" s="173">
        <v>9</v>
      </c>
      <c r="AC257" s="173" t="s">
        <v>183</v>
      </c>
      <c r="AD257" s="173">
        <v>13</v>
      </c>
    </row>
    <row r="258" spans="2:30" x14ac:dyDescent="0.25">
      <c r="N258" s="170" t="s">
        <v>140</v>
      </c>
      <c r="O258" s="170">
        <v>12</v>
      </c>
      <c r="P258" s="2"/>
      <c r="Q258" s="170" t="s">
        <v>145</v>
      </c>
      <c r="R258" s="170">
        <v>13</v>
      </c>
    </row>
    <row r="259" spans="2:30" x14ac:dyDescent="0.25">
      <c r="E259" s="2"/>
      <c r="F259" s="2"/>
    </row>
    <row r="261" spans="2:30" ht="26.25" x14ac:dyDescent="0.25">
      <c r="B261" s="153" t="s">
        <v>184</v>
      </c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</row>
    <row r="263" spans="2:30" x14ac:dyDescent="0.25">
      <c r="B263" s="155" t="s">
        <v>133</v>
      </c>
      <c r="C263" s="155">
        <v>1</v>
      </c>
      <c r="D263" s="2"/>
      <c r="E263" s="155" t="s">
        <v>133</v>
      </c>
      <c r="F263" s="155">
        <v>2</v>
      </c>
      <c r="H263" s="155" t="s">
        <v>133</v>
      </c>
      <c r="I263" s="155">
        <v>3</v>
      </c>
      <c r="J263" s="2"/>
      <c r="K263" s="155" t="s">
        <v>133</v>
      </c>
      <c r="L263" s="155">
        <v>4</v>
      </c>
      <c r="N263" s="170" t="s">
        <v>133</v>
      </c>
      <c r="O263" s="170">
        <v>1</v>
      </c>
      <c r="Q263" s="170" t="s">
        <v>133</v>
      </c>
      <c r="R263" s="170">
        <v>2</v>
      </c>
      <c r="T263" s="170" t="s">
        <v>133</v>
      </c>
      <c r="U263" s="170">
        <v>3</v>
      </c>
      <c r="W263" s="173" t="s">
        <v>133</v>
      </c>
      <c r="X263" s="173">
        <v>1</v>
      </c>
      <c r="Y263" s="2"/>
      <c r="Z263" s="173" t="s">
        <v>133</v>
      </c>
      <c r="AA263" s="173">
        <v>2</v>
      </c>
      <c r="AC263" s="173" t="s">
        <v>133</v>
      </c>
      <c r="AD263" s="173">
        <v>3</v>
      </c>
    </row>
    <row r="264" spans="2:30" x14ac:dyDescent="0.25">
      <c r="B264" s="155" t="s">
        <v>134</v>
      </c>
      <c r="C264" s="155">
        <v>3</v>
      </c>
      <c r="D264" s="2"/>
      <c r="E264" s="155" t="s">
        <v>134</v>
      </c>
      <c r="F264" s="155">
        <v>4</v>
      </c>
      <c r="H264" s="155" t="s">
        <v>134</v>
      </c>
      <c r="I264" s="155">
        <v>2</v>
      </c>
      <c r="J264" s="2"/>
      <c r="K264" s="155" t="s">
        <v>134</v>
      </c>
      <c r="L264" s="155">
        <v>1</v>
      </c>
      <c r="N264" s="170" t="s">
        <v>134</v>
      </c>
      <c r="O264" s="170">
        <v>2</v>
      </c>
      <c r="Q264" s="170" t="s">
        <v>134</v>
      </c>
      <c r="R264" s="170">
        <v>3</v>
      </c>
      <c r="T264" s="170" t="s">
        <v>134</v>
      </c>
      <c r="U264" s="170">
        <v>5</v>
      </c>
      <c r="W264" s="173" t="s">
        <v>134</v>
      </c>
      <c r="X264" s="173">
        <v>5</v>
      </c>
      <c r="Y264" s="2"/>
      <c r="Z264" s="173" t="s">
        <v>134</v>
      </c>
      <c r="AA264" s="173">
        <v>3</v>
      </c>
      <c r="AC264" s="173" t="s">
        <v>134</v>
      </c>
      <c r="AD264" s="173">
        <v>6</v>
      </c>
    </row>
    <row r="265" spans="2:30" x14ac:dyDescent="0.25">
      <c r="B265" s="155" t="s">
        <v>136</v>
      </c>
      <c r="C265" s="155">
        <v>5</v>
      </c>
      <c r="D265" s="2"/>
      <c r="E265" s="155" t="s">
        <v>136</v>
      </c>
      <c r="F265" s="155">
        <v>6</v>
      </c>
      <c r="H265" s="155" t="s">
        <v>136</v>
      </c>
      <c r="I265" s="155">
        <v>7</v>
      </c>
      <c r="J265" s="2"/>
      <c r="K265" s="155" t="s">
        <v>136</v>
      </c>
      <c r="L265" s="155">
        <v>8</v>
      </c>
      <c r="N265" s="170" t="s">
        <v>136</v>
      </c>
      <c r="O265" s="170">
        <v>7</v>
      </c>
      <c r="Q265" s="170" t="s">
        <v>136</v>
      </c>
      <c r="R265" s="170">
        <v>8</v>
      </c>
      <c r="T265" s="170" t="s">
        <v>136</v>
      </c>
      <c r="U265" s="170">
        <v>6</v>
      </c>
      <c r="W265" s="173" t="s">
        <v>136</v>
      </c>
      <c r="X265" s="173">
        <v>6</v>
      </c>
      <c r="Y265" s="2"/>
      <c r="Z265" s="173" t="s">
        <v>136</v>
      </c>
      <c r="AA265" s="173">
        <v>5</v>
      </c>
      <c r="AC265" s="173" t="s">
        <v>136</v>
      </c>
      <c r="AD265" s="173">
        <v>9</v>
      </c>
    </row>
    <row r="266" spans="2:30" x14ac:dyDescent="0.25">
      <c r="B266" s="155" t="s">
        <v>138</v>
      </c>
      <c r="C266" s="155">
        <v>7</v>
      </c>
      <c r="D266" s="2"/>
      <c r="E266" s="155" t="s">
        <v>138</v>
      </c>
      <c r="F266" s="155">
        <v>8</v>
      </c>
      <c r="H266" s="155" t="s">
        <v>138</v>
      </c>
      <c r="I266" s="155">
        <v>6</v>
      </c>
      <c r="J266" s="2"/>
      <c r="K266" s="155" t="s">
        <v>138</v>
      </c>
      <c r="L266" s="155">
        <v>5</v>
      </c>
      <c r="N266" s="170" t="s">
        <v>138</v>
      </c>
      <c r="O266" s="170">
        <v>8</v>
      </c>
      <c r="Q266" s="170" t="s">
        <v>138</v>
      </c>
      <c r="R266" s="170">
        <v>9</v>
      </c>
      <c r="T266" s="170" t="s">
        <v>138</v>
      </c>
      <c r="U266" s="170">
        <v>9</v>
      </c>
      <c r="W266" s="173" t="s">
        <v>138</v>
      </c>
      <c r="X266" s="173">
        <v>11</v>
      </c>
      <c r="Y266" s="2"/>
      <c r="Z266" s="173" t="s">
        <v>138</v>
      </c>
      <c r="AA266" s="173">
        <v>12</v>
      </c>
      <c r="AC266" s="173" t="s">
        <v>138</v>
      </c>
      <c r="AD266" s="173">
        <v>11</v>
      </c>
    </row>
    <row r="267" spans="2:30" x14ac:dyDescent="0.25">
      <c r="B267" s="155" t="s">
        <v>140</v>
      </c>
      <c r="C267" s="155">
        <v>9</v>
      </c>
      <c r="D267" s="2"/>
      <c r="E267" s="155" t="s">
        <v>140</v>
      </c>
      <c r="F267" s="155">
        <v>10</v>
      </c>
      <c r="H267" s="155" t="s">
        <v>140</v>
      </c>
      <c r="I267" s="155">
        <v>11</v>
      </c>
      <c r="J267" s="2"/>
      <c r="K267" s="155" t="s">
        <v>140</v>
      </c>
      <c r="L267" s="155">
        <v>12</v>
      </c>
      <c r="N267" s="170" t="s">
        <v>140</v>
      </c>
      <c r="O267" s="170">
        <v>11</v>
      </c>
      <c r="Q267" s="170" t="s">
        <v>140</v>
      </c>
      <c r="R267" s="170">
        <v>12</v>
      </c>
      <c r="T267" s="170" t="s">
        <v>140</v>
      </c>
      <c r="U267" s="170">
        <v>1</v>
      </c>
      <c r="W267" s="173" t="s">
        <v>140</v>
      </c>
      <c r="X267" s="173">
        <v>12</v>
      </c>
      <c r="Z267" s="173" t="s">
        <v>140</v>
      </c>
      <c r="AA267" s="173">
        <v>13</v>
      </c>
    </row>
    <row r="268" spans="2:30" x14ac:dyDescent="0.25">
      <c r="B268" s="155" t="s">
        <v>141</v>
      </c>
      <c r="C268" s="155">
        <v>11</v>
      </c>
      <c r="D268" s="2"/>
      <c r="E268" s="155" t="s">
        <v>141</v>
      </c>
      <c r="F268" s="155">
        <v>12</v>
      </c>
      <c r="H268" s="155" t="s">
        <v>141</v>
      </c>
      <c r="I268" s="155">
        <v>10</v>
      </c>
      <c r="J268" s="2"/>
      <c r="K268" s="155" t="s">
        <v>141</v>
      </c>
      <c r="L268" s="155">
        <v>9</v>
      </c>
      <c r="N268" s="170" t="s">
        <v>141</v>
      </c>
      <c r="O268" s="170">
        <v>13</v>
      </c>
    </row>
    <row r="269" spans="2:30" x14ac:dyDescent="0.25">
      <c r="B269" s="155" t="s">
        <v>142</v>
      </c>
      <c r="C269" s="155">
        <v>13</v>
      </c>
      <c r="D269" s="2"/>
      <c r="E269" s="155" t="s">
        <v>142</v>
      </c>
      <c r="F269" s="155">
        <v>13</v>
      </c>
      <c r="H269" s="2"/>
      <c r="I269" s="2"/>
      <c r="J269" s="2"/>
      <c r="W269" s="173" t="s">
        <v>133</v>
      </c>
      <c r="X269" s="173">
        <v>4</v>
      </c>
      <c r="Y269" s="2"/>
      <c r="Z269" s="173" t="s">
        <v>133</v>
      </c>
      <c r="AA269" s="173">
        <v>1</v>
      </c>
      <c r="AC269" s="173" t="s">
        <v>133</v>
      </c>
      <c r="AD269" s="173">
        <v>2</v>
      </c>
    </row>
    <row r="270" spans="2:30" x14ac:dyDescent="0.25">
      <c r="W270" s="173" t="s">
        <v>134</v>
      </c>
      <c r="X270" s="173">
        <v>7</v>
      </c>
      <c r="Y270" s="2"/>
      <c r="Z270" s="173" t="s">
        <v>134</v>
      </c>
      <c r="AA270" s="173">
        <v>4</v>
      </c>
      <c r="AC270" s="173" t="s">
        <v>134</v>
      </c>
      <c r="AD270" s="173">
        <v>8</v>
      </c>
    </row>
    <row r="271" spans="2:30" x14ac:dyDescent="0.25">
      <c r="N271" s="170" t="s">
        <v>133</v>
      </c>
      <c r="O271" s="170">
        <v>4</v>
      </c>
      <c r="P271" s="2"/>
      <c r="Q271" s="170" t="s">
        <v>133</v>
      </c>
      <c r="R271" s="170">
        <v>1</v>
      </c>
      <c r="W271" s="173" t="s">
        <v>136</v>
      </c>
      <c r="X271" s="173">
        <v>8</v>
      </c>
      <c r="Y271" s="2"/>
      <c r="Z271" s="173" t="s">
        <v>136</v>
      </c>
      <c r="AA271" s="173">
        <v>7</v>
      </c>
      <c r="AC271" s="173" t="s">
        <v>136</v>
      </c>
      <c r="AD271" s="173">
        <v>10</v>
      </c>
    </row>
    <row r="272" spans="2:30" x14ac:dyDescent="0.25">
      <c r="N272" s="170" t="s">
        <v>134</v>
      </c>
      <c r="O272" s="170">
        <v>6</v>
      </c>
      <c r="P272" s="2"/>
      <c r="Q272" s="170" t="s">
        <v>134</v>
      </c>
      <c r="R272" s="170">
        <v>4</v>
      </c>
      <c r="W272" s="173" t="s">
        <v>138</v>
      </c>
      <c r="X272" s="173">
        <v>10</v>
      </c>
      <c r="Y272" s="2"/>
      <c r="Z272" s="173" t="s">
        <v>138</v>
      </c>
      <c r="AA272" s="173">
        <v>9</v>
      </c>
      <c r="AC272" s="173" t="s">
        <v>138</v>
      </c>
      <c r="AD272" s="173">
        <v>13</v>
      </c>
    </row>
    <row r="273" spans="2:30" x14ac:dyDescent="0.25">
      <c r="N273" s="170" t="s">
        <v>136</v>
      </c>
      <c r="O273" s="170">
        <v>5</v>
      </c>
      <c r="P273" s="2"/>
      <c r="Q273" s="170" t="s">
        <v>136</v>
      </c>
      <c r="R273" s="170">
        <v>7</v>
      </c>
    </row>
    <row r="274" spans="2:30" x14ac:dyDescent="0.25">
      <c r="N274" s="170" t="s">
        <v>138</v>
      </c>
      <c r="O274" s="170">
        <v>10</v>
      </c>
      <c r="P274" s="2"/>
      <c r="Q274" s="170" t="s">
        <v>138</v>
      </c>
      <c r="R274" s="170">
        <v>10</v>
      </c>
    </row>
    <row r="275" spans="2:30" x14ac:dyDescent="0.25">
      <c r="N275" s="170" t="s">
        <v>140</v>
      </c>
      <c r="O275" s="170">
        <v>12</v>
      </c>
      <c r="P275" s="2"/>
      <c r="Q275" s="170" t="s">
        <v>140</v>
      </c>
      <c r="R275" s="170">
        <v>13</v>
      </c>
    </row>
    <row r="277" spans="2:30" ht="26.25" x14ac:dyDescent="0.25">
      <c r="B277" s="153" t="s">
        <v>185</v>
      </c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</row>
    <row r="279" spans="2:30" x14ac:dyDescent="0.25">
      <c r="B279" s="155" t="s">
        <v>133</v>
      </c>
      <c r="C279" s="155">
        <v>1</v>
      </c>
      <c r="D279" s="2"/>
      <c r="E279" s="155" t="s">
        <v>133</v>
      </c>
      <c r="F279" s="155">
        <v>2</v>
      </c>
      <c r="H279" s="155" t="s">
        <v>133</v>
      </c>
      <c r="I279" s="155">
        <v>3</v>
      </c>
      <c r="J279" s="2"/>
      <c r="K279" s="155" t="s">
        <v>133</v>
      </c>
      <c r="L279" s="155">
        <v>4</v>
      </c>
      <c r="N279" s="170" t="s">
        <v>133</v>
      </c>
      <c r="O279" s="170">
        <v>1</v>
      </c>
      <c r="P279" s="2"/>
      <c r="Q279" s="170" t="s">
        <v>133</v>
      </c>
      <c r="R279" s="170">
        <v>2</v>
      </c>
      <c r="T279" s="170" t="s">
        <v>133</v>
      </c>
      <c r="U279" s="170">
        <v>3</v>
      </c>
      <c r="W279" s="173" t="s">
        <v>133</v>
      </c>
      <c r="X279" s="173">
        <v>1</v>
      </c>
      <c r="Y279" s="2"/>
      <c r="Z279" s="173" t="s">
        <v>133</v>
      </c>
      <c r="AA279" s="173">
        <v>2</v>
      </c>
      <c r="AC279" s="173" t="s">
        <v>133</v>
      </c>
      <c r="AD279" s="173">
        <v>3</v>
      </c>
    </row>
    <row r="280" spans="2:30" x14ac:dyDescent="0.25">
      <c r="B280" s="155" t="s">
        <v>134</v>
      </c>
      <c r="C280" s="155">
        <v>4</v>
      </c>
      <c r="D280" s="2"/>
      <c r="E280" s="155" t="s">
        <v>134</v>
      </c>
      <c r="F280" s="155">
        <v>1</v>
      </c>
      <c r="H280" s="155" t="s">
        <v>134</v>
      </c>
      <c r="I280" s="155">
        <v>2</v>
      </c>
      <c r="J280" s="2"/>
      <c r="K280" s="155" t="s">
        <v>134</v>
      </c>
      <c r="L280" s="155">
        <v>3</v>
      </c>
      <c r="N280" s="170" t="s">
        <v>134</v>
      </c>
      <c r="O280" s="170">
        <v>2</v>
      </c>
      <c r="P280" s="2"/>
      <c r="Q280" s="170" t="s">
        <v>134</v>
      </c>
      <c r="R280" s="170">
        <v>3</v>
      </c>
      <c r="T280" s="170" t="s">
        <v>134</v>
      </c>
      <c r="U280" s="170">
        <v>5</v>
      </c>
      <c r="W280" s="173" t="s">
        <v>134</v>
      </c>
      <c r="X280" s="173">
        <v>5</v>
      </c>
      <c r="Y280" s="2"/>
      <c r="Z280" s="173" t="s">
        <v>134</v>
      </c>
      <c r="AA280" s="173">
        <v>3</v>
      </c>
      <c r="AC280" s="173" t="s">
        <v>134</v>
      </c>
      <c r="AD280" s="173">
        <v>6</v>
      </c>
    </row>
    <row r="281" spans="2:30" x14ac:dyDescent="0.25">
      <c r="B281" s="155" t="s">
        <v>136</v>
      </c>
      <c r="C281" s="155">
        <v>5</v>
      </c>
      <c r="D281" s="2"/>
      <c r="E281" s="155" t="s">
        <v>136</v>
      </c>
      <c r="F281" s="155">
        <v>6</v>
      </c>
      <c r="H281" s="155" t="s">
        <v>136</v>
      </c>
      <c r="I281" s="155">
        <v>7</v>
      </c>
      <c r="J281" s="2"/>
      <c r="K281" s="155" t="s">
        <v>136</v>
      </c>
      <c r="L281" s="155">
        <v>8</v>
      </c>
      <c r="N281" s="170" t="s">
        <v>136</v>
      </c>
      <c r="O281" s="170">
        <v>7</v>
      </c>
      <c r="P281" s="2"/>
      <c r="Q281" s="170" t="s">
        <v>136</v>
      </c>
      <c r="R281" s="170">
        <v>8</v>
      </c>
      <c r="T281" s="170" t="s">
        <v>136</v>
      </c>
      <c r="U281" s="170">
        <v>6</v>
      </c>
      <c r="W281" s="173" t="s">
        <v>136</v>
      </c>
      <c r="X281" s="173">
        <v>6</v>
      </c>
      <c r="Y281" s="2"/>
      <c r="Z281" s="173" t="s">
        <v>136</v>
      </c>
      <c r="AA281" s="173">
        <v>5</v>
      </c>
      <c r="AC281" s="173" t="s">
        <v>136</v>
      </c>
      <c r="AD281" s="173">
        <v>9</v>
      </c>
    </row>
    <row r="282" spans="2:30" x14ac:dyDescent="0.25">
      <c r="B282" s="155" t="s">
        <v>138</v>
      </c>
      <c r="C282" s="155">
        <v>8</v>
      </c>
      <c r="D282" s="2"/>
      <c r="E282" s="155" t="s">
        <v>138</v>
      </c>
      <c r="F282" s="155">
        <v>5</v>
      </c>
      <c r="H282" s="155" t="s">
        <v>138</v>
      </c>
      <c r="I282" s="155">
        <v>6</v>
      </c>
      <c r="J282" s="2"/>
      <c r="K282" s="155" t="s">
        <v>138</v>
      </c>
      <c r="L282" s="155">
        <v>7</v>
      </c>
      <c r="N282" s="170" t="s">
        <v>138</v>
      </c>
      <c r="O282" s="170">
        <v>8</v>
      </c>
      <c r="P282" s="2"/>
      <c r="Q282" s="170" t="s">
        <v>138</v>
      </c>
      <c r="R282" s="170">
        <v>9</v>
      </c>
      <c r="T282" s="170" t="s">
        <v>138</v>
      </c>
      <c r="U282" s="170">
        <v>9</v>
      </c>
      <c r="W282" s="173" t="s">
        <v>138</v>
      </c>
      <c r="X282" s="173">
        <v>11</v>
      </c>
      <c r="Y282" s="2"/>
      <c r="Z282" s="173" t="s">
        <v>138</v>
      </c>
      <c r="AA282" s="173">
        <v>12</v>
      </c>
      <c r="AC282" s="173" t="s">
        <v>138</v>
      </c>
      <c r="AD282" s="173">
        <v>11</v>
      </c>
    </row>
    <row r="283" spans="2:30" x14ac:dyDescent="0.25">
      <c r="B283" s="155" t="s">
        <v>140</v>
      </c>
      <c r="C283" s="155">
        <v>9</v>
      </c>
      <c r="D283" s="2"/>
      <c r="E283" s="155" t="s">
        <v>140</v>
      </c>
      <c r="F283" s="155">
        <v>10</v>
      </c>
      <c r="H283" s="155" t="s">
        <v>140</v>
      </c>
      <c r="I283" s="155">
        <v>11</v>
      </c>
      <c r="J283" s="2"/>
      <c r="K283" s="155" t="s">
        <v>140</v>
      </c>
      <c r="L283" s="155">
        <v>12</v>
      </c>
      <c r="N283" s="170" t="s">
        <v>140</v>
      </c>
      <c r="O283" s="170">
        <v>11</v>
      </c>
      <c r="P283" s="2"/>
      <c r="Q283" s="170" t="s">
        <v>140</v>
      </c>
      <c r="R283" s="170">
        <v>12</v>
      </c>
      <c r="T283" s="170" t="s">
        <v>140</v>
      </c>
      <c r="U283" s="170">
        <v>11</v>
      </c>
      <c r="W283" s="173" t="s">
        <v>140</v>
      </c>
      <c r="X283" s="173">
        <v>12</v>
      </c>
      <c r="Y283" s="2"/>
      <c r="Z283" s="173" t="s">
        <v>140</v>
      </c>
      <c r="AA283" s="173">
        <v>13</v>
      </c>
      <c r="AC283" s="173" t="s">
        <v>145</v>
      </c>
      <c r="AD283" s="173">
        <v>14</v>
      </c>
    </row>
    <row r="284" spans="2:30" x14ac:dyDescent="0.25">
      <c r="B284" s="155" t="s">
        <v>141</v>
      </c>
      <c r="C284" s="155">
        <v>12</v>
      </c>
      <c r="D284" s="2"/>
      <c r="E284" s="155" t="s">
        <v>141</v>
      </c>
      <c r="F284" s="155">
        <v>9</v>
      </c>
      <c r="H284" s="155" t="s">
        <v>141</v>
      </c>
      <c r="I284" s="155">
        <v>10</v>
      </c>
      <c r="J284" s="2"/>
      <c r="K284" s="155" t="s">
        <v>141</v>
      </c>
      <c r="L284" s="155">
        <v>11</v>
      </c>
      <c r="N284" s="170" t="s">
        <v>141</v>
      </c>
      <c r="O284" s="170">
        <v>12</v>
      </c>
      <c r="P284" s="2"/>
      <c r="Q284" s="170" t="s">
        <v>141</v>
      </c>
      <c r="R284" s="170">
        <v>13</v>
      </c>
    </row>
    <row r="285" spans="2:30" x14ac:dyDescent="0.25">
      <c r="B285" s="155" t="s">
        <v>142</v>
      </c>
      <c r="C285" s="155">
        <v>13</v>
      </c>
      <c r="D285" s="2"/>
      <c r="E285" s="155" t="s">
        <v>170</v>
      </c>
      <c r="F285" s="155">
        <v>14</v>
      </c>
      <c r="H285" s="155" t="s">
        <v>142</v>
      </c>
      <c r="I285" s="155">
        <v>13</v>
      </c>
      <c r="J285" s="2"/>
      <c r="K285" s="2"/>
      <c r="L285" s="2"/>
    </row>
    <row r="287" spans="2:30" x14ac:dyDescent="0.25">
      <c r="N287" s="170" t="s">
        <v>133</v>
      </c>
      <c r="O287" s="170">
        <v>4</v>
      </c>
      <c r="P287" s="2"/>
      <c r="Q287" s="170" t="s">
        <v>133</v>
      </c>
      <c r="R287" s="170">
        <v>1</v>
      </c>
      <c r="W287" s="173" t="s">
        <v>133</v>
      </c>
      <c r="X287" s="173">
        <v>4</v>
      </c>
      <c r="Y287" s="2"/>
      <c r="Z287" s="173" t="s">
        <v>133</v>
      </c>
      <c r="AA287" s="173">
        <v>1</v>
      </c>
      <c r="AC287" s="173" t="s">
        <v>133</v>
      </c>
      <c r="AD287" s="173">
        <v>2</v>
      </c>
    </row>
    <row r="288" spans="2:30" x14ac:dyDescent="0.25">
      <c r="N288" s="170" t="s">
        <v>134</v>
      </c>
      <c r="O288" s="170">
        <v>6</v>
      </c>
      <c r="P288" s="2"/>
      <c r="Q288" s="170" t="s">
        <v>134</v>
      </c>
      <c r="R288" s="170">
        <v>4</v>
      </c>
      <c r="W288" s="173" t="s">
        <v>134</v>
      </c>
      <c r="X288" s="173">
        <v>7</v>
      </c>
      <c r="Y288" s="2"/>
      <c r="Z288" s="173" t="s">
        <v>134</v>
      </c>
      <c r="AA288" s="173">
        <v>4</v>
      </c>
      <c r="AC288" s="173" t="s">
        <v>134</v>
      </c>
      <c r="AD288" s="173">
        <v>8</v>
      </c>
    </row>
    <row r="289" spans="2:30" x14ac:dyDescent="0.25">
      <c r="N289" s="170" t="s">
        <v>136</v>
      </c>
      <c r="O289" s="170">
        <v>5</v>
      </c>
      <c r="P289" s="2"/>
      <c r="Q289" s="170" t="s">
        <v>136</v>
      </c>
      <c r="R289" s="170">
        <v>7</v>
      </c>
      <c r="W289" s="173" t="s">
        <v>136</v>
      </c>
      <c r="X289" s="173">
        <v>8</v>
      </c>
      <c r="Y289" s="2"/>
      <c r="Z289" s="173" t="s">
        <v>136</v>
      </c>
      <c r="AA289" s="173">
        <v>7</v>
      </c>
      <c r="AC289" s="173" t="s">
        <v>136</v>
      </c>
      <c r="AD289" s="173">
        <v>10</v>
      </c>
    </row>
    <row r="290" spans="2:30" x14ac:dyDescent="0.25">
      <c r="N290" s="170" t="s">
        <v>138</v>
      </c>
      <c r="O290" s="170">
        <v>10</v>
      </c>
      <c r="P290" s="2"/>
      <c r="Q290" s="170" t="s">
        <v>138</v>
      </c>
      <c r="R290" s="170">
        <v>10</v>
      </c>
      <c r="W290" s="173" t="s">
        <v>138</v>
      </c>
      <c r="X290" s="173">
        <v>10</v>
      </c>
      <c r="Y290" s="2"/>
      <c r="Z290" s="173" t="s">
        <v>138</v>
      </c>
      <c r="AA290" s="173">
        <v>9</v>
      </c>
      <c r="AC290" s="173" t="s">
        <v>138</v>
      </c>
      <c r="AD290" s="173">
        <v>13</v>
      </c>
    </row>
    <row r="291" spans="2:30" x14ac:dyDescent="0.25">
      <c r="N291" s="170" t="s">
        <v>140</v>
      </c>
      <c r="O291" s="170">
        <v>13</v>
      </c>
      <c r="P291" s="2"/>
      <c r="Q291" s="170" t="s">
        <v>145</v>
      </c>
      <c r="R291" s="170">
        <v>14</v>
      </c>
    </row>
    <row r="294" spans="2:30" ht="26.25" x14ac:dyDescent="0.25">
      <c r="B294" s="153" t="s">
        <v>186</v>
      </c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</row>
    <row r="296" spans="2:30" x14ac:dyDescent="0.25">
      <c r="B296" s="155" t="s">
        <v>133</v>
      </c>
      <c r="C296" s="155">
        <v>1</v>
      </c>
      <c r="D296" s="2"/>
      <c r="E296" s="155" t="s">
        <v>133</v>
      </c>
      <c r="F296" s="155">
        <v>2</v>
      </c>
      <c r="H296" s="155" t="s">
        <v>133</v>
      </c>
      <c r="I296" s="155">
        <v>3</v>
      </c>
      <c r="J296" s="2"/>
      <c r="K296" s="155" t="s">
        <v>133</v>
      </c>
      <c r="L296" s="155">
        <v>4</v>
      </c>
      <c r="N296" s="170" t="s">
        <v>133</v>
      </c>
      <c r="O296" s="170">
        <v>1</v>
      </c>
      <c r="P296" s="2"/>
      <c r="Q296" s="170" t="s">
        <v>133</v>
      </c>
      <c r="R296" s="170">
        <v>2</v>
      </c>
      <c r="T296" s="170" t="s">
        <v>133</v>
      </c>
      <c r="U296" s="170">
        <v>3</v>
      </c>
      <c r="W296" s="173" t="s">
        <v>133</v>
      </c>
      <c r="X296" s="173">
        <v>1</v>
      </c>
      <c r="Y296" s="2"/>
      <c r="Z296" s="173" t="s">
        <v>133</v>
      </c>
      <c r="AA296" s="173">
        <v>2</v>
      </c>
      <c r="AC296" s="173" t="s">
        <v>133</v>
      </c>
      <c r="AD296" s="173">
        <v>3</v>
      </c>
    </row>
    <row r="297" spans="2:30" x14ac:dyDescent="0.25">
      <c r="B297" s="155" t="s">
        <v>134</v>
      </c>
      <c r="C297" s="155">
        <v>4</v>
      </c>
      <c r="D297" s="2"/>
      <c r="E297" s="155" t="s">
        <v>134</v>
      </c>
      <c r="F297" s="155">
        <v>1</v>
      </c>
      <c r="H297" s="155" t="s">
        <v>134</v>
      </c>
      <c r="I297" s="155">
        <v>2</v>
      </c>
      <c r="J297" s="2"/>
      <c r="K297" s="155" t="s">
        <v>134</v>
      </c>
      <c r="L297" s="155">
        <v>3</v>
      </c>
      <c r="N297" s="170" t="s">
        <v>134</v>
      </c>
      <c r="O297" s="170">
        <v>2</v>
      </c>
      <c r="P297" s="2"/>
      <c r="Q297" s="170" t="s">
        <v>134</v>
      </c>
      <c r="R297" s="170">
        <v>3</v>
      </c>
      <c r="T297" s="170" t="s">
        <v>134</v>
      </c>
      <c r="U297" s="170">
        <v>5</v>
      </c>
      <c r="W297" s="173" t="s">
        <v>134</v>
      </c>
      <c r="X297" s="173">
        <v>5</v>
      </c>
      <c r="Y297" s="2"/>
      <c r="Z297" s="173" t="s">
        <v>134</v>
      </c>
      <c r="AA297" s="173">
        <v>3</v>
      </c>
      <c r="AC297" s="173" t="s">
        <v>134</v>
      </c>
      <c r="AD297" s="173">
        <v>6</v>
      </c>
    </row>
    <row r="298" spans="2:30" x14ac:dyDescent="0.25">
      <c r="B298" s="155" t="s">
        <v>136</v>
      </c>
      <c r="C298" s="155">
        <v>5</v>
      </c>
      <c r="D298" s="2"/>
      <c r="E298" s="155" t="s">
        <v>136</v>
      </c>
      <c r="F298" s="155">
        <v>6</v>
      </c>
      <c r="H298" s="155" t="s">
        <v>136</v>
      </c>
      <c r="I298" s="155">
        <v>7</v>
      </c>
      <c r="J298" s="2"/>
      <c r="K298" s="155" t="s">
        <v>136</v>
      </c>
      <c r="L298" s="155">
        <v>8</v>
      </c>
      <c r="N298" s="170" t="s">
        <v>136</v>
      </c>
      <c r="O298" s="170">
        <v>7</v>
      </c>
      <c r="P298" s="2"/>
      <c r="Q298" s="170" t="s">
        <v>136</v>
      </c>
      <c r="R298" s="170">
        <v>8</v>
      </c>
      <c r="T298" s="170" t="s">
        <v>136</v>
      </c>
      <c r="U298" s="170">
        <v>6</v>
      </c>
      <c r="W298" s="173" t="s">
        <v>136</v>
      </c>
      <c r="X298" s="173">
        <v>6</v>
      </c>
      <c r="Y298" s="2"/>
      <c r="Z298" s="173" t="s">
        <v>136</v>
      </c>
      <c r="AA298" s="173">
        <v>5</v>
      </c>
      <c r="AC298" s="173" t="s">
        <v>136</v>
      </c>
      <c r="AD298" s="173">
        <v>9</v>
      </c>
    </row>
    <row r="299" spans="2:30" x14ac:dyDescent="0.25">
      <c r="B299" s="155" t="s">
        <v>138</v>
      </c>
      <c r="C299" s="155">
        <v>8</v>
      </c>
      <c r="D299" s="2"/>
      <c r="E299" s="155" t="s">
        <v>138</v>
      </c>
      <c r="F299" s="155">
        <v>5</v>
      </c>
      <c r="H299" s="155" t="s">
        <v>138</v>
      </c>
      <c r="I299" s="155">
        <v>6</v>
      </c>
      <c r="J299" s="2"/>
      <c r="K299" s="155" t="s">
        <v>138</v>
      </c>
      <c r="L299" s="155">
        <v>7</v>
      </c>
      <c r="N299" s="170" t="s">
        <v>138</v>
      </c>
      <c r="O299" s="170">
        <v>8</v>
      </c>
      <c r="P299" s="2"/>
      <c r="Q299" s="170" t="s">
        <v>138</v>
      </c>
      <c r="R299" s="170">
        <v>9</v>
      </c>
      <c r="T299" s="170" t="s">
        <v>138</v>
      </c>
      <c r="U299" s="170">
        <v>9</v>
      </c>
      <c r="W299" s="173" t="s">
        <v>138</v>
      </c>
      <c r="X299" s="173">
        <v>11</v>
      </c>
      <c r="Y299" s="2"/>
      <c r="Z299" s="173" t="s">
        <v>138</v>
      </c>
      <c r="AA299" s="173">
        <v>12</v>
      </c>
      <c r="AC299" s="173" t="s">
        <v>138</v>
      </c>
      <c r="AD299" s="173">
        <v>11</v>
      </c>
    </row>
    <row r="300" spans="2:30" x14ac:dyDescent="0.25">
      <c r="B300" s="155" t="s">
        <v>140</v>
      </c>
      <c r="C300" s="155">
        <v>9</v>
      </c>
      <c r="D300" s="2"/>
      <c r="E300" s="155" t="s">
        <v>140</v>
      </c>
      <c r="F300" s="155">
        <v>10</v>
      </c>
      <c r="H300" s="155" t="s">
        <v>140</v>
      </c>
      <c r="I300" s="155">
        <v>11</v>
      </c>
      <c r="J300" s="2"/>
      <c r="K300" s="155" t="s">
        <v>140</v>
      </c>
      <c r="L300" s="155">
        <v>12</v>
      </c>
      <c r="N300" s="170" t="s">
        <v>140</v>
      </c>
      <c r="O300" s="170">
        <v>11</v>
      </c>
      <c r="P300" s="2"/>
      <c r="Q300" s="170" t="s">
        <v>140</v>
      </c>
      <c r="R300" s="170">
        <v>12</v>
      </c>
      <c r="T300" s="170" t="s">
        <v>140</v>
      </c>
      <c r="U300" s="170">
        <v>11</v>
      </c>
      <c r="W300" s="173" t="s">
        <v>140</v>
      </c>
      <c r="X300" s="173">
        <v>12</v>
      </c>
      <c r="Y300" s="2"/>
      <c r="Z300" s="173" t="s">
        <v>140</v>
      </c>
      <c r="AA300" s="173">
        <v>13</v>
      </c>
      <c r="AC300" s="173" t="s">
        <v>140</v>
      </c>
      <c r="AD300" s="173">
        <v>14</v>
      </c>
    </row>
    <row r="301" spans="2:30" x14ac:dyDescent="0.25">
      <c r="B301" s="155" t="s">
        <v>141</v>
      </c>
      <c r="C301" s="155">
        <v>12</v>
      </c>
      <c r="D301" s="2"/>
      <c r="E301" s="155" t="s">
        <v>141</v>
      </c>
      <c r="F301" s="155">
        <v>9</v>
      </c>
      <c r="H301" s="155" t="s">
        <v>141</v>
      </c>
      <c r="I301" s="155">
        <v>10</v>
      </c>
      <c r="J301" s="2"/>
      <c r="K301" s="155" t="s">
        <v>141</v>
      </c>
      <c r="L301" s="155">
        <v>11</v>
      </c>
      <c r="N301" s="170" t="s">
        <v>141</v>
      </c>
      <c r="O301" s="170">
        <v>12</v>
      </c>
      <c r="P301" s="2"/>
      <c r="Q301" s="170" t="s">
        <v>141</v>
      </c>
      <c r="R301" s="170">
        <v>13</v>
      </c>
      <c r="T301" s="170" t="s">
        <v>141</v>
      </c>
      <c r="U301" s="170">
        <v>14</v>
      </c>
    </row>
    <row r="302" spans="2:30" x14ac:dyDescent="0.25">
      <c r="B302" s="155" t="s">
        <v>142</v>
      </c>
      <c r="C302" s="155">
        <v>13</v>
      </c>
      <c r="D302" s="2"/>
      <c r="E302" s="155" t="s">
        <v>142</v>
      </c>
      <c r="F302" s="155">
        <v>14</v>
      </c>
      <c r="H302" s="155" t="s">
        <v>142</v>
      </c>
      <c r="I302" s="155">
        <v>13</v>
      </c>
      <c r="J302" s="2"/>
      <c r="K302" s="155" t="s">
        <v>142</v>
      </c>
      <c r="L302" s="155">
        <v>14</v>
      </c>
    </row>
    <row r="304" spans="2:30" x14ac:dyDescent="0.25">
      <c r="N304" s="170" t="s">
        <v>133</v>
      </c>
      <c r="O304" s="170">
        <v>4</v>
      </c>
      <c r="P304" s="2"/>
      <c r="Q304" s="170" t="s">
        <v>133</v>
      </c>
      <c r="R304" s="170">
        <v>1</v>
      </c>
      <c r="W304" s="173" t="s">
        <v>133</v>
      </c>
      <c r="X304" s="173">
        <v>4</v>
      </c>
      <c r="Y304" s="2"/>
      <c r="Z304" s="173" t="s">
        <v>133</v>
      </c>
      <c r="AA304" s="173">
        <v>1</v>
      </c>
      <c r="AC304" s="173" t="s">
        <v>133</v>
      </c>
      <c r="AD304" s="173">
        <v>2</v>
      </c>
    </row>
    <row r="305" spans="2:30" x14ac:dyDescent="0.25">
      <c r="N305" s="170" t="s">
        <v>134</v>
      </c>
      <c r="O305" s="170">
        <v>6</v>
      </c>
      <c r="P305" s="2"/>
      <c r="Q305" s="170" t="s">
        <v>134</v>
      </c>
      <c r="R305" s="170">
        <v>4</v>
      </c>
      <c r="W305" s="173" t="s">
        <v>134</v>
      </c>
      <c r="X305" s="173">
        <v>7</v>
      </c>
      <c r="Y305" s="2"/>
      <c r="Z305" s="173" t="s">
        <v>134</v>
      </c>
      <c r="AA305" s="173">
        <v>4</v>
      </c>
      <c r="AC305" s="173" t="s">
        <v>134</v>
      </c>
      <c r="AD305" s="173">
        <v>8</v>
      </c>
    </row>
    <row r="306" spans="2:30" x14ac:dyDescent="0.25">
      <c r="N306" s="170" t="s">
        <v>136</v>
      </c>
      <c r="O306" s="170">
        <v>5</v>
      </c>
      <c r="P306" s="2"/>
      <c r="Q306" s="170" t="s">
        <v>136</v>
      </c>
      <c r="R306" s="170">
        <v>7</v>
      </c>
      <c r="W306" s="173" t="s">
        <v>136</v>
      </c>
      <c r="X306" s="173">
        <v>8</v>
      </c>
      <c r="Y306" s="2"/>
      <c r="Z306" s="173" t="s">
        <v>136</v>
      </c>
      <c r="AA306" s="173">
        <v>7</v>
      </c>
      <c r="AC306" s="173" t="s">
        <v>136</v>
      </c>
      <c r="AD306" s="173">
        <v>10</v>
      </c>
    </row>
    <row r="307" spans="2:30" x14ac:dyDescent="0.25">
      <c r="N307" s="170" t="s">
        <v>138</v>
      </c>
      <c r="O307" s="170">
        <v>10</v>
      </c>
      <c r="P307" s="2"/>
      <c r="Q307" s="170" t="s">
        <v>138</v>
      </c>
      <c r="R307" s="170">
        <v>10</v>
      </c>
      <c r="W307" s="173" t="s">
        <v>138</v>
      </c>
      <c r="X307" s="173">
        <v>10</v>
      </c>
      <c r="Y307" s="2"/>
      <c r="Z307" s="173" t="s">
        <v>138</v>
      </c>
      <c r="AA307" s="173">
        <v>9</v>
      </c>
      <c r="AC307" s="173" t="s">
        <v>138</v>
      </c>
      <c r="AD307" s="173">
        <v>13</v>
      </c>
    </row>
    <row r="308" spans="2:30" x14ac:dyDescent="0.25">
      <c r="N308" s="170" t="s">
        <v>140</v>
      </c>
      <c r="O308" s="170">
        <v>13</v>
      </c>
      <c r="P308" s="2"/>
      <c r="Q308" s="170" t="s">
        <v>140</v>
      </c>
      <c r="R308" s="170">
        <v>14</v>
      </c>
      <c r="W308" s="173" t="s">
        <v>140</v>
      </c>
      <c r="X308" s="173">
        <v>14</v>
      </c>
    </row>
    <row r="311" spans="2:30" ht="26.25" x14ac:dyDescent="0.25">
      <c r="B311" s="153" t="s">
        <v>187</v>
      </c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</row>
    <row r="313" spans="2:30" x14ac:dyDescent="0.25">
      <c r="B313" s="155" t="s">
        <v>133</v>
      </c>
      <c r="C313" s="155">
        <v>1</v>
      </c>
      <c r="D313" s="2"/>
      <c r="E313" s="155" t="s">
        <v>133</v>
      </c>
      <c r="F313" s="155">
        <v>2</v>
      </c>
      <c r="H313" s="155" t="s">
        <v>133</v>
      </c>
      <c r="I313" s="155">
        <v>3</v>
      </c>
      <c r="J313" s="2"/>
      <c r="K313" s="155" t="s">
        <v>133</v>
      </c>
      <c r="L313" s="155">
        <v>4</v>
      </c>
      <c r="N313" s="170" t="s">
        <v>133</v>
      </c>
      <c r="O313" s="170">
        <v>1</v>
      </c>
      <c r="P313" s="2"/>
      <c r="Q313" s="170" t="s">
        <v>133</v>
      </c>
      <c r="R313" s="170">
        <v>2</v>
      </c>
      <c r="S313" s="2"/>
      <c r="T313" s="170" t="s">
        <v>133</v>
      </c>
      <c r="U313" s="170">
        <v>3</v>
      </c>
      <c r="W313" s="173" t="s">
        <v>133</v>
      </c>
      <c r="X313" s="173">
        <v>1</v>
      </c>
      <c r="Y313" s="2"/>
      <c r="Z313" s="173" t="s">
        <v>133</v>
      </c>
      <c r="AA313" s="173">
        <v>2</v>
      </c>
      <c r="AC313" s="173" t="s">
        <v>133</v>
      </c>
      <c r="AD313" s="173">
        <v>3</v>
      </c>
    </row>
    <row r="314" spans="2:30" x14ac:dyDescent="0.25">
      <c r="B314" s="155" t="s">
        <v>134</v>
      </c>
      <c r="C314" s="155">
        <v>3</v>
      </c>
      <c r="D314" s="2"/>
      <c r="E314" s="155" t="s">
        <v>134</v>
      </c>
      <c r="F314" s="155">
        <v>4</v>
      </c>
      <c r="H314" s="155" t="s">
        <v>134</v>
      </c>
      <c r="I314" s="155">
        <v>2</v>
      </c>
      <c r="J314" s="2"/>
      <c r="K314" s="155" t="s">
        <v>134</v>
      </c>
      <c r="L314" s="155">
        <v>1</v>
      </c>
      <c r="N314" s="170" t="s">
        <v>134</v>
      </c>
      <c r="O314" s="170">
        <v>2</v>
      </c>
      <c r="P314" s="2"/>
      <c r="Q314" s="170" t="s">
        <v>134</v>
      </c>
      <c r="R314" s="170">
        <v>3</v>
      </c>
      <c r="S314" s="2"/>
      <c r="T314" s="170" t="s">
        <v>134</v>
      </c>
      <c r="U314" s="170">
        <v>5</v>
      </c>
      <c r="W314" s="173" t="s">
        <v>134</v>
      </c>
      <c r="X314" s="173">
        <v>5</v>
      </c>
      <c r="Y314" s="2"/>
      <c r="Z314" s="173" t="s">
        <v>134</v>
      </c>
      <c r="AA314" s="173">
        <v>3</v>
      </c>
      <c r="AC314" s="173" t="s">
        <v>134</v>
      </c>
      <c r="AD314" s="173">
        <v>6</v>
      </c>
    </row>
    <row r="315" spans="2:30" x14ac:dyDescent="0.25">
      <c r="B315" s="155" t="s">
        <v>136</v>
      </c>
      <c r="C315" s="155">
        <v>5</v>
      </c>
      <c r="D315" s="2"/>
      <c r="E315" s="155" t="s">
        <v>136</v>
      </c>
      <c r="F315" s="155">
        <v>6</v>
      </c>
      <c r="H315" s="155" t="s">
        <v>136</v>
      </c>
      <c r="I315" s="155">
        <v>7</v>
      </c>
      <c r="J315" s="2"/>
      <c r="K315" s="155" t="s">
        <v>136</v>
      </c>
      <c r="L315" s="155">
        <v>8</v>
      </c>
      <c r="N315" s="170" t="s">
        <v>136</v>
      </c>
      <c r="O315" s="170">
        <v>7</v>
      </c>
      <c r="P315" s="2"/>
      <c r="Q315" s="170" t="s">
        <v>136</v>
      </c>
      <c r="R315" s="170">
        <v>8</v>
      </c>
      <c r="S315" s="2"/>
      <c r="T315" s="170" t="s">
        <v>136</v>
      </c>
      <c r="U315" s="170">
        <v>6</v>
      </c>
      <c r="W315" s="173" t="s">
        <v>136</v>
      </c>
      <c r="X315" s="173">
        <v>6</v>
      </c>
      <c r="Y315" s="2"/>
      <c r="Z315" s="173" t="s">
        <v>136</v>
      </c>
      <c r="AA315" s="173">
        <v>5</v>
      </c>
      <c r="AC315" s="173" t="s">
        <v>136</v>
      </c>
      <c r="AD315" s="173">
        <v>9</v>
      </c>
    </row>
    <row r="316" spans="2:30" x14ac:dyDescent="0.25">
      <c r="B316" s="155" t="s">
        <v>138</v>
      </c>
      <c r="C316" s="155">
        <v>7</v>
      </c>
      <c r="D316" s="2"/>
      <c r="E316" s="155" t="s">
        <v>138</v>
      </c>
      <c r="F316" s="155">
        <v>8</v>
      </c>
      <c r="H316" s="155" t="s">
        <v>138</v>
      </c>
      <c r="I316" s="155">
        <v>6</v>
      </c>
      <c r="J316" s="2"/>
      <c r="K316" s="155" t="s">
        <v>138</v>
      </c>
      <c r="L316" s="155">
        <v>5</v>
      </c>
      <c r="N316" s="170" t="s">
        <v>138</v>
      </c>
      <c r="O316" s="170">
        <v>8</v>
      </c>
      <c r="P316" s="2"/>
      <c r="Q316" s="170" t="s">
        <v>138</v>
      </c>
      <c r="R316" s="170">
        <v>9</v>
      </c>
      <c r="S316" s="2"/>
      <c r="T316" s="170" t="s">
        <v>138</v>
      </c>
      <c r="U316" s="170">
        <v>9</v>
      </c>
      <c r="W316" s="173" t="s">
        <v>138</v>
      </c>
      <c r="X316" s="173">
        <v>11</v>
      </c>
      <c r="Y316" s="2"/>
      <c r="Z316" s="173" t="s">
        <v>138</v>
      </c>
      <c r="AA316" s="173">
        <v>12</v>
      </c>
      <c r="AC316" s="173" t="s">
        <v>138</v>
      </c>
      <c r="AD316" s="173">
        <v>11</v>
      </c>
    </row>
    <row r="317" spans="2:30" x14ac:dyDescent="0.25">
      <c r="B317" s="155" t="s">
        <v>140</v>
      </c>
      <c r="C317" s="155">
        <v>9</v>
      </c>
      <c r="D317" s="2"/>
      <c r="E317" s="155" t="s">
        <v>140</v>
      </c>
      <c r="F317" s="155">
        <v>10</v>
      </c>
      <c r="H317" s="155" t="s">
        <v>140</v>
      </c>
      <c r="I317" s="155">
        <v>11</v>
      </c>
      <c r="J317" s="2"/>
      <c r="K317" s="155" t="s">
        <v>140</v>
      </c>
      <c r="L317" s="155">
        <v>12</v>
      </c>
      <c r="N317" s="170" t="s">
        <v>140</v>
      </c>
      <c r="O317" s="170">
        <v>11</v>
      </c>
      <c r="P317" s="2"/>
      <c r="Q317" s="170" t="s">
        <v>140</v>
      </c>
      <c r="R317" s="170">
        <v>12</v>
      </c>
      <c r="S317" s="2"/>
      <c r="T317" s="170" t="s">
        <v>140</v>
      </c>
      <c r="U317" s="170">
        <v>11</v>
      </c>
      <c r="W317" s="173" t="s">
        <v>140</v>
      </c>
      <c r="X317" s="173">
        <v>12</v>
      </c>
      <c r="Y317" s="2"/>
      <c r="Z317" s="173" t="s">
        <v>140</v>
      </c>
      <c r="AA317" s="173">
        <v>13</v>
      </c>
      <c r="AC317" s="173" t="s">
        <v>140</v>
      </c>
      <c r="AD317" s="173">
        <v>14</v>
      </c>
    </row>
    <row r="318" spans="2:30" x14ac:dyDescent="0.25">
      <c r="B318" s="155" t="s">
        <v>141</v>
      </c>
      <c r="C318" s="155">
        <v>11</v>
      </c>
      <c r="D318" s="2"/>
      <c r="E318" s="155" t="s">
        <v>141</v>
      </c>
      <c r="F318" s="155">
        <v>12</v>
      </c>
      <c r="H318" s="155" t="s">
        <v>141</v>
      </c>
      <c r="I318" s="155">
        <v>10</v>
      </c>
      <c r="J318" s="2"/>
      <c r="K318" s="155" t="s">
        <v>141</v>
      </c>
      <c r="L318" s="155">
        <v>9</v>
      </c>
      <c r="N318" s="170" t="s">
        <v>141</v>
      </c>
      <c r="O318" s="170">
        <v>12</v>
      </c>
      <c r="P318" s="2"/>
      <c r="Q318" s="170" t="s">
        <v>141</v>
      </c>
      <c r="R318" s="170">
        <v>13</v>
      </c>
      <c r="S318" s="2"/>
      <c r="T318" s="170" t="s">
        <v>141</v>
      </c>
      <c r="U318" s="170">
        <v>14</v>
      </c>
    </row>
    <row r="319" spans="2:30" x14ac:dyDescent="0.25">
      <c r="B319" s="155" t="s">
        <v>142</v>
      </c>
      <c r="C319" s="155">
        <v>13</v>
      </c>
      <c r="D319" s="2"/>
      <c r="E319" s="155" t="s">
        <v>142</v>
      </c>
      <c r="F319" s="155">
        <v>14</v>
      </c>
      <c r="H319" s="155" t="s">
        <v>142</v>
      </c>
      <c r="I319" s="155">
        <v>13</v>
      </c>
      <c r="J319" s="2"/>
      <c r="K319" s="155" t="s">
        <v>145</v>
      </c>
      <c r="L319" s="155">
        <v>15</v>
      </c>
      <c r="O319" s="2"/>
      <c r="R319" s="2"/>
    </row>
    <row r="320" spans="2:30" x14ac:dyDescent="0.25">
      <c r="B320" s="155" t="s">
        <v>143</v>
      </c>
      <c r="C320" s="155">
        <v>14</v>
      </c>
      <c r="D320" s="2"/>
      <c r="H320" s="2"/>
      <c r="I320" s="2"/>
      <c r="O320" s="2"/>
      <c r="R320" s="2"/>
      <c r="W320" s="173" t="s">
        <v>133</v>
      </c>
      <c r="X320" s="173">
        <v>4</v>
      </c>
      <c r="Y320" s="2"/>
      <c r="Z320" s="173" t="s">
        <v>133</v>
      </c>
      <c r="AA320" s="173">
        <v>1</v>
      </c>
      <c r="AC320" s="173" t="s">
        <v>133</v>
      </c>
      <c r="AD320" s="173">
        <v>2</v>
      </c>
    </row>
    <row r="321" spans="2:30" x14ac:dyDescent="0.25">
      <c r="N321" s="170" t="s">
        <v>133</v>
      </c>
      <c r="O321" s="170">
        <v>4</v>
      </c>
      <c r="P321" s="2"/>
      <c r="Q321" s="170" t="s">
        <v>133</v>
      </c>
      <c r="R321" s="170">
        <v>1</v>
      </c>
      <c r="W321" s="173" t="s">
        <v>134</v>
      </c>
      <c r="X321" s="173">
        <v>7</v>
      </c>
      <c r="Y321" s="2"/>
      <c r="Z321" s="173" t="s">
        <v>134</v>
      </c>
      <c r="AA321" s="173">
        <v>4</v>
      </c>
      <c r="AC321" s="173" t="s">
        <v>134</v>
      </c>
      <c r="AD321" s="173">
        <v>8</v>
      </c>
    </row>
    <row r="322" spans="2:30" x14ac:dyDescent="0.25">
      <c r="N322" s="170" t="s">
        <v>134</v>
      </c>
      <c r="O322" s="170">
        <v>6</v>
      </c>
      <c r="P322" s="2"/>
      <c r="Q322" s="170" t="s">
        <v>134</v>
      </c>
      <c r="R322" s="170">
        <v>4</v>
      </c>
      <c r="W322" s="173" t="s">
        <v>136</v>
      </c>
      <c r="X322" s="173">
        <v>8</v>
      </c>
      <c r="Y322" s="2"/>
      <c r="Z322" s="173" t="s">
        <v>136</v>
      </c>
      <c r="AA322" s="173">
        <v>7</v>
      </c>
      <c r="AC322" s="173" t="s">
        <v>136</v>
      </c>
      <c r="AD322" s="173">
        <v>10</v>
      </c>
    </row>
    <row r="323" spans="2:30" x14ac:dyDescent="0.25">
      <c r="N323" s="170" t="s">
        <v>136</v>
      </c>
      <c r="O323" s="170">
        <v>5</v>
      </c>
      <c r="P323" s="2"/>
      <c r="Q323" s="170" t="s">
        <v>136</v>
      </c>
      <c r="R323" s="170">
        <v>7</v>
      </c>
      <c r="W323" s="173" t="s">
        <v>138</v>
      </c>
      <c r="X323" s="173">
        <v>10</v>
      </c>
      <c r="Y323" s="2"/>
      <c r="Z323" s="173" t="s">
        <v>138</v>
      </c>
      <c r="AA323" s="173">
        <v>9</v>
      </c>
      <c r="AC323" s="173" t="s">
        <v>138</v>
      </c>
      <c r="AD323" s="173">
        <v>13</v>
      </c>
    </row>
    <row r="324" spans="2:30" x14ac:dyDescent="0.25">
      <c r="N324" s="170" t="s">
        <v>138</v>
      </c>
      <c r="O324" s="170">
        <v>10</v>
      </c>
      <c r="P324" s="2"/>
      <c r="Q324" s="170" t="s">
        <v>138</v>
      </c>
      <c r="R324" s="170">
        <v>10</v>
      </c>
      <c r="W324" s="173" t="s">
        <v>140</v>
      </c>
      <c r="X324" s="173">
        <v>14</v>
      </c>
      <c r="Y324" s="2"/>
      <c r="Z324" s="173" t="s">
        <v>145</v>
      </c>
      <c r="AA324" s="173">
        <v>15</v>
      </c>
      <c r="AC324" s="2"/>
      <c r="AD324" s="2"/>
    </row>
    <row r="325" spans="2:30" x14ac:dyDescent="0.25">
      <c r="N325" s="170" t="s">
        <v>140</v>
      </c>
      <c r="O325" s="170">
        <v>13</v>
      </c>
      <c r="P325" s="2"/>
      <c r="Q325" s="170" t="s">
        <v>140</v>
      </c>
      <c r="R325" s="170">
        <v>14</v>
      </c>
    </row>
    <row r="326" spans="2:30" x14ac:dyDescent="0.25">
      <c r="N326" s="170" t="s">
        <v>141</v>
      </c>
      <c r="O326" s="170">
        <v>15</v>
      </c>
      <c r="P326" s="2"/>
      <c r="Q326" s="2"/>
      <c r="R326" s="2"/>
    </row>
    <row r="329" spans="2:30" ht="26.25" x14ac:dyDescent="0.25">
      <c r="B329" s="153" t="s">
        <v>188</v>
      </c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</row>
    <row r="331" spans="2:30" x14ac:dyDescent="0.25">
      <c r="B331" s="155" t="s">
        <v>133</v>
      </c>
      <c r="C331" s="155">
        <v>1</v>
      </c>
      <c r="D331" s="2"/>
      <c r="E331" s="155" t="s">
        <v>133</v>
      </c>
      <c r="F331" s="155">
        <v>2</v>
      </c>
      <c r="H331" s="155" t="s">
        <v>133</v>
      </c>
      <c r="I331" s="155">
        <v>3</v>
      </c>
      <c r="J331" s="2"/>
      <c r="K331" s="155" t="s">
        <v>133</v>
      </c>
      <c r="L331" s="155">
        <v>4</v>
      </c>
      <c r="N331" s="170" t="s">
        <v>133</v>
      </c>
      <c r="O331" s="170">
        <v>1</v>
      </c>
      <c r="P331" s="2"/>
      <c r="Q331" s="170" t="s">
        <v>133</v>
      </c>
      <c r="R331" s="170">
        <v>2</v>
      </c>
      <c r="T331" s="170" t="s">
        <v>133</v>
      </c>
      <c r="U331" s="170">
        <v>3</v>
      </c>
      <c r="W331" s="173" t="s">
        <v>133</v>
      </c>
      <c r="X331" s="173">
        <v>1</v>
      </c>
      <c r="Y331" s="2"/>
      <c r="Z331" s="173" t="s">
        <v>133</v>
      </c>
      <c r="AA331" s="173">
        <v>2</v>
      </c>
      <c r="AC331" s="173" t="s">
        <v>133</v>
      </c>
      <c r="AD331" s="173">
        <v>3</v>
      </c>
    </row>
    <row r="332" spans="2:30" x14ac:dyDescent="0.25">
      <c r="B332" s="155" t="s">
        <v>134</v>
      </c>
      <c r="C332" s="155">
        <v>3</v>
      </c>
      <c r="D332" s="2"/>
      <c r="E332" s="155" t="s">
        <v>134</v>
      </c>
      <c r="F332" s="155">
        <v>4</v>
      </c>
      <c r="H332" s="155" t="s">
        <v>134</v>
      </c>
      <c r="I332" s="155">
        <v>2</v>
      </c>
      <c r="J332" s="2"/>
      <c r="K332" s="155" t="s">
        <v>134</v>
      </c>
      <c r="L332" s="155">
        <v>1</v>
      </c>
      <c r="N332" s="170" t="s">
        <v>134</v>
      </c>
      <c r="O332" s="170">
        <v>2</v>
      </c>
      <c r="P332" s="2"/>
      <c r="Q332" s="170" t="s">
        <v>134</v>
      </c>
      <c r="R332" s="170">
        <v>3</v>
      </c>
      <c r="T332" s="170" t="s">
        <v>134</v>
      </c>
      <c r="U332" s="170">
        <v>5</v>
      </c>
      <c r="W332" s="173" t="s">
        <v>134</v>
      </c>
      <c r="X332" s="173">
        <v>5</v>
      </c>
      <c r="Y332" s="2"/>
      <c r="Z332" s="173" t="s">
        <v>134</v>
      </c>
      <c r="AA332" s="173">
        <v>3</v>
      </c>
      <c r="AC332" s="173" t="s">
        <v>134</v>
      </c>
      <c r="AD332" s="173">
        <v>6</v>
      </c>
    </row>
    <row r="333" spans="2:30" x14ac:dyDescent="0.25">
      <c r="B333" s="155" t="s">
        <v>136</v>
      </c>
      <c r="C333" s="155">
        <v>5</v>
      </c>
      <c r="D333" s="2"/>
      <c r="E333" s="155" t="s">
        <v>136</v>
      </c>
      <c r="F333" s="155">
        <v>6</v>
      </c>
      <c r="H333" s="155" t="s">
        <v>136</v>
      </c>
      <c r="I333" s="155">
        <v>7</v>
      </c>
      <c r="J333" s="2"/>
      <c r="K333" s="155" t="s">
        <v>136</v>
      </c>
      <c r="L333" s="155">
        <v>8</v>
      </c>
      <c r="N333" s="170" t="s">
        <v>136</v>
      </c>
      <c r="O333" s="170">
        <v>7</v>
      </c>
      <c r="P333" s="2"/>
      <c r="Q333" s="170" t="s">
        <v>136</v>
      </c>
      <c r="R333" s="170">
        <v>8</v>
      </c>
      <c r="T333" s="170" t="s">
        <v>136</v>
      </c>
      <c r="U333" s="170">
        <v>6</v>
      </c>
      <c r="W333" s="173" t="s">
        <v>136</v>
      </c>
      <c r="X333" s="173">
        <v>6</v>
      </c>
      <c r="Y333" s="2"/>
      <c r="Z333" s="173" t="s">
        <v>136</v>
      </c>
      <c r="AA333" s="173">
        <v>5</v>
      </c>
      <c r="AC333" s="173" t="s">
        <v>136</v>
      </c>
      <c r="AD333" s="173">
        <v>9</v>
      </c>
    </row>
    <row r="334" spans="2:30" x14ac:dyDescent="0.25">
      <c r="B334" s="155" t="s">
        <v>138</v>
      </c>
      <c r="C334" s="155">
        <v>7</v>
      </c>
      <c r="D334" s="2"/>
      <c r="E334" s="155" t="s">
        <v>138</v>
      </c>
      <c r="F334" s="155">
        <v>8</v>
      </c>
      <c r="H334" s="155" t="s">
        <v>138</v>
      </c>
      <c r="I334" s="155">
        <v>6</v>
      </c>
      <c r="J334" s="2"/>
      <c r="K334" s="155" t="s">
        <v>138</v>
      </c>
      <c r="L334" s="155">
        <v>5</v>
      </c>
      <c r="N334" s="170" t="s">
        <v>138</v>
      </c>
      <c r="O334" s="170">
        <v>8</v>
      </c>
      <c r="P334" s="2"/>
      <c r="Q334" s="170" t="s">
        <v>138</v>
      </c>
      <c r="R334" s="170">
        <v>9</v>
      </c>
      <c r="T334" s="170" t="s">
        <v>138</v>
      </c>
      <c r="U334" s="170">
        <v>9</v>
      </c>
      <c r="W334" s="173" t="s">
        <v>138</v>
      </c>
      <c r="X334" s="173">
        <v>11</v>
      </c>
      <c r="Y334" s="2"/>
      <c r="Z334" s="173" t="s">
        <v>138</v>
      </c>
      <c r="AA334" s="173">
        <v>12</v>
      </c>
      <c r="AC334" s="173" t="s">
        <v>138</v>
      </c>
      <c r="AD334" s="173">
        <v>11</v>
      </c>
    </row>
    <row r="335" spans="2:30" x14ac:dyDescent="0.25">
      <c r="B335" s="155" t="s">
        <v>140</v>
      </c>
      <c r="C335" s="155">
        <v>9</v>
      </c>
      <c r="D335" s="2"/>
      <c r="E335" s="155" t="s">
        <v>140</v>
      </c>
      <c r="F335" s="155">
        <v>10</v>
      </c>
      <c r="H335" s="155" t="s">
        <v>140</v>
      </c>
      <c r="I335" s="155">
        <v>11</v>
      </c>
      <c r="J335" s="2"/>
      <c r="K335" s="155" t="s">
        <v>140</v>
      </c>
      <c r="L335" s="155">
        <v>12</v>
      </c>
      <c r="N335" s="170" t="s">
        <v>140</v>
      </c>
      <c r="O335" s="170">
        <v>11</v>
      </c>
      <c r="P335" s="2"/>
      <c r="Q335" s="170" t="s">
        <v>140</v>
      </c>
      <c r="R335" s="170">
        <v>12</v>
      </c>
      <c r="T335" s="170" t="s">
        <v>140</v>
      </c>
      <c r="U335" s="170">
        <v>11</v>
      </c>
      <c r="W335" s="173" t="s">
        <v>140</v>
      </c>
      <c r="X335" s="173">
        <v>12</v>
      </c>
      <c r="Y335" s="2"/>
      <c r="Z335" s="173" t="s">
        <v>140</v>
      </c>
      <c r="AA335" s="173">
        <v>13</v>
      </c>
      <c r="AC335" s="173" t="s">
        <v>140</v>
      </c>
      <c r="AD335" s="173">
        <v>14</v>
      </c>
    </row>
    <row r="336" spans="2:30" x14ac:dyDescent="0.25">
      <c r="B336" s="155" t="s">
        <v>141</v>
      </c>
      <c r="C336" s="155">
        <v>11</v>
      </c>
      <c r="D336" s="2"/>
      <c r="E336" s="155" t="s">
        <v>141</v>
      </c>
      <c r="F336" s="155">
        <v>12</v>
      </c>
      <c r="H336" s="155" t="s">
        <v>141</v>
      </c>
      <c r="I336" s="155">
        <v>10</v>
      </c>
      <c r="J336" s="2"/>
      <c r="K336" s="155" t="s">
        <v>141</v>
      </c>
      <c r="L336" s="155">
        <v>9</v>
      </c>
      <c r="N336" s="170" t="s">
        <v>141</v>
      </c>
      <c r="O336" s="170">
        <v>12</v>
      </c>
      <c r="P336" s="2"/>
      <c r="Q336" s="170" t="s">
        <v>141</v>
      </c>
      <c r="R336" s="170">
        <v>13</v>
      </c>
      <c r="T336" s="170" t="s">
        <v>141</v>
      </c>
      <c r="U336" s="170">
        <v>14</v>
      </c>
      <c r="X336" s="2"/>
      <c r="AA336" s="2"/>
      <c r="AD336" s="2"/>
    </row>
    <row r="337" spans="2:30" x14ac:dyDescent="0.25">
      <c r="B337" s="155" t="s">
        <v>142</v>
      </c>
      <c r="C337" s="155">
        <v>13</v>
      </c>
      <c r="D337" s="2"/>
      <c r="E337" s="155" t="s">
        <v>142</v>
      </c>
      <c r="F337" s="155">
        <v>14</v>
      </c>
      <c r="H337" s="155" t="s">
        <v>142</v>
      </c>
      <c r="I337" s="155">
        <v>15</v>
      </c>
      <c r="J337" s="2"/>
      <c r="K337" s="155" t="s">
        <v>142</v>
      </c>
      <c r="L337" s="155">
        <v>15</v>
      </c>
      <c r="X337" s="2"/>
      <c r="AA337" s="2"/>
      <c r="AD337" s="2"/>
    </row>
    <row r="338" spans="2:30" x14ac:dyDescent="0.25">
      <c r="B338" s="155" t="s">
        <v>143</v>
      </c>
      <c r="C338" s="155">
        <v>14</v>
      </c>
      <c r="D338" s="2"/>
      <c r="E338" s="155" t="s">
        <v>143</v>
      </c>
      <c r="F338" s="155">
        <v>13</v>
      </c>
      <c r="H338" s="2"/>
      <c r="I338" s="2"/>
      <c r="W338" s="173" t="s">
        <v>133</v>
      </c>
      <c r="X338" s="173">
        <v>4</v>
      </c>
      <c r="Y338" s="2"/>
      <c r="Z338" s="173" t="s">
        <v>133</v>
      </c>
      <c r="AA338" s="173">
        <v>1</v>
      </c>
      <c r="AC338" s="173" t="s">
        <v>133</v>
      </c>
      <c r="AD338" s="173">
        <v>2</v>
      </c>
    </row>
    <row r="339" spans="2:30" x14ac:dyDescent="0.25">
      <c r="N339" s="170" t="s">
        <v>133</v>
      </c>
      <c r="O339" s="170">
        <v>4</v>
      </c>
      <c r="P339" s="2"/>
      <c r="Q339" s="170" t="s">
        <v>133</v>
      </c>
      <c r="R339" s="170">
        <v>1</v>
      </c>
      <c r="W339" s="173" t="s">
        <v>134</v>
      </c>
      <c r="X339" s="173">
        <v>7</v>
      </c>
      <c r="Y339" s="2"/>
      <c r="Z339" s="173" t="s">
        <v>134</v>
      </c>
      <c r="AA339" s="173">
        <v>4</v>
      </c>
      <c r="AC339" s="173" t="s">
        <v>134</v>
      </c>
      <c r="AD339" s="173">
        <v>8</v>
      </c>
    </row>
    <row r="340" spans="2:30" x14ac:dyDescent="0.25">
      <c r="N340" s="170" t="s">
        <v>134</v>
      </c>
      <c r="O340" s="170">
        <v>6</v>
      </c>
      <c r="P340" s="2"/>
      <c r="Q340" s="170" t="s">
        <v>134</v>
      </c>
      <c r="R340" s="170">
        <v>4</v>
      </c>
      <c r="W340" s="173" t="s">
        <v>136</v>
      </c>
      <c r="X340" s="173">
        <v>8</v>
      </c>
      <c r="Y340" s="2"/>
      <c r="Z340" s="173" t="s">
        <v>136</v>
      </c>
      <c r="AA340" s="173">
        <v>7</v>
      </c>
      <c r="AC340" s="173" t="s">
        <v>136</v>
      </c>
      <c r="AD340" s="173">
        <v>10</v>
      </c>
    </row>
    <row r="341" spans="2:30" x14ac:dyDescent="0.25">
      <c r="N341" s="170" t="s">
        <v>136</v>
      </c>
      <c r="O341" s="170">
        <v>5</v>
      </c>
      <c r="P341" s="2"/>
      <c r="Q341" s="170" t="s">
        <v>136</v>
      </c>
      <c r="R341" s="170">
        <v>7</v>
      </c>
      <c r="W341" s="173" t="s">
        <v>138</v>
      </c>
      <c r="X341" s="173">
        <v>10</v>
      </c>
      <c r="Y341" s="2"/>
      <c r="Z341" s="173" t="s">
        <v>138</v>
      </c>
      <c r="AA341" s="173">
        <v>9</v>
      </c>
      <c r="AC341" s="173" t="s">
        <v>138</v>
      </c>
      <c r="AD341" s="173">
        <v>13</v>
      </c>
    </row>
    <row r="342" spans="2:30" x14ac:dyDescent="0.25">
      <c r="N342" s="170" t="s">
        <v>138</v>
      </c>
      <c r="O342" s="170">
        <v>10</v>
      </c>
      <c r="P342" s="2"/>
      <c r="Q342" s="170" t="s">
        <v>138</v>
      </c>
      <c r="R342" s="170">
        <v>10</v>
      </c>
      <c r="W342" s="173" t="s">
        <v>140</v>
      </c>
      <c r="X342" s="173">
        <v>14</v>
      </c>
      <c r="Y342" s="2"/>
      <c r="Z342" s="173" t="s">
        <v>140</v>
      </c>
      <c r="AA342" s="173">
        <v>15</v>
      </c>
      <c r="AC342" s="173" t="s">
        <v>140</v>
      </c>
      <c r="AD342" s="173">
        <v>15</v>
      </c>
    </row>
    <row r="343" spans="2:30" x14ac:dyDescent="0.25">
      <c r="N343" s="170" t="s">
        <v>140</v>
      </c>
      <c r="O343" s="170">
        <v>13</v>
      </c>
      <c r="P343" s="2"/>
      <c r="Q343" s="170" t="s">
        <v>140</v>
      </c>
      <c r="R343" s="170">
        <v>14</v>
      </c>
    </row>
    <row r="344" spans="2:30" x14ac:dyDescent="0.25">
      <c r="N344" s="170" t="s">
        <v>141</v>
      </c>
      <c r="O344" s="170">
        <v>15</v>
      </c>
      <c r="P344" s="2"/>
      <c r="Q344" s="170" t="s">
        <v>141</v>
      </c>
      <c r="R344" s="170">
        <v>15</v>
      </c>
    </row>
    <row r="346" spans="2:30" ht="26.25" x14ac:dyDescent="0.25">
      <c r="B346" s="153" t="s">
        <v>189</v>
      </c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</row>
    <row r="348" spans="2:30" x14ac:dyDescent="0.25">
      <c r="B348" s="155" t="s">
        <v>133</v>
      </c>
      <c r="C348" s="155">
        <v>1</v>
      </c>
      <c r="D348" s="2"/>
      <c r="E348" s="155" t="s">
        <v>133</v>
      </c>
      <c r="F348" s="155">
        <v>2</v>
      </c>
      <c r="H348" s="155" t="s">
        <v>133</v>
      </c>
      <c r="I348" s="155">
        <v>3</v>
      </c>
      <c r="J348" s="2"/>
      <c r="K348" s="155" t="s">
        <v>133</v>
      </c>
      <c r="L348" s="155">
        <v>4</v>
      </c>
      <c r="N348" s="170" t="s">
        <v>133</v>
      </c>
      <c r="O348" s="170">
        <v>1</v>
      </c>
      <c r="P348" s="2"/>
      <c r="Q348" s="170" t="s">
        <v>133</v>
      </c>
      <c r="R348" s="170">
        <v>2</v>
      </c>
      <c r="S348" s="2"/>
      <c r="T348" s="170" t="s">
        <v>133</v>
      </c>
      <c r="U348" s="170">
        <v>3</v>
      </c>
      <c r="V348" s="2"/>
      <c r="W348" s="174" t="s">
        <v>133</v>
      </c>
      <c r="X348" s="175">
        <v>1</v>
      </c>
      <c r="Y348" s="2"/>
      <c r="Z348" s="175" t="s">
        <v>133</v>
      </c>
      <c r="AA348" s="175">
        <v>2</v>
      </c>
      <c r="AB348" s="2"/>
      <c r="AC348" s="175" t="s">
        <v>133</v>
      </c>
      <c r="AD348" s="176">
        <v>3</v>
      </c>
    </row>
    <row r="349" spans="2:30" x14ac:dyDescent="0.25">
      <c r="B349" s="155" t="s">
        <v>134</v>
      </c>
      <c r="C349" s="155">
        <v>3</v>
      </c>
      <c r="D349" s="2"/>
      <c r="E349" s="155" t="s">
        <v>134</v>
      </c>
      <c r="F349" s="155">
        <v>4</v>
      </c>
      <c r="H349" s="155" t="s">
        <v>134</v>
      </c>
      <c r="I349" s="155">
        <v>2</v>
      </c>
      <c r="J349" s="2"/>
      <c r="K349" s="155" t="s">
        <v>134</v>
      </c>
      <c r="L349" s="155">
        <v>1</v>
      </c>
      <c r="N349" s="170" t="s">
        <v>134</v>
      </c>
      <c r="O349" s="170">
        <v>2</v>
      </c>
      <c r="P349" s="2"/>
      <c r="Q349" s="170" t="s">
        <v>134</v>
      </c>
      <c r="R349" s="170">
        <v>3</v>
      </c>
      <c r="T349" s="170" t="s">
        <v>134</v>
      </c>
      <c r="U349" s="170">
        <v>5</v>
      </c>
      <c r="V349" s="2"/>
      <c r="W349" s="175" t="s">
        <v>134</v>
      </c>
      <c r="X349" s="175">
        <v>5</v>
      </c>
      <c r="Y349" s="2"/>
      <c r="Z349" s="175" t="s">
        <v>134</v>
      </c>
      <c r="AA349" s="175">
        <v>3</v>
      </c>
      <c r="AC349" s="175" t="s">
        <v>134</v>
      </c>
      <c r="AD349" s="175">
        <v>6</v>
      </c>
    </row>
    <row r="350" spans="2:30" x14ac:dyDescent="0.25">
      <c r="B350" s="155" t="s">
        <v>136</v>
      </c>
      <c r="C350" s="155">
        <v>5</v>
      </c>
      <c r="D350" s="2"/>
      <c r="E350" s="155" t="s">
        <v>136</v>
      </c>
      <c r="F350" s="155">
        <v>6</v>
      </c>
      <c r="H350" s="155" t="s">
        <v>136</v>
      </c>
      <c r="I350" s="155">
        <v>7</v>
      </c>
      <c r="J350" s="2"/>
      <c r="K350" s="155" t="s">
        <v>136</v>
      </c>
      <c r="L350" s="155">
        <v>8</v>
      </c>
      <c r="N350" s="170" t="s">
        <v>136</v>
      </c>
      <c r="O350" s="170">
        <v>7</v>
      </c>
      <c r="P350" s="2"/>
      <c r="Q350" s="170" t="s">
        <v>136</v>
      </c>
      <c r="R350" s="170">
        <v>8</v>
      </c>
      <c r="T350" s="170" t="s">
        <v>136</v>
      </c>
      <c r="U350" s="170">
        <v>6</v>
      </c>
      <c r="V350" s="2"/>
      <c r="W350" s="175" t="s">
        <v>136</v>
      </c>
      <c r="X350" s="175">
        <v>6</v>
      </c>
      <c r="Y350" s="2"/>
      <c r="Z350" s="175" t="s">
        <v>136</v>
      </c>
      <c r="AA350" s="175">
        <v>5</v>
      </c>
      <c r="AC350" s="175" t="s">
        <v>136</v>
      </c>
      <c r="AD350" s="175">
        <v>9</v>
      </c>
    </row>
    <row r="351" spans="2:30" x14ac:dyDescent="0.25">
      <c r="B351" s="155" t="s">
        <v>138</v>
      </c>
      <c r="C351" s="155">
        <v>7</v>
      </c>
      <c r="D351" s="2"/>
      <c r="E351" s="155" t="s">
        <v>138</v>
      </c>
      <c r="F351" s="155">
        <v>8</v>
      </c>
      <c r="H351" s="155" t="s">
        <v>138</v>
      </c>
      <c r="I351" s="155">
        <v>6</v>
      </c>
      <c r="J351" s="2"/>
      <c r="K351" s="155" t="s">
        <v>138</v>
      </c>
      <c r="L351" s="155">
        <v>5</v>
      </c>
      <c r="N351" s="170" t="s">
        <v>138</v>
      </c>
      <c r="O351" s="170">
        <v>8</v>
      </c>
      <c r="P351" s="2"/>
      <c r="Q351" s="170" t="s">
        <v>138</v>
      </c>
      <c r="R351" s="170">
        <v>9</v>
      </c>
      <c r="T351" s="170" t="s">
        <v>138</v>
      </c>
      <c r="U351" s="170">
        <v>9</v>
      </c>
      <c r="V351" s="2"/>
      <c r="W351" s="175" t="s">
        <v>138</v>
      </c>
      <c r="X351" s="175">
        <v>11</v>
      </c>
      <c r="Y351" s="2"/>
      <c r="Z351" s="175" t="s">
        <v>138</v>
      </c>
      <c r="AA351" s="175">
        <v>12</v>
      </c>
      <c r="AC351" s="175" t="s">
        <v>138</v>
      </c>
      <c r="AD351" s="175">
        <v>11</v>
      </c>
    </row>
    <row r="352" spans="2:30" x14ac:dyDescent="0.25">
      <c r="B352" s="155" t="s">
        <v>140</v>
      </c>
      <c r="C352" s="155">
        <v>9</v>
      </c>
      <c r="D352" s="2"/>
      <c r="E352" s="155" t="s">
        <v>140</v>
      </c>
      <c r="F352" s="155">
        <v>10</v>
      </c>
      <c r="H352" s="155" t="s">
        <v>140</v>
      </c>
      <c r="I352" s="155">
        <v>11</v>
      </c>
      <c r="J352" s="2"/>
      <c r="K352" s="155" t="s">
        <v>140</v>
      </c>
      <c r="L352" s="155">
        <v>12</v>
      </c>
      <c r="N352" s="170" t="s">
        <v>140</v>
      </c>
      <c r="O352" s="170">
        <v>11</v>
      </c>
      <c r="P352" s="2"/>
      <c r="Q352" s="170" t="s">
        <v>140</v>
      </c>
      <c r="R352" s="170">
        <v>12</v>
      </c>
      <c r="T352" s="170" t="s">
        <v>140</v>
      </c>
      <c r="U352" s="170">
        <v>11</v>
      </c>
      <c r="V352" s="2"/>
      <c r="W352" s="175" t="s">
        <v>140</v>
      </c>
      <c r="X352" s="175">
        <v>12</v>
      </c>
      <c r="Y352" s="2"/>
      <c r="Z352" s="175" t="s">
        <v>140</v>
      </c>
      <c r="AA352" s="175">
        <v>13</v>
      </c>
      <c r="AC352" s="175" t="s">
        <v>140</v>
      </c>
      <c r="AD352" s="175">
        <v>14</v>
      </c>
    </row>
    <row r="353" spans="2:30" x14ac:dyDescent="0.25">
      <c r="B353" s="155" t="s">
        <v>141</v>
      </c>
      <c r="C353" s="155">
        <v>11</v>
      </c>
      <c r="D353" s="2"/>
      <c r="E353" s="155" t="s">
        <v>141</v>
      </c>
      <c r="F353" s="155">
        <v>12</v>
      </c>
      <c r="H353" s="155" t="s">
        <v>141</v>
      </c>
      <c r="I353" s="155">
        <v>10</v>
      </c>
      <c r="J353" s="2"/>
      <c r="K353" s="155" t="s">
        <v>141</v>
      </c>
      <c r="L353" s="155">
        <v>9</v>
      </c>
      <c r="N353" s="170" t="s">
        <v>141</v>
      </c>
      <c r="O353" s="170">
        <v>12</v>
      </c>
      <c r="P353" s="2"/>
      <c r="Q353" s="170" t="s">
        <v>141</v>
      </c>
      <c r="R353" s="170">
        <v>13</v>
      </c>
      <c r="T353" s="170" t="s">
        <v>141</v>
      </c>
      <c r="U353" s="170">
        <v>14</v>
      </c>
      <c r="V353" s="2"/>
      <c r="W353" s="175" t="s">
        <v>141</v>
      </c>
      <c r="X353" s="175">
        <v>15</v>
      </c>
      <c r="Z353" s="2"/>
      <c r="AA353" s="2"/>
    </row>
    <row r="354" spans="2:30" x14ac:dyDescent="0.25">
      <c r="B354" s="155" t="s">
        <v>142</v>
      </c>
      <c r="C354" s="155">
        <v>13</v>
      </c>
      <c r="D354" s="2"/>
      <c r="E354" s="155" t="s">
        <v>142</v>
      </c>
      <c r="F354" s="155">
        <v>14</v>
      </c>
      <c r="H354" s="155" t="s">
        <v>142</v>
      </c>
      <c r="I354" s="155">
        <v>15</v>
      </c>
      <c r="J354" s="2"/>
      <c r="K354" s="155" t="s">
        <v>142</v>
      </c>
      <c r="L354" s="155">
        <v>16</v>
      </c>
      <c r="N354" s="170" t="s">
        <v>142</v>
      </c>
      <c r="O354" s="170">
        <v>15</v>
      </c>
      <c r="Q354" s="2"/>
      <c r="R354" s="2"/>
    </row>
    <row r="355" spans="2:30" x14ac:dyDescent="0.25">
      <c r="B355" s="155" t="s">
        <v>143</v>
      </c>
      <c r="C355" s="155">
        <v>15</v>
      </c>
      <c r="D355" s="2"/>
      <c r="E355" s="155" t="s">
        <v>143</v>
      </c>
      <c r="F355" s="155">
        <v>16</v>
      </c>
      <c r="H355" s="155" t="s">
        <v>143</v>
      </c>
      <c r="I355" s="155">
        <v>14</v>
      </c>
      <c r="J355" s="2"/>
      <c r="K355" s="2"/>
      <c r="L355" s="2"/>
      <c r="O355" s="2"/>
    </row>
    <row r="356" spans="2:30" x14ac:dyDescent="0.25">
      <c r="W356" s="174" t="s">
        <v>133</v>
      </c>
      <c r="X356" s="175">
        <v>4</v>
      </c>
      <c r="Y356" s="2"/>
      <c r="Z356" s="175" t="s">
        <v>133</v>
      </c>
      <c r="AA356" s="175">
        <v>1</v>
      </c>
      <c r="AB356" s="2"/>
      <c r="AC356" s="175" t="s">
        <v>133</v>
      </c>
      <c r="AD356" s="176">
        <v>2</v>
      </c>
    </row>
    <row r="357" spans="2:30" x14ac:dyDescent="0.25">
      <c r="N357" s="170" t="s">
        <v>133</v>
      </c>
      <c r="O357" s="170">
        <v>4</v>
      </c>
      <c r="P357" s="2"/>
      <c r="Q357" s="170" t="s">
        <v>133</v>
      </c>
      <c r="R357" s="170">
        <v>1</v>
      </c>
      <c r="W357" s="175" t="s">
        <v>134</v>
      </c>
      <c r="X357" s="175">
        <v>7</v>
      </c>
      <c r="Y357" s="2"/>
      <c r="Z357" s="175" t="s">
        <v>134</v>
      </c>
      <c r="AA357" s="175">
        <v>4</v>
      </c>
      <c r="AC357" s="175" t="s">
        <v>134</v>
      </c>
      <c r="AD357" s="175">
        <v>8</v>
      </c>
    </row>
    <row r="358" spans="2:30" x14ac:dyDescent="0.25">
      <c r="N358" s="170" t="s">
        <v>134</v>
      </c>
      <c r="O358" s="170">
        <v>6</v>
      </c>
      <c r="Q358" s="170" t="s">
        <v>134</v>
      </c>
      <c r="R358" s="170">
        <v>4</v>
      </c>
      <c r="W358" s="175" t="s">
        <v>136</v>
      </c>
      <c r="X358" s="175">
        <v>8</v>
      </c>
      <c r="Y358" s="2"/>
      <c r="Z358" s="175" t="s">
        <v>136</v>
      </c>
      <c r="AA358" s="175">
        <v>7</v>
      </c>
      <c r="AC358" s="175" t="s">
        <v>136</v>
      </c>
      <c r="AD358" s="175">
        <v>10</v>
      </c>
    </row>
    <row r="359" spans="2:30" x14ac:dyDescent="0.25">
      <c r="N359" s="170" t="s">
        <v>136</v>
      </c>
      <c r="O359" s="170">
        <v>5</v>
      </c>
      <c r="Q359" s="170" t="s">
        <v>136</v>
      </c>
      <c r="R359" s="170">
        <v>7</v>
      </c>
      <c r="W359" s="175" t="s">
        <v>138</v>
      </c>
      <c r="X359" s="175">
        <v>10</v>
      </c>
      <c r="Y359" s="2"/>
      <c r="Z359" s="175" t="s">
        <v>138</v>
      </c>
      <c r="AA359" s="175">
        <v>9</v>
      </c>
      <c r="AC359" s="175" t="s">
        <v>138</v>
      </c>
      <c r="AD359" s="175">
        <v>13</v>
      </c>
    </row>
    <row r="360" spans="2:30" x14ac:dyDescent="0.25">
      <c r="N360" s="170" t="s">
        <v>138</v>
      </c>
      <c r="O360" s="170">
        <v>10</v>
      </c>
      <c r="Q360" s="170" t="s">
        <v>138</v>
      </c>
      <c r="R360" s="170">
        <v>10</v>
      </c>
      <c r="W360" s="175" t="s">
        <v>140</v>
      </c>
      <c r="X360" s="175">
        <v>14</v>
      </c>
      <c r="Y360" s="2"/>
      <c r="Z360" s="175" t="s">
        <v>140</v>
      </c>
      <c r="AA360" s="175">
        <v>15</v>
      </c>
      <c r="AC360" s="175" t="s">
        <v>145</v>
      </c>
      <c r="AD360" s="175">
        <v>16</v>
      </c>
    </row>
    <row r="361" spans="2:30" x14ac:dyDescent="0.25">
      <c r="N361" s="170" t="s">
        <v>140</v>
      </c>
      <c r="O361" s="170">
        <v>13</v>
      </c>
      <c r="Q361" s="170" t="s">
        <v>140</v>
      </c>
      <c r="R361" s="170">
        <v>14</v>
      </c>
    </row>
    <row r="362" spans="2:30" x14ac:dyDescent="0.25">
      <c r="N362" s="170" t="s">
        <v>141</v>
      </c>
      <c r="O362" s="170">
        <v>15</v>
      </c>
      <c r="Q362" s="170" t="s">
        <v>190</v>
      </c>
      <c r="R362" s="170">
        <v>16</v>
      </c>
    </row>
    <row r="365" spans="2:30" ht="26.25" x14ac:dyDescent="0.25">
      <c r="B365" s="153" t="s">
        <v>191</v>
      </c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</row>
    <row r="367" spans="2:30" x14ac:dyDescent="0.25">
      <c r="B367" s="155" t="s">
        <v>133</v>
      </c>
      <c r="C367" s="155">
        <v>1</v>
      </c>
      <c r="D367" s="2"/>
      <c r="E367" s="155" t="s">
        <v>133</v>
      </c>
      <c r="F367" s="155">
        <v>2</v>
      </c>
      <c r="H367" s="155" t="s">
        <v>133</v>
      </c>
      <c r="I367" s="155">
        <v>3</v>
      </c>
      <c r="J367" s="2"/>
      <c r="K367" s="155" t="s">
        <v>133</v>
      </c>
      <c r="L367" s="155">
        <v>4</v>
      </c>
      <c r="N367" s="170" t="s">
        <v>133</v>
      </c>
      <c r="O367" s="170">
        <v>1</v>
      </c>
      <c r="P367" s="2"/>
      <c r="Q367" s="170" t="s">
        <v>133</v>
      </c>
      <c r="R367" s="170">
        <v>2</v>
      </c>
      <c r="T367" s="170" t="s">
        <v>133</v>
      </c>
      <c r="U367" s="170">
        <v>3</v>
      </c>
      <c r="V367" s="2"/>
      <c r="W367" s="174" t="s">
        <v>133</v>
      </c>
      <c r="X367" s="175">
        <v>1</v>
      </c>
      <c r="Y367" s="2"/>
      <c r="Z367" s="175" t="s">
        <v>133</v>
      </c>
      <c r="AA367" s="175">
        <v>2</v>
      </c>
      <c r="AB367" s="2"/>
      <c r="AC367" s="175" t="s">
        <v>133</v>
      </c>
      <c r="AD367" s="175">
        <v>3</v>
      </c>
    </row>
    <row r="368" spans="2:30" x14ac:dyDescent="0.25">
      <c r="B368" s="155" t="s">
        <v>134</v>
      </c>
      <c r="C368" s="155">
        <v>3</v>
      </c>
      <c r="D368" s="2"/>
      <c r="E368" s="155" t="s">
        <v>134</v>
      </c>
      <c r="F368" s="155">
        <v>4</v>
      </c>
      <c r="H368" s="155" t="s">
        <v>134</v>
      </c>
      <c r="I368" s="155">
        <v>2</v>
      </c>
      <c r="J368" s="2"/>
      <c r="K368" s="155" t="s">
        <v>134</v>
      </c>
      <c r="L368" s="155">
        <v>1</v>
      </c>
      <c r="N368" s="170" t="s">
        <v>134</v>
      </c>
      <c r="O368" s="170">
        <v>2</v>
      </c>
      <c r="P368" s="2"/>
      <c r="Q368" s="170" t="s">
        <v>134</v>
      </c>
      <c r="R368" s="170">
        <v>3</v>
      </c>
      <c r="T368" s="170" t="s">
        <v>134</v>
      </c>
      <c r="U368" s="170">
        <v>5</v>
      </c>
      <c r="V368" s="2"/>
      <c r="W368" s="174" t="s">
        <v>134</v>
      </c>
      <c r="X368" s="175">
        <v>5</v>
      </c>
      <c r="Y368" s="2"/>
      <c r="Z368" s="175" t="s">
        <v>134</v>
      </c>
      <c r="AA368" s="175">
        <v>3</v>
      </c>
      <c r="AC368" s="175" t="s">
        <v>134</v>
      </c>
      <c r="AD368" s="175">
        <v>6</v>
      </c>
    </row>
    <row r="369" spans="2:30" x14ac:dyDescent="0.25">
      <c r="B369" s="155" t="s">
        <v>136</v>
      </c>
      <c r="C369" s="155">
        <v>5</v>
      </c>
      <c r="D369" s="2"/>
      <c r="E369" s="155" t="s">
        <v>136</v>
      </c>
      <c r="F369" s="155">
        <v>6</v>
      </c>
      <c r="H369" s="155" t="s">
        <v>136</v>
      </c>
      <c r="I369" s="155">
        <v>7</v>
      </c>
      <c r="J369" s="2"/>
      <c r="K369" s="155" t="s">
        <v>136</v>
      </c>
      <c r="L369" s="155">
        <v>8</v>
      </c>
      <c r="N369" s="170" t="s">
        <v>136</v>
      </c>
      <c r="O369" s="170">
        <v>7</v>
      </c>
      <c r="P369" s="2"/>
      <c r="Q369" s="170" t="s">
        <v>136</v>
      </c>
      <c r="R369" s="170">
        <v>8</v>
      </c>
      <c r="T369" s="170" t="s">
        <v>136</v>
      </c>
      <c r="U369" s="170">
        <v>6</v>
      </c>
      <c r="V369" s="2"/>
      <c r="W369" s="174" t="s">
        <v>136</v>
      </c>
      <c r="X369" s="175">
        <v>6</v>
      </c>
      <c r="Y369" s="2"/>
      <c r="Z369" s="175" t="s">
        <v>136</v>
      </c>
      <c r="AA369" s="175">
        <v>5</v>
      </c>
      <c r="AC369" s="175" t="s">
        <v>136</v>
      </c>
      <c r="AD369" s="175">
        <v>9</v>
      </c>
    </row>
    <row r="370" spans="2:30" x14ac:dyDescent="0.25">
      <c r="B370" s="155" t="s">
        <v>138</v>
      </c>
      <c r="C370" s="155">
        <v>7</v>
      </c>
      <c r="D370" s="2"/>
      <c r="E370" s="155" t="s">
        <v>138</v>
      </c>
      <c r="F370" s="155">
        <v>8</v>
      </c>
      <c r="H370" s="155" t="s">
        <v>138</v>
      </c>
      <c r="I370" s="155">
        <v>6</v>
      </c>
      <c r="J370" s="2"/>
      <c r="K370" s="155" t="s">
        <v>138</v>
      </c>
      <c r="L370" s="155">
        <v>5</v>
      </c>
      <c r="N370" s="170" t="s">
        <v>138</v>
      </c>
      <c r="O370" s="170">
        <v>8</v>
      </c>
      <c r="P370" s="2"/>
      <c r="Q370" s="170" t="s">
        <v>138</v>
      </c>
      <c r="R370" s="170">
        <v>9</v>
      </c>
      <c r="T370" s="170" t="s">
        <v>138</v>
      </c>
      <c r="U370" s="170">
        <v>9</v>
      </c>
      <c r="V370" s="2"/>
      <c r="W370" s="174" t="s">
        <v>138</v>
      </c>
      <c r="X370" s="175">
        <v>11</v>
      </c>
      <c r="Y370" s="2"/>
      <c r="Z370" s="175" t="s">
        <v>138</v>
      </c>
      <c r="AA370" s="175">
        <v>12</v>
      </c>
      <c r="AC370" s="175" t="s">
        <v>138</v>
      </c>
      <c r="AD370" s="175">
        <v>11</v>
      </c>
    </row>
    <row r="371" spans="2:30" x14ac:dyDescent="0.25">
      <c r="B371" s="155" t="s">
        <v>140</v>
      </c>
      <c r="C371" s="155">
        <v>9</v>
      </c>
      <c r="D371" s="2"/>
      <c r="E371" s="155" t="s">
        <v>140</v>
      </c>
      <c r="F371" s="155">
        <v>10</v>
      </c>
      <c r="H371" s="155" t="s">
        <v>140</v>
      </c>
      <c r="I371" s="155">
        <v>11</v>
      </c>
      <c r="J371" s="2"/>
      <c r="K371" s="155" t="s">
        <v>140</v>
      </c>
      <c r="L371" s="155">
        <v>12</v>
      </c>
      <c r="N371" s="170" t="s">
        <v>140</v>
      </c>
      <c r="O371" s="170">
        <v>11</v>
      </c>
      <c r="P371" s="2"/>
      <c r="Q371" s="170" t="s">
        <v>140</v>
      </c>
      <c r="R371" s="170">
        <v>12</v>
      </c>
      <c r="T371" s="170" t="s">
        <v>140</v>
      </c>
      <c r="U371" s="170">
        <v>11</v>
      </c>
      <c r="V371" s="2"/>
      <c r="W371" s="174" t="s">
        <v>140</v>
      </c>
      <c r="X371" s="175">
        <v>12</v>
      </c>
      <c r="Y371" s="2"/>
      <c r="Z371" s="175" t="s">
        <v>140</v>
      </c>
      <c r="AA371" s="175">
        <v>13</v>
      </c>
      <c r="AC371" s="175" t="s">
        <v>140</v>
      </c>
      <c r="AD371" s="175">
        <v>14</v>
      </c>
    </row>
    <row r="372" spans="2:30" x14ac:dyDescent="0.25">
      <c r="B372" s="155" t="s">
        <v>141</v>
      </c>
      <c r="C372" s="155">
        <v>11</v>
      </c>
      <c r="D372" s="2"/>
      <c r="E372" s="155" t="s">
        <v>141</v>
      </c>
      <c r="F372" s="155">
        <v>12</v>
      </c>
      <c r="H372" s="155" t="s">
        <v>141</v>
      </c>
      <c r="I372" s="155">
        <v>10</v>
      </c>
      <c r="J372" s="2"/>
      <c r="K372" s="155" t="s">
        <v>141</v>
      </c>
      <c r="L372" s="155">
        <v>9</v>
      </c>
      <c r="N372" s="170" t="s">
        <v>141</v>
      </c>
      <c r="O372" s="170">
        <v>12</v>
      </c>
      <c r="P372" s="2"/>
      <c r="Q372" s="170" t="s">
        <v>141</v>
      </c>
      <c r="R372" s="170">
        <v>13</v>
      </c>
      <c r="T372" s="170" t="s">
        <v>141</v>
      </c>
      <c r="U372" s="170">
        <v>14</v>
      </c>
      <c r="V372" s="2"/>
      <c r="W372" s="174" t="s">
        <v>141</v>
      </c>
      <c r="X372" s="175">
        <v>15</v>
      </c>
      <c r="Z372" s="175" t="s">
        <v>141</v>
      </c>
      <c r="AA372" s="175">
        <v>16</v>
      </c>
      <c r="AD372" s="2"/>
    </row>
    <row r="373" spans="2:30" x14ac:dyDescent="0.25">
      <c r="B373" s="155" t="s">
        <v>142</v>
      </c>
      <c r="C373" s="155">
        <v>13</v>
      </c>
      <c r="D373" s="2"/>
      <c r="E373" s="155" t="s">
        <v>142</v>
      </c>
      <c r="F373" s="155">
        <v>14</v>
      </c>
      <c r="H373" s="155" t="s">
        <v>142</v>
      </c>
      <c r="I373" s="155">
        <v>15</v>
      </c>
      <c r="J373" s="2"/>
      <c r="K373" s="155" t="s">
        <v>142</v>
      </c>
      <c r="L373" s="155">
        <v>16</v>
      </c>
      <c r="N373" s="170" t="s">
        <v>142</v>
      </c>
      <c r="O373" s="170">
        <v>15</v>
      </c>
      <c r="Q373" s="170" t="s">
        <v>142</v>
      </c>
      <c r="R373" s="170">
        <v>16</v>
      </c>
      <c r="X373" s="2"/>
      <c r="AA373" s="2"/>
      <c r="AD373" s="2"/>
    </row>
    <row r="374" spans="2:30" x14ac:dyDescent="0.25">
      <c r="B374" s="155" t="s">
        <v>143</v>
      </c>
      <c r="C374" s="155">
        <v>15</v>
      </c>
      <c r="D374" s="2"/>
      <c r="E374" s="155" t="s">
        <v>143</v>
      </c>
      <c r="F374" s="155">
        <v>16</v>
      </c>
      <c r="H374" s="155" t="s">
        <v>143</v>
      </c>
      <c r="I374" s="155">
        <v>14</v>
      </c>
      <c r="J374" s="2"/>
      <c r="K374" s="155" t="s">
        <v>143</v>
      </c>
      <c r="L374" s="155">
        <v>13</v>
      </c>
      <c r="X374" s="2"/>
      <c r="AA374" s="2"/>
      <c r="AD374" s="2"/>
    </row>
    <row r="375" spans="2:30" x14ac:dyDescent="0.25">
      <c r="W375" s="174" t="s">
        <v>133</v>
      </c>
      <c r="X375" s="175">
        <v>4</v>
      </c>
      <c r="Y375" s="2"/>
      <c r="Z375" s="174" t="s">
        <v>133</v>
      </c>
      <c r="AA375" s="175">
        <v>1</v>
      </c>
      <c r="AC375" s="174" t="s">
        <v>133</v>
      </c>
      <c r="AD375" s="175">
        <v>2</v>
      </c>
    </row>
    <row r="376" spans="2:30" x14ac:dyDescent="0.25">
      <c r="N376" s="170" t="s">
        <v>133</v>
      </c>
      <c r="O376" s="170">
        <v>4</v>
      </c>
      <c r="Q376" s="170" t="s">
        <v>133</v>
      </c>
      <c r="R376" s="170">
        <v>1</v>
      </c>
      <c r="W376" s="175" t="s">
        <v>134</v>
      </c>
      <c r="X376" s="175">
        <v>7</v>
      </c>
      <c r="Y376" s="2"/>
      <c r="Z376" s="175" t="s">
        <v>134</v>
      </c>
      <c r="AA376" s="175">
        <v>4</v>
      </c>
      <c r="AC376" s="175" t="s">
        <v>134</v>
      </c>
      <c r="AD376" s="175">
        <v>8</v>
      </c>
    </row>
    <row r="377" spans="2:30" x14ac:dyDescent="0.25">
      <c r="N377" s="170" t="s">
        <v>134</v>
      </c>
      <c r="O377" s="170">
        <v>6</v>
      </c>
      <c r="Q377" s="170" t="s">
        <v>134</v>
      </c>
      <c r="R377" s="170">
        <v>4</v>
      </c>
      <c r="W377" s="175" t="s">
        <v>136</v>
      </c>
      <c r="X377" s="175">
        <v>8</v>
      </c>
      <c r="Y377" s="2"/>
      <c r="Z377" s="175" t="s">
        <v>136</v>
      </c>
      <c r="AA377" s="175">
        <v>7</v>
      </c>
      <c r="AC377" s="175" t="s">
        <v>136</v>
      </c>
      <c r="AD377" s="175">
        <v>10</v>
      </c>
    </row>
    <row r="378" spans="2:30" x14ac:dyDescent="0.25">
      <c r="N378" s="170" t="s">
        <v>136</v>
      </c>
      <c r="O378" s="170">
        <v>5</v>
      </c>
      <c r="Q378" s="170" t="s">
        <v>136</v>
      </c>
      <c r="R378" s="170">
        <v>7</v>
      </c>
      <c r="W378" s="175" t="s">
        <v>138</v>
      </c>
      <c r="X378" s="175">
        <v>10</v>
      </c>
      <c r="Y378" s="2"/>
      <c r="Z378" s="175" t="s">
        <v>138</v>
      </c>
      <c r="AA378" s="175">
        <v>9</v>
      </c>
      <c r="AC378" s="175" t="s">
        <v>138</v>
      </c>
      <c r="AD378" s="175">
        <v>13</v>
      </c>
    </row>
    <row r="379" spans="2:30" x14ac:dyDescent="0.25">
      <c r="N379" s="170" t="s">
        <v>138</v>
      </c>
      <c r="O379" s="170">
        <v>10</v>
      </c>
      <c r="Q379" s="170" t="s">
        <v>138</v>
      </c>
      <c r="R379" s="170">
        <v>10</v>
      </c>
      <c r="W379" s="175" t="s">
        <v>140</v>
      </c>
      <c r="X379" s="175">
        <v>14</v>
      </c>
      <c r="Y379" s="2"/>
      <c r="Z379" s="175" t="s">
        <v>140</v>
      </c>
      <c r="AA379" s="175">
        <v>15</v>
      </c>
      <c r="AC379" s="175" t="s">
        <v>140</v>
      </c>
      <c r="AD379" s="175">
        <v>16</v>
      </c>
    </row>
    <row r="380" spans="2:30" x14ac:dyDescent="0.25">
      <c r="N380" s="170" t="s">
        <v>140</v>
      </c>
      <c r="O380" s="170">
        <v>13</v>
      </c>
      <c r="Q380" s="170" t="s">
        <v>140</v>
      </c>
      <c r="R380" s="170">
        <v>14</v>
      </c>
    </row>
    <row r="381" spans="2:30" x14ac:dyDescent="0.25">
      <c r="N381" s="170" t="s">
        <v>141</v>
      </c>
      <c r="O381" s="170">
        <v>15</v>
      </c>
      <c r="Q381" s="170" t="s">
        <v>141</v>
      </c>
      <c r="R381" s="170">
        <v>16</v>
      </c>
    </row>
  </sheetData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117:P117"/>
    <mergeCell ref="B132:P132"/>
    <mergeCell ref="B146:O146"/>
    <mergeCell ref="B162:X162"/>
    <mergeCell ref="B177:O177"/>
    <mergeCell ref="B194:O194"/>
    <mergeCell ref="B51:R51"/>
    <mergeCell ref="B63:U63"/>
    <mergeCell ref="B76:U76"/>
    <mergeCell ref="B88:R88"/>
    <mergeCell ref="B89:F89"/>
    <mergeCell ref="B103:R103"/>
    <mergeCell ref="B2:I2"/>
    <mergeCell ref="B13:O13"/>
    <mergeCell ref="B26:O26"/>
    <mergeCell ref="B39:L3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DC56-584D-42F0-B3EC-2FBCFD4776E6}">
  <sheetPr codeName="Feuil26"/>
  <dimension ref="B1:C27"/>
  <sheetViews>
    <sheetView workbookViewId="0"/>
  </sheetViews>
  <sheetFormatPr baseColWidth="10" defaultRowHeight="15" x14ac:dyDescent="0.25"/>
  <cols>
    <col min="1" max="2" width="11.42578125" style="73"/>
    <col min="3" max="3" width="75.7109375" style="73" customWidth="1"/>
    <col min="4" max="16384" width="11.42578125" style="73"/>
  </cols>
  <sheetData>
    <row r="1" spans="2:3" ht="15.75" thickBot="1" x14ac:dyDescent="0.3">
      <c r="B1" s="145"/>
      <c r="C1" s="146" t="s">
        <v>115</v>
      </c>
    </row>
    <row r="2" spans="2:3" ht="15.75" x14ac:dyDescent="0.25">
      <c r="B2" s="74" t="s">
        <v>74</v>
      </c>
      <c r="C2" s="77" t="s">
        <v>52</v>
      </c>
    </row>
    <row r="3" spans="2:3" ht="15.75" x14ac:dyDescent="0.25">
      <c r="B3" s="75"/>
      <c r="C3" s="78" t="s">
        <v>53</v>
      </c>
    </row>
    <row r="4" spans="2:3" ht="15.75" x14ac:dyDescent="0.25">
      <c r="B4" s="75"/>
      <c r="C4" s="78" t="s">
        <v>54</v>
      </c>
    </row>
    <row r="5" spans="2:3" ht="15.75" x14ac:dyDescent="0.25">
      <c r="B5" s="75"/>
      <c r="C5" s="78" t="s">
        <v>55</v>
      </c>
    </row>
    <row r="6" spans="2:3" ht="15.75" x14ac:dyDescent="0.25">
      <c r="B6" s="75"/>
      <c r="C6" s="78" t="s">
        <v>56</v>
      </c>
    </row>
    <row r="7" spans="2:3" ht="15.75" x14ac:dyDescent="0.25">
      <c r="B7" s="75"/>
      <c r="C7" s="78" t="s">
        <v>57</v>
      </c>
    </row>
    <row r="8" spans="2:3" ht="15.75" x14ac:dyDescent="0.25">
      <c r="B8" s="75"/>
      <c r="C8" s="78" t="s">
        <v>58</v>
      </c>
    </row>
    <row r="9" spans="2:3" ht="16.5" thickBot="1" x14ac:dyDescent="0.3">
      <c r="B9" s="76"/>
      <c r="C9" s="79" t="s">
        <v>66</v>
      </c>
    </row>
    <row r="10" spans="2:3" ht="15.75" thickBot="1" x14ac:dyDescent="0.3">
      <c r="B10" s="145"/>
      <c r="C10" s="146" t="s">
        <v>115</v>
      </c>
    </row>
    <row r="11" spans="2:3" ht="15.75" x14ac:dyDescent="0.25">
      <c r="B11" s="80" t="s">
        <v>75</v>
      </c>
      <c r="C11" s="83" t="s">
        <v>68</v>
      </c>
    </row>
    <row r="12" spans="2:3" ht="15.75" x14ac:dyDescent="0.25">
      <c r="B12" s="81"/>
      <c r="C12" s="84" t="s">
        <v>69</v>
      </c>
    </row>
    <row r="13" spans="2:3" ht="15.75" x14ac:dyDescent="0.25">
      <c r="B13" s="81"/>
      <c r="C13" s="84" t="s">
        <v>70</v>
      </c>
    </row>
    <row r="14" spans="2:3" ht="15.75" x14ac:dyDescent="0.25">
      <c r="B14" s="81"/>
      <c r="C14" s="84" t="s">
        <v>71</v>
      </c>
    </row>
    <row r="15" spans="2:3" ht="15.75" x14ac:dyDescent="0.25">
      <c r="B15" s="81"/>
      <c r="C15" s="84" t="s">
        <v>72</v>
      </c>
    </row>
    <row r="16" spans="2:3" ht="15.75" x14ac:dyDescent="0.25">
      <c r="B16" s="81"/>
      <c r="C16" s="84" t="s">
        <v>73</v>
      </c>
    </row>
    <row r="17" spans="2:3" ht="15.75" x14ac:dyDescent="0.25">
      <c r="B17" s="81"/>
      <c r="C17" s="84" t="s">
        <v>67</v>
      </c>
    </row>
    <row r="18" spans="2:3" ht="16.5" thickBot="1" x14ac:dyDescent="0.3">
      <c r="B18" s="82"/>
      <c r="C18" s="85" t="s">
        <v>77</v>
      </c>
    </row>
    <row r="19" spans="2:3" ht="15.75" thickBot="1" x14ac:dyDescent="0.3">
      <c r="B19" s="145"/>
      <c r="C19" s="146" t="s">
        <v>116</v>
      </c>
    </row>
    <row r="20" spans="2:3" ht="15.75" x14ac:dyDescent="0.25">
      <c r="B20" s="86" t="s">
        <v>76</v>
      </c>
      <c r="C20" s="89" t="s">
        <v>78</v>
      </c>
    </row>
    <row r="21" spans="2:3" ht="15.75" x14ac:dyDescent="0.25">
      <c r="B21" s="87"/>
      <c r="C21" s="90" t="s">
        <v>79</v>
      </c>
    </row>
    <row r="22" spans="2:3" ht="15.75" x14ac:dyDescent="0.25">
      <c r="B22" s="87"/>
      <c r="C22" s="90" t="s">
        <v>80</v>
      </c>
    </row>
    <row r="23" spans="2:3" ht="15.75" x14ac:dyDescent="0.25">
      <c r="B23" s="87"/>
      <c r="C23" s="90" t="s">
        <v>81</v>
      </c>
    </row>
    <row r="24" spans="2:3" ht="15.75" x14ac:dyDescent="0.25">
      <c r="B24" s="87"/>
      <c r="C24" s="90" t="s">
        <v>82</v>
      </c>
    </row>
    <row r="25" spans="2:3" ht="15.75" x14ac:dyDescent="0.25">
      <c r="B25" s="87"/>
      <c r="C25" s="90" t="s">
        <v>83</v>
      </c>
    </row>
    <row r="26" spans="2:3" ht="15.75" x14ac:dyDescent="0.25">
      <c r="B26" s="87"/>
      <c r="C26" s="90" t="s">
        <v>84</v>
      </c>
    </row>
    <row r="27" spans="2:3" ht="16.5" thickBot="1" x14ac:dyDescent="0.3">
      <c r="B27" s="88"/>
      <c r="C27" s="91" t="s">
        <v>85</v>
      </c>
    </row>
  </sheetData>
  <mergeCells count="3">
    <mergeCell ref="B2:B9"/>
    <mergeCell ref="B11:B18"/>
    <mergeCell ref="B20:B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C4PPinscript">
              <controlPr defaultSize="0" print="0" autoFill="0" autoPict="0" macro="[0]!'copyimage &quot;B2:C27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4D3F5-3640-4685-87CD-8B9705E43420}">
  <sheetPr codeName="Feuil27"/>
  <dimension ref="A1:O582"/>
  <sheetViews>
    <sheetView topLeftCell="B1" workbookViewId="0">
      <selection activeCell="B5" sqref="B5"/>
    </sheetView>
  </sheetViews>
  <sheetFormatPr baseColWidth="10" defaultRowHeight="15" x14ac:dyDescent="0.25"/>
  <cols>
    <col min="1" max="1" width="0" style="73" hidden="1" customWidth="1"/>
    <col min="2" max="2" width="43.5703125" style="73" customWidth="1"/>
    <col min="3" max="3" width="6" style="101" customWidth="1"/>
    <col min="4" max="4" width="16.7109375" style="73" customWidth="1"/>
    <col min="5" max="5" width="6" style="101" customWidth="1"/>
    <col min="6" max="6" width="43.5703125" style="73" customWidth="1"/>
    <col min="7" max="7" width="6" style="73" hidden="1" customWidth="1"/>
    <col min="8" max="12" width="11.42578125" style="73"/>
    <col min="13" max="13" width="11.42578125" style="147"/>
    <col min="14" max="14" width="11.42578125" style="73"/>
    <col min="15" max="15" width="11.42578125" style="147"/>
    <col min="16" max="16384" width="11.42578125" style="73"/>
  </cols>
  <sheetData>
    <row r="1" spans="1:7" x14ac:dyDescent="0.25">
      <c r="A1" s="92"/>
      <c r="B1" s="92"/>
      <c r="C1" s="99"/>
      <c r="D1" s="93">
        <v>0.375</v>
      </c>
      <c r="E1" s="99"/>
      <c r="F1" s="92"/>
      <c r="G1" s="92"/>
    </row>
    <row r="2" spans="1:7" x14ac:dyDescent="0.25">
      <c r="A2" s="95" t="s">
        <v>52</v>
      </c>
      <c r="B2" s="95" t="str">
        <f>INSCRITS!C2</f>
        <v>1A</v>
      </c>
      <c r="C2" s="100"/>
      <c r="D2" s="94" t="s">
        <v>118</v>
      </c>
      <c r="E2" s="100"/>
      <c r="F2" s="95" t="str">
        <f>INSCRITS!C3</f>
        <v>2A</v>
      </c>
      <c r="G2" s="95" t="s">
        <v>53</v>
      </c>
    </row>
    <row r="3" spans="1:7" x14ac:dyDescent="0.25">
      <c r="A3" s="95" t="s">
        <v>54</v>
      </c>
      <c r="B3" s="95" t="str">
        <f>INSCRITS!C4</f>
        <v>3A</v>
      </c>
      <c r="C3" s="100"/>
      <c r="D3" s="94" t="s">
        <v>119</v>
      </c>
      <c r="E3" s="100"/>
      <c r="F3" s="95" t="str">
        <f>INSCRITS!C5</f>
        <v>4A</v>
      </c>
      <c r="G3" s="95" t="s">
        <v>55</v>
      </c>
    </row>
    <row r="4" spans="1:7" x14ac:dyDescent="0.25">
      <c r="A4" s="95" t="s">
        <v>56</v>
      </c>
      <c r="B4" s="95" t="str">
        <f>INSCRITS!C6</f>
        <v>5A</v>
      </c>
      <c r="C4" s="100"/>
      <c r="D4" s="94" t="s">
        <v>120</v>
      </c>
      <c r="E4" s="100"/>
      <c r="F4" s="95" t="str">
        <f>INSCRITS!C7</f>
        <v>6A</v>
      </c>
      <c r="G4" s="95" t="s">
        <v>57</v>
      </c>
    </row>
    <row r="5" spans="1:7" x14ac:dyDescent="0.25">
      <c r="A5" s="95" t="s">
        <v>58</v>
      </c>
      <c r="B5" s="95" t="str">
        <f>INSCRITS!C8</f>
        <v>7A</v>
      </c>
      <c r="C5" s="100"/>
      <c r="D5" s="94" t="s">
        <v>121</v>
      </c>
      <c r="E5" s="100"/>
      <c r="F5" s="95" t="str">
        <f>INSCRITS!C9</f>
        <v>8A</v>
      </c>
      <c r="G5" s="95" t="s">
        <v>66</v>
      </c>
    </row>
    <row r="6" spans="1:7" x14ac:dyDescent="0.25">
      <c r="A6" s="96" t="s">
        <v>68</v>
      </c>
      <c r="B6" s="96" t="str">
        <f>INSCRITS!C11</f>
        <v>1B</v>
      </c>
      <c r="C6" s="100"/>
      <c r="D6" s="94" t="s">
        <v>122</v>
      </c>
      <c r="E6" s="100"/>
      <c r="F6" s="96" t="str">
        <f>INSCRITS!C12</f>
        <v>2B</v>
      </c>
      <c r="G6" s="96" t="s">
        <v>69</v>
      </c>
    </row>
    <row r="7" spans="1:7" x14ac:dyDescent="0.25">
      <c r="A7" s="96" t="s">
        <v>70</v>
      </c>
      <c r="B7" s="96" t="str">
        <f>INSCRITS!C13</f>
        <v>3B</v>
      </c>
      <c r="C7" s="100"/>
      <c r="D7" s="94" t="s">
        <v>123</v>
      </c>
      <c r="E7" s="100"/>
      <c r="F7" s="96" t="str">
        <f>INSCRITS!C14</f>
        <v>4B</v>
      </c>
      <c r="G7" s="96" t="s">
        <v>71</v>
      </c>
    </row>
    <row r="8" spans="1:7" x14ac:dyDescent="0.25">
      <c r="A8" s="92"/>
      <c r="B8" s="92"/>
      <c r="C8" s="99"/>
      <c r="D8" s="93">
        <f>0.375 + "00:20:00"</f>
        <v>0.3888888888888889</v>
      </c>
      <c r="E8" s="99"/>
      <c r="F8" s="92"/>
      <c r="G8" s="92"/>
    </row>
    <row r="9" spans="1:7" x14ac:dyDescent="0.25">
      <c r="A9" s="96" t="s">
        <v>72</v>
      </c>
      <c r="B9" s="96" t="str">
        <f>INSCRITS!C15</f>
        <v>5B</v>
      </c>
      <c r="C9" s="100"/>
      <c r="D9" s="94" t="s">
        <v>118</v>
      </c>
      <c r="E9" s="100"/>
      <c r="F9" s="96" t="str">
        <f>INSCRITS!C16</f>
        <v>6B</v>
      </c>
      <c r="G9" s="96" t="s">
        <v>73</v>
      </c>
    </row>
    <row r="10" spans="1:7" x14ac:dyDescent="0.25">
      <c r="A10" s="96" t="s">
        <v>67</v>
      </c>
      <c r="B10" s="96" t="str">
        <f>INSCRITS!C17</f>
        <v>7B</v>
      </c>
      <c r="C10" s="100"/>
      <c r="D10" s="94" t="s">
        <v>119</v>
      </c>
      <c r="E10" s="100"/>
      <c r="F10" s="96" t="str">
        <f>INSCRITS!C18</f>
        <v>8B</v>
      </c>
      <c r="G10" s="96" t="s">
        <v>77</v>
      </c>
    </row>
    <row r="11" spans="1:7" x14ac:dyDescent="0.25">
      <c r="A11" s="97" t="s">
        <v>78</v>
      </c>
      <c r="B11" s="97" t="str">
        <f>INSCRITS!C20</f>
        <v>1C</v>
      </c>
      <c r="C11" s="100"/>
      <c r="D11" s="94" t="s">
        <v>124</v>
      </c>
      <c r="E11" s="100"/>
      <c r="F11" s="97" t="str">
        <f>INSCRITS!C21</f>
        <v>2C</v>
      </c>
      <c r="G11" s="97" t="s">
        <v>79</v>
      </c>
    </row>
    <row r="12" spans="1:7" x14ac:dyDescent="0.25">
      <c r="A12" s="97" t="s">
        <v>80</v>
      </c>
      <c r="B12" s="97" t="str">
        <f>INSCRITS!C22</f>
        <v>3C</v>
      </c>
      <c r="C12" s="100"/>
      <c r="D12" s="94" t="s">
        <v>125</v>
      </c>
      <c r="E12" s="100"/>
      <c r="F12" s="97" t="str">
        <f>INSCRITS!C23</f>
        <v>4C</v>
      </c>
      <c r="G12" s="97" t="s">
        <v>81</v>
      </c>
    </row>
    <row r="13" spans="1:7" x14ac:dyDescent="0.25">
      <c r="A13" s="97" t="s">
        <v>82</v>
      </c>
      <c r="B13" s="97" t="str">
        <f>INSCRITS!C24</f>
        <v>5C</v>
      </c>
      <c r="C13" s="100"/>
      <c r="D13" s="94" t="s">
        <v>126</v>
      </c>
      <c r="E13" s="100"/>
      <c r="F13" s="97" t="str">
        <f>INSCRITS!C25</f>
        <v>6C</v>
      </c>
      <c r="G13" s="97" t="s">
        <v>83</v>
      </c>
    </row>
    <row r="14" spans="1:7" x14ac:dyDescent="0.25">
      <c r="A14" s="97" t="s">
        <v>84</v>
      </c>
      <c r="B14" s="97" t="str">
        <f>INSCRITS!C26</f>
        <v>7C</v>
      </c>
      <c r="C14" s="100"/>
      <c r="D14" s="94" t="s">
        <v>127</v>
      </c>
      <c r="E14" s="100"/>
      <c r="F14" s="97" t="str">
        <f>INSCRITS!C27</f>
        <v>8C</v>
      </c>
      <c r="G14" s="97" t="s">
        <v>85</v>
      </c>
    </row>
    <row r="15" spans="1:7" x14ac:dyDescent="0.25">
      <c r="A15" s="92"/>
      <c r="B15" s="92"/>
      <c r="C15" s="99"/>
      <c r="D15" s="93">
        <f>0.388888888888889 + "00:20:00"</f>
        <v>0.4027777777777779</v>
      </c>
      <c r="E15" s="99"/>
      <c r="F15" s="92"/>
      <c r="G15" s="92"/>
    </row>
    <row r="16" spans="1:7" x14ac:dyDescent="0.25">
      <c r="A16" s="95" t="s">
        <v>52</v>
      </c>
      <c r="B16" s="95" t="str">
        <f>INSCRITS!C2</f>
        <v>1A</v>
      </c>
      <c r="C16" s="100"/>
      <c r="D16" s="94" t="s">
        <v>118</v>
      </c>
      <c r="E16" s="100"/>
      <c r="F16" s="95" t="str">
        <f>INSCRITS!C4</f>
        <v>3A</v>
      </c>
      <c r="G16" s="95" t="s">
        <v>54</v>
      </c>
    </row>
    <row r="17" spans="1:7" x14ac:dyDescent="0.25">
      <c r="A17" s="95" t="s">
        <v>53</v>
      </c>
      <c r="B17" s="95" t="str">
        <f>INSCRITS!C3</f>
        <v>2A</v>
      </c>
      <c r="C17" s="100"/>
      <c r="D17" s="94" t="s">
        <v>119</v>
      </c>
      <c r="E17" s="100"/>
      <c r="F17" s="95" t="str">
        <f>INSCRITS!C5</f>
        <v>4A</v>
      </c>
      <c r="G17" s="95" t="s">
        <v>55</v>
      </c>
    </row>
    <row r="18" spans="1:7" x14ac:dyDescent="0.25">
      <c r="A18" s="95" t="s">
        <v>56</v>
      </c>
      <c r="B18" s="95" t="str">
        <f>INSCRITS!C6</f>
        <v>5A</v>
      </c>
      <c r="C18" s="100"/>
      <c r="D18" s="94" t="s">
        <v>120</v>
      </c>
      <c r="E18" s="100"/>
      <c r="F18" s="95" t="str">
        <f>INSCRITS!C8</f>
        <v>7A</v>
      </c>
      <c r="G18" s="95" t="s">
        <v>58</v>
      </c>
    </row>
    <row r="19" spans="1:7" x14ac:dyDescent="0.25">
      <c r="A19" s="95" t="s">
        <v>57</v>
      </c>
      <c r="B19" s="95" t="str">
        <f>INSCRITS!C7</f>
        <v>6A</v>
      </c>
      <c r="C19" s="100"/>
      <c r="D19" s="94" t="s">
        <v>121</v>
      </c>
      <c r="E19" s="100"/>
      <c r="F19" s="95" t="str">
        <f>INSCRITS!C9</f>
        <v>8A</v>
      </c>
      <c r="G19" s="95" t="s">
        <v>66</v>
      </c>
    </row>
    <row r="20" spans="1:7" x14ac:dyDescent="0.25">
      <c r="A20" s="96" t="s">
        <v>68</v>
      </c>
      <c r="B20" s="96" t="str">
        <f>INSCRITS!C11</f>
        <v>1B</v>
      </c>
      <c r="C20" s="100"/>
      <c r="D20" s="94" t="s">
        <v>122</v>
      </c>
      <c r="E20" s="100"/>
      <c r="F20" s="96" t="str">
        <f>INSCRITS!C13</f>
        <v>3B</v>
      </c>
      <c r="G20" s="96" t="s">
        <v>70</v>
      </c>
    </row>
    <row r="21" spans="1:7" x14ac:dyDescent="0.25">
      <c r="A21" s="96" t="s">
        <v>69</v>
      </c>
      <c r="B21" s="96" t="str">
        <f>INSCRITS!C12</f>
        <v>2B</v>
      </c>
      <c r="C21" s="100"/>
      <c r="D21" s="94" t="s">
        <v>123</v>
      </c>
      <c r="E21" s="100"/>
      <c r="F21" s="96" t="str">
        <f>INSCRITS!C14</f>
        <v>4B</v>
      </c>
      <c r="G21" s="96" t="s">
        <v>71</v>
      </c>
    </row>
    <row r="22" spans="1:7" x14ac:dyDescent="0.25">
      <c r="A22" s="92"/>
      <c r="B22" s="92"/>
      <c r="C22" s="99"/>
      <c r="D22" s="93">
        <f>0.402777777777778 + "00:20:00"</f>
        <v>0.41666666666666691</v>
      </c>
      <c r="E22" s="99"/>
      <c r="F22" s="92"/>
      <c r="G22" s="92"/>
    </row>
    <row r="23" spans="1:7" x14ac:dyDescent="0.25">
      <c r="A23" s="96" t="s">
        <v>72</v>
      </c>
      <c r="B23" s="96" t="str">
        <f>INSCRITS!C15</f>
        <v>5B</v>
      </c>
      <c r="C23" s="100"/>
      <c r="D23" s="94" t="s">
        <v>118</v>
      </c>
      <c r="E23" s="100"/>
      <c r="F23" s="96" t="str">
        <f>INSCRITS!C17</f>
        <v>7B</v>
      </c>
      <c r="G23" s="96" t="s">
        <v>67</v>
      </c>
    </row>
    <row r="24" spans="1:7" x14ac:dyDescent="0.25">
      <c r="A24" s="96" t="s">
        <v>73</v>
      </c>
      <c r="B24" s="96" t="str">
        <f>INSCRITS!C16</f>
        <v>6B</v>
      </c>
      <c r="C24" s="100"/>
      <c r="D24" s="94" t="s">
        <v>119</v>
      </c>
      <c r="E24" s="100"/>
      <c r="F24" s="96" t="str">
        <f>INSCRITS!C18</f>
        <v>8B</v>
      </c>
      <c r="G24" s="96" t="s">
        <v>77</v>
      </c>
    </row>
    <row r="25" spans="1:7" x14ac:dyDescent="0.25">
      <c r="A25" s="97" t="s">
        <v>78</v>
      </c>
      <c r="B25" s="97" t="str">
        <f>INSCRITS!C20</f>
        <v>1C</v>
      </c>
      <c r="C25" s="100"/>
      <c r="D25" s="94" t="s">
        <v>124</v>
      </c>
      <c r="E25" s="100"/>
      <c r="F25" s="97" t="str">
        <f>INSCRITS!C22</f>
        <v>3C</v>
      </c>
      <c r="G25" s="97" t="s">
        <v>80</v>
      </c>
    </row>
    <row r="26" spans="1:7" x14ac:dyDescent="0.25">
      <c r="A26" s="97" t="s">
        <v>79</v>
      </c>
      <c r="B26" s="97" t="str">
        <f>INSCRITS!C21</f>
        <v>2C</v>
      </c>
      <c r="C26" s="100"/>
      <c r="D26" s="94" t="s">
        <v>125</v>
      </c>
      <c r="E26" s="100"/>
      <c r="F26" s="97" t="str">
        <f>INSCRITS!C23</f>
        <v>4C</v>
      </c>
      <c r="G26" s="97" t="s">
        <v>81</v>
      </c>
    </row>
    <row r="27" spans="1:7" x14ac:dyDescent="0.25">
      <c r="A27" s="97" t="s">
        <v>82</v>
      </c>
      <c r="B27" s="97" t="str">
        <f>INSCRITS!C24</f>
        <v>5C</v>
      </c>
      <c r="C27" s="100"/>
      <c r="D27" s="94" t="s">
        <v>126</v>
      </c>
      <c r="E27" s="100"/>
      <c r="F27" s="97" t="str">
        <f>INSCRITS!C26</f>
        <v>7C</v>
      </c>
      <c r="G27" s="97" t="s">
        <v>84</v>
      </c>
    </row>
    <row r="28" spans="1:7" x14ac:dyDescent="0.25">
      <c r="A28" s="97" t="s">
        <v>83</v>
      </c>
      <c r="B28" s="97" t="str">
        <f>INSCRITS!C25</f>
        <v>6C</v>
      </c>
      <c r="C28" s="100"/>
      <c r="D28" s="94" t="s">
        <v>127</v>
      </c>
      <c r="E28" s="100"/>
      <c r="F28" s="97" t="str">
        <f>INSCRITS!C27</f>
        <v>8C</v>
      </c>
      <c r="G28" s="97" t="s">
        <v>85</v>
      </c>
    </row>
    <row r="29" spans="1:7" x14ac:dyDescent="0.25">
      <c r="A29" s="92"/>
      <c r="B29" s="92"/>
      <c r="C29" s="99"/>
      <c r="D29" s="93">
        <f>0.416666666666667 + "00:20:00"</f>
        <v>0.43055555555555591</v>
      </c>
      <c r="E29" s="99"/>
      <c r="F29" s="92"/>
      <c r="G29" s="92"/>
    </row>
    <row r="30" spans="1:7" x14ac:dyDescent="0.25">
      <c r="A30" s="95" t="s">
        <v>52</v>
      </c>
      <c r="B30" s="95" t="str">
        <f>INSCRITS!C2</f>
        <v>1A</v>
      </c>
      <c r="C30" s="100"/>
      <c r="D30" s="94" t="s">
        <v>118</v>
      </c>
      <c r="E30" s="100"/>
      <c r="F30" s="95" t="str">
        <f>INSCRITS!C5</f>
        <v>4A</v>
      </c>
      <c r="G30" s="95" t="s">
        <v>55</v>
      </c>
    </row>
    <row r="31" spans="1:7" x14ac:dyDescent="0.25">
      <c r="A31" s="95" t="s">
        <v>53</v>
      </c>
      <c r="B31" s="95" t="str">
        <f>INSCRITS!C3</f>
        <v>2A</v>
      </c>
      <c r="C31" s="100"/>
      <c r="D31" s="94" t="s">
        <v>119</v>
      </c>
      <c r="E31" s="100"/>
      <c r="F31" s="95" t="str">
        <f>INSCRITS!C4</f>
        <v>3A</v>
      </c>
      <c r="G31" s="95" t="s">
        <v>54</v>
      </c>
    </row>
    <row r="32" spans="1:7" x14ac:dyDescent="0.25">
      <c r="A32" s="95" t="s">
        <v>56</v>
      </c>
      <c r="B32" s="95" t="str">
        <f>INSCRITS!C6</f>
        <v>5A</v>
      </c>
      <c r="C32" s="100"/>
      <c r="D32" s="94" t="s">
        <v>120</v>
      </c>
      <c r="E32" s="100"/>
      <c r="F32" s="95" t="str">
        <f>INSCRITS!C9</f>
        <v>8A</v>
      </c>
      <c r="G32" s="95" t="s">
        <v>66</v>
      </c>
    </row>
    <row r="33" spans="1:7" x14ac:dyDescent="0.25">
      <c r="A33" s="95" t="s">
        <v>57</v>
      </c>
      <c r="B33" s="95" t="str">
        <f>INSCRITS!C7</f>
        <v>6A</v>
      </c>
      <c r="C33" s="100"/>
      <c r="D33" s="94" t="s">
        <v>121</v>
      </c>
      <c r="E33" s="100"/>
      <c r="F33" s="95" t="str">
        <f>INSCRITS!C8</f>
        <v>7A</v>
      </c>
      <c r="G33" s="95" t="s">
        <v>58</v>
      </c>
    </row>
    <row r="34" spans="1:7" x14ac:dyDescent="0.25">
      <c r="A34" s="96" t="s">
        <v>68</v>
      </c>
      <c r="B34" s="96" t="str">
        <f>INSCRITS!C11</f>
        <v>1B</v>
      </c>
      <c r="C34" s="100"/>
      <c r="D34" s="94" t="s">
        <v>122</v>
      </c>
      <c r="E34" s="100"/>
      <c r="F34" s="96" t="str">
        <f>INSCRITS!C14</f>
        <v>4B</v>
      </c>
      <c r="G34" s="96" t="s">
        <v>71</v>
      </c>
    </row>
    <row r="35" spans="1:7" x14ac:dyDescent="0.25">
      <c r="A35" s="96" t="s">
        <v>69</v>
      </c>
      <c r="B35" s="96" t="str">
        <f>INSCRITS!C12</f>
        <v>2B</v>
      </c>
      <c r="C35" s="100"/>
      <c r="D35" s="94" t="s">
        <v>123</v>
      </c>
      <c r="E35" s="100"/>
      <c r="F35" s="96" t="str">
        <f>INSCRITS!C13</f>
        <v>3B</v>
      </c>
      <c r="G35" s="96" t="s">
        <v>70</v>
      </c>
    </row>
    <row r="36" spans="1:7" x14ac:dyDescent="0.25">
      <c r="A36" s="92"/>
      <c r="B36" s="92"/>
      <c r="C36" s="99"/>
      <c r="D36" s="93">
        <f>0.430555555555556 + "00:20:00"</f>
        <v>0.44444444444444492</v>
      </c>
      <c r="E36" s="99"/>
      <c r="F36" s="92"/>
      <c r="G36" s="92"/>
    </row>
    <row r="37" spans="1:7" x14ac:dyDescent="0.25">
      <c r="A37" s="96" t="s">
        <v>72</v>
      </c>
      <c r="B37" s="96" t="str">
        <f>INSCRITS!C15</f>
        <v>5B</v>
      </c>
      <c r="C37" s="100"/>
      <c r="D37" s="94" t="s">
        <v>118</v>
      </c>
      <c r="E37" s="100"/>
      <c r="F37" s="96" t="str">
        <f>INSCRITS!C18</f>
        <v>8B</v>
      </c>
      <c r="G37" s="96" t="s">
        <v>77</v>
      </c>
    </row>
    <row r="38" spans="1:7" x14ac:dyDescent="0.25">
      <c r="A38" s="96" t="s">
        <v>73</v>
      </c>
      <c r="B38" s="96" t="str">
        <f>INSCRITS!C16</f>
        <v>6B</v>
      </c>
      <c r="C38" s="100"/>
      <c r="D38" s="94" t="s">
        <v>119</v>
      </c>
      <c r="E38" s="100"/>
      <c r="F38" s="96" t="str">
        <f>INSCRITS!C17</f>
        <v>7B</v>
      </c>
      <c r="G38" s="96" t="s">
        <v>67</v>
      </c>
    </row>
    <row r="39" spans="1:7" x14ac:dyDescent="0.25">
      <c r="A39" s="97" t="s">
        <v>78</v>
      </c>
      <c r="B39" s="97" t="str">
        <f>INSCRITS!C20</f>
        <v>1C</v>
      </c>
      <c r="C39" s="100"/>
      <c r="D39" s="94" t="s">
        <v>124</v>
      </c>
      <c r="E39" s="100"/>
      <c r="F39" s="97" t="str">
        <f>INSCRITS!C23</f>
        <v>4C</v>
      </c>
      <c r="G39" s="97" t="s">
        <v>81</v>
      </c>
    </row>
    <row r="40" spans="1:7" x14ac:dyDescent="0.25">
      <c r="A40" s="97" t="s">
        <v>79</v>
      </c>
      <c r="B40" s="97" t="str">
        <f>INSCRITS!C21</f>
        <v>2C</v>
      </c>
      <c r="C40" s="100"/>
      <c r="D40" s="94" t="s">
        <v>125</v>
      </c>
      <c r="E40" s="100"/>
      <c r="F40" s="97" t="str">
        <f>INSCRITS!C22</f>
        <v>3C</v>
      </c>
      <c r="G40" s="97" t="s">
        <v>80</v>
      </c>
    </row>
    <row r="41" spans="1:7" x14ac:dyDescent="0.25">
      <c r="A41" s="97" t="s">
        <v>82</v>
      </c>
      <c r="B41" s="97" t="str">
        <f>INSCRITS!C24</f>
        <v>5C</v>
      </c>
      <c r="C41" s="100"/>
      <c r="D41" s="94" t="s">
        <v>126</v>
      </c>
      <c r="E41" s="100"/>
      <c r="F41" s="97" t="str">
        <f>INSCRITS!C27</f>
        <v>8C</v>
      </c>
      <c r="G41" s="97" t="s">
        <v>85</v>
      </c>
    </row>
    <row r="42" spans="1:7" x14ac:dyDescent="0.25">
      <c r="A42" s="97" t="s">
        <v>83</v>
      </c>
      <c r="B42" s="97" t="str">
        <f>INSCRITS!C25</f>
        <v>6C</v>
      </c>
      <c r="C42" s="100"/>
      <c r="D42" s="94" t="s">
        <v>127</v>
      </c>
      <c r="E42" s="100"/>
      <c r="F42" s="97" t="str">
        <f>INSCRITS!C26</f>
        <v>7C</v>
      </c>
      <c r="G42" s="97" t="s">
        <v>84</v>
      </c>
    </row>
    <row r="43" spans="1:7" x14ac:dyDescent="0.25">
      <c r="A43" s="92"/>
      <c r="B43" s="92"/>
      <c r="C43" s="99"/>
      <c r="D43" s="93">
        <f>0.444444444444445 + "00:20:00"</f>
        <v>0.45833333333333387</v>
      </c>
      <c r="E43" s="99"/>
      <c r="F43" s="92"/>
      <c r="G43" s="92"/>
    </row>
    <row r="44" spans="1:7" x14ac:dyDescent="0.25">
      <c r="A44" s="95" t="s">
        <v>52</v>
      </c>
      <c r="B44" s="95" t="str">
        <f>INSCRITS!C2</f>
        <v>1A</v>
      </c>
      <c r="C44" s="100"/>
      <c r="D44" s="94" t="s">
        <v>118</v>
      </c>
      <c r="E44" s="100"/>
      <c r="F44" s="95" t="str">
        <f>INSCRITS!C6</f>
        <v>5A</v>
      </c>
      <c r="G44" s="95" t="s">
        <v>56</v>
      </c>
    </row>
    <row r="45" spans="1:7" x14ac:dyDescent="0.25">
      <c r="A45" s="95" t="s">
        <v>53</v>
      </c>
      <c r="B45" s="95" t="str">
        <f>INSCRITS!C3</f>
        <v>2A</v>
      </c>
      <c r="C45" s="100"/>
      <c r="D45" s="94" t="s">
        <v>119</v>
      </c>
      <c r="E45" s="100"/>
      <c r="F45" s="95" t="str">
        <f>INSCRITS!C7</f>
        <v>6A</v>
      </c>
      <c r="G45" s="95" t="s">
        <v>57</v>
      </c>
    </row>
    <row r="46" spans="1:7" x14ac:dyDescent="0.25">
      <c r="A46" s="95" t="s">
        <v>54</v>
      </c>
      <c r="B46" s="95" t="str">
        <f>INSCRITS!C4</f>
        <v>3A</v>
      </c>
      <c r="C46" s="100"/>
      <c r="D46" s="94" t="s">
        <v>120</v>
      </c>
      <c r="E46" s="100"/>
      <c r="F46" s="95" t="str">
        <f>INSCRITS!C8</f>
        <v>7A</v>
      </c>
      <c r="G46" s="95" t="s">
        <v>58</v>
      </c>
    </row>
    <row r="47" spans="1:7" x14ac:dyDescent="0.25">
      <c r="A47" s="95" t="s">
        <v>55</v>
      </c>
      <c r="B47" s="95" t="str">
        <f>INSCRITS!C5</f>
        <v>4A</v>
      </c>
      <c r="C47" s="100"/>
      <c r="D47" s="94" t="s">
        <v>121</v>
      </c>
      <c r="E47" s="100"/>
      <c r="F47" s="95" t="str">
        <f>INSCRITS!C9</f>
        <v>8A</v>
      </c>
      <c r="G47" s="95" t="s">
        <v>66</v>
      </c>
    </row>
    <row r="48" spans="1:7" x14ac:dyDescent="0.25">
      <c r="A48" s="96" t="s">
        <v>68</v>
      </c>
      <c r="B48" s="96" t="str">
        <f>INSCRITS!C11</f>
        <v>1B</v>
      </c>
      <c r="C48" s="100"/>
      <c r="D48" s="94" t="s">
        <v>122</v>
      </c>
      <c r="E48" s="100"/>
      <c r="F48" s="96" t="str">
        <f>INSCRITS!C15</f>
        <v>5B</v>
      </c>
      <c r="G48" s="96" t="s">
        <v>72</v>
      </c>
    </row>
    <row r="49" spans="1:7" x14ac:dyDescent="0.25">
      <c r="A49" s="96" t="s">
        <v>69</v>
      </c>
      <c r="B49" s="96" t="str">
        <f>INSCRITS!C12</f>
        <v>2B</v>
      </c>
      <c r="C49" s="100"/>
      <c r="D49" s="94" t="s">
        <v>123</v>
      </c>
      <c r="E49" s="100"/>
      <c r="F49" s="96" t="str">
        <f>INSCRITS!C16</f>
        <v>6B</v>
      </c>
      <c r="G49" s="96" t="s">
        <v>73</v>
      </c>
    </row>
    <row r="50" spans="1:7" x14ac:dyDescent="0.25">
      <c r="A50" s="92"/>
      <c r="B50" s="92"/>
      <c r="C50" s="99"/>
      <c r="D50" s="93">
        <f>0.458333333333334 + "00:20:00"</f>
        <v>0.47222222222222288</v>
      </c>
      <c r="E50" s="99"/>
      <c r="F50" s="92"/>
      <c r="G50" s="92"/>
    </row>
    <row r="51" spans="1:7" x14ac:dyDescent="0.25">
      <c r="A51" s="96" t="s">
        <v>70</v>
      </c>
      <c r="B51" s="96" t="str">
        <f>INSCRITS!C13</f>
        <v>3B</v>
      </c>
      <c r="C51" s="100"/>
      <c r="D51" s="94" t="s">
        <v>118</v>
      </c>
      <c r="E51" s="100"/>
      <c r="F51" s="96" t="str">
        <f>INSCRITS!C17</f>
        <v>7B</v>
      </c>
      <c r="G51" s="96" t="s">
        <v>67</v>
      </c>
    </row>
    <row r="52" spans="1:7" x14ac:dyDescent="0.25">
      <c r="A52" s="96" t="s">
        <v>71</v>
      </c>
      <c r="B52" s="96" t="str">
        <f>INSCRITS!C14</f>
        <v>4B</v>
      </c>
      <c r="C52" s="100"/>
      <c r="D52" s="94" t="s">
        <v>119</v>
      </c>
      <c r="E52" s="100"/>
      <c r="F52" s="96" t="str">
        <f>INSCRITS!C18</f>
        <v>8B</v>
      </c>
      <c r="G52" s="96" t="s">
        <v>77</v>
      </c>
    </row>
    <row r="53" spans="1:7" x14ac:dyDescent="0.25">
      <c r="A53" s="97" t="s">
        <v>78</v>
      </c>
      <c r="B53" s="97" t="str">
        <f>INSCRITS!C20</f>
        <v>1C</v>
      </c>
      <c r="C53" s="100"/>
      <c r="D53" s="94" t="s">
        <v>124</v>
      </c>
      <c r="E53" s="100"/>
      <c r="F53" s="97" t="str">
        <f>INSCRITS!C24</f>
        <v>5C</v>
      </c>
      <c r="G53" s="97" t="s">
        <v>82</v>
      </c>
    </row>
    <row r="54" spans="1:7" x14ac:dyDescent="0.25">
      <c r="A54" s="97" t="s">
        <v>79</v>
      </c>
      <c r="B54" s="97" t="str">
        <f>INSCRITS!C21</f>
        <v>2C</v>
      </c>
      <c r="C54" s="100"/>
      <c r="D54" s="94" t="s">
        <v>125</v>
      </c>
      <c r="E54" s="100"/>
      <c r="F54" s="97" t="str">
        <f>INSCRITS!C25</f>
        <v>6C</v>
      </c>
      <c r="G54" s="97" t="s">
        <v>83</v>
      </c>
    </row>
    <row r="55" spans="1:7" x14ac:dyDescent="0.25">
      <c r="A55" s="97" t="s">
        <v>80</v>
      </c>
      <c r="B55" s="97" t="str">
        <f>INSCRITS!C22</f>
        <v>3C</v>
      </c>
      <c r="C55" s="100"/>
      <c r="D55" s="94" t="s">
        <v>126</v>
      </c>
      <c r="E55" s="100"/>
      <c r="F55" s="97" t="str">
        <f>INSCRITS!C26</f>
        <v>7C</v>
      </c>
      <c r="G55" s="97" t="s">
        <v>84</v>
      </c>
    </row>
    <row r="56" spans="1:7" x14ac:dyDescent="0.25">
      <c r="A56" s="97" t="s">
        <v>81</v>
      </c>
      <c r="B56" s="97" t="str">
        <f>INSCRITS!C23</f>
        <v>4C</v>
      </c>
      <c r="C56" s="100"/>
      <c r="D56" s="94" t="s">
        <v>127</v>
      </c>
      <c r="E56" s="100"/>
      <c r="F56" s="97" t="str">
        <f>INSCRITS!C27</f>
        <v>8C</v>
      </c>
      <c r="G56" s="97" t="s">
        <v>85</v>
      </c>
    </row>
    <row r="57" spans="1:7" x14ac:dyDescent="0.25">
      <c r="A57" s="92"/>
      <c r="B57" s="92"/>
      <c r="C57" s="99"/>
      <c r="D57" s="93">
        <f>0.472222222222223 + "00:20:00"</f>
        <v>0.48611111111111188</v>
      </c>
      <c r="E57" s="99"/>
      <c r="F57" s="92"/>
      <c r="G57" s="92"/>
    </row>
    <row r="58" spans="1:7" x14ac:dyDescent="0.25">
      <c r="A58" s="95" t="s">
        <v>52</v>
      </c>
      <c r="B58" s="95" t="str">
        <f>INSCRITS!C2</f>
        <v>1A</v>
      </c>
      <c r="C58" s="100"/>
      <c r="D58" s="94" t="s">
        <v>118</v>
      </c>
      <c r="E58" s="100"/>
      <c r="F58" s="95" t="str">
        <f>INSCRITS!C7</f>
        <v>6A</v>
      </c>
      <c r="G58" s="95" t="s">
        <v>57</v>
      </c>
    </row>
    <row r="59" spans="1:7" x14ac:dyDescent="0.25">
      <c r="A59" s="95" t="s">
        <v>53</v>
      </c>
      <c r="B59" s="95" t="str">
        <f>INSCRITS!C3</f>
        <v>2A</v>
      </c>
      <c r="C59" s="100"/>
      <c r="D59" s="94" t="s">
        <v>119</v>
      </c>
      <c r="E59" s="100"/>
      <c r="F59" s="95" t="str">
        <f>INSCRITS!C6</f>
        <v>5A</v>
      </c>
      <c r="G59" s="95" t="s">
        <v>56</v>
      </c>
    </row>
    <row r="60" spans="1:7" x14ac:dyDescent="0.25">
      <c r="A60" s="95" t="s">
        <v>54</v>
      </c>
      <c r="B60" s="95" t="str">
        <f>INSCRITS!C4</f>
        <v>3A</v>
      </c>
      <c r="C60" s="100"/>
      <c r="D60" s="94" t="s">
        <v>120</v>
      </c>
      <c r="E60" s="100"/>
      <c r="F60" s="95" t="str">
        <f>INSCRITS!C9</f>
        <v>8A</v>
      </c>
      <c r="G60" s="95" t="s">
        <v>66</v>
      </c>
    </row>
    <row r="61" spans="1:7" x14ac:dyDescent="0.25">
      <c r="A61" s="95" t="s">
        <v>55</v>
      </c>
      <c r="B61" s="95" t="str">
        <f>INSCRITS!C5</f>
        <v>4A</v>
      </c>
      <c r="C61" s="100"/>
      <c r="D61" s="94" t="s">
        <v>121</v>
      </c>
      <c r="E61" s="100"/>
      <c r="F61" s="95" t="str">
        <f>INSCRITS!C8</f>
        <v>7A</v>
      </c>
      <c r="G61" s="95" t="s">
        <v>58</v>
      </c>
    </row>
    <row r="62" spans="1:7" x14ac:dyDescent="0.25">
      <c r="A62" s="96" t="s">
        <v>68</v>
      </c>
      <c r="B62" s="96" t="str">
        <f>INSCRITS!C11</f>
        <v>1B</v>
      </c>
      <c r="C62" s="100"/>
      <c r="D62" s="94" t="s">
        <v>122</v>
      </c>
      <c r="E62" s="100"/>
      <c r="F62" s="96" t="str">
        <f>INSCRITS!C16</f>
        <v>6B</v>
      </c>
      <c r="G62" s="96" t="s">
        <v>73</v>
      </c>
    </row>
    <row r="63" spans="1:7" x14ac:dyDescent="0.25">
      <c r="A63" s="96" t="s">
        <v>69</v>
      </c>
      <c r="B63" s="96" t="str">
        <f>INSCRITS!C12</f>
        <v>2B</v>
      </c>
      <c r="C63" s="100"/>
      <c r="D63" s="94" t="s">
        <v>123</v>
      </c>
      <c r="E63" s="100"/>
      <c r="F63" s="96" t="str">
        <f>INSCRITS!C15</f>
        <v>5B</v>
      </c>
      <c r="G63" s="96" t="s">
        <v>72</v>
      </c>
    </row>
    <row r="64" spans="1:7" x14ac:dyDescent="0.25">
      <c r="A64" s="92"/>
      <c r="B64" s="92"/>
      <c r="C64" s="99"/>
      <c r="D64" s="93">
        <f>0.486111111111112 + "00:20:00"</f>
        <v>0.50000000000000089</v>
      </c>
      <c r="E64" s="99"/>
      <c r="F64" s="92"/>
      <c r="G64" s="92"/>
    </row>
    <row r="65" spans="1:7" x14ac:dyDescent="0.25">
      <c r="A65" s="96" t="s">
        <v>70</v>
      </c>
      <c r="B65" s="96" t="str">
        <f>INSCRITS!C13</f>
        <v>3B</v>
      </c>
      <c r="C65" s="100"/>
      <c r="D65" s="94" t="s">
        <v>118</v>
      </c>
      <c r="E65" s="100"/>
      <c r="F65" s="96" t="str">
        <f>INSCRITS!C18</f>
        <v>8B</v>
      </c>
      <c r="G65" s="96" t="s">
        <v>77</v>
      </c>
    </row>
    <row r="66" spans="1:7" x14ac:dyDescent="0.25">
      <c r="A66" s="96" t="s">
        <v>71</v>
      </c>
      <c r="B66" s="96" t="str">
        <f>INSCRITS!C14</f>
        <v>4B</v>
      </c>
      <c r="C66" s="100"/>
      <c r="D66" s="94" t="s">
        <v>119</v>
      </c>
      <c r="E66" s="100"/>
      <c r="F66" s="96" t="str">
        <f>INSCRITS!C17</f>
        <v>7B</v>
      </c>
      <c r="G66" s="96" t="s">
        <v>67</v>
      </c>
    </row>
    <row r="67" spans="1:7" x14ac:dyDescent="0.25">
      <c r="A67" s="97" t="s">
        <v>78</v>
      </c>
      <c r="B67" s="97" t="str">
        <f>INSCRITS!C20</f>
        <v>1C</v>
      </c>
      <c r="C67" s="100"/>
      <c r="D67" s="94" t="s">
        <v>124</v>
      </c>
      <c r="E67" s="100"/>
      <c r="F67" s="97" t="str">
        <f>INSCRITS!C25</f>
        <v>6C</v>
      </c>
      <c r="G67" s="97" t="s">
        <v>83</v>
      </c>
    </row>
    <row r="68" spans="1:7" x14ac:dyDescent="0.25">
      <c r="A68" s="97" t="s">
        <v>79</v>
      </c>
      <c r="B68" s="97" t="str">
        <f>INSCRITS!C21</f>
        <v>2C</v>
      </c>
      <c r="C68" s="100"/>
      <c r="D68" s="94" t="s">
        <v>125</v>
      </c>
      <c r="E68" s="100"/>
      <c r="F68" s="97" t="str">
        <f>INSCRITS!C24</f>
        <v>5C</v>
      </c>
      <c r="G68" s="97" t="s">
        <v>82</v>
      </c>
    </row>
    <row r="69" spans="1:7" x14ac:dyDescent="0.25">
      <c r="A69" s="97" t="s">
        <v>80</v>
      </c>
      <c r="B69" s="97" t="str">
        <f>INSCRITS!C22</f>
        <v>3C</v>
      </c>
      <c r="C69" s="100"/>
      <c r="D69" s="94" t="s">
        <v>126</v>
      </c>
      <c r="E69" s="100"/>
      <c r="F69" s="97" t="str">
        <f>INSCRITS!C27</f>
        <v>8C</v>
      </c>
      <c r="G69" s="97" t="s">
        <v>85</v>
      </c>
    </row>
    <row r="70" spans="1:7" x14ac:dyDescent="0.25">
      <c r="A70" s="97" t="s">
        <v>81</v>
      </c>
      <c r="B70" s="97" t="str">
        <f>INSCRITS!C23</f>
        <v>4C</v>
      </c>
      <c r="C70" s="100"/>
      <c r="D70" s="94" t="s">
        <v>127</v>
      </c>
      <c r="E70" s="100"/>
      <c r="F70" s="97" t="str">
        <f>INSCRITS!C26</f>
        <v>7C</v>
      </c>
      <c r="G70" s="97" t="s">
        <v>84</v>
      </c>
    </row>
    <row r="71" spans="1:7" x14ac:dyDescent="0.25">
      <c r="A71" s="92"/>
      <c r="B71" s="92"/>
      <c r="C71" s="99"/>
      <c r="D71" s="93">
        <f>0.500000000000001 + "00:20:00"</f>
        <v>0.51388888888888984</v>
      </c>
      <c r="E71" s="99"/>
      <c r="F71" s="92"/>
      <c r="G71" s="92"/>
    </row>
    <row r="72" spans="1:7" x14ac:dyDescent="0.25">
      <c r="A72" s="95" t="s">
        <v>52</v>
      </c>
      <c r="B72" s="95" t="str">
        <f>INSCRITS!C2</f>
        <v>1A</v>
      </c>
      <c r="C72" s="100"/>
      <c r="D72" s="94" t="s">
        <v>118</v>
      </c>
      <c r="E72" s="100"/>
      <c r="F72" s="95" t="str">
        <f>INSCRITS!C8</f>
        <v>7A</v>
      </c>
      <c r="G72" s="95" t="s">
        <v>58</v>
      </c>
    </row>
    <row r="73" spans="1:7" x14ac:dyDescent="0.25">
      <c r="A73" s="95" t="s">
        <v>53</v>
      </c>
      <c r="B73" s="95" t="str">
        <f>INSCRITS!C3</f>
        <v>2A</v>
      </c>
      <c r="C73" s="100"/>
      <c r="D73" s="94" t="s">
        <v>119</v>
      </c>
      <c r="E73" s="100"/>
      <c r="F73" s="95" t="str">
        <f>INSCRITS!C9</f>
        <v>8A</v>
      </c>
      <c r="G73" s="95" t="s">
        <v>66</v>
      </c>
    </row>
    <row r="74" spans="1:7" x14ac:dyDescent="0.25">
      <c r="A74" s="95" t="s">
        <v>54</v>
      </c>
      <c r="B74" s="95" t="str">
        <f>INSCRITS!C4</f>
        <v>3A</v>
      </c>
      <c r="C74" s="100"/>
      <c r="D74" s="94" t="s">
        <v>120</v>
      </c>
      <c r="E74" s="100"/>
      <c r="F74" s="95" t="str">
        <f>INSCRITS!C6</f>
        <v>5A</v>
      </c>
      <c r="G74" s="95" t="s">
        <v>56</v>
      </c>
    </row>
    <row r="75" spans="1:7" x14ac:dyDescent="0.25">
      <c r="A75" s="95" t="s">
        <v>55</v>
      </c>
      <c r="B75" s="95" t="str">
        <f>INSCRITS!C5</f>
        <v>4A</v>
      </c>
      <c r="C75" s="100"/>
      <c r="D75" s="94" t="s">
        <v>121</v>
      </c>
      <c r="E75" s="100"/>
      <c r="F75" s="95" t="str">
        <f>INSCRITS!C7</f>
        <v>6A</v>
      </c>
      <c r="G75" s="95" t="s">
        <v>57</v>
      </c>
    </row>
    <row r="76" spans="1:7" x14ac:dyDescent="0.25">
      <c r="A76" s="96" t="s">
        <v>68</v>
      </c>
      <c r="B76" s="96" t="str">
        <f>INSCRITS!C11</f>
        <v>1B</v>
      </c>
      <c r="C76" s="100"/>
      <c r="D76" s="94" t="s">
        <v>122</v>
      </c>
      <c r="E76" s="100"/>
      <c r="F76" s="96" t="str">
        <f>INSCRITS!C17</f>
        <v>7B</v>
      </c>
      <c r="G76" s="96" t="s">
        <v>67</v>
      </c>
    </row>
    <row r="77" spans="1:7" x14ac:dyDescent="0.25">
      <c r="A77" s="96" t="s">
        <v>69</v>
      </c>
      <c r="B77" s="96" t="str">
        <f>INSCRITS!C12</f>
        <v>2B</v>
      </c>
      <c r="C77" s="100"/>
      <c r="D77" s="94" t="s">
        <v>123</v>
      </c>
      <c r="E77" s="100"/>
      <c r="F77" s="96" t="str">
        <f>INSCRITS!C18</f>
        <v>8B</v>
      </c>
      <c r="G77" s="96" t="s">
        <v>77</v>
      </c>
    </row>
    <row r="78" spans="1:7" x14ac:dyDescent="0.25">
      <c r="A78" s="92"/>
      <c r="B78" s="92"/>
      <c r="C78" s="99"/>
      <c r="D78" s="93">
        <f>0.51388888888889 + "00:20:00"</f>
        <v>0.52777777777777879</v>
      </c>
      <c r="E78" s="99"/>
      <c r="F78" s="92"/>
      <c r="G78" s="92"/>
    </row>
    <row r="79" spans="1:7" x14ac:dyDescent="0.25">
      <c r="A79" s="96" t="s">
        <v>70</v>
      </c>
      <c r="B79" s="96" t="str">
        <f>INSCRITS!C13</f>
        <v>3B</v>
      </c>
      <c r="C79" s="100"/>
      <c r="D79" s="94" t="s">
        <v>118</v>
      </c>
      <c r="E79" s="100"/>
      <c r="F79" s="96" t="str">
        <f>INSCRITS!C15</f>
        <v>5B</v>
      </c>
      <c r="G79" s="96" t="s">
        <v>72</v>
      </c>
    </row>
    <row r="80" spans="1:7" x14ac:dyDescent="0.25">
      <c r="A80" s="96" t="s">
        <v>71</v>
      </c>
      <c r="B80" s="96" t="str">
        <f>INSCRITS!C14</f>
        <v>4B</v>
      </c>
      <c r="C80" s="100"/>
      <c r="D80" s="94" t="s">
        <v>119</v>
      </c>
      <c r="E80" s="100"/>
      <c r="F80" s="96" t="str">
        <f>INSCRITS!C16</f>
        <v>6B</v>
      </c>
      <c r="G80" s="96" t="s">
        <v>73</v>
      </c>
    </row>
    <row r="81" spans="1:7" x14ac:dyDescent="0.25">
      <c r="A81" s="97" t="s">
        <v>78</v>
      </c>
      <c r="B81" s="97" t="str">
        <f>INSCRITS!C20</f>
        <v>1C</v>
      </c>
      <c r="C81" s="100"/>
      <c r="D81" s="94" t="s">
        <v>124</v>
      </c>
      <c r="E81" s="100"/>
      <c r="F81" s="97" t="str">
        <f>INSCRITS!C26</f>
        <v>7C</v>
      </c>
      <c r="G81" s="97" t="s">
        <v>84</v>
      </c>
    </row>
    <row r="82" spans="1:7" x14ac:dyDescent="0.25">
      <c r="A82" s="97" t="s">
        <v>79</v>
      </c>
      <c r="B82" s="97" t="str">
        <f>INSCRITS!C21</f>
        <v>2C</v>
      </c>
      <c r="C82" s="100"/>
      <c r="D82" s="94" t="s">
        <v>125</v>
      </c>
      <c r="E82" s="100"/>
      <c r="F82" s="97" t="str">
        <f>INSCRITS!C27</f>
        <v>8C</v>
      </c>
      <c r="G82" s="97" t="s">
        <v>85</v>
      </c>
    </row>
    <row r="83" spans="1:7" x14ac:dyDescent="0.25">
      <c r="A83" s="97" t="s">
        <v>80</v>
      </c>
      <c r="B83" s="97" t="str">
        <f>INSCRITS!C22</f>
        <v>3C</v>
      </c>
      <c r="C83" s="100"/>
      <c r="D83" s="94" t="s">
        <v>126</v>
      </c>
      <c r="E83" s="100"/>
      <c r="F83" s="97" t="str">
        <f>INSCRITS!C24</f>
        <v>5C</v>
      </c>
      <c r="G83" s="97" t="s">
        <v>82</v>
      </c>
    </row>
    <row r="84" spans="1:7" x14ac:dyDescent="0.25">
      <c r="A84" s="97" t="s">
        <v>81</v>
      </c>
      <c r="B84" s="97" t="str">
        <f>INSCRITS!C23</f>
        <v>4C</v>
      </c>
      <c r="C84" s="100"/>
      <c r="D84" s="94" t="s">
        <v>127</v>
      </c>
      <c r="E84" s="100"/>
      <c r="F84" s="97" t="str">
        <f>INSCRITS!C25</f>
        <v>6C</v>
      </c>
      <c r="G84" s="97" t="s">
        <v>83</v>
      </c>
    </row>
    <row r="85" spans="1:7" x14ac:dyDescent="0.25">
      <c r="A85" s="92"/>
      <c r="B85" s="92"/>
      <c r="C85" s="99"/>
      <c r="D85" s="93">
        <f>0.527777777777779 + "00:20:00"</f>
        <v>0.54166666666666785</v>
      </c>
      <c r="E85" s="99"/>
      <c r="F85" s="92"/>
      <c r="G85" s="92"/>
    </row>
    <row r="86" spans="1:7" x14ac:dyDescent="0.25">
      <c r="A86" s="95" t="s">
        <v>52</v>
      </c>
      <c r="B86" s="95" t="str">
        <f>INSCRITS!C2</f>
        <v>1A</v>
      </c>
      <c r="C86" s="100"/>
      <c r="D86" s="94" t="s">
        <v>118</v>
      </c>
      <c r="E86" s="100"/>
      <c r="F86" s="95" t="str">
        <f>INSCRITS!C9</f>
        <v>8A</v>
      </c>
      <c r="G86" s="95" t="s">
        <v>66</v>
      </c>
    </row>
    <row r="87" spans="1:7" x14ac:dyDescent="0.25">
      <c r="A87" s="95" t="s">
        <v>53</v>
      </c>
      <c r="B87" s="95" t="str">
        <f>INSCRITS!C3</f>
        <v>2A</v>
      </c>
      <c r="C87" s="100"/>
      <c r="D87" s="94" t="s">
        <v>119</v>
      </c>
      <c r="E87" s="100"/>
      <c r="F87" s="95" t="str">
        <f>INSCRITS!C8</f>
        <v>7A</v>
      </c>
      <c r="G87" s="95" t="s">
        <v>58</v>
      </c>
    </row>
    <row r="88" spans="1:7" x14ac:dyDescent="0.25">
      <c r="A88" s="95" t="s">
        <v>54</v>
      </c>
      <c r="B88" s="95" t="str">
        <f>INSCRITS!C4</f>
        <v>3A</v>
      </c>
      <c r="C88" s="100"/>
      <c r="D88" s="94" t="s">
        <v>120</v>
      </c>
      <c r="E88" s="100"/>
      <c r="F88" s="95" t="str">
        <f>INSCRITS!C7</f>
        <v>6A</v>
      </c>
      <c r="G88" s="95" t="s">
        <v>57</v>
      </c>
    </row>
    <row r="89" spans="1:7" x14ac:dyDescent="0.25">
      <c r="A89" s="95" t="s">
        <v>55</v>
      </c>
      <c r="B89" s="95" t="str">
        <f>INSCRITS!C5</f>
        <v>4A</v>
      </c>
      <c r="C89" s="100"/>
      <c r="D89" s="94" t="s">
        <v>121</v>
      </c>
      <c r="E89" s="100"/>
      <c r="F89" s="95" t="str">
        <f>INSCRITS!C6</f>
        <v>5A</v>
      </c>
      <c r="G89" s="95" t="s">
        <v>56</v>
      </c>
    </row>
    <row r="90" spans="1:7" x14ac:dyDescent="0.25">
      <c r="A90" s="96" t="s">
        <v>68</v>
      </c>
      <c r="B90" s="96" t="str">
        <f>INSCRITS!C11</f>
        <v>1B</v>
      </c>
      <c r="C90" s="100"/>
      <c r="D90" s="94" t="s">
        <v>122</v>
      </c>
      <c r="E90" s="100"/>
      <c r="F90" s="96" t="str">
        <f>INSCRITS!C18</f>
        <v>8B</v>
      </c>
      <c r="G90" s="96" t="s">
        <v>77</v>
      </c>
    </row>
    <row r="91" spans="1:7" x14ac:dyDescent="0.25">
      <c r="A91" s="96" t="s">
        <v>69</v>
      </c>
      <c r="B91" s="96" t="str">
        <f>INSCRITS!C12</f>
        <v>2B</v>
      </c>
      <c r="C91" s="100"/>
      <c r="D91" s="94" t="s">
        <v>123</v>
      </c>
      <c r="E91" s="100"/>
      <c r="F91" s="96" t="str">
        <f>INSCRITS!C17</f>
        <v>7B</v>
      </c>
      <c r="G91" s="96" t="s">
        <v>67</v>
      </c>
    </row>
    <row r="92" spans="1:7" x14ac:dyDescent="0.25">
      <c r="A92" s="92"/>
      <c r="B92" s="92"/>
      <c r="C92" s="99"/>
      <c r="D92" s="93">
        <f>0.541666666666668 + "00:20:00"</f>
        <v>0.5555555555555568</v>
      </c>
      <c r="E92" s="99"/>
      <c r="F92" s="92"/>
      <c r="G92" s="92"/>
    </row>
    <row r="93" spans="1:7" x14ac:dyDescent="0.25">
      <c r="A93" s="96" t="s">
        <v>70</v>
      </c>
      <c r="B93" s="96" t="str">
        <f>INSCRITS!C13</f>
        <v>3B</v>
      </c>
      <c r="C93" s="100"/>
      <c r="D93" s="94" t="s">
        <v>118</v>
      </c>
      <c r="E93" s="100"/>
      <c r="F93" s="96" t="str">
        <f>INSCRITS!C16</f>
        <v>6B</v>
      </c>
      <c r="G93" s="96" t="s">
        <v>73</v>
      </c>
    </row>
    <row r="94" spans="1:7" x14ac:dyDescent="0.25">
      <c r="A94" s="96" t="s">
        <v>71</v>
      </c>
      <c r="B94" s="96" t="str">
        <f>INSCRITS!C14</f>
        <v>4B</v>
      </c>
      <c r="C94" s="100"/>
      <c r="D94" s="94" t="s">
        <v>119</v>
      </c>
      <c r="E94" s="100"/>
      <c r="F94" s="96" t="str">
        <f>INSCRITS!C15</f>
        <v>5B</v>
      </c>
      <c r="G94" s="96" t="s">
        <v>72</v>
      </c>
    </row>
    <row r="95" spans="1:7" x14ac:dyDescent="0.25">
      <c r="A95" s="97" t="s">
        <v>78</v>
      </c>
      <c r="B95" s="97" t="str">
        <f>INSCRITS!C20</f>
        <v>1C</v>
      </c>
      <c r="C95" s="100"/>
      <c r="D95" s="94" t="s">
        <v>124</v>
      </c>
      <c r="E95" s="100"/>
      <c r="F95" s="97" t="str">
        <f>INSCRITS!C27</f>
        <v>8C</v>
      </c>
      <c r="G95" s="97" t="s">
        <v>85</v>
      </c>
    </row>
    <row r="96" spans="1:7" x14ac:dyDescent="0.25">
      <c r="A96" s="97" t="s">
        <v>79</v>
      </c>
      <c r="B96" s="97" t="str">
        <f>INSCRITS!C21</f>
        <v>2C</v>
      </c>
      <c r="C96" s="100"/>
      <c r="D96" s="94" t="s">
        <v>125</v>
      </c>
      <c r="E96" s="100"/>
      <c r="F96" s="97" t="str">
        <f>INSCRITS!C26</f>
        <v>7C</v>
      </c>
      <c r="G96" s="97" t="s">
        <v>84</v>
      </c>
    </row>
    <row r="97" spans="1:7" x14ac:dyDescent="0.25">
      <c r="A97" s="97" t="s">
        <v>80</v>
      </c>
      <c r="B97" s="97" t="str">
        <f>INSCRITS!C22</f>
        <v>3C</v>
      </c>
      <c r="C97" s="100"/>
      <c r="D97" s="94" t="s">
        <v>126</v>
      </c>
      <c r="E97" s="100"/>
      <c r="F97" s="97" t="str">
        <f>INSCRITS!C25</f>
        <v>6C</v>
      </c>
      <c r="G97" s="97" t="s">
        <v>83</v>
      </c>
    </row>
    <row r="98" spans="1:7" x14ac:dyDescent="0.25">
      <c r="A98" s="97" t="s">
        <v>81</v>
      </c>
      <c r="B98" s="97" t="str">
        <f>INSCRITS!C23</f>
        <v>4C</v>
      </c>
      <c r="C98" s="100"/>
      <c r="D98" s="94" t="s">
        <v>127</v>
      </c>
      <c r="E98" s="100"/>
      <c r="F98" s="97" t="str">
        <f>INSCRITS!C24</f>
        <v>5C</v>
      </c>
      <c r="G98" s="97" t="s">
        <v>82</v>
      </c>
    </row>
    <row r="99" spans="1:7" x14ac:dyDescent="0.25">
      <c r="A99" s="92"/>
      <c r="B99" s="92"/>
      <c r="C99" s="99"/>
      <c r="D99" s="93">
        <f>0.555555555555557 + "00:20:00"</f>
        <v>0.56944444444444586</v>
      </c>
      <c r="E99" s="99"/>
      <c r="F99" s="92"/>
      <c r="G99" s="92"/>
    </row>
    <row r="106" spans="1:7" x14ac:dyDescent="0.25">
      <c r="D106" s="73">
        <f>0.569444444444446 + "00:20:00"</f>
        <v>0.58333333333333481</v>
      </c>
    </row>
    <row r="113" spans="4:4" x14ac:dyDescent="0.25">
      <c r="D113" s="73">
        <f>0.583333333333335 + "00:20:00"</f>
        <v>0.59722222222222388</v>
      </c>
    </row>
    <row r="120" spans="4:4" x14ac:dyDescent="0.25">
      <c r="D120" s="73">
        <f>0.597222222222224 + "00:20:00"</f>
        <v>0.61111111111111283</v>
      </c>
    </row>
    <row r="127" spans="4:4" x14ac:dyDescent="0.25">
      <c r="D127" s="73">
        <f>0.611111111111113 + "00:20:00"</f>
        <v>0.62500000000000189</v>
      </c>
    </row>
    <row r="134" spans="4:4" x14ac:dyDescent="0.25">
      <c r="D134" s="73">
        <f>0.625000000000002 + "00:20:00"</f>
        <v>0.63888888888889084</v>
      </c>
    </row>
    <row r="141" spans="4:4" x14ac:dyDescent="0.25">
      <c r="D141" s="73">
        <f>0.638888888888891 + "00:20:00"</f>
        <v>0.65277777777777979</v>
      </c>
    </row>
    <row r="148" spans="4:4" x14ac:dyDescent="0.25">
      <c r="D148" s="73">
        <f>0.65277777777778 + "00:20:00"</f>
        <v>0.66666666666666885</v>
      </c>
    </row>
    <row r="155" spans="4:4" x14ac:dyDescent="0.25">
      <c r="D155" s="73">
        <f>0.666666666666669 + "00:20:00"</f>
        <v>0.6805555555555578</v>
      </c>
    </row>
    <row r="162" spans="4:4" x14ac:dyDescent="0.25">
      <c r="D162" s="73">
        <f>0.680555555555558 + "00:20:00"</f>
        <v>0.69444444444444686</v>
      </c>
    </row>
    <row r="169" spans="4:4" x14ac:dyDescent="0.25">
      <c r="D169" s="73">
        <f>0.694444444444447 + "00:20:00"</f>
        <v>0.70833333333333581</v>
      </c>
    </row>
    <row r="176" spans="4:4" x14ac:dyDescent="0.25">
      <c r="D176" s="73">
        <f>0.708333333333336 + "00:20:00"</f>
        <v>0.72222222222222487</v>
      </c>
    </row>
    <row r="183" spans="4:4" x14ac:dyDescent="0.25">
      <c r="D183" s="73">
        <f>0.722222222222225 + "00:20:00"</f>
        <v>0.73611111111111382</v>
      </c>
    </row>
    <row r="190" spans="4:4" x14ac:dyDescent="0.25">
      <c r="D190" s="73">
        <f>0.736111111111114 + "00:20:00"</f>
        <v>0.75000000000000289</v>
      </c>
    </row>
    <row r="197" spans="4:4" x14ac:dyDescent="0.25">
      <c r="D197" s="73">
        <f>0.750000000000003 + "00:20:00"</f>
        <v>0.76388888888889184</v>
      </c>
    </row>
    <row r="204" spans="4:4" x14ac:dyDescent="0.25">
      <c r="D204" s="73">
        <f>0.763888888888892 + "00:20:00"</f>
        <v>0.77777777777778079</v>
      </c>
    </row>
    <row r="211" spans="4:4" x14ac:dyDescent="0.25">
      <c r="D211" s="73">
        <f>0.777777777777781 + "00:20:00"</f>
        <v>0.79166666666666985</v>
      </c>
    </row>
    <row r="218" spans="4:4" x14ac:dyDescent="0.25">
      <c r="D218" s="73">
        <f>0.79166666666667 + "00:20:00"</f>
        <v>0.8055555555555588</v>
      </c>
    </row>
    <row r="225" spans="4:4" x14ac:dyDescent="0.25">
      <c r="D225" s="73">
        <f>0.805555555555559 + "00:20:00"</f>
        <v>0.81944444444444786</v>
      </c>
    </row>
    <row r="232" spans="4:4" x14ac:dyDescent="0.25">
      <c r="D232" s="73">
        <f>0.819444444444448 + "00:20:00"</f>
        <v>0.83333333333333681</v>
      </c>
    </row>
    <row r="239" spans="4:4" x14ac:dyDescent="0.25">
      <c r="D239" s="73">
        <f>0.833333333333337 + "00:20:00"</f>
        <v>0.84722222222222587</v>
      </c>
    </row>
    <row r="246" spans="4:4" x14ac:dyDescent="0.25">
      <c r="D246" s="73">
        <f>0.847222222222226 + "00:20:00"</f>
        <v>0.86111111111111482</v>
      </c>
    </row>
    <row r="253" spans="4:4" x14ac:dyDescent="0.25">
      <c r="D253" s="73">
        <f>0.861111111111115 + "00:20:00"</f>
        <v>0.87500000000000389</v>
      </c>
    </row>
    <row r="260" spans="4:4" x14ac:dyDescent="0.25">
      <c r="D260" s="73">
        <f>0.875000000000004 + "00:20:00"</f>
        <v>0.88888888888889284</v>
      </c>
    </row>
    <row r="267" spans="4:4" x14ac:dyDescent="0.25">
      <c r="D267" s="73">
        <f>0.888888888888893 + "00:20:00"</f>
        <v>0.90277777777778179</v>
      </c>
    </row>
    <row r="274" spans="4:4" x14ac:dyDescent="0.25">
      <c r="D274" s="73">
        <f>0.902777777777782 + "00:20:00"</f>
        <v>0.91666666666667085</v>
      </c>
    </row>
    <row r="281" spans="4:4" x14ac:dyDescent="0.25">
      <c r="D281" s="73">
        <f>0.916666666666671 + "00:20:00"</f>
        <v>0.9305555555555598</v>
      </c>
    </row>
    <row r="288" spans="4:4" x14ac:dyDescent="0.25">
      <c r="D288" s="73">
        <f>0.93055555555556 + "00:20:00"</f>
        <v>0.94444444444444886</v>
      </c>
    </row>
    <row r="295" spans="4:4" x14ac:dyDescent="0.25">
      <c r="D295" s="73">
        <f>0.944444444444449 + "00:20:00"</f>
        <v>0.95833333333333781</v>
      </c>
    </row>
    <row r="302" spans="4:4" x14ac:dyDescent="0.25">
      <c r="D302" s="73">
        <f>0.958333333333338 + "00:20:00"</f>
        <v>0.97222222222222687</v>
      </c>
    </row>
    <row r="309" spans="4:4" x14ac:dyDescent="0.25">
      <c r="D309" s="73">
        <f>0.972222222222227 + "00:20:00"</f>
        <v>0.98611111111111582</v>
      </c>
    </row>
    <row r="316" spans="4:4" x14ac:dyDescent="0.25">
      <c r="D316" s="73">
        <f>0.986111111111116 + "00:20:00"</f>
        <v>1.0000000000000049</v>
      </c>
    </row>
    <row r="323" spans="4:4" x14ac:dyDescent="0.25">
      <c r="D323" s="73">
        <f>1 + "00:20:00"</f>
        <v>1.0138888888888888</v>
      </c>
    </row>
    <row r="330" spans="4:4" x14ac:dyDescent="0.25">
      <c r="D330" s="73">
        <f>1.01388888888889 + "00:20:00"</f>
        <v>1.0277777777777788</v>
      </c>
    </row>
    <row r="337" spans="4:4" x14ac:dyDescent="0.25">
      <c r="D337" s="73">
        <f>1.02777777777778 + "00:20:00"</f>
        <v>1.0416666666666687</v>
      </c>
    </row>
    <row r="344" spans="4:4" x14ac:dyDescent="0.25">
      <c r="D344" s="73">
        <f>1.04166666666667 + "00:20:00"</f>
        <v>1.0555555555555589</v>
      </c>
    </row>
    <row r="351" spans="4:4" x14ac:dyDescent="0.25">
      <c r="D351" s="73">
        <f>1.05555555555556 + "00:20:00"</f>
        <v>1.0694444444444489</v>
      </c>
    </row>
    <row r="358" spans="4:4" x14ac:dyDescent="0.25">
      <c r="D358" s="73">
        <f>1.06944444444445 + "00:20:00"</f>
        <v>1.0833333333333388</v>
      </c>
    </row>
    <row r="365" spans="4:4" x14ac:dyDescent="0.25">
      <c r="D365" s="73">
        <f>1.08333333333334 + "00:20:00"</f>
        <v>1.0972222222222288</v>
      </c>
    </row>
    <row r="372" spans="4:4" x14ac:dyDescent="0.25">
      <c r="D372" s="73">
        <f>1.09722222222223 + "00:20:00"</f>
        <v>1.1111111111111189</v>
      </c>
    </row>
    <row r="379" spans="4:4" x14ac:dyDescent="0.25">
      <c r="D379" s="73">
        <f>1.11111111111112 + "00:20:00"</f>
        <v>1.1250000000000089</v>
      </c>
    </row>
    <row r="386" spans="4:4" x14ac:dyDescent="0.25">
      <c r="D386" s="73">
        <f>1.12500000000001 + "00:20:00"</f>
        <v>1.1388888888888988</v>
      </c>
    </row>
    <row r="393" spans="4:4" x14ac:dyDescent="0.25">
      <c r="D393" s="73">
        <f>1.1388888888889 + "00:20:00"</f>
        <v>1.1527777777777888</v>
      </c>
    </row>
    <row r="400" spans="4:4" x14ac:dyDescent="0.25">
      <c r="D400" s="73">
        <f>1.15277777777779 + "00:20:00"</f>
        <v>1.1666666666666787</v>
      </c>
    </row>
    <row r="407" spans="4:4" x14ac:dyDescent="0.25">
      <c r="D407" s="73">
        <f>1.16666666666668 + "00:20:00"</f>
        <v>1.1805555555555689</v>
      </c>
    </row>
    <row r="414" spans="4:4" x14ac:dyDescent="0.25">
      <c r="D414" s="73">
        <f>1.18055555555557 + "00:20:00"</f>
        <v>1.1944444444444589</v>
      </c>
    </row>
    <row r="421" spans="4:4" x14ac:dyDescent="0.25">
      <c r="D421" s="73">
        <f>1.19444444444446 + "00:20:00"</f>
        <v>1.2083333333333488</v>
      </c>
    </row>
    <row r="428" spans="4:4" x14ac:dyDescent="0.25">
      <c r="D428" s="73">
        <f>1.20833333333335 + "00:20:00"</f>
        <v>1.2222222222222388</v>
      </c>
    </row>
    <row r="435" spans="4:4" x14ac:dyDescent="0.25">
      <c r="D435" s="73">
        <f>1.22222222222224 + "00:20:00"</f>
        <v>1.2361111111111289</v>
      </c>
    </row>
    <row r="442" spans="4:4" x14ac:dyDescent="0.25">
      <c r="D442" s="73">
        <f>1.23611111111113 + "00:20:00"</f>
        <v>1.2500000000000189</v>
      </c>
    </row>
    <row r="449" spans="4:4" x14ac:dyDescent="0.25">
      <c r="D449" s="73">
        <f>1.25000000000002 + "00:20:00"</f>
        <v>1.2638888888889088</v>
      </c>
    </row>
    <row r="456" spans="4:4" x14ac:dyDescent="0.25">
      <c r="D456" s="73">
        <f>1.26388888888891 + "00:20:00"</f>
        <v>1.2777777777777988</v>
      </c>
    </row>
    <row r="463" spans="4:4" x14ac:dyDescent="0.25">
      <c r="D463" s="73">
        <f>1.2777777777778 + "00:20:00"</f>
        <v>1.2916666666666889</v>
      </c>
    </row>
    <row r="470" spans="4:4" x14ac:dyDescent="0.25">
      <c r="D470" s="73">
        <f>1.29166666666669 + "00:20:00"</f>
        <v>1.3055555555555789</v>
      </c>
    </row>
    <row r="477" spans="4:4" x14ac:dyDescent="0.25">
      <c r="D477" s="73">
        <f>1.30555555555558 + "00:20:00"</f>
        <v>1.3194444444444688</v>
      </c>
    </row>
    <row r="484" spans="4:4" x14ac:dyDescent="0.25">
      <c r="D484" s="73">
        <f>1.31944444444447 + "00:20:00"</f>
        <v>1.3333333333333588</v>
      </c>
    </row>
    <row r="491" spans="4:4" x14ac:dyDescent="0.25">
      <c r="D491" s="73">
        <f>1.33333333333336 + "00:20:00"</f>
        <v>1.3472222222222487</v>
      </c>
    </row>
    <row r="498" spans="4:4" x14ac:dyDescent="0.25">
      <c r="D498" s="73">
        <f>1.34722222222225 + "00:20:00"</f>
        <v>1.3611111111111389</v>
      </c>
    </row>
    <row r="505" spans="4:4" x14ac:dyDescent="0.25">
      <c r="D505" s="73">
        <f>1.36111111111114 + "00:20:00"</f>
        <v>1.3750000000000289</v>
      </c>
    </row>
    <row r="512" spans="4:4" x14ac:dyDescent="0.25">
      <c r="D512" s="73">
        <f>1.37500000000003 + "00:20:00"</f>
        <v>1.3888888888889188</v>
      </c>
    </row>
    <row r="519" spans="4:4" x14ac:dyDescent="0.25">
      <c r="D519" s="73">
        <f>1.38888888888892 + "00:20:00"</f>
        <v>1.4027777777778088</v>
      </c>
    </row>
    <row r="526" spans="4:4" x14ac:dyDescent="0.25">
      <c r="D526" s="73">
        <f>1.40277777777781 + "00:20:00"</f>
        <v>1.4166666666666989</v>
      </c>
    </row>
    <row r="533" spans="4:4" x14ac:dyDescent="0.25">
      <c r="D533" s="73">
        <f>1.4166666666667 + "00:20:00"</f>
        <v>1.4305555555555889</v>
      </c>
    </row>
    <row r="540" spans="4:4" x14ac:dyDescent="0.25">
      <c r="D540" s="73">
        <f>1.43055555555559 + "00:20:00"</f>
        <v>1.4444444444444788</v>
      </c>
    </row>
    <row r="547" spans="4:4" x14ac:dyDescent="0.25">
      <c r="D547" s="73">
        <f>1.44444444444448 + "00:20:00"</f>
        <v>1.4583333333333688</v>
      </c>
    </row>
    <row r="554" spans="4:4" x14ac:dyDescent="0.25">
      <c r="D554" s="73">
        <f>1.45833333333337 + "00:20:00"</f>
        <v>1.4722222222222587</v>
      </c>
    </row>
    <row r="561" spans="4:4" x14ac:dyDescent="0.25">
      <c r="D561" s="73">
        <f>1.47222222222226 + "00:20:00"</f>
        <v>1.4861111111111489</v>
      </c>
    </row>
    <row r="568" spans="4:4" x14ac:dyDescent="0.25">
      <c r="D568" s="73">
        <f>1.48611111111115 + "00:20:00"</f>
        <v>1.5000000000000389</v>
      </c>
    </row>
    <row r="575" spans="4:4" x14ac:dyDescent="0.25">
      <c r="D575" s="73">
        <f>1.50000000000004 + "00:20:00"</f>
        <v>1.5138888888889288</v>
      </c>
    </row>
    <row r="582" spans="4:4" x14ac:dyDescent="0.25">
      <c r="D582" s="73">
        <f>1.51388888888893 + "00:20:00"</f>
        <v>1.5277777777778188</v>
      </c>
    </row>
  </sheetData>
  <conditionalFormatting sqref="C2">
    <cfRule type="expression" dxfId="479" priority="335">
      <formula>$C2&lt;$E2</formula>
    </cfRule>
    <cfRule type="expression" dxfId="478" priority="336">
      <formula>$C2&gt;$E2</formula>
    </cfRule>
  </conditionalFormatting>
  <conditionalFormatting sqref="E2">
    <cfRule type="expression" dxfId="477" priority="333">
      <formula>$C2&gt;$E2</formula>
    </cfRule>
    <cfRule type="expression" dxfId="476" priority="334">
      <formula>$C2&lt;$E2</formula>
    </cfRule>
  </conditionalFormatting>
  <conditionalFormatting sqref="C3">
    <cfRule type="expression" dxfId="475" priority="331">
      <formula>$C3&lt;$E3</formula>
    </cfRule>
    <cfRule type="expression" dxfId="474" priority="332">
      <formula>$C3&gt;$E3</formula>
    </cfRule>
  </conditionalFormatting>
  <conditionalFormatting sqref="E3">
    <cfRule type="expression" dxfId="473" priority="329">
      <formula>$C3&gt;$E3</formula>
    </cfRule>
    <cfRule type="expression" dxfId="472" priority="330">
      <formula>$C3&lt;$E3</formula>
    </cfRule>
  </conditionalFormatting>
  <conditionalFormatting sqref="C4">
    <cfRule type="expression" dxfId="471" priority="327">
      <formula>$C4&lt;$E4</formula>
    </cfRule>
    <cfRule type="expression" dxfId="470" priority="328">
      <formula>$C4&gt;$E4</formula>
    </cfRule>
  </conditionalFormatting>
  <conditionalFormatting sqref="E4">
    <cfRule type="expression" dxfId="469" priority="325">
      <formula>$C4&gt;$E4</formula>
    </cfRule>
    <cfRule type="expression" dxfId="468" priority="326">
      <formula>$C4&lt;$E4</formula>
    </cfRule>
  </conditionalFormatting>
  <conditionalFormatting sqref="C5">
    <cfRule type="expression" dxfId="467" priority="323">
      <formula>$C5&lt;$E5</formula>
    </cfRule>
    <cfRule type="expression" dxfId="466" priority="324">
      <formula>$C5&gt;$E5</formula>
    </cfRule>
  </conditionalFormatting>
  <conditionalFormatting sqref="E5">
    <cfRule type="expression" dxfId="465" priority="321">
      <formula>$C5&gt;$E5</formula>
    </cfRule>
    <cfRule type="expression" dxfId="464" priority="322">
      <formula>$C5&lt;$E5</formula>
    </cfRule>
  </conditionalFormatting>
  <conditionalFormatting sqref="C6">
    <cfRule type="expression" dxfId="463" priority="319">
      <formula>$C6&lt;$E6</formula>
    </cfRule>
    <cfRule type="expression" dxfId="462" priority="320">
      <formula>$C6&gt;$E6</formula>
    </cfRule>
  </conditionalFormatting>
  <conditionalFormatting sqref="E6">
    <cfRule type="expression" dxfId="461" priority="317">
      <formula>$C6&gt;$E6</formula>
    </cfRule>
    <cfRule type="expression" dxfId="460" priority="318">
      <formula>$C6&lt;$E6</formula>
    </cfRule>
  </conditionalFormatting>
  <conditionalFormatting sqref="C7">
    <cfRule type="expression" dxfId="459" priority="315">
      <formula>$C7&lt;$E7</formula>
    </cfRule>
    <cfRule type="expression" dxfId="458" priority="316">
      <formula>$C7&gt;$E7</formula>
    </cfRule>
  </conditionalFormatting>
  <conditionalFormatting sqref="E7">
    <cfRule type="expression" dxfId="457" priority="313">
      <formula>$C7&gt;$E7</formula>
    </cfRule>
    <cfRule type="expression" dxfId="456" priority="314">
      <formula>$C7&lt;$E7</formula>
    </cfRule>
  </conditionalFormatting>
  <conditionalFormatting sqref="C9">
    <cfRule type="expression" dxfId="455" priority="311">
      <formula>$C9&lt;$E9</formula>
    </cfRule>
    <cfRule type="expression" dxfId="454" priority="312">
      <formula>$C9&gt;$E9</formula>
    </cfRule>
  </conditionalFormatting>
  <conditionalFormatting sqref="E9">
    <cfRule type="expression" dxfId="453" priority="309">
      <formula>$C9&gt;$E9</formula>
    </cfRule>
    <cfRule type="expression" dxfId="452" priority="310">
      <formula>$C9&lt;$E9</formula>
    </cfRule>
  </conditionalFormatting>
  <conditionalFormatting sqref="C10">
    <cfRule type="expression" dxfId="451" priority="307">
      <formula>$C10&lt;$E10</formula>
    </cfRule>
    <cfRule type="expression" dxfId="450" priority="308">
      <formula>$C10&gt;$E10</formula>
    </cfRule>
  </conditionalFormatting>
  <conditionalFormatting sqref="E10">
    <cfRule type="expression" dxfId="449" priority="305">
      <formula>$C10&gt;$E10</formula>
    </cfRule>
    <cfRule type="expression" dxfId="448" priority="306">
      <formula>$C10&lt;$E10</formula>
    </cfRule>
  </conditionalFormatting>
  <conditionalFormatting sqref="C11">
    <cfRule type="expression" dxfId="447" priority="303">
      <formula>$C11&lt;$E11</formula>
    </cfRule>
    <cfRule type="expression" dxfId="446" priority="304">
      <formula>$C11&gt;$E11</formula>
    </cfRule>
  </conditionalFormatting>
  <conditionalFormatting sqref="E11">
    <cfRule type="expression" dxfId="445" priority="301">
      <formula>$C11&gt;$E11</formula>
    </cfRule>
    <cfRule type="expression" dxfId="444" priority="302">
      <formula>$C11&lt;$E11</formula>
    </cfRule>
  </conditionalFormatting>
  <conditionalFormatting sqref="C12">
    <cfRule type="expression" dxfId="443" priority="299">
      <formula>$C12&lt;$E12</formula>
    </cfRule>
    <cfRule type="expression" dxfId="442" priority="300">
      <formula>$C12&gt;$E12</formula>
    </cfRule>
  </conditionalFormatting>
  <conditionalFormatting sqref="E12">
    <cfRule type="expression" dxfId="441" priority="297">
      <formula>$C12&gt;$E12</formula>
    </cfRule>
    <cfRule type="expression" dxfId="440" priority="298">
      <formula>$C12&lt;$E12</formula>
    </cfRule>
  </conditionalFormatting>
  <conditionalFormatting sqref="C13">
    <cfRule type="expression" dxfId="439" priority="296">
      <formula>$C13&gt;$E13</formula>
    </cfRule>
  </conditionalFormatting>
  <conditionalFormatting sqref="C13">
    <cfRule type="expression" dxfId="438" priority="295">
      <formula>$C13&lt;$E13</formula>
    </cfRule>
  </conditionalFormatting>
  <conditionalFormatting sqref="E13">
    <cfRule type="expression" dxfId="437" priority="294">
      <formula>$C13&lt;$E13</formula>
    </cfRule>
  </conditionalFormatting>
  <conditionalFormatting sqref="E13">
    <cfRule type="expression" dxfId="436" priority="293">
      <formula>$C13&gt;$E13</formula>
    </cfRule>
  </conditionalFormatting>
  <conditionalFormatting sqref="C14">
    <cfRule type="expression" dxfId="435" priority="292">
      <formula>$C14&gt;$E14</formula>
    </cfRule>
  </conditionalFormatting>
  <conditionalFormatting sqref="C14">
    <cfRule type="expression" dxfId="434" priority="291">
      <formula>$C14&lt;$E14</formula>
    </cfRule>
  </conditionalFormatting>
  <conditionalFormatting sqref="E14">
    <cfRule type="expression" dxfId="433" priority="290">
      <formula>$C14&lt;$E14</formula>
    </cfRule>
  </conditionalFormatting>
  <conditionalFormatting sqref="E14">
    <cfRule type="expression" dxfId="432" priority="289">
      <formula>$C14&gt;$E14</formula>
    </cfRule>
  </conditionalFormatting>
  <conditionalFormatting sqref="C16">
    <cfRule type="expression" dxfId="431" priority="288">
      <formula>$C16&gt;$E16</formula>
    </cfRule>
  </conditionalFormatting>
  <conditionalFormatting sqref="C16">
    <cfRule type="expression" dxfId="430" priority="287">
      <formula>$C16&lt;$E16</formula>
    </cfRule>
  </conditionalFormatting>
  <conditionalFormatting sqref="E16">
    <cfRule type="expression" dxfId="429" priority="286">
      <formula>$C16&lt;$E16</formula>
    </cfRule>
  </conditionalFormatting>
  <conditionalFormatting sqref="E16">
    <cfRule type="expression" dxfId="428" priority="285">
      <formula>$C16&gt;$E16</formula>
    </cfRule>
  </conditionalFormatting>
  <conditionalFormatting sqref="C17">
    <cfRule type="expression" dxfId="427" priority="284">
      <formula>$C17&gt;$E17</formula>
    </cfRule>
  </conditionalFormatting>
  <conditionalFormatting sqref="C17">
    <cfRule type="expression" dxfId="426" priority="283">
      <formula>$C17&lt;$E17</formula>
    </cfRule>
  </conditionalFormatting>
  <conditionalFormatting sqref="E17">
    <cfRule type="expression" dxfId="425" priority="282">
      <formula>$C17&lt;$E17</formula>
    </cfRule>
  </conditionalFormatting>
  <conditionalFormatting sqref="E17">
    <cfRule type="expression" dxfId="424" priority="281">
      <formula>$C17&gt;$E17</formula>
    </cfRule>
  </conditionalFormatting>
  <conditionalFormatting sqref="C18">
    <cfRule type="expression" dxfId="423" priority="280">
      <formula>$C18&gt;$E18</formula>
    </cfRule>
  </conditionalFormatting>
  <conditionalFormatting sqref="C18">
    <cfRule type="expression" dxfId="422" priority="279">
      <formula>$C18&lt;$E18</formula>
    </cfRule>
  </conditionalFormatting>
  <conditionalFormatting sqref="E18">
    <cfRule type="expression" dxfId="421" priority="278">
      <formula>$C18&lt;$E18</formula>
    </cfRule>
  </conditionalFormatting>
  <conditionalFormatting sqref="E18">
    <cfRule type="expression" dxfId="420" priority="277">
      <formula>$C18&gt;$E18</formula>
    </cfRule>
  </conditionalFormatting>
  <conditionalFormatting sqref="C19">
    <cfRule type="expression" dxfId="419" priority="276">
      <formula>$C19&gt;$E19</formula>
    </cfRule>
  </conditionalFormatting>
  <conditionalFormatting sqref="C19">
    <cfRule type="expression" dxfId="418" priority="275">
      <formula>$C19&lt;$E19</formula>
    </cfRule>
  </conditionalFormatting>
  <conditionalFormatting sqref="E19">
    <cfRule type="expression" dxfId="417" priority="274">
      <formula>$C19&lt;$E19</formula>
    </cfRule>
  </conditionalFormatting>
  <conditionalFormatting sqref="E19">
    <cfRule type="expression" dxfId="416" priority="273">
      <formula>$C19&gt;$E19</formula>
    </cfRule>
  </conditionalFormatting>
  <conditionalFormatting sqref="C20">
    <cfRule type="expression" dxfId="415" priority="272">
      <formula>$C20&gt;$E20</formula>
    </cfRule>
  </conditionalFormatting>
  <conditionalFormatting sqref="C20">
    <cfRule type="expression" dxfId="414" priority="271">
      <formula>$C20&lt;$E20</formula>
    </cfRule>
  </conditionalFormatting>
  <conditionalFormatting sqref="E20">
    <cfRule type="expression" dxfId="413" priority="270">
      <formula>$C20&lt;$E20</formula>
    </cfRule>
  </conditionalFormatting>
  <conditionalFormatting sqref="E20">
    <cfRule type="expression" dxfId="412" priority="269">
      <formula>$C20&gt;$E20</formula>
    </cfRule>
  </conditionalFormatting>
  <conditionalFormatting sqref="C21">
    <cfRule type="expression" dxfId="411" priority="268">
      <formula>$C21&gt;$E21</formula>
    </cfRule>
  </conditionalFormatting>
  <conditionalFormatting sqref="C21">
    <cfRule type="expression" dxfId="410" priority="267">
      <formula>$C21&lt;$E21</formula>
    </cfRule>
  </conditionalFormatting>
  <conditionalFormatting sqref="E21">
    <cfRule type="expression" dxfId="409" priority="266">
      <formula>$C21&lt;$E21</formula>
    </cfRule>
  </conditionalFormatting>
  <conditionalFormatting sqref="E21">
    <cfRule type="expression" dxfId="408" priority="265">
      <formula>$C21&gt;$E21</formula>
    </cfRule>
  </conditionalFormatting>
  <conditionalFormatting sqref="C23">
    <cfRule type="expression" dxfId="407" priority="264">
      <formula>$C23&gt;$E23</formula>
    </cfRule>
  </conditionalFormatting>
  <conditionalFormatting sqref="C23">
    <cfRule type="expression" dxfId="406" priority="263">
      <formula>$C23&lt;$E23</formula>
    </cfRule>
  </conditionalFormatting>
  <conditionalFormatting sqref="E23">
    <cfRule type="expression" dxfId="405" priority="262">
      <formula>$C23&lt;$E23</formula>
    </cfRule>
  </conditionalFormatting>
  <conditionalFormatting sqref="E23">
    <cfRule type="expression" dxfId="404" priority="261">
      <formula>$C23&gt;$E23</formula>
    </cfRule>
  </conditionalFormatting>
  <conditionalFormatting sqref="C24">
    <cfRule type="expression" dxfId="403" priority="260">
      <formula>$C24&gt;$E24</formula>
    </cfRule>
  </conditionalFormatting>
  <conditionalFormatting sqref="C24">
    <cfRule type="expression" dxfId="402" priority="259">
      <formula>$C24&lt;$E24</formula>
    </cfRule>
  </conditionalFormatting>
  <conditionalFormatting sqref="E24">
    <cfRule type="expression" dxfId="401" priority="258">
      <formula>$C24&lt;$E24</formula>
    </cfRule>
  </conditionalFormatting>
  <conditionalFormatting sqref="E24">
    <cfRule type="expression" dxfId="400" priority="257">
      <formula>$C24&gt;$E24</formula>
    </cfRule>
  </conditionalFormatting>
  <conditionalFormatting sqref="C25">
    <cfRule type="expression" dxfId="399" priority="256">
      <formula>$C25&gt;$E25</formula>
    </cfRule>
  </conditionalFormatting>
  <conditionalFormatting sqref="C25">
    <cfRule type="expression" dxfId="398" priority="255">
      <formula>$C25&lt;$E25</formula>
    </cfRule>
  </conditionalFormatting>
  <conditionalFormatting sqref="E25">
    <cfRule type="expression" dxfId="397" priority="254">
      <formula>$C25&lt;$E25</formula>
    </cfRule>
  </conditionalFormatting>
  <conditionalFormatting sqref="E25">
    <cfRule type="expression" dxfId="396" priority="253">
      <formula>$C25&gt;$E25</formula>
    </cfRule>
  </conditionalFormatting>
  <conditionalFormatting sqref="C26">
    <cfRule type="expression" dxfId="395" priority="252">
      <formula>$C26&gt;$E26</formula>
    </cfRule>
  </conditionalFormatting>
  <conditionalFormatting sqref="C26">
    <cfRule type="expression" dxfId="394" priority="251">
      <formula>$C26&lt;$E26</formula>
    </cfRule>
  </conditionalFormatting>
  <conditionalFormatting sqref="E26">
    <cfRule type="expression" dxfId="393" priority="250">
      <formula>$C26&lt;$E26</formula>
    </cfRule>
  </conditionalFormatting>
  <conditionalFormatting sqref="E26">
    <cfRule type="expression" dxfId="392" priority="249">
      <formula>$C26&gt;$E26</formula>
    </cfRule>
  </conditionalFormatting>
  <conditionalFormatting sqref="C27">
    <cfRule type="expression" dxfId="391" priority="248">
      <formula>$C27&gt;$E27</formula>
    </cfRule>
  </conditionalFormatting>
  <conditionalFormatting sqref="C27">
    <cfRule type="expression" dxfId="390" priority="247">
      <formula>$C27&lt;$E27</formula>
    </cfRule>
  </conditionalFormatting>
  <conditionalFormatting sqref="E27">
    <cfRule type="expression" dxfId="389" priority="246">
      <formula>$C27&lt;$E27</formula>
    </cfRule>
  </conditionalFormatting>
  <conditionalFormatting sqref="E27">
    <cfRule type="expression" dxfId="388" priority="245">
      <formula>$C27&gt;$E27</formula>
    </cfRule>
  </conditionalFormatting>
  <conditionalFormatting sqref="C28">
    <cfRule type="expression" dxfId="387" priority="244">
      <formula>$C28&gt;$E28</formula>
    </cfRule>
  </conditionalFormatting>
  <conditionalFormatting sqref="C28">
    <cfRule type="expression" dxfId="386" priority="243">
      <formula>$C28&lt;$E28</formula>
    </cfRule>
  </conditionalFormatting>
  <conditionalFormatting sqref="E28">
    <cfRule type="expression" dxfId="385" priority="242">
      <formula>$C28&lt;$E28</formula>
    </cfRule>
  </conditionalFormatting>
  <conditionalFormatting sqref="E28">
    <cfRule type="expression" dxfId="384" priority="241">
      <formula>$C28&gt;$E28</formula>
    </cfRule>
  </conditionalFormatting>
  <conditionalFormatting sqref="C30">
    <cfRule type="expression" dxfId="383" priority="240">
      <formula>$C30&gt;$E30</formula>
    </cfRule>
  </conditionalFormatting>
  <conditionalFormatting sqref="C30">
    <cfRule type="expression" dxfId="382" priority="239">
      <formula>$C30&lt;$E30</formula>
    </cfRule>
  </conditionalFormatting>
  <conditionalFormatting sqref="E30">
    <cfRule type="expression" dxfId="381" priority="238">
      <formula>$C30&lt;$E30</formula>
    </cfRule>
  </conditionalFormatting>
  <conditionalFormatting sqref="E30">
    <cfRule type="expression" dxfId="380" priority="237">
      <formula>$C30&gt;$E30</formula>
    </cfRule>
  </conditionalFormatting>
  <conditionalFormatting sqref="C31">
    <cfRule type="expression" dxfId="379" priority="236">
      <formula>$C31&gt;$E31</formula>
    </cfRule>
  </conditionalFormatting>
  <conditionalFormatting sqref="C31">
    <cfRule type="expression" dxfId="378" priority="235">
      <formula>$C31&lt;$E31</formula>
    </cfRule>
  </conditionalFormatting>
  <conditionalFormatting sqref="E31">
    <cfRule type="expression" dxfId="377" priority="234">
      <formula>$C31&lt;$E31</formula>
    </cfRule>
  </conditionalFormatting>
  <conditionalFormatting sqref="E31">
    <cfRule type="expression" dxfId="376" priority="233">
      <formula>$C31&gt;$E31</formula>
    </cfRule>
  </conditionalFormatting>
  <conditionalFormatting sqref="C32">
    <cfRule type="expression" dxfId="375" priority="232">
      <formula>$C32&gt;$E32</formula>
    </cfRule>
  </conditionalFormatting>
  <conditionalFormatting sqref="C32">
    <cfRule type="expression" dxfId="374" priority="231">
      <formula>$C32&lt;$E32</formula>
    </cfRule>
  </conditionalFormatting>
  <conditionalFormatting sqref="E32">
    <cfRule type="expression" dxfId="373" priority="230">
      <formula>$C32&lt;$E32</formula>
    </cfRule>
  </conditionalFormatting>
  <conditionalFormatting sqref="E32">
    <cfRule type="expression" dxfId="372" priority="229">
      <formula>$C32&gt;$E32</formula>
    </cfRule>
  </conditionalFormatting>
  <conditionalFormatting sqref="C33">
    <cfRule type="expression" dxfId="371" priority="228">
      <formula>$C33&gt;$E33</formula>
    </cfRule>
  </conditionalFormatting>
  <conditionalFormatting sqref="C33">
    <cfRule type="expression" dxfId="370" priority="227">
      <formula>$C33&lt;$E33</formula>
    </cfRule>
  </conditionalFormatting>
  <conditionalFormatting sqref="E33">
    <cfRule type="expression" dxfId="369" priority="226">
      <formula>$C33&lt;$E33</formula>
    </cfRule>
  </conditionalFormatting>
  <conditionalFormatting sqref="E33">
    <cfRule type="expression" dxfId="368" priority="225">
      <formula>$C33&gt;$E33</formula>
    </cfRule>
  </conditionalFormatting>
  <conditionalFormatting sqref="C34">
    <cfRule type="expression" dxfId="367" priority="224">
      <formula>$C34&gt;$E34</formula>
    </cfRule>
  </conditionalFormatting>
  <conditionalFormatting sqref="C34">
    <cfRule type="expression" dxfId="366" priority="223">
      <formula>$C34&lt;$E34</formula>
    </cfRule>
  </conditionalFormatting>
  <conditionalFormatting sqref="E34">
    <cfRule type="expression" dxfId="365" priority="222">
      <formula>$C34&lt;$E34</formula>
    </cfRule>
  </conditionalFormatting>
  <conditionalFormatting sqref="E34">
    <cfRule type="expression" dxfId="364" priority="221">
      <formula>$C34&gt;$E34</formula>
    </cfRule>
  </conditionalFormatting>
  <conditionalFormatting sqref="C35">
    <cfRule type="expression" dxfId="363" priority="220">
      <formula>$C35&gt;$E35</formula>
    </cfRule>
  </conditionalFormatting>
  <conditionalFormatting sqref="C35">
    <cfRule type="expression" dxfId="362" priority="219">
      <formula>$C35&lt;$E35</formula>
    </cfRule>
  </conditionalFormatting>
  <conditionalFormatting sqref="E35">
    <cfRule type="expression" dxfId="361" priority="218">
      <formula>$C35&lt;$E35</formula>
    </cfRule>
  </conditionalFormatting>
  <conditionalFormatting sqref="E35">
    <cfRule type="expression" dxfId="360" priority="217">
      <formula>$C35&gt;$E35</formula>
    </cfRule>
  </conditionalFormatting>
  <conditionalFormatting sqref="C37">
    <cfRule type="expression" dxfId="359" priority="216">
      <formula>$C37&gt;$E37</formula>
    </cfRule>
  </conditionalFormatting>
  <conditionalFormatting sqref="C37">
    <cfRule type="expression" dxfId="358" priority="215">
      <formula>$C37&lt;$E37</formula>
    </cfRule>
  </conditionalFormatting>
  <conditionalFormatting sqref="E37">
    <cfRule type="expression" dxfId="357" priority="214">
      <formula>$C37&lt;$E37</formula>
    </cfRule>
  </conditionalFormatting>
  <conditionalFormatting sqref="E37">
    <cfRule type="expression" dxfId="356" priority="213">
      <formula>$C37&gt;$E37</formula>
    </cfRule>
  </conditionalFormatting>
  <conditionalFormatting sqref="C38">
    <cfRule type="expression" dxfId="355" priority="212">
      <formula>$C38&gt;$E38</formula>
    </cfRule>
  </conditionalFormatting>
  <conditionalFormatting sqref="C38">
    <cfRule type="expression" dxfId="354" priority="211">
      <formula>$C38&lt;$E38</formula>
    </cfRule>
  </conditionalFormatting>
  <conditionalFormatting sqref="E38">
    <cfRule type="expression" dxfId="353" priority="210">
      <formula>$C38&lt;$E38</formula>
    </cfRule>
  </conditionalFormatting>
  <conditionalFormatting sqref="E38">
    <cfRule type="expression" dxfId="352" priority="209">
      <formula>$C38&gt;$E38</formula>
    </cfRule>
  </conditionalFormatting>
  <conditionalFormatting sqref="C39">
    <cfRule type="expression" dxfId="351" priority="208">
      <formula>$C39&gt;$E39</formula>
    </cfRule>
  </conditionalFormatting>
  <conditionalFormatting sqref="C39">
    <cfRule type="expression" dxfId="350" priority="207">
      <formula>$C39&lt;$E39</formula>
    </cfRule>
  </conditionalFormatting>
  <conditionalFormatting sqref="E39">
    <cfRule type="expression" dxfId="349" priority="206">
      <formula>$C39&lt;$E39</formula>
    </cfRule>
  </conditionalFormatting>
  <conditionalFormatting sqref="E39">
    <cfRule type="expression" dxfId="348" priority="205">
      <formula>$C39&gt;$E39</formula>
    </cfRule>
  </conditionalFormatting>
  <conditionalFormatting sqref="C40">
    <cfRule type="expression" dxfId="347" priority="204">
      <formula>$C40&gt;$E40</formula>
    </cfRule>
  </conditionalFormatting>
  <conditionalFormatting sqref="C40">
    <cfRule type="expression" dxfId="346" priority="203">
      <formula>$C40&lt;$E40</formula>
    </cfRule>
  </conditionalFormatting>
  <conditionalFormatting sqref="E40">
    <cfRule type="expression" dxfId="345" priority="202">
      <formula>$C40&lt;$E40</formula>
    </cfRule>
  </conditionalFormatting>
  <conditionalFormatting sqref="E40">
    <cfRule type="expression" dxfId="344" priority="201">
      <formula>$C40&gt;$E40</formula>
    </cfRule>
  </conditionalFormatting>
  <conditionalFormatting sqref="C41">
    <cfRule type="expression" dxfId="343" priority="200">
      <formula>$C41&gt;$E41</formula>
    </cfRule>
  </conditionalFormatting>
  <conditionalFormatting sqref="C41">
    <cfRule type="expression" dxfId="342" priority="199">
      <formula>$C41&lt;$E41</formula>
    </cfRule>
  </conditionalFormatting>
  <conditionalFormatting sqref="E41">
    <cfRule type="expression" dxfId="341" priority="198">
      <formula>$C41&lt;$E41</formula>
    </cfRule>
  </conditionalFormatting>
  <conditionalFormatting sqref="E41">
    <cfRule type="expression" dxfId="340" priority="197">
      <formula>$C41&gt;$E41</formula>
    </cfRule>
  </conditionalFormatting>
  <conditionalFormatting sqref="C42">
    <cfRule type="expression" dxfId="339" priority="196">
      <formula>$C42&gt;$E42</formula>
    </cfRule>
  </conditionalFormatting>
  <conditionalFormatting sqref="C42">
    <cfRule type="expression" dxfId="338" priority="195">
      <formula>$C42&lt;$E42</formula>
    </cfRule>
  </conditionalFormatting>
  <conditionalFormatting sqref="E42">
    <cfRule type="expression" dxfId="337" priority="194">
      <formula>$C42&lt;$E42</formula>
    </cfRule>
  </conditionalFormatting>
  <conditionalFormatting sqref="E42">
    <cfRule type="expression" dxfId="336" priority="193">
      <formula>$C42&gt;$E42</formula>
    </cfRule>
  </conditionalFormatting>
  <conditionalFormatting sqref="C44">
    <cfRule type="expression" dxfId="335" priority="192">
      <formula>$C44&gt;$E44</formula>
    </cfRule>
  </conditionalFormatting>
  <conditionalFormatting sqref="C44">
    <cfRule type="expression" dxfId="334" priority="191">
      <formula>$C44&lt;$E44</formula>
    </cfRule>
  </conditionalFormatting>
  <conditionalFormatting sqref="E44">
    <cfRule type="expression" dxfId="333" priority="190">
      <formula>$C44&lt;$E44</formula>
    </cfRule>
  </conditionalFormatting>
  <conditionalFormatting sqref="E44">
    <cfRule type="expression" dxfId="332" priority="189">
      <formula>$C44&gt;$E44</formula>
    </cfRule>
  </conditionalFormatting>
  <conditionalFormatting sqref="C45">
    <cfRule type="expression" dxfId="331" priority="188">
      <formula>$C45&gt;$E45</formula>
    </cfRule>
  </conditionalFormatting>
  <conditionalFormatting sqref="C45">
    <cfRule type="expression" dxfId="330" priority="187">
      <formula>$C45&lt;$E45</formula>
    </cfRule>
  </conditionalFormatting>
  <conditionalFormatting sqref="E45">
    <cfRule type="expression" dxfId="329" priority="186">
      <formula>$C45&lt;$E45</formula>
    </cfRule>
  </conditionalFormatting>
  <conditionalFormatting sqref="E45">
    <cfRule type="expression" dxfId="328" priority="185">
      <formula>$C45&gt;$E45</formula>
    </cfRule>
  </conditionalFormatting>
  <conditionalFormatting sqref="C46">
    <cfRule type="expression" dxfId="327" priority="184">
      <formula>$C46&gt;$E46</formula>
    </cfRule>
  </conditionalFormatting>
  <conditionalFormatting sqref="C46">
    <cfRule type="expression" dxfId="326" priority="183">
      <formula>$C46&lt;$E46</formula>
    </cfRule>
  </conditionalFormatting>
  <conditionalFormatting sqref="E46">
    <cfRule type="expression" dxfId="325" priority="182">
      <formula>$C46&lt;$E46</formula>
    </cfRule>
  </conditionalFormatting>
  <conditionalFormatting sqref="E46">
    <cfRule type="expression" dxfId="324" priority="181">
      <formula>$C46&gt;$E46</formula>
    </cfRule>
  </conditionalFormatting>
  <conditionalFormatting sqref="C47">
    <cfRule type="expression" dxfId="323" priority="180">
      <formula>$C47&gt;$E47</formula>
    </cfRule>
  </conditionalFormatting>
  <conditionalFormatting sqref="C47">
    <cfRule type="expression" dxfId="322" priority="179">
      <formula>$C47&lt;$E47</formula>
    </cfRule>
  </conditionalFormatting>
  <conditionalFormatting sqref="E47">
    <cfRule type="expression" dxfId="321" priority="178">
      <formula>$C47&lt;$E47</formula>
    </cfRule>
  </conditionalFormatting>
  <conditionalFormatting sqref="E47">
    <cfRule type="expression" dxfId="320" priority="177">
      <formula>$C47&gt;$E47</formula>
    </cfRule>
  </conditionalFormatting>
  <conditionalFormatting sqref="C48">
    <cfRule type="expression" dxfId="319" priority="176">
      <formula>$C48&gt;$E48</formula>
    </cfRule>
  </conditionalFormatting>
  <conditionalFormatting sqref="C48">
    <cfRule type="expression" dxfId="318" priority="175">
      <formula>$C48&lt;$E48</formula>
    </cfRule>
  </conditionalFormatting>
  <conditionalFormatting sqref="E48">
    <cfRule type="expression" dxfId="317" priority="174">
      <formula>$C48&lt;$E48</formula>
    </cfRule>
  </conditionalFormatting>
  <conditionalFormatting sqref="E48">
    <cfRule type="expression" dxfId="316" priority="173">
      <formula>$C48&gt;$E48</formula>
    </cfRule>
  </conditionalFormatting>
  <conditionalFormatting sqref="C49">
    <cfRule type="expression" dxfId="315" priority="172">
      <formula>$C49&gt;$E49</formula>
    </cfRule>
  </conditionalFormatting>
  <conditionalFormatting sqref="C49">
    <cfRule type="expression" dxfId="314" priority="171">
      <formula>$C49&lt;$E49</formula>
    </cfRule>
  </conditionalFormatting>
  <conditionalFormatting sqref="E49">
    <cfRule type="expression" dxfId="313" priority="170">
      <formula>$C49&lt;$E49</formula>
    </cfRule>
  </conditionalFormatting>
  <conditionalFormatting sqref="E49">
    <cfRule type="expression" dxfId="312" priority="169">
      <formula>$C49&gt;$E49</formula>
    </cfRule>
  </conditionalFormatting>
  <conditionalFormatting sqref="C51">
    <cfRule type="expression" dxfId="311" priority="168">
      <formula>$C51&gt;$E51</formula>
    </cfRule>
  </conditionalFormatting>
  <conditionalFormatting sqref="C51">
    <cfRule type="expression" dxfId="310" priority="167">
      <formula>$C51&lt;$E51</formula>
    </cfRule>
  </conditionalFormatting>
  <conditionalFormatting sqref="E51">
    <cfRule type="expression" dxfId="309" priority="166">
      <formula>$C51&lt;$E51</formula>
    </cfRule>
  </conditionalFormatting>
  <conditionalFormatting sqref="E51">
    <cfRule type="expression" dxfId="308" priority="165">
      <formula>$C51&gt;$E51</formula>
    </cfRule>
  </conditionalFormatting>
  <conditionalFormatting sqref="C52">
    <cfRule type="expression" dxfId="307" priority="164">
      <formula>$C52&gt;$E52</formula>
    </cfRule>
  </conditionalFormatting>
  <conditionalFormatting sqref="C52">
    <cfRule type="expression" dxfId="306" priority="163">
      <formula>$C52&lt;$E52</formula>
    </cfRule>
  </conditionalFormatting>
  <conditionalFormatting sqref="E52">
    <cfRule type="expression" dxfId="305" priority="162">
      <formula>$C52&lt;$E52</formula>
    </cfRule>
  </conditionalFormatting>
  <conditionalFormatting sqref="E52">
    <cfRule type="expression" dxfId="304" priority="161">
      <formula>$C52&gt;$E52</formula>
    </cfRule>
  </conditionalFormatting>
  <conditionalFormatting sqref="C53">
    <cfRule type="expression" dxfId="303" priority="160">
      <formula>$C53&gt;$E53</formula>
    </cfRule>
  </conditionalFormatting>
  <conditionalFormatting sqref="C53">
    <cfRule type="expression" dxfId="302" priority="159">
      <formula>$C53&lt;$E53</formula>
    </cfRule>
  </conditionalFormatting>
  <conditionalFormatting sqref="E53">
    <cfRule type="expression" dxfId="301" priority="158">
      <formula>$C53&lt;$E53</formula>
    </cfRule>
  </conditionalFormatting>
  <conditionalFormatting sqref="E53">
    <cfRule type="expression" dxfId="300" priority="157">
      <formula>$C53&gt;$E53</formula>
    </cfRule>
  </conditionalFormatting>
  <conditionalFormatting sqref="C54">
    <cfRule type="expression" dxfId="299" priority="156">
      <formula>$C54&gt;$E54</formula>
    </cfRule>
  </conditionalFormatting>
  <conditionalFormatting sqref="C54">
    <cfRule type="expression" dxfId="298" priority="155">
      <formula>$C54&lt;$E54</formula>
    </cfRule>
  </conditionalFormatting>
  <conditionalFormatting sqref="E54">
    <cfRule type="expression" dxfId="297" priority="154">
      <formula>$C54&lt;$E54</formula>
    </cfRule>
  </conditionalFormatting>
  <conditionalFormatting sqref="E54">
    <cfRule type="expression" dxfId="296" priority="153">
      <formula>$C54&gt;$E54</formula>
    </cfRule>
  </conditionalFormatting>
  <conditionalFormatting sqref="C55">
    <cfRule type="expression" dxfId="295" priority="152">
      <formula>$C55&gt;$E55</formula>
    </cfRule>
  </conditionalFormatting>
  <conditionalFormatting sqref="C55">
    <cfRule type="expression" dxfId="294" priority="151">
      <formula>$C55&lt;$E55</formula>
    </cfRule>
  </conditionalFormatting>
  <conditionalFormatting sqref="E55">
    <cfRule type="expression" dxfId="293" priority="150">
      <formula>$C55&lt;$E55</formula>
    </cfRule>
  </conditionalFormatting>
  <conditionalFormatting sqref="E55">
    <cfRule type="expression" dxfId="292" priority="149">
      <formula>$C55&gt;$E55</formula>
    </cfRule>
  </conditionalFormatting>
  <conditionalFormatting sqref="C56">
    <cfRule type="expression" dxfId="291" priority="148">
      <formula>$C56&gt;$E56</formula>
    </cfRule>
  </conditionalFormatting>
  <conditionalFormatting sqref="C56">
    <cfRule type="expression" dxfId="290" priority="147">
      <formula>$C56&lt;$E56</formula>
    </cfRule>
  </conditionalFormatting>
  <conditionalFormatting sqref="E56">
    <cfRule type="expression" dxfId="289" priority="146">
      <formula>$C56&lt;$E56</formula>
    </cfRule>
  </conditionalFormatting>
  <conditionalFormatting sqref="E56">
    <cfRule type="expression" dxfId="288" priority="145">
      <formula>$C56&gt;$E56</formula>
    </cfRule>
  </conditionalFormatting>
  <conditionalFormatting sqref="C58">
    <cfRule type="expression" dxfId="287" priority="144">
      <formula>$C58&gt;$E58</formula>
    </cfRule>
  </conditionalFormatting>
  <conditionalFormatting sqref="C58">
    <cfRule type="expression" dxfId="286" priority="143">
      <formula>$C58&lt;$E58</formula>
    </cfRule>
  </conditionalFormatting>
  <conditionalFormatting sqref="E58">
    <cfRule type="expression" dxfId="285" priority="142">
      <formula>$C58&lt;$E58</formula>
    </cfRule>
  </conditionalFormatting>
  <conditionalFormatting sqref="E58">
    <cfRule type="expression" dxfId="284" priority="141">
      <formula>$C58&gt;$E58</formula>
    </cfRule>
  </conditionalFormatting>
  <conditionalFormatting sqref="C59">
    <cfRule type="expression" dxfId="283" priority="140">
      <formula>$C59&gt;$E59</formula>
    </cfRule>
  </conditionalFormatting>
  <conditionalFormatting sqref="C59">
    <cfRule type="expression" dxfId="282" priority="139">
      <formula>$C59&lt;$E59</formula>
    </cfRule>
  </conditionalFormatting>
  <conditionalFormatting sqref="E59">
    <cfRule type="expression" dxfId="281" priority="138">
      <formula>$C59&lt;$E59</formula>
    </cfRule>
  </conditionalFormatting>
  <conditionalFormatting sqref="E59">
    <cfRule type="expression" dxfId="280" priority="137">
      <formula>$C59&gt;$E59</formula>
    </cfRule>
  </conditionalFormatting>
  <conditionalFormatting sqref="C60">
    <cfRule type="expression" dxfId="279" priority="136">
      <formula>$C60&gt;$E60</formula>
    </cfRule>
  </conditionalFormatting>
  <conditionalFormatting sqref="C60">
    <cfRule type="expression" dxfId="278" priority="135">
      <formula>$C60&lt;$E60</formula>
    </cfRule>
  </conditionalFormatting>
  <conditionalFormatting sqref="E60">
    <cfRule type="expression" dxfId="277" priority="134">
      <formula>$C60&lt;$E60</formula>
    </cfRule>
  </conditionalFormatting>
  <conditionalFormatting sqref="E60">
    <cfRule type="expression" dxfId="276" priority="133">
      <formula>$C60&gt;$E60</formula>
    </cfRule>
  </conditionalFormatting>
  <conditionalFormatting sqref="C61">
    <cfRule type="expression" dxfId="275" priority="132">
      <formula>$C61&gt;$E61</formula>
    </cfRule>
  </conditionalFormatting>
  <conditionalFormatting sqref="C61">
    <cfRule type="expression" dxfId="274" priority="131">
      <formula>$C61&lt;$E61</formula>
    </cfRule>
  </conditionalFormatting>
  <conditionalFormatting sqref="E61">
    <cfRule type="expression" dxfId="273" priority="130">
      <formula>$C61&lt;$E61</formula>
    </cfRule>
  </conditionalFormatting>
  <conditionalFormatting sqref="E61">
    <cfRule type="expression" dxfId="272" priority="129">
      <formula>$C61&gt;$E61</formula>
    </cfRule>
  </conditionalFormatting>
  <conditionalFormatting sqref="C62">
    <cfRule type="expression" dxfId="271" priority="128">
      <formula>$C62&gt;$E62</formula>
    </cfRule>
  </conditionalFormatting>
  <conditionalFormatting sqref="C62">
    <cfRule type="expression" dxfId="270" priority="127">
      <formula>$C62&lt;$E62</formula>
    </cfRule>
  </conditionalFormatting>
  <conditionalFormatting sqref="E62">
    <cfRule type="expression" dxfId="269" priority="126">
      <formula>$C62&lt;$E62</formula>
    </cfRule>
  </conditionalFormatting>
  <conditionalFormatting sqref="E62">
    <cfRule type="expression" dxfId="268" priority="125">
      <formula>$C62&gt;$E62</formula>
    </cfRule>
  </conditionalFormatting>
  <conditionalFormatting sqref="C63">
    <cfRule type="expression" dxfId="267" priority="124">
      <formula>$C63&gt;$E63</formula>
    </cfRule>
  </conditionalFormatting>
  <conditionalFormatting sqref="C63">
    <cfRule type="expression" dxfId="266" priority="123">
      <formula>$C63&lt;$E63</formula>
    </cfRule>
  </conditionalFormatting>
  <conditionalFormatting sqref="E63">
    <cfRule type="expression" dxfId="265" priority="122">
      <formula>$C63&lt;$E63</formula>
    </cfRule>
  </conditionalFormatting>
  <conditionalFormatting sqref="E63">
    <cfRule type="expression" dxfId="264" priority="121">
      <formula>$C63&gt;$E63</formula>
    </cfRule>
  </conditionalFormatting>
  <conditionalFormatting sqref="C65">
    <cfRule type="expression" dxfId="263" priority="120">
      <formula>$C65&gt;$E65</formula>
    </cfRule>
  </conditionalFormatting>
  <conditionalFormatting sqref="C65">
    <cfRule type="expression" dxfId="262" priority="119">
      <formula>$C65&lt;$E65</formula>
    </cfRule>
  </conditionalFormatting>
  <conditionalFormatting sqref="E65">
    <cfRule type="expression" dxfId="261" priority="118">
      <formula>$C65&lt;$E65</formula>
    </cfRule>
  </conditionalFormatting>
  <conditionalFormatting sqref="E65">
    <cfRule type="expression" dxfId="260" priority="117">
      <formula>$C65&gt;$E65</formula>
    </cfRule>
  </conditionalFormatting>
  <conditionalFormatting sqref="C66">
    <cfRule type="expression" dxfId="259" priority="116">
      <formula>$C66&gt;$E66</formula>
    </cfRule>
  </conditionalFormatting>
  <conditionalFormatting sqref="C66">
    <cfRule type="expression" dxfId="258" priority="115">
      <formula>$C66&lt;$E66</formula>
    </cfRule>
  </conditionalFormatting>
  <conditionalFormatting sqref="E66">
    <cfRule type="expression" dxfId="257" priority="114">
      <formula>$C66&lt;$E66</formula>
    </cfRule>
  </conditionalFormatting>
  <conditionalFormatting sqref="E66">
    <cfRule type="expression" dxfId="256" priority="113">
      <formula>$C66&gt;$E66</formula>
    </cfRule>
  </conditionalFormatting>
  <conditionalFormatting sqref="C67">
    <cfRule type="expression" dxfId="255" priority="112">
      <formula>$C67&gt;$E67</formula>
    </cfRule>
  </conditionalFormatting>
  <conditionalFormatting sqref="C67">
    <cfRule type="expression" dxfId="254" priority="111">
      <formula>$C67&lt;$E67</formula>
    </cfRule>
  </conditionalFormatting>
  <conditionalFormatting sqref="E67">
    <cfRule type="expression" dxfId="253" priority="110">
      <formula>$C67&lt;$E67</formula>
    </cfRule>
  </conditionalFormatting>
  <conditionalFormatting sqref="E67">
    <cfRule type="expression" dxfId="252" priority="109">
      <formula>$C67&gt;$E67</formula>
    </cfRule>
  </conditionalFormatting>
  <conditionalFormatting sqref="C68">
    <cfRule type="expression" dxfId="251" priority="108">
      <formula>$C68&gt;$E68</formula>
    </cfRule>
  </conditionalFormatting>
  <conditionalFormatting sqref="C68">
    <cfRule type="expression" dxfId="250" priority="107">
      <formula>$C68&lt;$E68</formula>
    </cfRule>
  </conditionalFormatting>
  <conditionalFormatting sqref="E68">
    <cfRule type="expression" dxfId="249" priority="106">
      <formula>$C68&lt;$E68</formula>
    </cfRule>
  </conditionalFormatting>
  <conditionalFormatting sqref="E68">
    <cfRule type="expression" dxfId="248" priority="105">
      <formula>$C68&gt;$E68</formula>
    </cfRule>
  </conditionalFormatting>
  <conditionalFormatting sqref="C69">
    <cfRule type="expression" dxfId="247" priority="104">
      <formula>$C69&gt;$E69</formula>
    </cfRule>
  </conditionalFormatting>
  <conditionalFormatting sqref="C69">
    <cfRule type="expression" dxfId="246" priority="103">
      <formula>$C69&lt;$E69</formula>
    </cfRule>
  </conditionalFormatting>
  <conditionalFormatting sqref="E69">
    <cfRule type="expression" dxfId="245" priority="102">
      <formula>$C69&lt;$E69</formula>
    </cfRule>
  </conditionalFormatting>
  <conditionalFormatting sqref="E69">
    <cfRule type="expression" dxfId="244" priority="101">
      <formula>$C69&gt;$E69</formula>
    </cfRule>
  </conditionalFormatting>
  <conditionalFormatting sqref="C70">
    <cfRule type="expression" dxfId="243" priority="100">
      <formula>$C70&gt;$E70</formula>
    </cfRule>
  </conditionalFormatting>
  <conditionalFormatting sqref="C70">
    <cfRule type="expression" dxfId="242" priority="99">
      <formula>$C70&lt;$E70</formula>
    </cfRule>
  </conditionalFormatting>
  <conditionalFormatting sqref="E70">
    <cfRule type="expression" dxfId="241" priority="98">
      <formula>$C70&lt;$E70</formula>
    </cfRule>
  </conditionalFormatting>
  <conditionalFormatting sqref="E70">
    <cfRule type="expression" dxfId="240" priority="97">
      <formula>$C70&gt;$E70</formula>
    </cfRule>
  </conditionalFormatting>
  <conditionalFormatting sqref="C72">
    <cfRule type="expression" dxfId="239" priority="96">
      <formula>$C72&gt;$E72</formula>
    </cfRule>
  </conditionalFormatting>
  <conditionalFormatting sqref="C72">
    <cfRule type="expression" dxfId="238" priority="95">
      <formula>$C72&lt;$E72</formula>
    </cfRule>
  </conditionalFormatting>
  <conditionalFormatting sqref="E72">
    <cfRule type="expression" dxfId="237" priority="94">
      <formula>$C72&lt;$E72</formula>
    </cfRule>
  </conditionalFormatting>
  <conditionalFormatting sqref="E72">
    <cfRule type="expression" dxfId="236" priority="93">
      <formula>$C72&gt;$E72</formula>
    </cfRule>
  </conditionalFormatting>
  <conditionalFormatting sqref="C73">
    <cfRule type="expression" dxfId="235" priority="92">
      <formula>$C73&gt;$E73</formula>
    </cfRule>
  </conditionalFormatting>
  <conditionalFormatting sqref="C73">
    <cfRule type="expression" dxfId="234" priority="91">
      <formula>$C73&lt;$E73</formula>
    </cfRule>
  </conditionalFormatting>
  <conditionalFormatting sqref="E73">
    <cfRule type="expression" dxfId="233" priority="90">
      <formula>$C73&lt;$E73</formula>
    </cfRule>
  </conditionalFormatting>
  <conditionalFormatting sqref="E73">
    <cfRule type="expression" dxfId="232" priority="89">
      <formula>$C73&gt;$E73</formula>
    </cfRule>
  </conditionalFormatting>
  <conditionalFormatting sqref="C74">
    <cfRule type="expression" dxfId="231" priority="88">
      <formula>$C74&gt;$E74</formula>
    </cfRule>
  </conditionalFormatting>
  <conditionalFormatting sqref="C74">
    <cfRule type="expression" dxfId="230" priority="87">
      <formula>$C74&lt;$E74</formula>
    </cfRule>
  </conditionalFormatting>
  <conditionalFormatting sqref="E74">
    <cfRule type="expression" dxfId="229" priority="86">
      <formula>$C74&lt;$E74</formula>
    </cfRule>
  </conditionalFormatting>
  <conditionalFormatting sqref="E74">
    <cfRule type="expression" dxfId="228" priority="85">
      <formula>$C74&gt;$E74</formula>
    </cfRule>
  </conditionalFormatting>
  <conditionalFormatting sqref="C75">
    <cfRule type="expression" dxfId="227" priority="84">
      <formula>$C75&gt;$E75</formula>
    </cfRule>
  </conditionalFormatting>
  <conditionalFormatting sqref="C75">
    <cfRule type="expression" dxfId="226" priority="83">
      <formula>$C75&lt;$E75</formula>
    </cfRule>
  </conditionalFormatting>
  <conditionalFormatting sqref="E75">
    <cfRule type="expression" dxfId="225" priority="82">
      <formula>$C75&lt;$E75</formula>
    </cfRule>
  </conditionalFormatting>
  <conditionalFormatting sqref="E75">
    <cfRule type="expression" dxfId="224" priority="81">
      <formula>$C75&gt;$E75</formula>
    </cfRule>
  </conditionalFormatting>
  <conditionalFormatting sqref="C76">
    <cfRule type="expression" dxfId="223" priority="80">
      <formula>$C76&gt;$E76</formula>
    </cfRule>
  </conditionalFormatting>
  <conditionalFormatting sqref="C76">
    <cfRule type="expression" dxfId="222" priority="79">
      <formula>$C76&lt;$E76</formula>
    </cfRule>
  </conditionalFormatting>
  <conditionalFormatting sqref="E76">
    <cfRule type="expression" dxfId="221" priority="78">
      <formula>$C76&lt;$E76</formula>
    </cfRule>
  </conditionalFormatting>
  <conditionalFormatting sqref="E76">
    <cfRule type="expression" dxfId="220" priority="77">
      <formula>$C76&gt;$E76</formula>
    </cfRule>
  </conditionalFormatting>
  <conditionalFormatting sqref="C77">
    <cfRule type="expression" dxfId="219" priority="76">
      <formula>$C77&gt;$E77</formula>
    </cfRule>
  </conditionalFormatting>
  <conditionalFormatting sqref="C77">
    <cfRule type="expression" dxfId="218" priority="75">
      <formula>$C77&lt;$E77</formula>
    </cfRule>
  </conditionalFormatting>
  <conditionalFormatting sqref="E77">
    <cfRule type="expression" dxfId="217" priority="74">
      <formula>$C77&lt;$E77</formula>
    </cfRule>
  </conditionalFormatting>
  <conditionalFormatting sqref="E77">
    <cfRule type="expression" dxfId="216" priority="73">
      <formula>$C77&gt;$E77</formula>
    </cfRule>
  </conditionalFormatting>
  <conditionalFormatting sqref="C79">
    <cfRule type="expression" dxfId="215" priority="72">
      <formula>$C79&gt;$E79</formula>
    </cfRule>
  </conditionalFormatting>
  <conditionalFormatting sqref="C79">
    <cfRule type="expression" dxfId="214" priority="71">
      <formula>$C79&lt;$E79</formula>
    </cfRule>
  </conditionalFormatting>
  <conditionalFormatting sqref="E79">
    <cfRule type="expression" dxfId="213" priority="70">
      <formula>$C79&lt;$E79</formula>
    </cfRule>
  </conditionalFormatting>
  <conditionalFormatting sqref="E79">
    <cfRule type="expression" dxfId="212" priority="69">
      <formula>$C79&gt;$E79</formula>
    </cfRule>
  </conditionalFormatting>
  <conditionalFormatting sqref="C80">
    <cfRule type="expression" dxfId="211" priority="68">
      <formula>$C80&gt;$E80</formula>
    </cfRule>
  </conditionalFormatting>
  <conditionalFormatting sqref="C80">
    <cfRule type="expression" dxfId="210" priority="67">
      <formula>$C80&lt;$E80</formula>
    </cfRule>
  </conditionalFormatting>
  <conditionalFormatting sqref="E80">
    <cfRule type="expression" dxfId="209" priority="66">
      <formula>$C80&lt;$E80</formula>
    </cfRule>
  </conditionalFormatting>
  <conditionalFormatting sqref="E80">
    <cfRule type="expression" dxfId="208" priority="65">
      <formula>$C80&gt;$E80</formula>
    </cfRule>
  </conditionalFormatting>
  <conditionalFormatting sqref="C81">
    <cfRule type="expression" dxfId="207" priority="64">
      <formula>$C81&gt;$E81</formula>
    </cfRule>
  </conditionalFormatting>
  <conditionalFormatting sqref="C81">
    <cfRule type="expression" dxfId="206" priority="63">
      <formula>$C81&lt;$E81</formula>
    </cfRule>
  </conditionalFormatting>
  <conditionalFormatting sqref="E81">
    <cfRule type="expression" dxfId="205" priority="62">
      <formula>$C81&lt;$E81</formula>
    </cfRule>
  </conditionalFormatting>
  <conditionalFormatting sqref="E81">
    <cfRule type="expression" dxfId="204" priority="61">
      <formula>$C81&gt;$E81</formula>
    </cfRule>
  </conditionalFormatting>
  <conditionalFormatting sqref="C82">
    <cfRule type="expression" dxfId="203" priority="60">
      <formula>$C82&gt;$E82</formula>
    </cfRule>
  </conditionalFormatting>
  <conditionalFormatting sqref="C82">
    <cfRule type="expression" dxfId="202" priority="59">
      <formula>$C82&lt;$E82</formula>
    </cfRule>
  </conditionalFormatting>
  <conditionalFormatting sqref="E82">
    <cfRule type="expression" dxfId="201" priority="58">
      <formula>$C82&lt;$E82</formula>
    </cfRule>
  </conditionalFormatting>
  <conditionalFormatting sqref="E82">
    <cfRule type="expression" dxfId="200" priority="57">
      <formula>$C82&gt;$E82</formula>
    </cfRule>
  </conditionalFormatting>
  <conditionalFormatting sqref="C83">
    <cfRule type="expression" dxfId="199" priority="56">
      <formula>$C83&gt;$E83</formula>
    </cfRule>
  </conditionalFormatting>
  <conditionalFormatting sqref="C83">
    <cfRule type="expression" dxfId="198" priority="55">
      <formula>$C83&lt;$E83</formula>
    </cfRule>
  </conditionalFormatting>
  <conditionalFormatting sqref="E83">
    <cfRule type="expression" dxfId="197" priority="54">
      <formula>$C83&lt;$E83</formula>
    </cfRule>
  </conditionalFormatting>
  <conditionalFormatting sqref="E83">
    <cfRule type="expression" dxfId="196" priority="53">
      <formula>$C83&gt;$E83</formula>
    </cfRule>
  </conditionalFormatting>
  <conditionalFormatting sqref="C84">
    <cfRule type="expression" dxfId="195" priority="52">
      <formula>$C84&gt;$E84</formula>
    </cfRule>
  </conditionalFormatting>
  <conditionalFormatting sqref="C84">
    <cfRule type="expression" dxfId="194" priority="51">
      <formula>$C84&lt;$E84</formula>
    </cfRule>
  </conditionalFormatting>
  <conditionalFormatting sqref="E84">
    <cfRule type="expression" dxfId="193" priority="50">
      <formula>$C84&lt;$E84</formula>
    </cfRule>
  </conditionalFormatting>
  <conditionalFormatting sqref="E84">
    <cfRule type="expression" dxfId="192" priority="49">
      <formula>$C84&gt;$E84</formula>
    </cfRule>
  </conditionalFormatting>
  <conditionalFormatting sqref="C86">
    <cfRule type="expression" dxfId="191" priority="48">
      <formula>$C86&gt;$E86</formula>
    </cfRule>
  </conditionalFormatting>
  <conditionalFormatting sqref="C86">
    <cfRule type="expression" dxfId="190" priority="47">
      <formula>$C86&lt;$E86</formula>
    </cfRule>
  </conditionalFormatting>
  <conditionalFormatting sqref="E86">
    <cfRule type="expression" dxfId="189" priority="46">
      <formula>$C86&lt;$E86</formula>
    </cfRule>
  </conditionalFormatting>
  <conditionalFormatting sqref="E86">
    <cfRule type="expression" dxfId="188" priority="45">
      <formula>$C86&gt;$E86</formula>
    </cfRule>
  </conditionalFormatting>
  <conditionalFormatting sqref="C87">
    <cfRule type="expression" dxfId="187" priority="44">
      <formula>$C87&gt;$E87</formula>
    </cfRule>
  </conditionalFormatting>
  <conditionalFormatting sqref="C87">
    <cfRule type="expression" dxfId="186" priority="43">
      <formula>$C87&lt;$E87</formula>
    </cfRule>
  </conditionalFormatting>
  <conditionalFormatting sqref="E87">
    <cfRule type="expression" dxfId="185" priority="42">
      <formula>$C87&lt;$E87</formula>
    </cfRule>
  </conditionalFormatting>
  <conditionalFormatting sqref="E87">
    <cfRule type="expression" dxfId="184" priority="41">
      <formula>$C87&gt;$E87</formula>
    </cfRule>
  </conditionalFormatting>
  <conditionalFormatting sqref="C88">
    <cfRule type="expression" dxfId="183" priority="40">
      <formula>$C88&gt;$E88</formula>
    </cfRule>
  </conditionalFormatting>
  <conditionalFormatting sqref="C88">
    <cfRule type="expression" dxfId="182" priority="39">
      <formula>$C88&lt;$E88</formula>
    </cfRule>
  </conditionalFormatting>
  <conditionalFormatting sqref="E88">
    <cfRule type="expression" dxfId="181" priority="38">
      <formula>$C88&lt;$E88</formula>
    </cfRule>
  </conditionalFormatting>
  <conditionalFormatting sqref="E88">
    <cfRule type="expression" dxfId="180" priority="37">
      <formula>$C88&gt;$E88</formula>
    </cfRule>
  </conditionalFormatting>
  <conditionalFormatting sqref="C89">
    <cfRule type="expression" dxfId="179" priority="36">
      <formula>$C89&gt;$E89</formula>
    </cfRule>
  </conditionalFormatting>
  <conditionalFormatting sqref="C89">
    <cfRule type="expression" dxfId="178" priority="35">
      <formula>$C89&lt;$E89</formula>
    </cfRule>
  </conditionalFormatting>
  <conditionalFormatting sqref="E89">
    <cfRule type="expression" dxfId="177" priority="34">
      <formula>$C89&lt;$E89</formula>
    </cfRule>
  </conditionalFormatting>
  <conditionalFormatting sqref="E89">
    <cfRule type="expression" dxfId="176" priority="33">
      <formula>$C89&gt;$E89</formula>
    </cfRule>
  </conditionalFormatting>
  <conditionalFormatting sqref="C90">
    <cfRule type="expression" dxfId="175" priority="32">
      <formula>$C90&gt;$E90</formula>
    </cfRule>
  </conditionalFormatting>
  <conditionalFormatting sqref="C90">
    <cfRule type="expression" dxfId="174" priority="31">
      <formula>$C90&lt;$E90</formula>
    </cfRule>
  </conditionalFormatting>
  <conditionalFormatting sqref="E90">
    <cfRule type="expression" dxfId="173" priority="30">
      <formula>$C90&lt;$E90</formula>
    </cfRule>
  </conditionalFormatting>
  <conditionalFormatting sqref="E90">
    <cfRule type="expression" dxfId="172" priority="29">
      <formula>$C90&gt;$E90</formula>
    </cfRule>
  </conditionalFormatting>
  <conditionalFormatting sqref="C91">
    <cfRule type="expression" dxfId="171" priority="28">
      <formula>$C91&gt;$E91</formula>
    </cfRule>
  </conditionalFormatting>
  <conditionalFormatting sqref="C91">
    <cfRule type="expression" dxfId="170" priority="27">
      <formula>$C91&lt;$E91</formula>
    </cfRule>
  </conditionalFormatting>
  <conditionalFormatting sqref="E91">
    <cfRule type="expression" dxfId="169" priority="26">
      <formula>$C91&lt;$E91</formula>
    </cfRule>
  </conditionalFormatting>
  <conditionalFormatting sqref="E91">
    <cfRule type="expression" dxfId="168" priority="25">
      <formula>$C91&gt;$E91</formula>
    </cfRule>
  </conditionalFormatting>
  <conditionalFormatting sqref="C93">
    <cfRule type="expression" dxfId="167" priority="24">
      <formula>$C93&gt;$E93</formula>
    </cfRule>
  </conditionalFormatting>
  <conditionalFormatting sqref="C93">
    <cfRule type="expression" dxfId="166" priority="23">
      <formula>$C93&lt;$E93</formula>
    </cfRule>
  </conditionalFormatting>
  <conditionalFormatting sqref="E93">
    <cfRule type="expression" dxfId="165" priority="22">
      <formula>$C93&lt;$E93</formula>
    </cfRule>
  </conditionalFormatting>
  <conditionalFormatting sqref="E93">
    <cfRule type="expression" dxfId="164" priority="21">
      <formula>$C93&gt;$E93</formula>
    </cfRule>
  </conditionalFormatting>
  <conditionalFormatting sqref="C94">
    <cfRule type="expression" dxfId="163" priority="20">
      <formula>$C94&gt;$E94</formula>
    </cfRule>
  </conditionalFormatting>
  <conditionalFormatting sqref="C94">
    <cfRule type="expression" dxfId="162" priority="19">
      <formula>$C94&lt;$E94</formula>
    </cfRule>
  </conditionalFormatting>
  <conditionalFormatting sqref="E94">
    <cfRule type="expression" dxfId="161" priority="18">
      <formula>$C94&lt;$E94</formula>
    </cfRule>
  </conditionalFormatting>
  <conditionalFormatting sqref="E94">
    <cfRule type="expression" dxfId="160" priority="17">
      <formula>$C94&gt;$E94</formula>
    </cfRule>
  </conditionalFormatting>
  <conditionalFormatting sqref="C95">
    <cfRule type="expression" dxfId="159" priority="16">
      <formula>$C95&gt;$E95</formula>
    </cfRule>
  </conditionalFormatting>
  <conditionalFormatting sqref="C95">
    <cfRule type="expression" dxfId="158" priority="15">
      <formula>$C95&lt;$E95</formula>
    </cfRule>
  </conditionalFormatting>
  <conditionalFormatting sqref="E95">
    <cfRule type="expression" dxfId="157" priority="14">
      <formula>$C95&lt;$E95</formula>
    </cfRule>
  </conditionalFormatting>
  <conditionalFormatting sqref="E95">
    <cfRule type="expression" dxfId="156" priority="13">
      <formula>$C95&gt;$E95</formula>
    </cfRule>
  </conditionalFormatting>
  <conditionalFormatting sqref="C96">
    <cfRule type="expression" dxfId="155" priority="12">
      <formula>$C96&gt;$E96</formula>
    </cfRule>
  </conditionalFormatting>
  <conditionalFormatting sqref="C96">
    <cfRule type="expression" dxfId="154" priority="11">
      <formula>$C96&lt;$E96</formula>
    </cfRule>
  </conditionalFormatting>
  <conditionalFormatting sqref="E96">
    <cfRule type="expression" dxfId="153" priority="10">
      <formula>$C96&lt;$E96</formula>
    </cfRule>
  </conditionalFormatting>
  <conditionalFormatting sqref="E96">
    <cfRule type="expression" dxfId="152" priority="9">
      <formula>$C96&gt;$E96</formula>
    </cfRule>
  </conditionalFormatting>
  <conditionalFormatting sqref="C97">
    <cfRule type="expression" dxfId="151" priority="8">
      <formula>$C97&gt;$E97</formula>
    </cfRule>
  </conditionalFormatting>
  <conditionalFormatting sqref="C97">
    <cfRule type="expression" dxfId="150" priority="7">
      <formula>$C97&lt;$E97</formula>
    </cfRule>
  </conditionalFormatting>
  <conditionalFormatting sqref="E97">
    <cfRule type="expression" dxfId="149" priority="6">
      <formula>$C97&lt;$E97</formula>
    </cfRule>
  </conditionalFormatting>
  <conditionalFormatting sqref="E97">
    <cfRule type="expression" dxfId="148" priority="5">
      <formula>$C97&gt;$E97</formula>
    </cfRule>
  </conditionalFormatting>
  <conditionalFormatting sqref="C98">
    <cfRule type="expression" dxfId="147" priority="4">
      <formula>$C98&gt;$E98</formula>
    </cfRule>
  </conditionalFormatting>
  <conditionalFormatting sqref="C98">
    <cfRule type="expression" dxfId="146" priority="3">
      <formula>$C98&lt;$E98</formula>
    </cfRule>
  </conditionalFormatting>
  <conditionalFormatting sqref="E98">
    <cfRule type="expression" dxfId="145" priority="2">
      <formula>$C98&lt;$E98</formula>
    </cfRule>
  </conditionalFormatting>
  <conditionalFormatting sqref="E98">
    <cfRule type="expression" dxfId="144" priority="1">
      <formula>$C98&gt;$E98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C4PPMatch">
              <controlPr defaultSize="0" print="0" autoFill="0" autoPict="0" macro="[0]!'copyimage &quot;B1:F9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8306F-D939-4F5C-B144-6EB4AD166946}">
  <sheetPr codeName="Feuil28"/>
  <dimension ref="A1:N33"/>
  <sheetViews>
    <sheetView workbookViewId="0"/>
  </sheetViews>
  <sheetFormatPr baseColWidth="10" defaultRowHeight="15" x14ac:dyDescent="0.25"/>
  <cols>
    <col min="1" max="2" width="11.42578125" style="73"/>
    <col min="3" max="3" width="0" style="73" hidden="1" customWidth="1"/>
    <col min="4" max="4" width="43.5703125" style="73" customWidth="1"/>
    <col min="5" max="5" width="11.42578125" style="110"/>
    <col min="6" max="11" width="11.42578125" style="73"/>
    <col min="12" max="12" width="0" style="73" hidden="1" customWidth="1"/>
    <col min="13" max="13" width="6" style="73" customWidth="1"/>
    <col min="14" max="16384" width="11.42578125" style="73"/>
  </cols>
  <sheetData>
    <row r="1" spans="1:14" ht="15.75" thickBot="1" x14ac:dyDescent="0.3"/>
    <row r="2" spans="1:14" ht="30.95" customHeight="1" thickBot="1" x14ac:dyDescent="0.3">
      <c r="C2" s="102" t="s">
        <v>86</v>
      </c>
      <c r="D2" s="102" t="s">
        <v>115</v>
      </c>
      <c r="E2" s="111" t="s">
        <v>87</v>
      </c>
      <c r="F2" s="102" t="s">
        <v>88</v>
      </c>
      <c r="G2" s="102" t="s">
        <v>89</v>
      </c>
      <c r="H2" s="102" t="s">
        <v>90</v>
      </c>
      <c r="I2" s="102" t="s">
        <v>91</v>
      </c>
      <c r="J2" s="102" t="s">
        <v>92</v>
      </c>
      <c r="K2" s="103" t="s">
        <v>93</v>
      </c>
      <c r="L2" s="102" t="s">
        <v>94</v>
      </c>
      <c r="M2" s="103" t="s">
        <v>95</v>
      </c>
    </row>
    <row r="4" spans="1:14" ht="15.75" x14ac:dyDescent="0.25">
      <c r="A4" s="104" t="s">
        <v>74</v>
      </c>
      <c r="B4" s="105">
        <v>1</v>
      </c>
      <c r="C4" s="105" t="s">
        <v>52</v>
      </c>
      <c r="D4" s="105" t="str">
        <f>INSCRITS!C2</f>
        <v>1A</v>
      </c>
      <c r="E4" s="112">
        <f ca="1">SUM(IF(INDIRECT(ADDRESS(2,3,,,"MATCHS"))&gt;INDIRECT(ADDRESS(2,5,,,"MATCHS")),1,0),,IF(INDIRECT(ADDRESS(16,3,,,"MATCHS"))&gt;INDIRECT(ADDRESS(16,5,,,"MATCHS")),1,0),,IF(INDIRECT(ADDRESS(30,3,,,"MATCHS"))&gt;INDIRECT(ADDRESS(30,5,,,"MATCHS")),1,0),,IF(INDIRECT(ADDRESS(44,3,,,"MATCHS"))&gt;INDIRECT(ADDRESS(44,5,,,"MATCHS")),1,0),,IF(INDIRECT(ADDRESS(58,3,,,"MATCHS"))&gt;INDIRECT(ADDRESS(58,5,,,"MATCHS")),1,0),,IF(INDIRECT(ADDRESS(72,3,,,"MATCHS"))&gt;INDIRECT(ADDRESS(72,5,,,"MATCHS")),1,0),,IF(INDIRECT(ADDRESS(86,3,,,"MATCHS"))&gt;INDIRECT(ADDRESS(86,5,,,"MATCHS")),1,0),) + 0.01 * K4</f>
        <v>0</v>
      </c>
      <c r="F4" s="105">
        <f ca="1">SUM(IF(INDIRECT(ADDRESS(2,3,,,"MATCHS"))&lt;INDIRECT(ADDRESS(2,5,,,"MATCHS")),1,0),,IF(INDIRECT(ADDRESS(16,3,,,"MATCHS"))&lt;INDIRECT(ADDRESS(16,5,,,"MATCHS")),1,0),,IF(INDIRECT(ADDRESS(30,3,,,"MATCHS"))&lt;INDIRECT(ADDRESS(30,5,,,"MATCHS")),1,0),,IF(INDIRECT(ADDRESS(44,3,,,"MATCHS"))&lt;INDIRECT(ADDRESS(44,5,,,"MATCHS")),1,0),,IF(INDIRECT(ADDRESS(58,3,,,"MATCHS"))&lt;INDIRECT(ADDRESS(58,5,,,"MATCHS")),1,0),,IF(INDIRECT(ADDRESS(72,3,,,"MATCHS"))&lt;INDIRECT(ADDRESS(72,5,,,"MATCHS")),1,0),,IF(INDIRECT(ADDRESS(86,3,,,"MATCHS"))&lt;INDIRECT(ADDRESS(86,5,,,"MATCHS")),1,0),)</f>
        <v>0</v>
      </c>
      <c r="G4" s="105">
        <f ca="1">SUM(IF(IFERROR(FIND("--",INDIRECT(ADDRESS(2,3,,,"MATCHS"))),FALSE),LEFT(INDIRECT(ADDRESS(2,3,,,"MATCHS")), FIND("--",INDIRECT(ADDRESS(2,3,,,"MATCHS")),1)-1),INDIRECT(ADDRESS(2,3,,,"MATCHS"))),,IF(IFERROR(FIND("--",INDIRECT(ADDRESS(16,3,,,"MATCHS"))),FALSE),LEFT(INDIRECT(ADDRESS(16,3,,,"MATCHS")), FIND("--",INDIRECT(ADDRESS(16,3,,,"MATCHS")),1)-1),INDIRECT(ADDRESS(16,3,,,"MATCHS"))),,IF(IFERROR(FIND("--",INDIRECT(ADDRESS(30,3,,,"MATCHS"))),FALSE),LEFT(INDIRECT(ADDRESS(30,3,,,"MATCHS")), FIND("--",INDIRECT(ADDRESS(30,3,,,"MATCHS")),1)-1),INDIRECT(ADDRESS(30,3,,,"MATCHS"))),,IF(IFERROR(FIND("--",INDIRECT(ADDRESS(44,3,,,"MATCHS"))),FALSE),LEFT(INDIRECT(ADDRESS(44,3,,,"MATCHS")), FIND("--",INDIRECT(ADDRESS(44,3,,,"MATCHS")),1)-1),INDIRECT(ADDRESS(44,3,,,"MATCHS"))),,IF(IFERROR(FIND("--",INDIRECT(ADDRESS(58,3,,,"MATCHS"))),FALSE),LEFT(INDIRECT(ADDRESS(58,3,,,"MATCHS")), FIND("--",INDIRECT(ADDRESS(58,3,,,"MATCHS")),1)-1),INDIRECT(ADDRESS(58,3,,,"MATCHS"))),,IF(IFERROR(FIND("--",INDIRECT(ADDRESS(72,3,,,"MATCHS"))),FALSE),LEFT(INDIRECT(ADDRESS(72,3,,,"MATCHS")), FIND("--",INDIRECT(ADDRESS(72,3,,,"MATCHS")),1)-1),INDIRECT(ADDRESS(72,3,,,"MATCHS"))),,IF(IFERROR(FIND("--",INDIRECT(ADDRESS(86,3,,,"MATCHS"))),FALSE),LEFT(INDIRECT(ADDRESS(86,3,,,"MATCHS")), FIND("--",INDIRECT(ADDRESS(86,3,,,"MATCHS")),1)-1),INDIRECT(ADDRESS(86,3,,,"MATCHS"))),)</f>
        <v>0</v>
      </c>
      <c r="H4" s="105">
        <f ca="1">SUM(IF(IFERROR(FIND("--",INDIRECT(ADDRESS(2,3,,,"MATCHS"))),FALSE),RIGHT(INDIRECT(ADDRESS(2,3,,,"MATCHS")), FIND("--",INDIRECT(ADDRESS(2,3,,,"MATCHS")),1)),INDIRECT(ADDRESS(2,3,,,"MATCHS"))),,IF(IFERROR(FIND("--",INDIRECT(ADDRESS(16,3,,,"MATCHS"))),FALSE),RIGHT(INDIRECT(ADDRESS(16,3,,,"MATCHS")), FIND("--",INDIRECT(ADDRESS(16,3,,,"MATCHS")),1)),INDIRECT(ADDRESS(16,3,,,"MATCHS"))),,IF(IFERROR(FIND("--",INDIRECT(ADDRESS(30,3,,,"MATCHS"))),FALSE),RIGHT(INDIRECT(ADDRESS(30,3,,,"MATCHS")), FIND("--",INDIRECT(ADDRESS(30,3,,,"MATCHS")),1)),INDIRECT(ADDRESS(30,3,,,"MATCHS"))),,IF(IFERROR(FIND("--",INDIRECT(ADDRESS(44,3,,,"MATCHS"))),FALSE),RIGHT(INDIRECT(ADDRESS(44,3,,,"MATCHS")), FIND("--",INDIRECT(ADDRESS(44,3,,,"MATCHS")),1)),INDIRECT(ADDRESS(44,3,,,"MATCHS"))),,IF(IFERROR(FIND("--",INDIRECT(ADDRESS(58,3,,,"MATCHS"))),FALSE),RIGHT(INDIRECT(ADDRESS(58,3,,,"MATCHS")), FIND("--",INDIRECT(ADDRESS(58,3,,,"MATCHS")),1)),INDIRECT(ADDRESS(58,3,,,"MATCHS"))),,IF(IFERROR(FIND("--",INDIRECT(ADDRESS(72,3,,,"MATCHS"))),FALSE),RIGHT(INDIRECT(ADDRESS(72,3,,,"MATCHS")), FIND("--",INDIRECT(ADDRESS(72,3,,,"MATCHS")),1)),INDIRECT(ADDRESS(72,3,,,"MATCHS"))),,IF(IFERROR(FIND("--",INDIRECT(ADDRESS(86,3,,,"MATCHS"))),FALSE),RIGHT(INDIRECT(ADDRESS(86,3,,,"MATCHS")), FIND("--",INDIRECT(ADDRESS(86,3,,,"MATCHS")),1)),INDIRECT(ADDRESS(86,3,,,"MATCHS"))),)</f>
        <v>0</v>
      </c>
      <c r="I4" s="105">
        <f ca="1">SUM(IF(IFERROR(FIND("--",INDIRECT(ADDRESS(2,5,,,"MATCHS"))),FALSE),RIGHT(INDIRECT(ADDRESS(2,5,,,"MATCHS")), FIND("--",INDIRECT(ADDRESS(2,5,,,"MATCHS")),1)),INDIRECT(ADDRESS(2,5,,,"MATCHS"))),,IF(IFERROR(FIND("--",INDIRECT(ADDRESS(16,5,,,"MATCHS"))),FALSE),RIGHT(INDIRECT(ADDRESS(16,5,,,"MATCHS")), FIND("--",INDIRECT(ADDRESS(16,5,,,"MATCHS")),1)),INDIRECT(ADDRESS(16,5,,,"MATCHS"))),,IF(IFERROR(FIND("--",INDIRECT(ADDRESS(30,5,,,"MATCHS"))),FALSE),RIGHT(INDIRECT(ADDRESS(30,5,,,"MATCHS")), FIND("--",INDIRECT(ADDRESS(30,5,,,"MATCHS")),1)),INDIRECT(ADDRESS(30,5,,,"MATCHS"))),,IF(IFERROR(FIND("--",INDIRECT(ADDRESS(44,5,,,"MATCHS"))),FALSE),RIGHT(INDIRECT(ADDRESS(44,5,,,"MATCHS")), FIND("--",INDIRECT(ADDRESS(44,5,,,"MATCHS")),1)),INDIRECT(ADDRESS(44,5,,,"MATCHS"))),,IF(IFERROR(FIND("--",INDIRECT(ADDRESS(58,5,,,"MATCHS"))),FALSE),RIGHT(INDIRECT(ADDRESS(58,5,,,"MATCHS")), FIND("--",INDIRECT(ADDRESS(58,5,,,"MATCHS")),1)),INDIRECT(ADDRESS(58,5,,,"MATCHS"))),,IF(IFERROR(FIND("--",INDIRECT(ADDRESS(72,5,,,"MATCHS"))),FALSE),RIGHT(INDIRECT(ADDRESS(72,5,,,"MATCHS")), FIND("--",INDIRECT(ADDRESS(72,5,,,"MATCHS")),1)),INDIRECT(ADDRESS(72,5,,,"MATCHS"))),,IF(IFERROR(FIND("--",INDIRECT(ADDRESS(86,5,,,"MATCHS"))),FALSE),RIGHT(INDIRECT(ADDRESS(86,5,,,"MATCHS")), FIND("--",INDIRECT(ADDRESS(86,5,,,"MATCHS")),1)),INDIRECT(ADDRESS(86,5,,,"MATCHS"))),)</f>
        <v>0</v>
      </c>
      <c r="J4" s="105">
        <f ca="1">H4 - I4</f>
        <v>0</v>
      </c>
      <c r="K4" s="105">
        <v>0</v>
      </c>
      <c r="L4" s="105">
        <v>1</v>
      </c>
      <c r="M4" s="105"/>
      <c r="N4" s="101" t="str">
        <f>M4 &amp; "DM"</f>
        <v>DM</v>
      </c>
    </row>
    <row r="5" spans="1:14" ht="15.75" x14ac:dyDescent="0.25">
      <c r="A5" s="104"/>
      <c r="B5" s="105">
        <v>2</v>
      </c>
      <c r="C5" s="105" t="s">
        <v>53</v>
      </c>
      <c r="D5" s="105" t="str">
        <f>INSCRITS!C3</f>
        <v>2A</v>
      </c>
      <c r="E5" s="112">
        <f ca="1">SUM(IF(INDIRECT(ADDRESS(2,5,,,"MATCHS"))&gt;INDIRECT(ADDRESS(2,3,,,"MATCHS")),1,0),,IF(INDIRECT(ADDRESS(17,3,,,"MATCHS"))&gt;INDIRECT(ADDRESS(17,5,,,"MATCHS")),1,0),,IF(INDIRECT(ADDRESS(31,3,,,"MATCHS"))&gt;INDIRECT(ADDRESS(31,5,,,"MATCHS")),1,0),,IF(INDIRECT(ADDRESS(45,3,,,"MATCHS"))&gt;INDIRECT(ADDRESS(45,5,,,"MATCHS")),1,0),,IF(INDIRECT(ADDRESS(59,3,,,"MATCHS"))&gt;INDIRECT(ADDRESS(59,5,,,"MATCHS")),1,0),,IF(INDIRECT(ADDRESS(73,3,,,"MATCHS"))&gt;INDIRECT(ADDRESS(73,5,,,"MATCHS")),1,0),,IF(INDIRECT(ADDRESS(87,3,,,"MATCHS"))&gt;INDIRECT(ADDRESS(87,5,,,"MATCHS")),1,0),) + 0.01 * K5</f>
        <v>0</v>
      </c>
      <c r="F5" s="105">
        <f ca="1">SUM(IF(INDIRECT(ADDRESS(2,5,,,"MATCHS"))&lt;INDIRECT(ADDRESS(2,3,,,"MATCHS")),1,0),,IF(INDIRECT(ADDRESS(17,3,,,"MATCHS"))&lt;INDIRECT(ADDRESS(17,5,,,"MATCHS")),1,0),,IF(INDIRECT(ADDRESS(31,3,,,"MATCHS"))&lt;INDIRECT(ADDRESS(31,5,,,"MATCHS")),1,0),,IF(INDIRECT(ADDRESS(45,3,,,"MATCHS"))&lt;INDIRECT(ADDRESS(45,5,,,"MATCHS")),1,0),,IF(INDIRECT(ADDRESS(59,3,,,"MATCHS"))&lt;INDIRECT(ADDRESS(59,5,,,"MATCHS")),1,0),,IF(INDIRECT(ADDRESS(73,3,,,"MATCHS"))&lt;INDIRECT(ADDRESS(73,5,,,"MATCHS")),1,0),,IF(INDIRECT(ADDRESS(87,3,,,"MATCHS"))&lt;INDIRECT(ADDRESS(87,5,,,"MATCHS")),1,0),)</f>
        <v>0</v>
      </c>
      <c r="G5" s="105">
        <f ca="1">SUM(IF(IFERROR(FIND("--",INDIRECT(ADDRESS(2,5,,,"MATCHS"))),FALSE),LEFT(INDIRECT(ADDRESS(2,5,,,"MATCHS")), FIND("--",INDIRECT(ADDRESS(2,5,,,"MATCHS")),1)-1),INDIRECT(ADDRESS(2,5,,,"MATCHS"))),,IF(IFERROR(FIND("--",INDIRECT(ADDRESS(17,3,,,"MATCHS"))),FALSE),LEFT(INDIRECT(ADDRESS(17,3,,,"MATCHS")), FIND("--",INDIRECT(ADDRESS(17,3,,,"MATCHS")),1)-1),INDIRECT(ADDRESS(17,3,,,"MATCHS"))),,IF(IFERROR(FIND("--",INDIRECT(ADDRESS(31,3,,,"MATCHS"))),FALSE),LEFT(INDIRECT(ADDRESS(31,3,,,"MATCHS")), FIND("--",INDIRECT(ADDRESS(31,3,,,"MATCHS")),1)-1),INDIRECT(ADDRESS(31,3,,,"MATCHS"))),,IF(IFERROR(FIND("--",INDIRECT(ADDRESS(45,3,,,"MATCHS"))),FALSE),LEFT(INDIRECT(ADDRESS(45,3,,,"MATCHS")), FIND("--",INDIRECT(ADDRESS(45,3,,,"MATCHS")),1)-1),INDIRECT(ADDRESS(45,3,,,"MATCHS"))),,IF(IFERROR(FIND("--",INDIRECT(ADDRESS(59,3,,,"MATCHS"))),FALSE),LEFT(INDIRECT(ADDRESS(59,3,,,"MATCHS")), FIND("--",INDIRECT(ADDRESS(59,3,,,"MATCHS")),1)-1),INDIRECT(ADDRESS(59,3,,,"MATCHS"))),,IF(IFERROR(FIND("--",INDIRECT(ADDRESS(73,3,,,"MATCHS"))),FALSE),LEFT(INDIRECT(ADDRESS(73,3,,,"MATCHS")), FIND("--",INDIRECT(ADDRESS(73,3,,,"MATCHS")),1)-1),INDIRECT(ADDRESS(73,3,,,"MATCHS"))),,IF(IFERROR(FIND("--",INDIRECT(ADDRESS(87,3,,,"MATCHS"))),FALSE),LEFT(INDIRECT(ADDRESS(87,3,,,"MATCHS")), FIND("--",INDIRECT(ADDRESS(87,3,,,"MATCHS")),1)-1),INDIRECT(ADDRESS(87,3,,,"MATCHS"))),)</f>
        <v>0</v>
      </c>
      <c r="H5" s="105">
        <f ca="1">SUM(IF(IFERROR(FIND("--",INDIRECT(ADDRESS(2,5,,,"MATCHS"))),FALSE),RIGHT(INDIRECT(ADDRESS(2,5,,,"MATCHS")), FIND("--",INDIRECT(ADDRESS(2,5,,,"MATCHS")),1)),INDIRECT(ADDRESS(2,5,,,"MATCHS"))),,IF(IFERROR(FIND("--",INDIRECT(ADDRESS(17,3,,,"MATCHS"))),FALSE),RIGHT(INDIRECT(ADDRESS(17,3,,,"MATCHS")), FIND("--",INDIRECT(ADDRESS(17,3,,,"MATCHS")),1)),INDIRECT(ADDRESS(17,3,,,"MATCHS"))),,IF(IFERROR(FIND("--",INDIRECT(ADDRESS(31,3,,,"MATCHS"))),FALSE),RIGHT(INDIRECT(ADDRESS(31,3,,,"MATCHS")), FIND("--",INDIRECT(ADDRESS(31,3,,,"MATCHS")),1)),INDIRECT(ADDRESS(31,3,,,"MATCHS"))),,IF(IFERROR(FIND("--",INDIRECT(ADDRESS(45,3,,,"MATCHS"))),FALSE),RIGHT(INDIRECT(ADDRESS(45,3,,,"MATCHS")), FIND("--",INDIRECT(ADDRESS(45,3,,,"MATCHS")),1)),INDIRECT(ADDRESS(45,3,,,"MATCHS"))),,IF(IFERROR(FIND("--",INDIRECT(ADDRESS(59,3,,,"MATCHS"))),FALSE),RIGHT(INDIRECT(ADDRESS(59,3,,,"MATCHS")), FIND("--",INDIRECT(ADDRESS(59,3,,,"MATCHS")),1)),INDIRECT(ADDRESS(59,3,,,"MATCHS"))),,IF(IFERROR(FIND("--",INDIRECT(ADDRESS(73,3,,,"MATCHS"))),FALSE),RIGHT(INDIRECT(ADDRESS(73,3,,,"MATCHS")), FIND("--",INDIRECT(ADDRESS(73,3,,,"MATCHS")),1)),INDIRECT(ADDRESS(73,3,,,"MATCHS"))),,IF(IFERROR(FIND("--",INDIRECT(ADDRESS(87,3,,,"MATCHS"))),FALSE),RIGHT(INDIRECT(ADDRESS(87,3,,,"MATCHS")), FIND("--",INDIRECT(ADDRESS(87,3,,,"MATCHS")),1)),INDIRECT(ADDRESS(87,3,,,"MATCHS"))),)</f>
        <v>0</v>
      </c>
      <c r="I5" s="105">
        <f ca="1">SUM(IF(IFERROR(FIND("--",INDIRECT(ADDRESS(2,3,,,"MATCHS"))),FALSE),RIGHT(INDIRECT(ADDRESS(2,3,,,"MATCHS")), FIND("--",INDIRECT(ADDRESS(2,3,,,"MATCHS")),1)),INDIRECT(ADDRESS(2,3,,,"MATCHS"))),,IF(IFERROR(FIND("--",INDIRECT(ADDRESS(17,5,,,"MATCHS"))),FALSE),RIGHT(INDIRECT(ADDRESS(17,5,,,"MATCHS")), FIND("--",INDIRECT(ADDRESS(17,5,,,"MATCHS")),1)),INDIRECT(ADDRESS(17,5,,,"MATCHS"))),,IF(IFERROR(FIND("--",INDIRECT(ADDRESS(31,5,,,"MATCHS"))),FALSE),RIGHT(INDIRECT(ADDRESS(31,5,,,"MATCHS")), FIND("--",INDIRECT(ADDRESS(31,5,,,"MATCHS")),1)),INDIRECT(ADDRESS(31,5,,,"MATCHS"))),,IF(IFERROR(FIND("--",INDIRECT(ADDRESS(45,5,,,"MATCHS"))),FALSE),RIGHT(INDIRECT(ADDRESS(45,5,,,"MATCHS")), FIND("--",INDIRECT(ADDRESS(45,5,,,"MATCHS")),1)),INDIRECT(ADDRESS(45,5,,,"MATCHS"))),,IF(IFERROR(FIND("--",INDIRECT(ADDRESS(59,5,,,"MATCHS"))),FALSE),RIGHT(INDIRECT(ADDRESS(59,5,,,"MATCHS")), FIND("--",INDIRECT(ADDRESS(59,5,,,"MATCHS")),1)),INDIRECT(ADDRESS(59,5,,,"MATCHS"))),,IF(IFERROR(FIND("--",INDIRECT(ADDRESS(73,5,,,"MATCHS"))),FALSE),RIGHT(INDIRECT(ADDRESS(73,5,,,"MATCHS")), FIND("--",INDIRECT(ADDRESS(73,5,,,"MATCHS")),1)),INDIRECT(ADDRESS(73,5,,,"MATCHS"))),,IF(IFERROR(FIND("--",INDIRECT(ADDRESS(87,5,,,"MATCHS"))),FALSE),RIGHT(INDIRECT(ADDRESS(87,5,,,"MATCHS")), FIND("--",INDIRECT(ADDRESS(87,5,,,"MATCHS")),1)),INDIRECT(ADDRESS(87,5,,,"MATCHS"))),)</f>
        <v>0</v>
      </c>
      <c r="J5" s="105">
        <f ca="1">H5 - I5</f>
        <v>0</v>
      </c>
      <c r="K5" s="105">
        <v>0</v>
      </c>
      <c r="L5" s="105">
        <v>2</v>
      </c>
      <c r="M5" s="105"/>
      <c r="N5" s="101" t="str">
        <f>M5 &amp; "DM"</f>
        <v>DM</v>
      </c>
    </row>
    <row r="6" spans="1:14" ht="15.75" x14ac:dyDescent="0.25">
      <c r="A6" s="104"/>
      <c r="B6" s="105">
        <v>3</v>
      </c>
      <c r="C6" s="105" t="s">
        <v>54</v>
      </c>
      <c r="D6" s="105" t="str">
        <f>INSCRITS!C4</f>
        <v>3A</v>
      </c>
      <c r="E6" s="112">
        <f ca="1">SUM(IF(INDIRECT(ADDRESS(3,3,,,"MATCHS"))&gt;INDIRECT(ADDRESS(3,5,,,"MATCHS")),1,0),,IF(INDIRECT(ADDRESS(16,5,,,"MATCHS"))&gt;INDIRECT(ADDRESS(16,3,,,"MATCHS")),1,0),,IF(INDIRECT(ADDRESS(31,5,,,"MATCHS"))&gt;INDIRECT(ADDRESS(31,3,,,"MATCHS")),1,0),,IF(INDIRECT(ADDRESS(46,3,,,"MATCHS"))&gt;INDIRECT(ADDRESS(46,5,,,"MATCHS")),1,0),,IF(INDIRECT(ADDRESS(60,3,,,"MATCHS"))&gt;INDIRECT(ADDRESS(60,5,,,"MATCHS")),1,0),,IF(INDIRECT(ADDRESS(74,3,,,"MATCHS"))&gt;INDIRECT(ADDRESS(74,5,,,"MATCHS")),1,0),,IF(INDIRECT(ADDRESS(88,3,,,"MATCHS"))&gt;INDIRECT(ADDRESS(88,5,,,"MATCHS")),1,0),) + 0.01 * K6</f>
        <v>0</v>
      </c>
      <c r="F6" s="105">
        <f ca="1">SUM(IF(INDIRECT(ADDRESS(3,3,,,"MATCHS"))&lt;INDIRECT(ADDRESS(3,5,,,"MATCHS")),1,0),,IF(INDIRECT(ADDRESS(16,5,,,"MATCHS"))&lt;INDIRECT(ADDRESS(16,3,,,"MATCHS")),1,0),,IF(INDIRECT(ADDRESS(31,5,,,"MATCHS"))&lt;INDIRECT(ADDRESS(31,3,,,"MATCHS")),1,0),,IF(INDIRECT(ADDRESS(46,3,,,"MATCHS"))&lt;INDIRECT(ADDRESS(46,5,,,"MATCHS")),1,0),,IF(INDIRECT(ADDRESS(60,3,,,"MATCHS"))&lt;INDIRECT(ADDRESS(60,5,,,"MATCHS")),1,0),,IF(INDIRECT(ADDRESS(74,3,,,"MATCHS"))&lt;INDIRECT(ADDRESS(74,5,,,"MATCHS")),1,0),,IF(INDIRECT(ADDRESS(88,3,,,"MATCHS"))&lt;INDIRECT(ADDRESS(88,5,,,"MATCHS")),1,0),)</f>
        <v>0</v>
      </c>
      <c r="G6" s="105">
        <f ca="1">SUM(IF(IFERROR(FIND("--",INDIRECT(ADDRESS(3,3,,,"MATCHS"))),FALSE),LEFT(INDIRECT(ADDRESS(3,3,,,"MATCHS")), FIND("--",INDIRECT(ADDRESS(3,3,,,"MATCHS")),1)-1),INDIRECT(ADDRESS(3,3,,,"MATCHS"))),,IF(IFERROR(FIND("--",INDIRECT(ADDRESS(16,5,,,"MATCHS"))),FALSE),LEFT(INDIRECT(ADDRESS(16,5,,,"MATCHS")), FIND("--",INDIRECT(ADDRESS(16,5,,,"MATCHS")),1)-1),INDIRECT(ADDRESS(16,5,,,"MATCHS"))),,IF(IFERROR(FIND("--",INDIRECT(ADDRESS(31,5,,,"MATCHS"))),FALSE),LEFT(INDIRECT(ADDRESS(31,5,,,"MATCHS")), FIND("--",INDIRECT(ADDRESS(31,5,,,"MATCHS")),1)-1),INDIRECT(ADDRESS(31,5,,,"MATCHS"))),,IF(IFERROR(FIND("--",INDIRECT(ADDRESS(46,3,,,"MATCHS"))),FALSE),LEFT(INDIRECT(ADDRESS(46,3,,,"MATCHS")), FIND("--",INDIRECT(ADDRESS(46,3,,,"MATCHS")),1)-1),INDIRECT(ADDRESS(46,3,,,"MATCHS"))),,IF(IFERROR(FIND("--",INDIRECT(ADDRESS(60,3,,,"MATCHS"))),FALSE),LEFT(INDIRECT(ADDRESS(60,3,,,"MATCHS")), FIND("--",INDIRECT(ADDRESS(60,3,,,"MATCHS")),1)-1),INDIRECT(ADDRESS(60,3,,,"MATCHS"))),,IF(IFERROR(FIND("--",INDIRECT(ADDRESS(74,3,,,"MATCHS"))),FALSE),LEFT(INDIRECT(ADDRESS(74,3,,,"MATCHS")), FIND("--",INDIRECT(ADDRESS(74,3,,,"MATCHS")),1)-1),INDIRECT(ADDRESS(74,3,,,"MATCHS"))),,IF(IFERROR(FIND("--",INDIRECT(ADDRESS(88,3,,,"MATCHS"))),FALSE),LEFT(INDIRECT(ADDRESS(88,3,,,"MATCHS")), FIND("--",INDIRECT(ADDRESS(88,3,,,"MATCHS")),1)-1),INDIRECT(ADDRESS(88,3,,,"MATCHS"))),)</f>
        <v>0</v>
      </c>
      <c r="H6" s="105">
        <f ca="1">SUM(IF(IFERROR(FIND("--",INDIRECT(ADDRESS(3,3,,,"MATCHS"))),FALSE),RIGHT(INDIRECT(ADDRESS(3,3,,,"MATCHS")), FIND("--",INDIRECT(ADDRESS(3,3,,,"MATCHS")),1)),INDIRECT(ADDRESS(3,3,,,"MATCHS"))),,IF(IFERROR(FIND("--",INDIRECT(ADDRESS(16,5,,,"MATCHS"))),FALSE),RIGHT(INDIRECT(ADDRESS(16,5,,,"MATCHS")), FIND("--",INDIRECT(ADDRESS(16,5,,,"MATCHS")),1)),INDIRECT(ADDRESS(16,5,,,"MATCHS"))),,IF(IFERROR(FIND("--",INDIRECT(ADDRESS(31,5,,,"MATCHS"))),FALSE),RIGHT(INDIRECT(ADDRESS(31,5,,,"MATCHS")), FIND("--",INDIRECT(ADDRESS(31,5,,,"MATCHS")),1)),INDIRECT(ADDRESS(31,5,,,"MATCHS"))),,IF(IFERROR(FIND("--",INDIRECT(ADDRESS(46,3,,,"MATCHS"))),FALSE),RIGHT(INDIRECT(ADDRESS(46,3,,,"MATCHS")), FIND("--",INDIRECT(ADDRESS(46,3,,,"MATCHS")),1)),INDIRECT(ADDRESS(46,3,,,"MATCHS"))),,IF(IFERROR(FIND("--",INDIRECT(ADDRESS(60,3,,,"MATCHS"))),FALSE),RIGHT(INDIRECT(ADDRESS(60,3,,,"MATCHS")), FIND("--",INDIRECT(ADDRESS(60,3,,,"MATCHS")),1)),INDIRECT(ADDRESS(60,3,,,"MATCHS"))),,IF(IFERROR(FIND("--",INDIRECT(ADDRESS(74,3,,,"MATCHS"))),FALSE),RIGHT(INDIRECT(ADDRESS(74,3,,,"MATCHS")), FIND("--",INDIRECT(ADDRESS(74,3,,,"MATCHS")),1)),INDIRECT(ADDRESS(74,3,,,"MATCHS"))),,IF(IFERROR(FIND("--",INDIRECT(ADDRESS(88,3,,,"MATCHS"))),FALSE),RIGHT(INDIRECT(ADDRESS(88,3,,,"MATCHS")), FIND("--",INDIRECT(ADDRESS(88,3,,,"MATCHS")),1)),INDIRECT(ADDRESS(88,3,,,"MATCHS"))),)</f>
        <v>0</v>
      </c>
      <c r="I6" s="105">
        <f ca="1">SUM(IF(IFERROR(FIND("--",INDIRECT(ADDRESS(3,5,,,"MATCHS"))),FALSE),RIGHT(INDIRECT(ADDRESS(3,5,,,"MATCHS")), FIND("--",INDIRECT(ADDRESS(3,5,,,"MATCHS")),1)),INDIRECT(ADDRESS(3,5,,,"MATCHS"))),,IF(IFERROR(FIND("--",INDIRECT(ADDRESS(16,3,,,"MATCHS"))),FALSE),RIGHT(INDIRECT(ADDRESS(16,3,,,"MATCHS")), FIND("--",INDIRECT(ADDRESS(16,3,,,"MATCHS")),1)),INDIRECT(ADDRESS(16,3,,,"MATCHS"))),,IF(IFERROR(FIND("--",INDIRECT(ADDRESS(31,3,,,"MATCHS"))),FALSE),RIGHT(INDIRECT(ADDRESS(31,3,,,"MATCHS")), FIND("--",INDIRECT(ADDRESS(31,3,,,"MATCHS")),1)),INDIRECT(ADDRESS(31,3,,,"MATCHS"))),,IF(IFERROR(FIND("--",INDIRECT(ADDRESS(46,5,,,"MATCHS"))),FALSE),RIGHT(INDIRECT(ADDRESS(46,5,,,"MATCHS")), FIND("--",INDIRECT(ADDRESS(46,5,,,"MATCHS")),1)),INDIRECT(ADDRESS(46,5,,,"MATCHS"))),,IF(IFERROR(FIND("--",INDIRECT(ADDRESS(60,5,,,"MATCHS"))),FALSE),RIGHT(INDIRECT(ADDRESS(60,5,,,"MATCHS")), FIND("--",INDIRECT(ADDRESS(60,5,,,"MATCHS")),1)),INDIRECT(ADDRESS(60,5,,,"MATCHS"))),,IF(IFERROR(FIND("--",INDIRECT(ADDRESS(74,5,,,"MATCHS"))),FALSE),RIGHT(INDIRECT(ADDRESS(74,5,,,"MATCHS")), FIND("--",INDIRECT(ADDRESS(74,5,,,"MATCHS")),1)),INDIRECT(ADDRESS(74,5,,,"MATCHS"))),,IF(IFERROR(FIND("--",INDIRECT(ADDRESS(88,5,,,"MATCHS"))),FALSE),RIGHT(INDIRECT(ADDRESS(88,5,,,"MATCHS")), FIND("--",INDIRECT(ADDRESS(88,5,,,"MATCHS")),1)),INDIRECT(ADDRESS(88,5,,,"MATCHS"))),)</f>
        <v>0</v>
      </c>
      <c r="J6" s="105">
        <f ca="1">H6 - I6</f>
        <v>0</v>
      </c>
      <c r="K6" s="105">
        <v>0</v>
      </c>
      <c r="L6" s="105">
        <v>3</v>
      </c>
      <c r="M6" s="105"/>
      <c r="N6" s="101" t="str">
        <f>M6 &amp; "DM"</f>
        <v>DM</v>
      </c>
    </row>
    <row r="7" spans="1:14" ht="15.75" x14ac:dyDescent="0.25">
      <c r="A7" s="104"/>
      <c r="B7" s="105">
        <v>4</v>
      </c>
      <c r="C7" s="105" t="s">
        <v>55</v>
      </c>
      <c r="D7" s="105" t="str">
        <f>INSCRITS!C5</f>
        <v>4A</v>
      </c>
      <c r="E7" s="112">
        <f ca="1">SUM(IF(INDIRECT(ADDRESS(3,5,,,"MATCHS"))&gt;INDIRECT(ADDRESS(3,3,,,"MATCHS")),1,0),,IF(INDIRECT(ADDRESS(17,5,,,"MATCHS"))&gt;INDIRECT(ADDRESS(17,3,,,"MATCHS")),1,0),,IF(INDIRECT(ADDRESS(30,5,,,"MATCHS"))&gt;INDIRECT(ADDRESS(30,3,,,"MATCHS")),1,0),,IF(INDIRECT(ADDRESS(47,3,,,"MATCHS"))&gt;INDIRECT(ADDRESS(47,5,,,"MATCHS")),1,0),,IF(INDIRECT(ADDRESS(61,3,,,"MATCHS"))&gt;INDIRECT(ADDRESS(61,5,,,"MATCHS")),1,0),,IF(INDIRECT(ADDRESS(75,3,,,"MATCHS"))&gt;INDIRECT(ADDRESS(75,5,,,"MATCHS")),1,0),,IF(INDIRECT(ADDRESS(89,3,,,"MATCHS"))&gt;INDIRECT(ADDRESS(89,5,,,"MATCHS")),1,0),) + 0.01 * K7</f>
        <v>0</v>
      </c>
      <c r="F7" s="105">
        <f ca="1">SUM(IF(INDIRECT(ADDRESS(3,5,,,"MATCHS"))&lt;INDIRECT(ADDRESS(3,3,,,"MATCHS")),1,0),,IF(INDIRECT(ADDRESS(17,5,,,"MATCHS"))&lt;INDIRECT(ADDRESS(17,3,,,"MATCHS")),1,0),,IF(INDIRECT(ADDRESS(30,5,,,"MATCHS"))&lt;INDIRECT(ADDRESS(30,3,,,"MATCHS")),1,0),,IF(INDIRECT(ADDRESS(47,3,,,"MATCHS"))&lt;INDIRECT(ADDRESS(47,5,,,"MATCHS")),1,0),,IF(INDIRECT(ADDRESS(61,3,,,"MATCHS"))&lt;INDIRECT(ADDRESS(61,5,,,"MATCHS")),1,0),,IF(INDIRECT(ADDRESS(75,3,,,"MATCHS"))&lt;INDIRECT(ADDRESS(75,5,,,"MATCHS")),1,0),,IF(INDIRECT(ADDRESS(89,3,,,"MATCHS"))&lt;INDIRECT(ADDRESS(89,5,,,"MATCHS")),1,0),)</f>
        <v>0</v>
      </c>
      <c r="G7" s="105">
        <f ca="1">SUM(IF(IFERROR(FIND("--",INDIRECT(ADDRESS(3,5,,,"MATCHS"))),FALSE),LEFT(INDIRECT(ADDRESS(3,5,,,"MATCHS")), FIND("--",INDIRECT(ADDRESS(3,5,,,"MATCHS")),1)-1),INDIRECT(ADDRESS(3,5,,,"MATCHS"))),,IF(IFERROR(FIND("--",INDIRECT(ADDRESS(17,5,,,"MATCHS"))),FALSE),LEFT(INDIRECT(ADDRESS(17,5,,,"MATCHS")), FIND("--",INDIRECT(ADDRESS(17,5,,,"MATCHS")),1)-1),INDIRECT(ADDRESS(17,5,,,"MATCHS"))),,IF(IFERROR(FIND("--",INDIRECT(ADDRESS(30,5,,,"MATCHS"))),FALSE),LEFT(INDIRECT(ADDRESS(30,5,,,"MATCHS")), FIND("--",INDIRECT(ADDRESS(30,5,,,"MATCHS")),1)-1),INDIRECT(ADDRESS(30,5,,,"MATCHS"))),,IF(IFERROR(FIND("--",INDIRECT(ADDRESS(47,3,,,"MATCHS"))),FALSE),LEFT(INDIRECT(ADDRESS(47,3,,,"MATCHS")), FIND("--",INDIRECT(ADDRESS(47,3,,,"MATCHS")),1)-1),INDIRECT(ADDRESS(47,3,,,"MATCHS"))),,IF(IFERROR(FIND("--",INDIRECT(ADDRESS(61,3,,,"MATCHS"))),FALSE),LEFT(INDIRECT(ADDRESS(61,3,,,"MATCHS")), FIND("--",INDIRECT(ADDRESS(61,3,,,"MATCHS")),1)-1),INDIRECT(ADDRESS(61,3,,,"MATCHS"))),,IF(IFERROR(FIND("--",INDIRECT(ADDRESS(75,3,,,"MATCHS"))),FALSE),LEFT(INDIRECT(ADDRESS(75,3,,,"MATCHS")), FIND("--",INDIRECT(ADDRESS(75,3,,,"MATCHS")),1)-1),INDIRECT(ADDRESS(75,3,,,"MATCHS"))),,IF(IFERROR(FIND("--",INDIRECT(ADDRESS(89,3,,,"MATCHS"))),FALSE),LEFT(INDIRECT(ADDRESS(89,3,,,"MATCHS")), FIND("--",INDIRECT(ADDRESS(89,3,,,"MATCHS")),1)-1),INDIRECT(ADDRESS(89,3,,,"MATCHS"))),)</f>
        <v>0</v>
      </c>
      <c r="H7" s="105">
        <f ca="1">SUM(IF(IFERROR(FIND("--",INDIRECT(ADDRESS(3,5,,,"MATCHS"))),FALSE),RIGHT(INDIRECT(ADDRESS(3,5,,,"MATCHS")), FIND("--",INDIRECT(ADDRESS(3,5,,,"MATCHS")),1)),INDIRECT(ADDRESS(3,5,,,"MATCHS"))),,IF(IFERROR(FIND("--",INDIRECT(ADDRESS(17,5,,,"MATCHS"))),FALSE),RIGHT(INDIRECT(ADDRESS(17,5,,,"MATCHS")), FIND("--",INDIRECT(ADDRESS(17,5,,,"MATCHS")),1)),INDIRECT(ADDRESS(17,5,,,"MATCHS"))),,IF(IFERROR(FIND("--",INDIRECT(ADDRESS(30,5,,,"MATCHS"))),FALSE),RIGHT(INDIRECT(ADDRESS(30,5,,,"MATCHS")), FIND("--",INDIRECT(ADDRESS(30,5,,,"MATCHS")),1)),INDIRECT(ADDRESS(30,5,,,"MATCHS"))),,IF(IFERROR(FIND("--",INDIRECT(ADDRESS(47,3,,,"MATCHS"))),FALSE),RIGHT(INDIRECT(ADDRESS(47,3,,,"MATCHS")), FIND("--",INDIRECT(ADDRESS(47,3,,,"MATCHS")),1)),INDIRECT(ADDRESS(47,3,,,"MATCHS"))),,IF(IFERROR(FIND("--",INDIRECT(ADDRESS(61,3,,,"MATCHS"))),FALSE),RIGHT(INDIRECT(ADDRESS(61,3,,,"MATCHS")), FIND("--",INDIRECT(ADDRESS(61,3,,,"MATCHS")),1)),INDIRECT(ADDRESS(61,3,,,"MATCHS"))),,IF(IFERROR(FIND("--",INDIRECT(ADDRESS(75,3,,,"MATCHS"))),FALSE),RIGHT(INDIRECT(ADDRESS(75,3,,,"MATCHS")), FIND("--",INDIRECT(ADDRESS(75,3,,,"MATCHS")),1)),INDIRECT(ADDRESS(75,3,,,"MATCHS"))),,IF(IFERROR(FIND("--",INDIRECT(ADDRESS(89,3,,,"MATCHS"))),FALSE),RIGHT(INDIRECT(ADDRESS(89,3,,,"MATCHS")), FIND("--",INDIRECT(ADDRESS(89,3,,,"MATCHS")),1)),INDIRECT(ADDRESS(89,3,,,"MATCHS"))),)</f>
        <v>0</v>
      </c>
      <c r="I7" s="105">
        <f ca="1">SUM(IF(IFERROR(FIND("--",INDIRECT(ADDRESS(3,3,,,"MATCHS"))),FALSE),RIGHT(INDIRECT(ADDRESS(3,3,,,"MATCHS")), FIND("--",INDIRECT(ADDRESS(3,3,,,"MATCHS")),1)),INDIRECT(ADDRESS(3,3,,,"MATCHS"))),,IF(IFERROR(FIND("--",INDIRECT(ADDRESS(17,3,,,"MATCHS"))),FALSE),RIGHT(INDIRECT(ADDRESS(17,3,,,"MATCHS")), FIND("--",INDIRECT(ADDRESS(17,3,,,"MATCHS")),1)),INDIRECT(ADDRESS(17,3,,,"MATCHS"))),,IF(IFERROR(FIND("--",INDIRECT(ADDRESS(30,3,,,"MATCHS"))),FALSE),RIGHT(INDIRECT(ADDRESS(30,3,,,"MATCHS")), FIND("--",INDIRECT(ADDRESS(30,3,,,"MATCHS")),1)),INDIRECT(ADDRESS(30,3,,,"MATCHS"))),,IF(IFERROR(FIND("--",INDIRECT(ADDRESS(47,5,,,"MATCHS"))),FALSE),RIGHT(INDIRECT(ADDRESS(47,5,,,"MATCHS")), FIND("--",INDIRECT(ADDRESS(47,5,,,"MATCHS")),1)),INDIRECT(ADDRESS(47,5,,,"MATCHS"))),,IF(IFERROR(FIND("--",INDIRECT(ADDRESS(61,5,,,"MATCHS"))),FALSE),RIGHT(INDIRECT(ADDRESS(61,5,,,"MATCHS")), FIND("--",INDIRECT(ADDRESS(61,5,,,"MATCHS")),1)),INDIRECT(ADDRESS(61,5,,,"MATCHS"))),,IF(IFERROR(FIND("--",INDIRECT(ADDRESS(75,5,,,"MATCHS"))),FALSE),RIGHT(INDIRECT(ADDRESS(75,5,,,"MATCHS")), FIND("--",INDIRECT(ADDRESS(75,5,,,"MATCHS")),1)),INDIRECT(ADDRESS(75,5,,,"MATCHS"))),,IF(IFERROR(FIND("--",INDIRECT(ADDRESS(89,5,,,"MATCHS"))),FALSE),RIGHT(INDIRECT(ADDRESS(89,5,,,"MATCHS")), FIND("--",INDIRECT(ADDRESS(89,5,,,"MATCHS")),1)),INDIRECT(ADDRESS(89,5,,,"MATCHS"))),)</f>
        <v>0</v>
      </c>
      <c r="J7" s="105">
        <f ca="1">H7 - I7</f>
        <v>0</v>
      </c>
      <c r="K7" s="105">
        <v>0</v>
      </c>
      <c r="L7" s="105">
        <v>4</v>
      </c>
      <c r="M7" s="105"/>
      <c r="N7" s="101" t="str">
        <f>M7 &amp; "DM"</f>
        <v>DM</v>
      </c>
    </row>
    <row r="8" spans="1:14" ht="15.75" x14ac:dyDescent="0.25">
      <c r="A8" s="104"/>
      <c r="B8" s="105">
        <v>5</v>
      </c>
      <c r="C8" s="105" t="s">
        <v>56</v>
      </c>
      <c r="D8" s="105" t="str">
        <f>INSCRITS!C6</f>
        <v>5A</v>
      </c>
      <c r="E8" s="112">
        <f ca="1">SUM(IF(INDIRECT(ADDRESS(4,3,,,"MATCHS"))&gt;INDIRECT(ADDRESS(4,5,,,"MATCHS")),1,0),,IF(INDIRECT(ADDRESS(18,3,,,"MATCHS"))&gt;INDIRECT(ADDRESS(18,5,,,"MATCHS")),1,0),,IF(INDIRECT(ADDRESS(32,3,,,"MATCHS"))&gt;INDIRECT(ADDRESS(32,5,,,"MATCHS")),1,0),,IF(INDIRECT(ADDRESS(44,5,,,"MATCHS"))&gt;INDIRECT(ADDRESS(44,3,,,"MATCHS")),1,0),,IF(INDIRECT(ADDRESS(59,5,,,"MATCHS"))&gt;INDIRECT(ADDRESS(59,3,,,"MATCHS")),1,0),,IF(INDIRECT(ADDRESS(74,5,,,"MATCHS"))&gt;INDIRECT(ADDRESS(74,3,,,"MATCHS")),1,0),,IF(INDIRECT(ADDRESS(89,5,,,"MATCHS"))&gt;INDIRECT(ADDRESS(89,3,,,"MATCHS")),1,0),) + 0.01 * K8</f>
        <v>0</v>
      </c>
      <c r="F8" s="105">
        <f ca="1">SUM(IF(INDIRECT(ADDRESS(4,3,,,"MATCHS"))&lt;INDIRECT(ADDRESS(4,5,,,"MATCHS")),1,0),,IF(INDIRECT(ADDRESS(18,3,,,"MATCHS"))&lt;INDIRECT(ADDRESS(18,5,,,"MATCHS")),1,0),,IF(INDIRECT(ADDRESS(32,3,,,"MATCHS"))&lt;INDIRECT(ADDRESS(32,5,,,"MATCHS")),1,0),,IF(INDIRECT(ADDRESS(44,5,,,"MATCHS"))&lt;INDIRECT(ADDRESS(44,3,,,"MATCHS")),1,0),,IF(INDIRECT(ADDRESS(59,5,,,"MATCHS"))&lt;INDIRECT(ADDRESS(59,3,,,"MATCHS")),1,0),,IF(INDIRECT(ADDRESS(74,5,,,"MATCHS"))&lt;INDIRECT(ADDRESS(74,3,,,"MATCHS")),1,0),,IF(INDIRECT(ADDRESS(89,5,,,"MATCHS"))&lt;INDIRECT(ADDRESS(89,3,,,"MATCHS")),1,0),)</f>
        <v>0</v>
      </c>
      <c r="G8" s="105">
        <f ca="1">SUM(IF(IFERROR(FIND("--",INDIRECT(ADDRESS(4,3,,,"MATCHS"))),FALSE),LEFT(INDIRECT(ADDRESS(4,3,,,"MATCHS")), FIND("--",INDIRECT(ADDRESS(4,3,,,"MATCHS")),1)-1),INDIRECT(ADDRESS(4,3,,,"MATCHS"))),,IF(IFERROR(FIND("--",INDIRECT(ADDRESS(18,3,,,"MATCHS"))),FALSE),LEFT(INDIRECT(ADDRESS(18,3,,,"MATCHS")), FIND("--",INDIRECT(ADDRESS(18,3,,,"MATCHS")),1)-1),INDIRECT(ADDRESS(18,3,,,"MATCHS"))),,IF(IFERROR(FIND("--",INDIRECT(ADDRESS(32,3,,,"MATCHS"))),FALSE),LEFT(INDIRECT(ADDRESS(32,3,,,"MATCHS")), FIND("--",INDIRECT(ADDRESS(32,3,,,"MATCHS")),1)-1),INDIRECT(ADDRESS(32,3,,,"MATCHS"))),,IF(IFERROR(FIND("--",INDIRECT(ADDRESS(44,5,,,"MATCHS"))),FALSE),LEFT(INDIRECT(ADDRESS(44,5,,,"MATCHS")), FIND("--",INDIRECT(ADDRESS(44,5,,,"MATCHS")),1)-1),INDIRECT(ADDRESS(44,5,,,"MATCHS"))),,IF(IFERROR(FIND("--",INDIRECT(ADDRESS(59,5,,,"MATCHS"))),FALSE),LEFT(INDIRECT(ADDRESS(59,5,,,"MATCHS")), FIND("--",INDIRECT(ADDRESS(59,5,,,"MATCHS")),1)-1),INDIRECT(ADDRESS(59,5,,,"MATCHS"))),,IF(IFERROR(FIND("--",INDIRECT(ADDRESS(74,5,,,"MATCHS"))),FALSE),LEFT(INDIRECT(ADDRESS(74,5,,,"MATCHS")), FIND("--",INDIRECT(ADDRESS(74,5,,,"MATCHS")),1)-1),INDIRECT(ADDRESS(74,5,,,"MATCHS"))),,IF(IFERROR(FIND("--",INDIRECT(ADDRESS(89,5,,,"MATCHS"))),FALSE),LEFT(INDIRECT(ADDRESS(89,5,,,"MATCHS")), FIND("--",INDIRECT(ADDRESS(89,5,,,"MATCHS")),1)-1),INDIRECT(ADDRESS(89,5,,,"MATCHS"))),)</f>
        <v>0</v>
      </c>
      <c r="H8" s="105">
        <f ca="1">SUM(IF(IFERROR(FIND("--",INDIRECT(ADDRESS(4,3,,,"MATCHS"))),FALSE),RIGHT(INDIRECT(ADDRESS(4,3,,,"MATCHS")), FIND("--",INDIRECT(ADDRESS(4,3,,,"MATCHS")),1)),INDIRECT(ADDRESS(4,3,,,"MATCHS"))),,IF(IFERROR(FIND("--",INDIRECT(ADDRESS(18,3,,,"MATCHS"))),FALSE),RIGHT(INDIRECT(ADDRESS(18,3,,,"MATCHS")), FIND("--",INDIRECT(ADDRESS(18,3,,,"MATCHS")),1)),INDIRECT(ADDRESS(18,3,,,"MATCHS"))),,IF(IFERROR(FIND("--",INDIRECT(ADDRESS(32,3,,,"MATCHS"))),FALSE),RIGHT(INDIRECT(ADDRESS(32,3,,,"MATCHS")), FIND("--",INDIRECT(ADDRESS(32,3,,,"MATCHS")),1)),INDIRECT(ADDRESS(32,3,,,"MATCHS"))),,IF(IFERROR(FIND("--",INDIRECT(ADDRESS(44,5,,,"MATCHS"))),FALSE),RIGHT(INDIRECT(ADDRESS(44,5,,,"MATCHS")), FIND("--",INDIRECT(ADDRESS(44,5,,,"MATCHS")),1)),INDIRECT(ADDRESS(44,5,,,"MATCHS"))),,IF(IFERROR(FIND("--",INDIRECT(ADDRESS(59,5,,,"MATCHS"))),FALSE),RIGHT(INDIRECT(ADDRESS(59,5,,,"MATCHS")), FIND("--",INDIRECT(ADDRESS(59,5,,,"MATCHS")),1)),INDIRECT(ADDRESS(59,5,,,"MATCHS"))),,IF(IFERROR(FIND("--",INDIRECT(ADDRESS(74,5,,,"MATCHS"))),FALSE),RIGHT(INDIRECT(ADDRESS(74,5,,,"MATCHS")), FIND("--",INDIRECT(ADDRESS(74,5,,,"MATCHS")),1)),INDIRECT(ADDRESS(74,5,,,"MATCHS"))),,IF(IFERROR(FIND("--",INDIRECT(ADDRESS(89,5,,,"MATCHS"))),FALSE),RIGHT(INDIRECT(ADDRESS(89,5,,,"MATCHS")), FIND("--",INDIRECT(ADDRESS(89,5,,,"MATCHS")),1)),INDIRECT(ADDRESS(89,5,,,"MATCHS"))),)</f>
        <v>0</v>
      </c>
      <c r="I8" s="105">
        <f ca="1">SUM(IF(IFERROR(FIND("--",INDIRECT(ADDRESS(4,5,,,"MATCHS"))),FALSE),RIGHT(INDIRECT(ADDRESS(4,5,,,"MATCHS")), FIND("--",INDIRECT(ADDRESS(4,5,,,"MATCHS")),1)),INDIRECT(ADDRESS(4,5,,,"MATCHS"))),,IF(IFERROR(FIND("--",INDIRECT(ADDRESS(18,5,,,"MATCHS"))),FALSE),RIGHT(INDIRECT(ADDRESS(18,5,,,"MATCHS")), FIND("--",INDIRECT(ADDRESS(18,5,,,"MATCHS")),1)),INDIRECT(ADDRESS(18,5,,,"MATCHS"))),,IF(IFERROR(FIND("--",INDIRECT(ADDRESS(32,5,,,"MATCHS"))),FALSE),RIGHT(INDIRECT(ADDRESS(32,5,,,"MATCHS")), FIND("--",INDIRECT(ADDRESS(32,5,,,"MATCHS")),1)),INDIRECT(ADDRESS(32,5,,,"MATCHS"))),,IF(IFERROR(FIND("--",INDIRECT(ADDRESS(44,3,,,"MATCHS"))),FALSE),RIGHT(INDIRECT(ADDRESS(44,3,,,"MATCHS")), FIND("--",INDIRECT(ADDRESS(44,3,,,"MATCHS")),1)),INDIRECT(ADDRESS(44,3,,,"MATCHS"))),,IF(IFERROR(FIND("--",INDIRECT(ADDRESS(59,3,,,"MATCHS"))),FALSE),RIGHT(INDIRECT(ADDRESS(59,3,,,"MATCHS")), FIND("--",INDIRECT(ADDRESS(59,3,,,"MATCHS")),1)),INDIRECT(ADDRESS(59,3,,,"MATCHS"))),,IF(IFERROR(FIND("--",INDIRECT(ADDRESS(74,3,,,"MATCHS"))),FALSE),RIGHT(INDIRECT(ADDRESS(74,3,,,"MATCHS")), FIND("--",INDIRECT(ADDRESS(74,3,,,"MATCHS")),1)),INDIRECT(ADDRESS(74,3,,,"MATCHS"))),,IF(IFERROR(FIND("--",INDIRECT(ADDRESS(89,3,,,"MATCHS"))),FALSE),RIGHT(INDIRECT(ADDRESS(89,3,,,"MATCHS")), FIND("--",INDIRECT(ADDRESS(89,3,,,"MATCHS")),1)),INDIRECT(ADDRESS(89,3,,,"MATCHS"))),)</f>
        <v>0</v>
      </c>
      <c r="J8" s="105">
        <f ca="1">H8 - I8</f>
        <v>0</v>
      </c>
      <c r="K8" s="105">
        <v>0</v>
      </c>
      <c r="L8" s="105">
        <v>5</v>
      </c>
      <c r="M8" s="105"/>
      <c r="N8" s="101" t="str">
        <f>M8 &amp; "DM"</f>
        <v>DM</v>
      </c>
    </row>
    <row r="9" spans="1:14" ht="15.75" x14ac:dyDescent="0.25">
      <c r="A9" s="104"/>
      <c r="B9" s="105">
        <v>6</v>
      </c>
      <c r="C9" s="105" t="s">
        <v>57</v>
      </c>
      <c r="D9" s="105" t="str">
        <f>INSCRITS!C7</f>
        <v>6A</v>
      </c>
      <c r="E9" s="112">
        <f ca="1">SUM(IF(INDIRECT(ADDRESS(4,5,,,"MATCHS"))&gt;INDIRECT(ADDRESS(4,3,,,"MATCHS")),1,0),,IF(INDIRECT(ADDRESS(19,3,,,"MATCHS"))&gt;INDIRECT(ADDRESS(19,5,,,"MATCHS")),1,0),,IF(INDIRECT(ADDRESS(33,3,,,"MATCHS"))&gt;INDIRECT(ADDRESS(33,5,,,"MATCHS")),1,0),,IF(INDIRECT(ADDRESS(45,5,,,"MATCHS"))&gt;INDIRECT(ADDRESS(45,3,,,"MATCHS")),1,0),,IF(INDIRECT(ADDRESS(58,5,,,"MATCHS"))&gt;INDIRECT(ADDRESS(58,3,,,"MATCHS")),1,0),,IF(INDIRECT(ADDRESS(75,5,,,"MATCHS"))&gt;INDIRECT(ADDRESS(75,3,,,"MATCHS")),1,0),,IF(INDIRECT(ADDRESS(88,5,,,"MATCHS"))&gt;INDIRECT(ADDRESS(88,3,,,"MATCHS")),1,0),) + 0.01 * K9</f>
        <v>0</v>
      </c>
      <c r="F9" s="105">
        <f ca="1">SUM(IF(INDIRECT(ADDRESS(4,5,,,"MATCHS"))&lt;INDIRECT(ADDRESS(4,3,,,"MATCHS")),1,0),,IF(INDIRECT(ADDRESS(19,3,,,"MATCHS"))&lt;INDIRECT(ADDRESS(19,5,,,"MATCHS")),1,0),,IF(INDIRECT(ADDRESS(33,3,,,"MATCHS"))&lt;INDIRECT(ADDRESS(33,5,,,"MATCHS")),1,0),,IF(INDIRECT(ADDRESS(45,5,,,"MATCHS"))&lt;INDIRECT(ADDRESS(45,3,,,"MATCHS")),1,0),,IF(INDIRECT(ADDRESS(58,5,,,"MATCHS"))&lt;INDIRECT(ADDRESS(58,3,,,"MATCHS")),1,0),,IF(INDIRECT(ADDRESS(75,5,,,"MATCHS"))&lt;INDIRECT(ADDRESS(75,3,,,"MATCHS")),1,0),,IF(INDIRECT(ADDRESS(88,5,,,"MATCHS"))&lt;INDIRECT(ADDRESS(88,3,,,"MATCHS")),1,0),)</f>
        <v>0</v>
      </c>
      <c r="G9" s="105">
        <f ca="1">SUM(IF(IFERROR(FIND("--",INDIRECT(ADDRESS(4,5,,,"MATCHS"))),FALSE),LEFT(INDIRECT(ADDRESS(4,5,,,"MATCHS")), FIND("--",INDIRECT(ADDRESS(4,5,,,"MATCHS")),1)-1),INDIRECT(ADDRESS(4,5,,,"MATCHS"))),,IF(IFERROR(FIND("--",INDIRECT(ADDRESS(19,3,,,"MATCHS"))),FALSE),LEFT(INDIRECT(ADDRESS(19,3,,,"MATCHS")), FIND("--",INDIRECT(ADDRESS(19,3,,,"MATCHS")),1)-1),INDIRECT(ADDRESS(19,3,,,"MATCHS"))),,IF(IFERROR(FIND("--",INDIRECT(ADDRESS(33,3,,,"MATCHS"))),FALSE),LEFT(INDIRECT(ADDRESS(33,3,,,"MATCHS")), FIND("--",INDIRECT(ADDRESS(33,3,,,"MATCHS")),1)-1),INDIRECT(ADDRESS(33,3,,,"MATCHS"))),,IF(IFERROR(FIND("--",INDIRECT(ADDRESS(45,5,,,"MATCHS"))),FALSE),LEFT(INDIRECT(ADDRESS(45,5,,,"MATCHS")), FIND("--",INDIRECT(ADDRESS(45,5,,,"MATCHS")),1)-1),INDIRECT(ADDRESS(45,5,,,"MATCHS"))),,IF(IFERROR(FIND("--",INDIRECT(ADDRESS(58,5,,,"MATCHS"))),FALSE),LEFT(INDIRECT(ADDRESS(58,5,,,"MATCHS")), FIND("--",INDIRECT(ADDRESS(58,5,,,"MATCHS")),1)-1),INDIRECT(ADDRESS(58,5,,,"MATCHS"))),,IF(IFERROR(FIND("--",INDIRECT(ADDRESS(75,5,,,"MATCHS"))),FALSE),LEFT(INDIRECT(ADDRESS(75,5,,,"MATCHS")), FIND("--",INDIRECT(ADDRESS(75,5,,,"MATCHS")),1)-1),INDIRECT(ADDRESS(75,5,,,"MATCHS"))),,IF(IFERROR(FIND("--",INDIRECT(ADDRESS(88,5,,,"MATCHS"))),FALSE),LEFT(INDIRECT(ADDRESS(88,5,,,"MATCHS")), FIND("--",INDIRECT(ADDRESS(88,5,,,"MATCHS")),1)-1),INDIRECT(ADDRESS(88,5,,,"MATCHS"))),)</f>
        <v>0</v>
      </c>
      <c r="H9" s="105">
        <f ca="1">SUM(IF(IFERROR(FIND("--",INDIRECT(ADDRESS(4,5,,,"MATCHS"))),FALSE),RIGHT(INDIRECT(ADDRESS(4,5,,,"MATCHS")), FIND("--",INDIRECT(ADDRESS(4,5,,,"MATCHS")),1)),INDIRECT(ADDRESS(4,5,,,"MATCHS"))),,IF(IFERROR(FIND("--",INDIRECT(ADDRESS(19,3,,,"MATCHS"))),FALSE),RIGHT(INDIRECT(ADDRESS(19,3,,,"MATCHS")), FIND("--",INDIRECT(ADDRESS(19,3,,,"MATCHS")),1)),INDIRECT(ADDRESS(19,3,,,"MATCHS"))),,IF(IFERROR(FIND("--",INDIRECT(ADDRESS(33,3,,,"MATCHS"))),FALSE),RIGHT(INDIRECT(ADDRESS(33,3,,,"MATCHS")), FIND("--",INDIRECT(ADDRESS(33,3,,,"MATCHS")),1)),INDIRECT(ADDRESS(33,3,,,"MATCHS"))),,IF(IFERROR(FIND("--",INDIRECT(ADDRESS(45,5,,,"MATCHS"))),FALSE),RIGHT(INDIRECT(ADDRESS(45,5,,,"MATCHS")), FIND("--",INDIRECT(ADDRESS(45,5,,,"MATCHS")),1)),INDIRECT(ADDRESS(45,5,,,"MATCHS"))),,IF(IFERROR(FIND("--",INDIRECT(ADDRESS(58,5,,,"MATCHS"))),FALSE),RIGHT(INDIRECT(ADDRESS(58,5,,,"MATCHS")), FIND("--",INDIRECT(ADDRESS(58,5,,,"MATCHS")),1)),INDIRECT(ADDRESS(58,5,,,"MATCHS"))),,IF(IFERROR(FIND("--",INDIRECT(ADDRESS(75,5,,,"MATCHS"))),FALSE),RIGHT(INDIRECT(ADDRESS(75,5,,,"MATCHS")), FIND("--",INDIRECT(ADDRESS(75,5,,,"MATCHS")),1)),INDIRECT(ADDRESS(75,5,,,"MATCHS"))),,IF(IFERROR(FIND("--",INDIRECT(ADDRESS(88,5,,,"MATCHS"))),FALSE),RIGHT(INDIRECT(ADDRESS(88,5,,,"MATCHS")), FIND("--",INDIRECT(ADDRESS(88,5,,,"MATCHS")),1)),INDIRECT(ADDRESS(88,5,,,"MATCHS"))),)</f>
        <v>0</v>
      </c>
      <c r="I9" s="105">
        <f ca="1">SUM(IF(IFERROR(FIND("--",INDIRECT(ADDRESS(4,3,,,"MATCHS"))),FALSE),RIGHT(INDIRECT(ADDRESS(4,3,,,"MATCHS")), FIND("--",INDIRECT(ADDRESS(4,3,,,"MATCHS")),1)),INDIRECT(ADDRESS(4,3,,,"MATCHS"))),,IF(IFERROR(FIND("--",INDIRECT(ADDRESS(19,5,,,"MATCHS"))),FALSE),RIGHT(INDIRECT(ADDRESS(19,5,,,"MATCHS")), FIND("--",INDIRECT(ADDRESS(19,5,,,"MATCHS")),1)),INDIRECT(ADDRESS(19,5,,,"MATCHS"))),,IF(IFERROR(FIND("--",INDIRECT(ADDRESS(33,5,,,"MATCHS"))),FALSE),RIGHT(INDIRECT(ADDRESS(33,5,,,"MATCHS")), FIND("--",INDIRECT(ADDRESS(33,5,,,"MATCHS")),1)),INDIRECT(ADDRESS(33,5,,,"MATCHS"))),,IF(IFERROR(FIND("--",INDIRECT(ADDRESS(45,3,,,"MATCHS"))),FALSE),RIGHT(INDIRECT(ADDRESS(45,3,,,"MATCHS")), FIND("--",INDIRECT(ADDRESS(45,3,,,"MATCHS")),1)),INDIRECT(ADDRESS(45,3,,,"MATCHS"))),,IF(IFERROR(FIND("--",INDIRECT(ADDRESS(58,3,,,"MATCHS"))),FALSE),RIGHT(INDIRECT(ADDRESS(58,3,,,"MATCHS")), FIND("--",INDIRECT(ADDRESS(58,3,,,"MATCHS")),1)),INDIRECT(ADDRESS(58,3,,,"MATCHS"))),,IF(IFERROR(FIND("--",INDIRECT(ADDRESS(75,3,,,"MATCHS"))),FALSE),RIGHT(INDIRECT(ADDRESS(75,3,,,"MATCHS")), FIND("--",INDIRECT(ADDRESS(75,3,,,"MATCHS")),1)),INDIRECT(ADDRESS(75,3,,,"MATCHS"))),,IF(IFERROR(FIND("--",INDIRECT(ADDRESS(88,3,,,"MATCHS"))),FALSE),RIGHT(INDIRECT(ADDRESS(88,3,,,"MATCHS")), FIND("--",INDIRECT(ADDRESS(88,3,,,"MATCHS")),1)),INDIRECT(ADDRESS(88,3,,,"MATCHS"))),)</f>
        <v>0</v>
      </c>
      <c r="J9" s="105">
        <f ca="1">H9 - I9</f>
        <v>0</v>
      </c>
      <c r="K9" s="105">
        <v>0</v>
      </c>
      <c r="L9" s="105">
        <v>6</v>
      </c>
      <c r="M9" s="105"/>
      <c r="N9" s="101" t="str">
        <f>M9 &amp; "DM"</f>
        <v>DM</v>
      </c>
    </row>
    <row r="10" spans="1:14" ht="15.75" x14ac:dyDescent="0.25">
      <c r="A10" s="104"/>
      <c r="B10" s="105">
        <v>7</v>
      </c>
      <c r="C10" s="105" t="s">
        <v>58</v>
      </c>
      <c r="D10" s="105" t="str">
        <f>INSCRITS!C8</f>
        <v>7A</v>
      </c>
      <c r="E10" s="112">
        <f ca="1">SUM(IF(INDIRECT(ADDRESS(5,3,,,"MATCHS"))&gt;INDIRECT(ADDRESS(5,5,,,"MATCHS")),1,0),,IF(INDIRECT(ADDRESS(18,5,,,"MATCHS"))&gt;INDIRECT(ADDRESS(18,3,,,"MATCHS")),1,0),,IF(INDIRECT(ADDRESS(33,5,,,"MATCHS"))&gt;INDIRECT(ADDRESS(33,3,,,"MATCHS")),1,0),,IF(INDIRECT(ADDRESS(46,5,,,"MATCHS"))&gt;INDIRECT(ADDRESS(46,3,,,"MATCHS")),1,0),,IF(INDIRECT(ADDRESS(61,5,,,"MATCHS"))&gt;INDIRECT(ADDRESS(61,3,,,"MATCHS")),1,0),,IF(INDIRECT(ADDRESS(72,5,,,"MATCHS"))&gt;INDIRECT(ADDRESS(72,3,,,"MATCHS")),1,0),,IF(INDIRECT(ADDRESS(87,5,,,"MATCHS"))&gt;INDIRECT(ADDRESS(87,3,,,"MATCHS")),1,0),) + 0.01 * K10</f>
        <v>0</v>
      </c>
      <c r="F10" s="105">
        <f ca="1">SUM(IF(INDIRECT(ADDRESS(5,3,,,"MATCHS"))&lt;INDIRECT(ADDRESS(5,5,,,"MATCHS")),1,0),,IF(INDIRECT(ADDRESS(18,5,,,"MATCHS"))&lt;INDIRECT(ADDRESS(18,3,,,"MATCHS")),1,0),,IF(INDIRECT(ADDRESS(33,5,,,"MATCHS"))&lt;INDIRECT(ADDRESS(33,3,,,"MATCHS")),1,0),,IF(INDIRECT(ADDRESS(46,5,,,"MATCHS"))&lt;INDIRECT(ADDRESS(46,3,,,"MATCHS")),1,0),,IF(INDIRECT(ADDRESS(61,5,,,"MATCHS"))&lt;INDIRECT(ADDRESS(61,3,,,"MATCHS")),1,0),,IF(INDIRECT(ADDRESS(72,5,,,"MATCHS"))&lt;INDIRECT(ADDRESS(72,3,,,"MATCHS")),1,0),,IF(INDIRECT(ADDRESS(87,5,,,"MATCHS"))&lt;INDIRECT(ADDRESS(87,3,,,"MATCHS")),1,0),)</f>
        <v>0</v>
      </c>
      <c r="G10" s="105">
        <f ca="1">SUM(IF(IFERROR(FIND("--",INDIRECT(ADDRESS(5,3,,,"MATCHS"))),FALSE),LEFT(INDIRECT(ADDRESS(5,3,,,"MATCHS")), FIND("--",INDIRECT(ADDRESS(5,3,,,"MATCHS")),1)-1),INDIRECT(ADDRESS(5,3,,,"MATCHS"))),,IF(IFERROR(FIND("--",INDIRECT(ADDRESS(18,5,,,"MATCHS"))),FALSE),LEFT(INDIRECT(ADDRESS(18,5,,,"MATCHS")), FIND("--",INDIRECT(ADDRESS(18,5,,,"MATCHS")),1)-1),INDIRECT(ADDRESS(18,5,,,"MATCHS"))),,IF(IFERROR(FIND("--",INDIRECT(ADDRESS(33,5,,,"MATCHS"))),FALSE),LEFT(INDIRECT(ADDRESS(33,5,,,"MATCHS")), FIND("--",INDIRECT(ADDRESS(33,5,,,"MATCHS")),1)-1),INDIRECT(ADDRESS(33,5,,,"MATCHS"))),,IF(IFERROR(FIND("--",INDIRECT(ADDRESS(46,5,,,"MATCHS"))),FALSE),LEFT(INDIRECT(ADDRESS(46,5,,,"MATCHS")), FIND("--",INDIRECT(ADDRESS(46,5,,,"MATCHS")),1)-1),INDIRECT(ADDRESS(46,5,,,"MATCHS"))),,IF(IFERROR(FIND("--",INDIRECT(ADDRESS(61,5,,,"MATCHS"))),FALSE),LEFT(INDIRECT(ADDRESS(61,5,,,"MATCHS")), FIND("--",INDIRECT(ADDRESS(61,5,,,"MATCHS")),1)-1),INDIRECT(ADDRESS(61,5,,,"MATCHS"))),,IF(IFERROR(FIND("--",INDIRECT(ADDRESS(72,5,,,"MATCHS"))),FALSE),LEFT(INDIRECT(ADDRESS(72,5,,,"MATCHS")), FIND("--",INDIRECT(ADDRESS(72,5,,,"MATCHS")),1)-1),INDIRECT(ADDRESS(72,5,,,"MATCHS"))),,IF(IFERROR(FIND("--",INDIRECT(ADDRESS(87,5,,,"MATCHS"))),FALSE),LEFT(INDIRECT(ADDRESS(87,5,,,"MATCHS")), FIND("--",INDIRECT(ADDRESS(87,5,,,"MATCHS")),1)-1),INDIRECT(ADDRESS(87,5,,,"MATCHS"))),)</f>
        <v>0</v>
      </c>
      <c r="H10" s="105">
        <f ca="1">SUM(IF(IFERROR(FIND("--",INDIRECT(ADDRESS(5,3,,,"MATCHS"))),FALSE),RIGHT(INDIRECT(ADDRESS(5,3,,,"MATCHS")), FIND("--",INDIRECT(ADDRESS(5,3,,,"MATCHS")),1)),INDIRECT(ADDRESS(5,3,,,"MATCHS"))),,IF(IFERROR(FIND("--",INDIRECT(ADDRESS(18,5,,,"MATCHS"))),FALSE),RIGHT(INDIRECT(ADDRESS(18,5,,,"MATCHS")), FIND("--",INDIRECT(ADDRESS(18,5,,,"MATCHS")),1)),INDIRECT(ADDRESS(18,5,,,"MATCHS"))),,IF(IFERROR(FIND("--",INDIRECT(ADDRESS(33,5,,,"MATCHS"))),FALSE),RIGHT(INDIRECT(ADDRESS(33,5,,,"MATCHS")), FIND("--",INDIRECT(ADDRESS(33,5,,,"MATCHS")),1)),INDIRECT(ADDRESS(33,5,,,"MATCHS"))),,IF(IFERROR(FIND("--",INDIRECT(ADDRESS(46,5,,,"MATCHS"))),FALSE),RIGHT(INDIRECT(ADDRESS(46,5,,,"MATCHS")), FIND("--",INDIRECT(ADDRESS(46,5,,,"MATCHS")),1)),INDIRECT(ADDRESS(46,5,,,"MATCHS"))),,IF(IFERROR(FIND("--",INDIRECT(ADDRESS(61,5,,,"MATCHS"))),FALSE),RIGHT(INDIRECT(ADDRESS(61,5,,,"MATCHS")), FIND("--",INDIRECT(ADDRESS(61,5,,,"MATCHS")),1)),INDIRECT(ADDRESS(61,5,,,"MATCHS"))),,IF(IFERROR(FIND("--",INDIRECT(ADDRESS(72,5,,,"MATCHS"))),FALSE),RIGHT(INDIRECT(ADDRESS(72,5,,,"MATCHS")), FIND("--",INDIRECT(ADDRESS(72,5,,,"MATCHS")),1)),INDIRECT(ADDRESS(72,5,,,"MATCHS"))),,IF(IFERROR(FIND("--",INDIRECT(ADDRESS(87,5,,,"MATCHS"))),FALSE),RIGHT(INDIRECT(ADDRESS(87,5,,,"MATCHS")), FIND("--",INDIRECT(ADDRESS(87,5,,,"MATCHS")),1)),INDIRECT(ADDRESS(87,5,,,"MATCHS"))),)</f>
        <v>0</v>
      </c>
      <c r="I10" s="105">
        <f ca="1">SUM(IF(IFERROR(FIND("--",INDIRECT(ADDRESS(5,5,,,"MATCHS"))),FALSE),RIGHT(INDIRECT(ADDRESS(5,5,,,"MATCHS")), FIND("--",INDIRECT(ADDRESS(5,5,,,"MATCHS")),1)),INDIRECT(ADDRESS(5,5,,,"MATCHS"))),,IF(IFERROR(FIND("--",INDIRECT(ADDRESS(18,3,,,"MATCHS"))),FALSE),RIGHT(INDIRECT(ADDRESS(18,3,,,"MATCHS")), FIND("--",INDIRECT(ADDRESS(18,3,,,"MATCHS")),1)),INDIRECT(ADDRESS(18,3,,,"MATCHS"))),,IF(IFERROR(FIND("--",INDIRECT(ADDRESS(33,3,,,"MATCHS"))),FALSE),RIGHT(INDIRECT(ADDRESS(33,3,,,"MATCHS")), FIND("--",INDIRECT(ADDRESS(33,3,,,"MATCHS")),1)),INDIRECT(ADDRESS(33,3,,,"MATCHS"))),,IF(IFERROR(FIND("--",INDIRECT(ADDRESS(46,3,,,"MATCHS"))),FALSE),RIGHT(INDIRECT(ADDRESS(46,3,,,"MATCHS")), FIND("--",INDIRECT(ADDRESS(46,3,,,"MATCHS")),1)),INDIRECT(ADDRESS(46,3,,,"MATCHS"))),,IF(IFERROR(FIND("--",INDIRECT(ADDRESS(61,3,,,"MATCHS"))),FALSE),RIGHT(INDIRECT(ADDRESS(61,3,,,"MATCHS")), FIND("--",INDIRECT(ADDRESS(61,3,,,"MATCHS")),1)),INDIRECT(ADDRESS(61,3,,,"MATCHS"))),,IF(IFERROR(FIND("--",INDIRECT(ADDRESS(72,3,,,"MATCHS"))),FALSE),RIGHT(INDIRECT(ADDRESS(72,3,,,"MATCHS")), FIND("--",INDIRECT(ADDRESS(72,3,,,"MATCHS")),1)),INDIRECT(ADDRESS(72,3,,,"MATCHS"))),,IF(IFERROR(FIND("--",INDIRECT(ADDRESS(87,3,,,"MATCHS"))),FALSE),RIGHT(INDIRECT(ADDRESS(87,3,,,"MATCHS")), FIND("--",INDIRECT(ADDRESS(87,3,,,"MATCHS")),1)),INDIRECT(ADDRESS(87,3,,,"MATCHS"))),)</f>
        <v>0</v>
      </c>
      <c r="J10" s="105">
        <f ca="1">H10 - I10</f>
        <v>0</v>
      </c>
      <c r="K10" s="105">
        <v>0</v>
      </c>
      <c r="L10" s="105">
        <v>7</v>
      </c>
      <c r="M10" s="105"/>
      <c r="N10" s="101" t="str">
        <f>M10 &amp; "DM"</f>
        <v>DM</v>
      </c>
    </row>
    <row r="11" spans="1:14" ht="15.75" x14ac:dyDescent="0.25">
      <c r="A11" s="104"/>
      <c r="B11" s="105">
        <v>8</v>
      </c>
      <c r="C11" s="105" t="s">
        <v>66</v>
      </c>
      <c r="D11" s="105" t="str">
        <f>INSCRITS!C9</f>
        <v>8A</v>
      </c>
      <c r="E11" s="112">
        <f ca="1">SUM(IF(INDIRECT(ADDRESS(5,5,,,"MATCHS"))&gt;INDIRECT(ADDRESS(5,3,,,"MATCHS")),1,0),,IF(INDIRECT(ADDRESS(19,5,,,"MATCHS"))&gt;INDIRECT(ADDRESS(19,3,,,"MATCHS")),1,0),,IF(INDIRECT(ADDRESS(32,5,,,"MATCHS"))&gt;INDIRECT(ADDRESS(32,3,,,"MATCHS")),1,0),,IF(INDIRECT(ADDRESS(47,5,,,"MATCHS"))&gt;INDIRECT(ADDRESS(47,3,,,"MATCHS")),1,0),,IF(INDIRECT(ADDRESS(60,5,,,"MATCHS"))&gt;INDIRECT(ADDRESS(60,3,,,"MATCHS")),1,0),,IF(INDIRECT(ADDRESS(73,5,,,"MATCHS"))&gt;INDIRECT(ADDRESS(73,3,,,"MATCHS")),1,0),,IF(INDIRECT(ADDRESS(86,5,,,"MATCHS"))&gt;INDIRECT(ADDRESS(86,3,,,"MATCHS")),1,0),) + 0.01 * K11</f>
        <v>0</v>
      </c>
      <c r="F11" s="105">
        <f ca="1">SUM(IF(INDIRECT(ADDRESS(5,5,,,"MATCHS"))&lt;INDIRECT(ADDRESS(5,3,,,"MATCHS")),1,0),,IF(INDIRECT(ADDRESS(19,5,,,"MATCHS"))&lt;INDIRECT(ADDRESS(19,3,,,"MATCHS")),1,0),,IF(INDIRECT(ADDRESS(32,5,,,"MATCHS"))&lt;INDIRECT(ADDRESS(32,3,,,"MATCHS")),1,0),,IF(INDIRECT(ADDRESS(47,5,,,"MATCHS"))&lt;INDIRECT(ADDRESS(47,3,,,"MATCHS")),1,0),,IF(INDIRECT(ADDRESS(60,5,,,"MATCHS"))&lt;INDIRECT(ADDRESS(60,3,,,"MATCHS")),1,0),,IF(INDIRECT(ADDRESS(73,5,,,"MATCHS"))&lt;INDIRECT(ADDRESS(73,3,,,"MATCHS")),1,0),,IF(INDIRECT(ADDRESS(86,5,,,"MATCHS"))&lt;INDIRECT(ADDRESS(86,3,,,"MATCHS")),1,0),)</f>
        <v>0</v>
      </c>
      <c r="G11" s="105">
        <f ca="1">SUM(IF(IFERROR(FIND("--",INDIRECT(ADDRESS(5,5,,,"MATCHS"))),FALSE),LEFT(INDIRECT(ADDRESS(5,5,,,"MATCHS")), FIND("--",INDIRECT(ADDRESS(5,5,,,"MATCHS")),1)-1),INDIRECT(ADDRESS(5,5,,,"MATCHS"))),,IF(IFERROR(FIND("--",INDIRECT(ADDRESS(19,5,,,"MATCHS"))),FALSE),LEFT(INDIRECT(ADDRESS(19,5,,,"MATCHS")), FIND("--",INDIRECT(ADDRESS(19,5,,,"MATCHS")),1)-1),INDIRECT(ADDRESS(19,5,,,"MATCHS"))),,IF(IFERROR(FIND("--",INDIRECT(ADDRESS(32,5,,,"MATCHS"))),FALSE),LEFT(INDIRECT(ADDRESS(32,5,,,"MATCHS")), FIND("--",INDIRECT(ADDRESS(32,5,,,"MATCHS")),1)-1),INDIRECT(ADDRESS(32,5,,,"MATCHS"))),,IF(IFERROR(FIND("--",INDIRECT(ADDRESS(47,5,,,"MATCHS"))),FALSE),LEFT(INDIRECT(ADDRESS(47,5,,,"MATCHS")), FIND("--",INDIRECT(ADDRESS(47,5,,,"MATCHS")),1)-1),INDIRECT(ADDRESS(47,5,,,"MATCHS"))),,IF(IFERROR(FIND("--",INDIRECT(ADDRESS(60,5,,,"MATCHS"))),FALSE),LEFT(INDIRECT(ADDRESS(60,5,,,"MATCHS")), FIND("--",INDIRECT(ADDRESS(60,5,,,"MATCHS")),1)-1),INDIRECT(ADDRESS(60,5,,,"MATCHS"))),,IF(IFERROR(FIND("--",INDIRECT(ADDRESS(73,5,,,"MATCHS"))),FALSE),LEFT(INDIRECT(ADDRESS(73,5,,,"MATCHS")), FIND("--",INDIRECT(ADDRESS(73,5,,,"MATCHS")),1)-1),INDIRECT(ADDRESS(73,5,,,"MATCHS"))),,IF(IFERROR(FIND("--",INDIRECT(ADDRESS(86,5,,,"MATCHS"))),FALSE),LEFT(INDIRECT(ADDRESS(86,5,,,"MATCHS")), FIND("--",INDIRECT(ADDRESS(86,5,,,"MATCHS")),1)-1),INDIRECT(ADDRESS(86,5,,,"MATCHS"))),)</f>
        <v>0</v>
      </c>
      <c r="H11" s="105">
        <f ca="1">SUM(IF(IFERROR(FIND("--",INDIRECT(ADDRESS(5,5,,,"MATCHS"))),FALSE),RIGHT(INDIRECT(ADDRESS(5,5,,,"MATCHS")), FIND("--",INDIRECT(ADDRESS(5,5,,,"MATCHS")),1)),INDIRECT(ADDRESS(5,5,,,"MATCHS"))),,IF(IFERROR(FIND("--",INDIRECT(ADDRESS(19,5,,,"MATCHS"))),FALSE),RIGHT(INDIRECT(ADDRESS(19,5,,,"MATCHS")), FIND("--",INDIRECT(ADDRESS(19,5,,,"MATCHS")),1)),INDIRECT(ADDRESS(19,5,,,"MATCHS"))),,IF(IFERROR(FIND("--",INDIRECT(ADDRESS(32,5,,,"MATCHS"))),FALSE),RIGHT(INDIRECT(ADDRESS(32,5,,,"MATCHS")), FIND("--",INDIRECT(ADDRESS(32,5,,,"MATCHS")),1)),INDIRECT(ADDRESS(32,5,,,"MATCHS"))),,IF(IFERROR(FIND("--",INDIRECT(ADDRESS(47,5,,,"MATCHS"))),FALSE),RIGHT(INDIRECT(ADDRESS(47,5,,,"MATCHS")), FIND("--",INDIRECT(ADDRESS(47,5,,,"MATCHS")),1)),INDIRECT(ADDRESS(47,5,,,"MATCHS"))),,IF(IFERROR(FIND("--",INDIRECT(ADDRESS(60,5,,,"MATCHS"))),FALSE),RIGHT(INDIRECT(ADDRESS(60,5,,,"MATCHS")), FIND("--",INDIRECT(ADDRESS(60,5,,,"MATCHS")),1)),INDIRECT(ADDRESS(60,5,,,"MATCHS"))),,IF(IFERROR(FIND("--",INDIRECT(ADDRESS(73,5,,,"MATCHS"))),FALSE),RIGHT(INDIRECT(ADDRESS(73,5,,,"MATCHS")), FIND("--",INDIRECT(ADDRESS(73,5,,,"MATCHS")),1)),INDIRECT(ADDRESS(73,5,,,"MATCHS"))),,IF(IFERROR(FIND("--",INDIRECT(ADDRESS(86,5,,,"MATCHS"))),FALSE),RIGHT(INDIRECT(ADDRESS(86,5,,,"MATCHS")), FIND("--",INDIRECT(ADDRESS(86,5,,,"MATCHS")),1)),INDIRECT(ADDRESS(86,5,,,"MATCHS"))),)</f>
        <v>0</v>
      </c>
      <c r="I11" s="105">
        <f ca="1">SUM(IF(IFERROR(FIND("--",INDIRECT(ADDRESS(5,3,,,"MATCHS"))),FALSE),RIGHT(INDIRECT(ADDRESS(5,3,,,"MATCHS")), FIND("--",INDIRECT(ADDRESS(5,3,,,"MATCHS")),1)),INDIRECT(ADDRESS(5,3,,,"MATCHS"))),,IF(IFERROR(FIND("--",INDIRECT(ADDRESS(19,3,,,"MATCHS"))),FALSE),RIGHT(INDIRECT(ADDRESS(19,3,,,"MATCHS")), FIND("--",INDIRECT(ADDRESS(19,3,,,"MATCHS")),1)),INDIRECT(ADDRESS(19,3,,,"MATCHS"))),,IF(IFERROR(FIND("--",INDIRECT(ADDRESS(32,3,,,"MATCHS"))),FALSE),RIGHT(INDIRECT(ADDRESS(32,3,,,"MATCHS")), FIND("--",INDIRECT(ADDRESS(32,3,,,"MATCHS")),1)),INDIRECT(ADDRESS(32,3,,,"MATCHS"))),,IF(IFERROR(FIND("--",INDIRECT(ADDRESS(47,3,,,"MATCHS"))),FALSE),RIGHT(INDIRECT(ADDRESS(47,3,,,"MATCHS")), FIND("--",INDIRECT(ADDRESS(47,3,,,"MATCHS")),1)),INDIRECT(ADDRESS(47,3,,,"MATCHS"))),,IF(IFERROR(FIND("--",INDIRECT(ADDRESS(60,3,,,"MATCHS"))),FALSE),RIGHT(INDIRECT(ADDRESS(60,3,,,"MATCHS")), FIND("--",INDIRECT(ADDRESS(60,3,,,"MATCHS")),1)),INDIRECT(ADDRESS(60,3,,,"MATCHS"))),,IF(IFERROR(FIND("--",INDIRECT(ADDRESS(73,3,,,"MATCHS"))),FALSE),RIGHT(INDIRECT(ADDRESS(73,3,,,"MATCHS")), FIND("--",INDIRECT(ADDRESS(73,3,,,"MATCHS")),1)),INDIRECT(ADDRESS(73,3,,,"MATCHS"))),,IF(IFERROR(FIND("--",INDIRECT(ADDRESS(86,3,,,"MATCHS"))),FALSE),RIGHT(INDIRECT(ADDRESS(86,3,,,"MATCHS")), FIND("--",INDIRECT(ADDRESS(86,3,,,"MATCHS")),1)),INDIRECT(ADDRESS(86,3,,,"MATCHS"))),)</f>
        <v>0</v>
      </c>
      <c r="J11" s="105">
        <f ca="1">H11 - I11</f>
        <v>0</v>
      </c>
      <c r="K11" s="105">
        <v>0</v>
      </c>
      <c r="L11" s="105">
        <v>8</v>
      </c>
      <c r="M11" s="105"/>
      <c r="N11" s="101" t="str">
        <f>M11 &amp; "DM"</f>
        <v>DM</v>
      </c>
    </row>
    <row r="12" spans="1:14" ht="15.75" thickBot="1" x14ac:dyDescent="0.3"/>
    <row r="13" spans="1:14" ht="30.95" customHeight="1" thickBot="1" x14ac:dyDescent="0.3">
      <c r="C13" s="102" t="s">
        <v>86</v>
      </c>
      <c r="D13" s="102" t="s">
        <v>115</v>
      </c>
      <c r="E13" s="111" t="s">
        <v>87</v>
      </c>
      <c r="F13" s="102" t="s">
        <v>88</v>
      </c>
      <c r="G13" s="102" t="s">
        <v>89</v>
      </c>
      <c r="H13" s="102" t="s">
        <v>90</v>
      </c>
      <c r="I13" s="102" t="s">
        <v>91</v>
      </c>
      <c r="J13" s="102" t="s">
        <v>92</v>
      </c>
      <c r="K13" s="103" t="s">
        <v>93</v>
      </c>
      <c r="L13" s="102" t="s">
        <v>94</v>
      </c>
      <c r="M13" s="103" t="s">
        <v>95</v>
      </c>
    </row>
    <row r="15" spans="1:14" ht="15.75" x14ac:dyDescent="0.25">
      <c r="A15" s="106" t="s">
        <v>75</v>
      </c>
      <c r="B15" s="107">
        <v>1</v>
      </c>
      <c r="C15" s="107" t="s">
        <v>68</v>
      </c>
      <c r="D15" s="107" t="str">
        <f>INSCRITS!C11</f>
        <v>1B</v>
      </c>
      <c r="E15" s="113">
        <f ca="1">SUM(IF(INDIRECT(ADDRESS(6,3,,,"MATCHS"))&gt;INDIRECT(ADDRESS(6,5,,,"MATCHS")),1,0),,IF(INDIRECT(ADDRESS(20,3,,,"MATCHS"))&gt;INDIRECT(ADDRESS(20,5,,,"MATCHS")),1,0),,IF(INDIRECT(ADDRESS(34,3,,,"MATCHS"))&gt;INDIRECT(ADDRESS(34,5,,,"MATCHS")),1,0),,IF(INDIRECT(ADDRESS(48,3,,,"MATCHS"))&gt;INDIRECT(ADDRESS(48,5,,,"MATCHS")),1,0),,IF(INDIRECT(ADDRESS(62,3,,,"MATCHS"))&gt;INDIRECT(ADDRESS(62,5,,,"MATCHS")),1,0),,IF(INDIRECT(ADDRESS(76,3,,,"MATCHS"))&gt;INDIRECT(ADDRESS(76,5,,,"MATCHS")),1,0),,IF(INDIRECT(ADDRESS(90,3,,,"MATCHS"))&gt;INDIRECT(ADDRESS(90,5,,,"MATCHS")),1,0),) + 0.01 * K15</f>
        <v>0</v>
      </c>
      <c r="F15" s="107">
        <f ca="1">SUM(IF(INDIRECT(ADDRESS(6,3,,,"MATCHS"))&lt;INDIRECT(ADDRESS(6,5,,,"MATCHS")),1,0),,IF(INDIRECT(ADDRESS(20,3,,,"MATCHS"))&lt;INDIRECT(ADDRESS(20,5,,,"MATCHS")),1,0),,IF(INDIRECT(ADDRESS(34,3,,,"MATCHS"))&lt;INDIRECT(ADDRESS(34,5,,,"MATCHS")),1,0),,IF(INDIRECT(ADDRESS(48,3,,,"MATCHS"))&lt;INDIRECT(ADDRESS(48,5,,,"MATCHS")),1,0),,IF(INDIRECT(ADDRESS(62,3,,,"MATCHS"))&lt;INDIRECT(ADDRESS(62,5,,,"MATCHS")),1,0),,IF(INDIRECT(ADDRESS(76,3,,,"MATCHS"))&lt;INDIRECT(ADDRESS(76,5,,,"MATCHS")),1,0),,IF(INDIRECT(ADDRESS(90,3,,,"MATCHS"))&lt;INDIRECT(ADDRESS(90,5,,,"MATCHS")),1,0),)</f>
        <v>0</v>
      </c>
      <c r="G15" s="107">
        <f ca="1">SUM(IF(IFERROR(FIND("--",INDIRECT(ADDRESS(6,3,,,"MATCHS"))),FALSE),LEFT(INDIRECT(ADDRESS(6,3,,,"MATCHS")), FIND("--",INDIRECT(ADDRESS(6,3,,,"MATCHS")),1)-1),INDIRECT(ADDRESS(6,3,,,"MATCHS"))),,IF(IFERROR(FIND("--",INDIRECT(ADDRESS(20,3,,,"MATCHS"))),FALSE),LEFT(INDIRECT(ADDRESS(20,3,,,"MATCHS")), FIND("--",INDIRECT(ADDRESS(20,3,,,"MATCHS")),1)-1),INDIRECT(ADDRESS(20,3,,,"MATCHS"))),,IF(IFERROR(FIND("--",INDIRECT(ADDRESS(34,3,,,"MATCHS"))),FALSE),LEFT(INDIRECT(ADDRESS(34,3,,,"MATCHS")), FIND("--",INDIRECT(ADDRESS(34,3,,,"MATCHS")),1)-1),INDIRECT(ADDRESS(34,3,,,"MATCHS"))),,IF(IFERROR(FIND("--",INDIRECT(ADDRESS(48,3,,,"MATCHS"))),FALSE),LEFT(INDIRECT(ADDRESS(48,3,,,"MATCHS")), FIND("--",INDIRECT(ADDRESS(48,3,,,"MATCHS")),1)-1),INDIRECT(ADDRESS(48,3,,,"MATCHS"))),,IF(IFERROR(FIND("--",INDIRECT(ADDRESS(62,3,,,"MATCHS"))),FALSE),LEFT(INDIRECT(ADDRESS(62,3,,,"MATCHS")), FIND("--",INDIRECT(ADDRESS(62,3,,,"MATCHS")),1)-1),INDIRECT(ADDRESS(62,3,,,"MATCHS"))),,IF(IFERROR(FIND("--",INDIRECT(ADDRESS(76,3,,,"MATCHS"))),FALSE),LEFT(INDIRECT(ADDRESS(76,3,,,"MATCHS")), FIND("--",INDIRECT(ADDRESS(76,3,,,"MATCHS")),1)-1),INDIRECT(ADDRESS(76,3,,,"MATCHS"))),,IF(IFERROR(FIND("--",INDIRECT(ADDRESS(90,3,,,"MATCHS"))),FALSE),LEFT(INDIRECT(ADDRESS(90,3,,,"MATCHS")), FIND("--",INDIRECT(ADDRESS(90,3,,,"MATCHS")),1)-1),INDIRECT(ADDRESS(90,3,,,"MATCHS"))),)</f>
        <v>0</v>
      </c>
      <c r="H15" s="107">
        <f ca="1">SUM(IF(IFERROR(FIND("--",INDIRECT(ADDRESS(6,3,,,"MATCHS"))),FALSE),RIGHT(INDIRECT(ADDRESS(6,3,,,"MATCHS")), FIND("--",INDIRECT(ADDRESS(6,3,,,"MATCHS")),1)),INDIRECT(ADDRESS(6,3,,,"MATCHS"))),,IF(IFERROR(FIND("--",INDIRECT(ADDRESS(20,3,,,"MATCHS"))),FALSE),RIGHT(INDIRECT(ADDRESS(20,3,,,"MATCHS")), FIND("--",INDIRECT(ADDRESS(20,3,,,"MATCHS")),1)),INDIRECT(ADDRESS(20,3,,,"MATCHS"))),,IF(IFERROR(FIND("--",INDIRECT(ADDRESS(34,3,,,"MATCHS"))),FALSE),RIGHT(INDIRECT(ADDRESS(34,3,,,"MATCHS")), FIND("--",INDIRECT(ADDRESS(34,3,,,"MATCHS")),1)),INDIRECT(ADDRESS(34,3,,,"MATCHS"))),,IF(IFERROR(FIND("--",INDIRECT(ADDRESS(48,3,,,"MATCHS"))),FALSE),RIGHT(INDIRECT(ADDRESS(48,3,,,"MATCHS")), FIND("--",INDIRECT(ADDRESS(48,3,,,"MATCHS")),1)),INDIRECT(ADDRESS(48,3,,,"MATCHS"))),,IF(IFERROR(FIND("--",INDIRECT(ADDRESS(62,3,,,"MATCHS"))),FALSE),RIGHT(INDIRECT(ADDRESS(62,3,,,"MATCHS")), FIND("--",INDIRECT(ADDRESS(62,3,,,"MATCHS")),1)),INDIRECT(ADDRESS(62,3,,,"MATCHS"))),,IF(IFERROR(FIND("--",INDIRECT(ADDRESS(76,3,,,"MATCHS"))),FALSE),RIGHT(INDIRECT(ADDRESS(76,3,,,"MATCHS")), FIND("--",INDIRECT(ADDRESS(76,3,,,"MATCHS")),1)),INDIRECT(ADDRESS(76,3,,,"MATCHS"))),,IF(IFERROR(FIND("--",INDIRECT(ADDRESS(90,3,,,"MATCHS"))),FALSE),RIGHT(INDIRECT(ADDRESS(90,3,,,"MATCHS")), FIND("--",INDIRECT(ADDRESS(90,3,,,"MATCHS")),1)),INDIRECT(ADDRESS(90,3,,,"MATCHS"))),)</f>
        <v>0</v>
      </c>
      <c r="I15" s="107">
        <f ca="1">SUM(IF(IFERROR(FIND("--",INDIRECT(ADDRESS(6,5,,,"MATCHS"))),FALSE),RIGHT(INDIRECT(ADDRESS(6,5,,,"MATCHS")), FIND("--",INDIRECT(ADDRESS(6,5,,,"MATCHS")),1)),INDIRECT(ADDRESS(6,5,,,"MATCHS"))),,IF(IFERROR(FIND("--",INDIRECT(ADDRESS(20,5,,,"MATCHS"))),FALSE),RIGHT(INDIRECT(ADDRESS(20,5,,,"MATCHS")), FIND("--",INDIRECT(ADDRESS(20,5,,,"MATCHS")),1)),INDIRECT(ADDRESS(20,5,,,"MATCHS"))),,IF(IFERROR(FIND("--",INDIRECT(ADDRESS(34,5,,,"MATCHS"))),FALSE),RIGHT(INDIRECT(ADDRESS(34,5,,,"MATCHS")), FIND("--",INDIRECT(ADDRESS(34,5,,,"MATCHS")),1)),INDIRECT(ADDRESS(34,5,,,"MATCHS"))),,IF(IFERROR(FIND("--",INDIRECT(ADDRESS(48,5,,,"MATCHS"))),FALSE),RIGHT(INDIRECT(ADDRESS(48,5,,,"MATCHS")), FIND("--",INDIRECT(ADDRESS(48,5,,,"MATCHS")),1)),INDIRECT(ADDRESS(48,5,,,"MATCHS"))),,IF(IFERROR(FIND("--",INDIRECT(ADDRESS(62,5,,,"MATCHS"))),FALSE),RIGHT(INDIRECT(ADDRESS(62,5,,,"MATCHS")), FIND("--",INDIRECT(ADDRESS(62,5,,,"MATCHS")),1)),INDIRECT(ADDRESS(62,5,,,"MATCHS"))),,IF(IFERROR(FIND("--",INDIRECT(ADDRESS(76,5,,,"MATCHS"))),FALSE),RIGHT(INDIRECT(ADDRESS(76,5,,,"MATCHS")), FIND("--",INDIRECT(ADDRESS(76,5,,,"MATCHS")),1)),INDIRECT(ADDRESS(76,5,,,"MATCHS"))),,IF(IFERROR(FIND("--",INDIRECT(ADDRESS(90,5,,,"MATCHS"))),FALSE),RIGHT(INDIRECT(ADDRESS(90,5,,,"MATCHS")), FIND("--",INDIRECT(ADDRESS(90,5,,,"MATCHS")),1)),INDIRECT(ADDRESS(90,5,,,"MATCHS"))),)</f>
        <v>0</v>
      </c>
      <c r="J15" s="107">
        <f ca="1">H15 - I15</f>
        <v>0</v>
      </c>
      <c r="K15" s="107">
        <v>0</v>
      </c>
      <c r="L15" s="107">
        <v>1</v>
      </c>
      <c r="M15" s="107"/>
      <c r="N15" s="101" t="str">
        <f>M15 &amp; "DM"</f>
        <v>DM</v>
      </c>
    </row>
    <row r="16" spans="1:14" ht="15.75" x14ac:dyDescent="0.25">
      <c r="A16" s="106"/>
      <c r="B16" s="107">
        <v>2</v>
      </c>
      <c r="C16" s="107" t="s">
        <v>69</v>
      </c>
      <c r="D16" s="107" t="str">
        <f>INSCRITS!C12</f>
        <v>2B</v>
      </c>
      <c r="E16" s="113">
        <f ca="1">SUM(IF(INDIRECT(ADDRESS(6,5,,,"MATCHS"))&gt;INDIRECT(ADDRESS(6,3,,,"MATCHS")),1,0),,IF(INDIRECT(ADDRESS(21,3,,,"MATCHS"))&gt;INDIRECT(ADDRESS(21,5,,,"MATCHS")),1,0),,IF(INDIRECT(ADDRESS(35,3,,,"MATCHS"))&gt;INDIRECT(ADDRESS(35,5,,,"MATCHS")),1,0),,IF(INDIRECT(ADDRESS(49,3,,,"MATCHS"))&gt;INDIRECT(ADDRESS(49,5,,,"MATCHS")),1,0),,IF(INDIRECT(ADDRESS(63,3,,,"MATCHS"))&gt;INDIRECT(ADDRESS(63,5,,,"MATCHS")),1,0),,IF(INDIRECT(ADDRESS(77,3,,,"MATCHS"))&gt;INDIRECT(ADDRESS(77,5,,,"MATCHS")),1,0),,IF(INDIRECT(ADDRESS(91,3,,,"MATCHS"))&gt;INDIRECT(ADDRESS(91,5,,,"MATCHS")),1,0),) + 0.01 * K16</f>
        <v>0</v>
      </c>
      <c r="F16" s="107">
        <f ca="1">SUM(IF(INDIRECT(ADDRESS(6,5,,,"MATCHS"))&lt;INDIRECT(ADDRESS(6,3,,,"MATCHS")),1,0),,IF(INDIRECT(ADDRESS(21,3,,,"MATCHS"))&lt;INDIRECT(ADDRESS(21,5,,,"MATCHS")),1,0),,IF(INDIRECT(ADDRESS(35,3,,,"MATCHS"))&lt;INDIRECT(ADDRESS(35,5,,,"MATCHS")),1,0),,IF(INDIRECT(ADDRESS(49,3,,,"MATCHS"))&lt;INDIRECT(ADDRESS(49,5,,,"MATCHS")),1,0),,IF(INDIRECT(ADDRESS(63,3,,,"MATCHS"))&lt;INDIRECT(ADDRESS(63,5,,,"MATCHS")),1,0),,IF(INDIRECT(ADDRESS(77,3,,,"MATCHS"))&lt;INDIRECT(ADDRESS(77,5,,,"MATCHS")),1,0),,IF(INDIRECT(ADDRESS(91,3,,,"MATCHS"))&lt;INDIRECT(ADDRESS(91,5,,,"MATCHS")),1,0),)</f>
        <v>0</v>
      </c>
      <c r="G16" s="107">
        <f ca="1">SUM(IF(IFERROR(FIND("--",INDIRECT(ADDRESS(6,5,,,"MATCHS"))),FALSE),LEFT(INDIRECT(ADDRESS(6,5,,,"MATCHS")), FIND("--",INDIRECT(ADDRESS(6,5,,,"MATCHS")),1)-1),INDIRECT(ADDRESS(6,5,,,"MATCHS"))),,IF(IFERROR(FIND("--",INDIRECT(ADDRESS(21,3,,,"MATCHS"))),FALSE),LEFT(INDIRECT(ADDRESS(21,3,,,"MATCHS")), FIND("--",INDIRECT(ADDRESS(21,3,,,"MATCHS")),1)-1),INDIRECT(ADDRESS(21,3,,,"MATCHS"))),,IF(IFERROR(FIND("--",INDIRECT(ADDRESS(35,3,,,"MATCHS"))),FALSE),LEFT(INDIRECT(ADDRESS(35,3,,,"MATCHS")), FIND("--",INDIRECT(ADDRESS(35,3,,,"MATCHS")),1)-1),INDIRECT(ADDRESS(35,3,,,"MATCHS"))),,IF(IFERROR(FIND("--",INDIRECT(ADDRESS(49,3,,,"MATCHS"))),FALSE),LEFT(INDIRECT(ADDRESS(49,3,,,"MATCHS")), FIND("--",INDIRECT(ADDRESS(49,3,,,"MATCHS")),1)-1),INDIRECT(ADDRESS(49,3,,,"MATCHS"))),,IF(IFERROR(FIND("--",INDIRECT(ADDRESS(63,3,,,"MATCHS"))),FALSE),LEFT(INDIRECT(ADDRESS(63,3,,,"MATCHS")), FIND("--",INDIRECT(ADDRESS(63,3,,,"MATCHS")),1)-1),INDIRECT(ADDRESS(63,3,,,"MATCHS"))),,IF(IFERROR(FIND("--",INDIRECT(ADDRESS(77,3,,,"MATCHS"))),FALSE),LEFT(INDIRECT(ADDRESS(77,3,,,"MATCHS")), FIND("--",INDIRECT(ADDRESS(77,3,,,"MATCHS")),1)-1),INDIRECT(ADDRESS(77,3,,,"MATCHS"))),,IF(IFERROR(FIND("--",INDIRECT(ADDRESS(91,3,,,"MATCHS"))),FALSE),LEFT(INDIRECT(ADDRESS(91,3,,,"MATCHS")), FIND("--",INDIRECT(ADDRESS(91,3,,,"MATCHS")),1)-1),INDIRECT(ADDRESS(91,3,,,"MATCHS"))),)</f>
        <v>0</v>
      </c>
      <c r="H16" s="107">
        <f ca="1">SUM(IF(IFERROR(FIND("--",INDIRECT(ADDRESS(6,5,,,"MATCHS"))),FALSE),RIGHT(INDIRECT(ADDRESS(6,5,,,"MATCHS")), FIND("--",INDIRECT(ADDRESS(6,5,,,"MATCHS")),1)),INDIRECT(ADDRESS(6,5,,,"MATCHS"))),,IF(IFERROR(FIND("--",INDIRECT(ADDRESS(21,3,,,"MATCHS"))),FALSE),RIGHT(INDIRECT(ADDRESS(21,3,,,"MATCHS")), FIND("--",INDIRECT(ADDRESS(21,3,,,"MATCHS")),1)),INDIRECT(ADDRESS(21,3,,,"MATCHS"))),,IF(IFERROR(FIND("--",INDIRECT(ADDRESS(35,3,,,"MATCHS"))),FALSE),RIGHT(INDIRECT(ADDRESS(35,3,,,"MATCHS")), FIND("--",INDIRECT(ADDRESS(35,3,,,"MATCHS")),1)),INDIRECT(ADDRESS(35,3,,,"MATCHS"))),,IF(IFERROR(FIND("--",INDIRECT(ADDRESS(49,3,,,"MATCHS"))),FALSE),RIGHT(INDIRECT(ADDRESS(49,3,,,"MATCHS")), FIND("--",INDIRECT(ADDRESS(49,3,,,"MATCHS")),1)),INDIRECT(ADDRESS(49,3,,,"MATCHS"))),,IF(IFERROR(FIND("--",INDIRECT(ADDRESS(63,3,,,"MATCHS"))),FALSE),RIGHT(INDIRECT(ADDRESS(63,3,,,"MATCHS")), FIND("--",INDIRECT(ADDRESS(63,3,,,"MATCHS")),1)),INDIRECT(ADDRESS(63,3,,,"MATCHS"))),,IF(IFERROR(FIND("--",INDIRECT(ADDRESS(77,3,,,"MATCHS"))),FALSE),RIGHT(INDIRECT(ADDRESS(77,3,,,"MATCHS")), FIND("--",INDIRECT(ADDRESS(77,3,,,"MATCHS")),1)),INDIRECT(ADDRESS(77,3,,,"MATCHS"))),,IF(IFERROR(FIND("--",INDIRECT(ADDRESS(91,3,,,"MATCHS"))),FALSE),RIGHT(INDIRECT(ADDRESS(91,3,,,"MATCHS")), FIND("--",INDIRECT(ADDRESS(91,3,,,"MATCHS")),1)),INDIRECT(ADDRESS(91,3,,,"MATCHS"))),)</f>
        <v>0</v>
      </c>
      <c r="I16" s="107">
        <f ca="1">SUM(IF(IFERROR(FIND("--",INDIRECT(ADDRESS(6,3,,,"MATCHS"))),FALSE),RIGHT(INDIRECT(ADDRESS(6,3,,,"MATCHS")), FIND("--",INDIRECT(ADDRESS(6,3,,,"MATCHS")),1)),INDIRECT(ADDRESS(6,3,,,"MATCHS"))),,IF(IFERROR(FIND("--",INDIRECT(ADDRESS(21,5,,,"MATCHS"))),FALSE),RIGHT(INDIRECT(ADDRESS(21,5,,,"MATCHS")), FIND("--",INDIRECT(ADDRESS(21,5,,,"MATCHS")),1)),INDIRECT(ADDRESS(21,5,,,"MATCHS"))),,IF(IFERROR(FIND("--",INDIRECT(ADDRESS(35,5,,,"MATCHS"))),FALSE),RIGHT(INDIRECT(ADDRESS(35,5,,,"MATCHS")), FIND("--",INDIRECT(ADDRESS(35,5,,,"MATCHS")),1)),INDIRECT(ADDRESS(35,5,,,"MATCHS"))),,IF(IFERROR(FIND("--",INDIRECT(ADDRESS(49,5,,,"MATCHS"))),FALSE),RIGHT(INDIRECT(ADDRESS(49,5,,,"MATCHS")), FIND("--",INDIRECT(ADDRESS(49,5,,,"MATCHS")),1)),INDIRECT(ADDRESS(49,5,,,"MATCHS"))),,IF(IFERROR(FIND("--",INDIRECT(ADDRESS(63,5,,,"MATCHS"))),FALSE),RIGHT(INDIRECT(ADDRESS(63,5,,,"MATCHS")), FIND("--",INDIRECT(ADDRESS(63,5,,,"MATCHS")),1)),INDIRECT(ADDRESS(63,5,,,"MATCHS"))),,IF(IFERROR(FIND("--",INDIRECT(ADDRESS(77,5,,,"MATCHS"))),FALSE),RIGHT(INDIRECT(ADDRESS(77,5,,,"MATCHS")), FIND("--",INDIRECT(ADDRESS(77,5,,,"MATCHS")),1)),INDIRECT(ADDRESS(77,5,,,"MATCHS"))),,IF(IFERROR(FIND("--",INDIRECT(ADDRESS(91,5,,,"MATCHS"))),FALSE),RIGHT(INDIRECT(ADDRESS(91,5,,,"MATCHS")), FIND("--",INDIRECT(ADDRESS(91,5,,,"MATCHS")),1)),INDIRECT(ADDRESS(91,5,,,"MATCHS"))),)</f>
        <v>0</v>
      </c>
      <c r="J16" s="107">
        <f ca="1">H16 - I16</f>
        <v>0</v>
      </c>
      <c r="K16" s="107">
        <v>0</v>
      </c>
      <c r="L16" s="107">
        <v>2</v>
      </c>
      <c r="M16" s="107"/>
      <c r="N16" s="101" t="str">
        <f>M16 &amp; "DM"</f>
        <v>DM</v>
      </c>
    </row>
    <row r="17" spans="1:14" ht="15.75" x14ac:dyDescent="0.25">
      <c r="A17" s="106"/>
      <c r="B17" s="107">
        <v>3</v>
      </c>
      <c r="C17" s="107" t="s">
        <v>70</v>
      </c>
      <c r="D17" s="107" t="str">
        <f>INSCRITS!C13</f>
        <v>3B</v>
      </c>
      <c r="E17" s="113">
        <f ca="1">SUM(IF(INDIRECT(ADDRESS(7,3,,,"MATCHS"))&gt;INDIRECT(ADDRESS(7,5,,,"MATCHS")),1,0),,IF(INDIRECT(ADDRESS(20,5,,,"MATCHS"))&gt;INDIRECT(ADDRESS(20,3,,,"MATCHS")),1,0),,IF(INDIRECT(ADDRESS(35,5,,,"MATCHS"))&gt;INDIRECT(ADDRESS(35,3,,,"MATCHS")),1,0),,,IF(INDIRECT(ADDRESS(51,3,,,"MATCHS"))&gt;INDIRECT(ADDRESS(51,5,,,"MATCHS")),1,0),,IF(INDIRECT(ADDRESS(65,3,,,"MATCHS"))&gt;INDIRECT(ADDRESS(65,5,,,"MATCHS")),1,0),,IF(INDIRECT(ADDRESS(79,3,,,"MATCHS"))&gt;INDIRECT(ADDRESS(79,5,,,"MATCHS")),1,0),,IF(INDIRECT(ADDRESS(93,3,,,"MATCHS"))&gt;INDIRECT(ADDRESS(93,5,,,"MATCHS")),1,0)) + 0.01 * K17</f>
        <v>0</v>
      </c>
      <c r="F17" s="107">
        <f ca="1">SUM(IF(INDIRECT(ADDRESS(7,3,,,"MATCHS"))&lt;INDIRECT(ADDRESS(7,5,,,"MATCHS")),1,0),,IF(INDIRECT(ADDRESS(20,5,,,"MATCHS"))&lt;INDIRECT(ADDRESS(20,3,,,"MATCHS")),1,0),,IF(INDIRECT(ADDRESS(35,5,,,"MATCHS"))&lt;INDIRECT(ADDRESS(35,3,,,"MATCHS")),1,0),,,IF(INDIRECT(ADDRESS(51,3,,,"MATCHS"))&lt;INDIRECT(ADDRESS(51,5,,,"MATCHS")),1,0),,IF(INDIRECT(ADDRESS(65,3,,,"MATCHS"))&lt;INDIRECT(ADDRESS(65,5,,,"MATCHS")),1,0),,IF(INDIRECT(ADDRESS(79,3,,,"MATCHS"))&lt;INDIRECT(ADDRESS(79,5,,,"MATCHS")),1,0),,IF(INDIRECT(ADDRESS(93,3,,,"MATCHS"))&lt;INDIRECT(ADDRESS(93,5,,,"MATCHS")),1,0))</f>
        <v>0</v>
      </c>
      <c r="G17" s="107">
        <f ca="1">SUM(IF(IFERROR(FIND("--",INDIRECT(ADDRESS(7,3,,,"MATCHS"))),FALSE),LEFT(INDIRECT(ADDRESS(7,3,,,"MATCHS")), FIND("--",INDIRECT(ADDRESS(7,3,,,"MATCHS")),1)-1),INDIRECT(ADDRESS(7,3,,,"MATCHS"))),,IF(IFERROR(FIND("--",INDIRECT(ADDRESS(20,5,,,"MATCHS"))),FALSE),LEFT(INDIRECT(ADDRESS(20,5,,,"MATCHS")), FIND("--",INDIRECT(ADDRESS(20,5,,,"MATCHS")),1)-1),INDIRECT(ADDRESS(20,5,,,"MATCHS"))),,IF(IFERROR(FIND("--",INDIRECT(ADDRESS(35,5,,,"MATCHS"))),FALSE),LEFT(INDIRECT(ADDRESS(35,5,,,"MATCHS")), FIND("--",INDIRECT(ADDRESS(35,5,,,"MATCHS")),1)-1),INDIRECT(ADDRESS(35,5,,,"MATCHS"))),,,IF(IFERROR(FIND("--",INDIRECT(ADDRESS(51,3,,,"MATCHS"))),FALSE),LEFT(INDIRECT(ADDRESS(51,3,,,"MATCHS")), FIND("--",INDIRECT(ADDRESS(51,3,,,"MATCHS")),1)-1),INDIRECT(ADDRESS(51,3,,,"MATCHS"))),,IF(IFERROR(FIND("--",INDIRECT(ADDRESS(65,3,,,"MATCHS"))),FALSE),LEFT(INDIRECT(ADDRESS(65,3,,,"MATCHS")), FIND("--",INDIRECT(ADDRESS(65,3,,,"MATCHS")),1)-1),INDIRECT(ADDRESS(65,3,,,"MATCHS"))),,IF(IFERROR(FIND("--",INDIRECT(ADDRESS(79,3,,,"MATCHS"))),FALSE),LEFT(INDIRECT(ADDRESS(79,3,,,"MATCHS")), FIND("--",INDIRECT(ADDRESS(79,3,,,"MATCHS")),1)-1),INDIRECT(ADDRESS(79,3,,,"MATCHS"))),,IF(IFERROR(FIND("--",INDIRECT(ADDRESS(93,3,,,"MATCHS"))),FALSE),LEFT(INDIRECT(ADDRESS(93,3,,,"MATCHS")), FIND("--",INDIRECT(ADDRESS(93,3,,,"MATCHS")),1)-1),INDIRECT(ADDRESS(93,3,,,"MATCHS"))))</f>
        <v>0</v>
      </c>
      <c r="H17" s="107">
        <f ca="1">SUM(IF(IFERROR(FIND("--",INDIRECT(ADDRESS(7,3,,,"MATCHS"))),FALSE),RIGHT(INDIRECT(ADDRESS(7,3,,,"MATCHS")), FIND("--",INDIRECT(ADDRESS(7,3,,,"MATCHS")),1)),INDIRECT(ADDRESS(7,3,,,"MATCHS"))),,IF(IFERROR(FIND("--",INDIRECT(ADDRESS(20,5,,,"MATCHS"))),FALSE),RIGHT(INDIRECT(ADDRESS(20,5,,,"MATCHS")), FIND("--",INDIRECT(ADDRESS(20,5,,,"MATCHS")),1)),INDIRECT(ADDRESS(20,5,,,"MATCHS"))),,IF(IFERROR(FIND("--",INDIRECT(ADDRESS(35,5,,,"MATCHS"))),FALSE),RIGHT(INDIRECT(ADDRESS(35,5,,,"MATCHS")), FIND("--",INDIRECT(ADDRESS(35,5,,,"MATCHS")),1)),INDIRECT(ADDRESS(35,5,,,"MATCHS"))),,,IF(IFERROR(FIND("--",INDIRECT(ADDRESS(51,3,,,"MATCHS"))),FALSE),RIGHT(INDIRECT(ADDRESS(51,3,,,"MATCHS")), FIND("--",INDIRECT(ADDRESS(51,3,,,"MATCHS")),1)),INDIRECT(ADDRESS(51,3,,,"MATCHS"))),,IF(IFERROR(FIND("--",INDIRECT(ADDRESS(65,3,,,"MATCHS"))),FALSE),RIGHT(INDIRECT(ADDRESS(65,3,,,"MATCHS")), FIND("--",INDIRECT(ADDRESS(65,3,,,"MATCHS")),1)),INDIRECT(ADDRESS(65,3,,,"MATCHS"))),,IF(IFERROR(FIND("--",INDIRECT(ADDRESS(79,3,,,"MATCHS"))),FALSE),RIGHT(INDIRECT(ADDRESS(79,3,,,"MATCHS")), FIND("--",INDIRECT(ADDRESS(79,3,,,"MATCHS")),1)),INDIRECT(ADDRESS(79,3,,,"MATCHS"))),,IF(IFERROR(FIND("--",INDIRECT(ADDRESS(93,3,,,"MATCHS"))),FALSE),RIGHT(INDIRECT(ADDRESS(93,3,,,"MATCHS")), FIND("--",INDIRECT(ADDRESS(93,3,,,"MATCHS")),1)),INDIRECT(ADDRESS(93,3,,,"MATCHS"))))</f>
        <v>0</v>
      </c>
      <c r="I17" s="107">
        <f ca="1">SUM(IF(IFERROR(FIND("--",INDIRECT(ADDRESS(7,5,,,"MATCHS"))),FALSE),RIGHT(INDIRECT(ADDRESS(7,5,,,"MATCHS")), FIND("--",INDIRECT(ADDRESS(7,5,,,"MATCHS")),1)),INDIRECT(ADDRESS(7,5,,,"MATCHS"))),,IF(IFERROR(FIND("--",INDIRECT(ADDRESS(20,3,,,"MATCHS"))),FALSE),RIGHT(INDIRECT(ADDRESS(20,3,,,"MATCHS")), FIND("--",INDIRECT(ADDRESS(20,3,,,"MATCHS")),1)),INDIRECT(ADDRESS(20,3,,,"MATCHS"))),,IF(IFERROR(FIND("--",INDIRECT(ADDRESS(35,3,,,"MATCHS"))),FALSE),RIGHT(INDIRECT(ADDRESS(35,3,,,"MATCHS")), FIND("--",INDIRECT(ADDRESS(35,3,,,"MATCHS")),1)),INDIRECT(ADDRESS(35,3,,,"MATCHS"))),,,IF(IFERROR(FIND("--",INDIRECT(ADDRESS(51,5,,,"MATCHS"))),FALSE),RIGHT(INDIRECT(ADDRESS(51,5,,,"MATCHS")), FIND("--",INDIRECT(ADDRESS(51,5,,,"MATCHS")),1)),INDIRECT(ADDRESS(51,5,,,"MATCHS"))),,IF(IFERROR(FIND("--",INDIRECT(ADDRESS(65,5,,,"MATCHS"))),FALSE),RIGHT(INDIRECT(ADDRESS(65,5,,,"MATCHS")), FIND("--",INDIRECT(ADDRESS(65,5,,,"MATCHS")),1)),INDIRECT(ADDRESS(65,5,,,"MATCHS"))),,IF(IFERROR(FIND("--",INDIRECT(ADDRESS(79,5,,,"MATCHS"))),FALSE),RIGHT(INDIRECT(ADDRESS(79,5,,,"MATCHS")), FIND("--",INDIRECT(ADDRESS(79,5,,,"MATCHS")),1)),INDIRECT(ADDRESS(79,5,,,"MATCHS"))),,IF(IFERROR(FIND("--",INDIRECT(ADDRESS(93,5,,,"MATCHS"))),FALSE),RIGHT(INDIRECT(ADDRESS(93,5,,,"MATCHS")), FIND("--",INDIRECT(ADDRESS(93,5,,,"MATCHS")),1)),INDIRECT(ADDRESS(93,5,,,"MATCHS"))))</f>
        <v>0</v>
      </c>
      <c r="J17" s="107">
        <f ca="1">H17 - I17</f>
        <v>0</v>
      </c>
      <c r="K17" s="107">
        <v>0</v>
      </c>
      <c r="L17" s="107">
        <v>3</v>
      </c>
      <c r="M17" s="107"/>
      <c r="N17" s="101" t="str">
        <f>M17 &amp; "DM"</f>
        <v>DM</v>
      </c>
    </row>
    <row r="18" spans="1:14" ht="15.75" x14ac:dyDescent="0.25">
      <c r="A18" s="106"/>
      <c r="B18" s="107">
        <v>4</v>
      </c>
      <c r="C18" s="107" t="s">
        <v>71</v>
      </c>
      <c r="D18" s="107" t="str">
        <f>INSCRITS!C14</f>
        <v>4B</v>
      </c>
      <c r="E18" s="113">
        <f ca="1">SUM(IF(INDIRECT(ADDRESS(7,5,,,"MATCHS"))&gt;INDIRECT(ADDRESS(7,3,,,"MATCHS")),1,0),,IF(INDIRECT(ADDRESS(21,5,,,"MATCHS"))&gt;INDIRECT(ADDRESS(21,3,,,"MATCHS")),1,0),,IF(INDIRECT(ADDRESS(34,5,,,"MATCHS"))&gt;INDIRECT(ADDRESS(34,3,,,"MATCHS")),1,0),,,IF(INDIRECT(ADDRESS(52,3,,,"MATCHS"))&gt;INDIRECT(ADDRESS(52,5,,,"MATCHS")),1,0),,IF(INDIRECT(ADDRESS(66,3,,,"MATCHS"))&gt;INDIRECT(ADDRESS(66,5,,,"MATCHS")),1,0),,IF(INDIRECT(ADDRESS(80,3,,,"MATCHS"))&gt;INDIRECT(ADDRESS(80,5,,,"MATCHS")),1,0),,IF(INDIRECT(ADDRESS(94,3,,,"MATCHS"))&gt;INDIRECT(ADDRESS(94,5,,,"MATCHS")),1,0)) + 0.01 * K18</f>
        <v>0</v>
      </c>
      <c r="F18" s="107">
        <f ca="1">SUM(IF(INDIRECT(ADDRESS(7,5,,,"MATCHS"))&lt;INDIRECT(ADDRESS(7,3,,,"MATCHS")),1,0),,IF(INDIRECT(ADDRESS(21,5,,,"MATCHS"))&lt;INDIRECT(ADDRESS(21,3,,,"MATCHS")),1,0),,IF(INDIRECT(ADDRESS(34,5,,,"MATCHS"))&lt;INDIRECT(ADDRESS(34,3,,,"MATCHS")),1,0),,,IF(INDIRECT(ADDRESS(52,3,,,"MATCHS"))&lt;INDIRECT(ADDRESS(52,5,,,"MATCHS")),1,0),,IF(INDIRECT(ADDRESS(66,3,,,"MATCHS"))&lt;INDIRECT(ADDRESS(66,5,,,"MATCHS")),1,0),,IF(INDIRECT(ADDRESS(80,3,,,"MATCHS"))&lt;INDIRECT(ADDRESS(80,5,,,"MATCHS")),1,0),,IF(INDIRECT(ADDRESS(94,3,,,"MATCHS"))&lt;INDIRECT(ADDRESS(94,5,,,"MATCHS")),1,0))</f>
        <v>0</v>
      </c>
      <c r="G18" s="107">
        <f ca="1">SUM(IF(IFERROR(FIND("--",INDIRECT(ADDRESS(7,5,,,"MATCHS"))),FALSE),LEFT(INDIRECT(ADDRESS(7,5,,,"MATCHS")), FIND("--",INDIRECT(ADDRESS(7,5,,,"MATCHS")),1)-1),INDIRECT(ADDRESS(7,5,,,"MATCHS"))),,IF(IFERROR(FIND("--",INDIRECT(ADDRESS(21,5,,,"MATCHS"))),FALSE),LEFT(INDIRECT(ADDRESS(21,5,,,"MATCHS")), FIND("--",INDIRECT(ADDRESS(21,5,,,"MATCHS")),1)-1),INDIRECT(ADDRESS(21,5,,,"MATCHS"))),,IF(IFERROR(FIND("--",INDIRECT(ADDRESS(34,5,,,"MATCHS"))),FALSE),LEFT(INDIRECT(ADDRESS(34,5,,,"MATCHS")), FIND("--",INDIRECT(ADDRESS(34,5,,,"MATCHS")),1)-1),INDIRECT(ADDRESS(34,5,,,"MATCHS"))),,,IF(IFERROR(FIND("--",INDIRECT(ADDRESS(52,3,,,"MATCHS"))),FALSE),LEFT(INDIRECT(ADDRESS(52,3,,,"MATCHS")), FIND("--",INDIRECT(ADDRESS(52,3,,,"MATCHS")),1)-1),INDIRECT(ADDRESS(52,3,,,"MATCHS"))),,IF(IFERROR(FIND("--",INDIRECT(ADDRESS(66,3,,,"MATCHS"))),FALSE),LEFT(INDIRECT(ADDRESS(66,3,,,"MATCHS")), FIND("--",INDIRECT(ADDRESS(66,3,,,"MATCHS")),1)-1),INDIRECT(ADDRESS(66,3,,,"MATCHS"))),,IF(IFERROR(FIND("--",INDIRECT(ADDRESS(80,3,,,"MATCHS"))),FALSE),LEFT(INDIRECT(ADDRESS(80,3,,,"MATCHS")), FIND("--",INDIRECT(ADDRESS(80,3,,,"MATCHS")),1)-1),INDIRECT(ADDRESS(80,3,,,"MATCHS"))),,IF(IFERROR(FIND("--",INDIRECT(ADDRESS(94,3,,,"MATCHS"))),FALSE),LEFT(INDIRECT(ADDRESS(94,3,,,"MATCHS")), FIND("--",INDIRECT(ADDRESS(94,3,,,"MATCHS")),1)-1),INDIRECT(ADDRESS(94,3,,,"MATCHS"))))</f>
        <v>0</v>
      </c>
      <c r="H18" s="107">
        <f ca="1">SUM(IF(IFERROR(FIND("--",INDIRECT(ADDRESS(7,5,,,"MATCHS"))),FALSE),RIGHT(INDIRECT(ADDRESS(7,5,,,"MATCHS")), FIND("--",INDIRECT(ADDRESS(7,5,,,"MATCHS")),1)),INDIRECT(ADDRESS(7,5,,,"MATCHS"))),,IF(IFERROR(FIND("--",INDIRECT(ADDRESS(21,5,,,"MATCHS"))),FALSE),RIGHT(INDIRECT(ADDRESS(21,5,,,"MATCHS")), FIND("--",INDIRECT(ADDRESS(21,5,,,"MATCHS")),1)),INDIRECT(ADDRESS(21,5,,,"MATCHS"))),,IF(IFERROR(FIND("--",INDIRECT(ADDRESS(34,5,,,"MATCHS"))),FALSE),RIGHT(INDIRECT(ADDRESS(34,5,,,"MATCHS")), FIND("--",INDIRECT(ADDRESS(34,5,,,"MATCHS")),1)),INDIRECT(ADDRESS(34,5,,,"MATCHS"))),,,IF(IFERROR(FIND("--",INDIRECT(ADDRESS(52,3,,,"MATCHS"))),FALSE),RIGHT(INDIRECT(ADDRESS(52,3,,,"MATCHS")), FIND("--",INDIRECT(ADDRESS(52,3,,,"MATCHS")),1)),INDIRECT(ADDRESS(52,3,,,"MATCHS"))),,IF(IFERROR(FIND("--",INDIRECT(ADDRESS(66,3,,,"MATCHS"))),FALSE),RIGHT(INDIRECT(ADDRESS(66,3,,,"MATCHS")), FIND("--",INDIRECT(ADDRESS(66,3,,,"MATCHS")),1)),INDIRECT(ADDRESS(66,3,,,"MATCHS"))),,IF(IFERROR(FIND("--",INDIRECT(ADDRESS(80,3,,,"MATCHS"))),FALSE),RIGHT(INDIRECT(ADDRESS(80,3,,,"MATCHS")), FIND("--",INDIRECT(ADDRESS(80,3,,,"MATCHS")),1)),INDIRECT(ADDRESS(80,3,,,"MATCHS"))),,IF(IFERROR(FIND("--",INDIRECT(ADDRESS(94,3,,,"MATCHS"))),FALSE),RIGHT(INDIRECT(ADDRESS(94,3,,,"MATCHS")), FIND("--",INDIRECT(ADDRESS(94,3,,,"MATCHS")),1)),INDIRECT(ADDRESS(94,3,,,"MATCHS"))))</f>
        <v>0</v>
      </c>
      <c r="I18" s="107">
        <f ca="1">SUM(IF(IFERROR(FIND("--",INDIRECT(ADDRESS(7,3,,,"MATCHS"))),FALSE),RIGHT(INDIRECT(ADDRESS(7,3,,,"MATCHS")), FIND("--",INDIRECT(ADDRESS(7,3,,,"MATCHS")),1)),INDIRECT(ADDRESS(7,3,,,"MATCHS"))),,IF(IFERROR(FIND("--",INDIRECT(ADDRESS(21,3,,,"MATCHS"))),FALSE),RIGHT(INDIRECT(ADDRESS(21,3,,,"MATCHS")), FIND("--",INDIRECT(ADDRESS(21,3,,,"MATCHS")),1)),INDIRECT(ADDRESS(21,3,,,"MATCHS"))),,IF(IFERROR(FIND("--",INDIRECT(ADDRESS(34,3,,,"MATCHS"))),FALSE),RIGHT(INDIRECT(ADDRESS(34,3,,,"MATCHS")), FIND("--",INDIRECT(ADDRESS(34,3,,,"MATCHS")),1)),INDIRECT(ADDRESS(34,3,,,"MATCHS"))),,,IF(IFERROR(FIND("--",INDIRECT(ADDRESS(52,5,,,"MATCHS"))),FALSE),RIGHT(INDIRECT(ADDRESS(52,5,,,"MATCHS")), FIND("--",INDIRECT(ADDRESS(52,5,,,"MATCHS")),1)),INDIRECT(ADDRESS(52,5,,,"MATCHS"))),,IF(IFERROR(FIND("--",INDIRECT(ADDRESS(66,5,,,"MATCHS"))),FALSE),RIGHT(INDIRECT(ADDRESS(66,5,,,"MATCHS")), FIND("--",INDIRECT(ADDRESS(66,5,,,"MATCHS")),1)),INDIRECT(ADDRESS(66,5,,,"MATCHS"))),,IF(IFERROR(FIND("--",INDIRECT(ADDRESS(80,5,,,"MATCHS"))),FALSE),RIGHT(INDIRECT(ADDRESS(80,5,,,"MATCHS")), FIND("--",INDIRECT(ADDRESS(80,5,,,"MATCHS")),1)),INDIRECT(ADDRESS(80,5,,,"MATCHS"))),,IF(IFERROR(FIND("--",INDIRECT(ADDRESS(94,5,,,"MATCHS"))),FALSE),RIGHT(INDIRECT(ADDRESS(94,5,,,"MATCHS")), FIND("--",INDIRECT(ADDRESS(94,5,,,"MATCHS")),1)),INDIRECT(ADDRESS(94,5,,,"MATCHS"))))</f>
        <v>0</v>
      </c>
      <c r="J18" s="107">
        <f ca="1">H18 - I18</f>
        <v>0</v>
      </c>
      <c r="K18" s="107">
        <v>0</v>
      </c>
      <c r="L18" s="107">
        <v>4</v>
      </c>
      <c r="M18" s="107"/>
      <c r="N18" s="101" t="str">
        <f>M18 &amp; "DM"</f>
        <v>DM</v>
      </c>
    </row>
    <row r="19" spans="1:14" ht="15.75" x14ac:dyDescent="0.25">
      <c r="A19" s="106"/>
      <c r="B19" s="107">
        <v>5</v>
      </c>
      <c r="C19" s="107" t="s">
        <v>72</v>
      </c>
      <c r="D19" s="107" t="str">
        <f>INSCRITS!C15</f>
        <v>5B</v>
      </c>
      <c r="E19" s="113">
        <f ca="1">SUM(,IF(INDIRECT(ADDRESS(9,3,,,"MATCHS"))&gt;INDIRECT(ADDRESS(9,5,,,"MATCHS")),1,0),,IF(INDIRECT(ADDRESS(23,3,,,"MATCHS"))&gt;INDIRECT(ADDRESS(23,5,,,"MATCHS")),1,0),,IF(INDIRECT(ADDRESS(37,3,,,"MATCHS"))&gt;INDIRECT(ADDRESS(37,5,,,"MATCHS")),1,0),IF(INDIRECT(ADDRESS(48,5,,,"MATCHS"))&gt;INDIRECT(ADDRESS(48,3,,,"MATCHS")),1,0),,IF(INDIRECT(ADDRESS(63,5,,,"MATCHS"))&gt;INDIRECT(ADDRESS(63,3,,,"MATCHS")),1,0),,,IF(INDIRECT(ADDRESS(79,5,,,"MATCHS"))&gt;INDIRECT(ADDRESS(79,3,,,"MATCHS")),1,0),,IF(INDIRECT(ADDRESS(94,5,,,"MATCHS"))&gt;INDIRECT(ADDRESS(94,3,,,"MATCHS")),1,0)) + 0.01 * K19</f>
        <v>0</v>
      </c>
      <c r="F19" s="107">
        <f ca="1">SUM(,IF(INDIRECT(ADDRESS(9,3,,,"MATCHS"))&lt;INDIRECT(ADDRESS(9,5,,,"MATCHS")),1,0),,IF(INDIRECT(ADDRESS(23,3,,,"MATCHS"))&lt;INDIRECT(ADDRESS(23,5,,,"MATCHS")),1,0),,IF(INDIRECT(ADDRESS(37,3,,,"MATCHS"))&lt;INDIRECT(ADDRESS(37,5,,,"MATCHS")),1,0),IF(INDIRECT(ADDRESS(48,5,,,"MATCHS"))&lt;INDIRECT(ADDRESS(48,3,,,"MATCHS")),1,0),,IF(INDIRECT(ADDRESS(63,5,,,"MATCHS"))&lt;INDIRECT(ADDRESS(63,3,,,"MATCHS")),1,0),,,IF(INDIRECT(ADDRESS(79,5,,,"MATCHS"))&lt;INDIRECT(ADDRESS(79,3,,,"MATCHS")),1,0),,IF(INDIRECT(ADDRESS(94,5,,,"MATCHS"))&lt;INDIRECT(ADDRESS(94,3,,,"MATCHS")),1,0))</f>
        <v>0</v>
      </c>
      <c r="G19" s="107">
        <f ca="1">SUM(,IF(IFERROR(FIND("--",INDIRECT(ADDRESS(9,3,,,"MATCHS"))),FALSE),LEFT(INDIRECT(ADDRESS(9,3,,,"MATCHS")), FIND("--",INDIRECT(ADDRESS(9,3,,,"MATCHS")),1)-1),INDIRECT(ADDRESS(9,3,,,"MATCHS"))),,IF(IFERROR(FIND("--",INDIRECT(ADDRESS(23,3,,,"MATCHS"))),FALSE),LEFT(INDIRECT(ADDRESS(23,3,,,"MATCHS")), FIND("--",INDIRECT(ADDRESS(23,3,,,"MATCHS")),1)-1),INDIRECT(ADDRESS(23,3,,,"MATCHS"))),,IF(IFERROR(FIND("--",INDIRECT(ADDRESS(37,3,,,"MATCHS"))),FALSE),LEFT(INDIRECT(ADDRESS(37,3,,,"MATCHS")), FIND("--",INDIRECT(ADDRESS(37,3,,,"MATCHS")),1)-1),INDIRECT(ADDRESS(37,3,,,"MATCHS"))),IF(IFERROR(FIND("--",INDIRECT(ADDRESS(48,5,,,"MATCHS"))),FALSE),LEFT(INDIRECT(ADDRESS(48,5,,,"MATCHS")), FIND("--",INDIRECT(ADDRESS(48,5,,,"MATCHS")),1)-1),INDIRECT(ADDRESS(48,5,,,"MATCHS"))),,IF(IFERROR(FIND("--",INDIRECT(ADDRESS(63,5,,,"MATCHS"))),FALSE),LEFT(INDIRECT(ADDRESS(63,5,,,"MATCHS")), FIND("--",INDIRECT(ADDRESS(63,5,,,"MATCHS")),1)-1),INDIRECT(ADDRESS(63,5,,,"MATCHS"))),,,IF(IFERROR(FIND("--",INDIRECT(ADDRESS(79,5,,,"MATCHS"))),FALSE),LEFT(INDIRECT(ADDRESS(79,5,,,"MATCHS")), FIND("--",INDIRECT(ADDRESS(79,5,,,"MATCHS")),1)-1),INDIRECT(ADDRESS(79,5,,,"MATCHS"))),,IF(IFERROR(FIND("--",INDIRECT(ADDRESS(94,5,,,"MATCHS"))),FALSE),LEFT(INDIRECT(ADDRESS(94,5,,,"MATCHS")), FIND("--",INDIRECT(ADDRESS(94,5,,,"MATCHS")),1)-1),INDIRECT(ADDRESS(94,5,,,"MATCHS"))))</f>
        <v>0</v>
      </c>
      <c r="H19" s="107">
        <f ca="1">SUM(,IF(IFERROR(FIND("--",INDIRECT(ADDRESS(9,3,,,"MATCHS"))),FALSE),RIGHT(INDIRECT(ADDRESS(9,3,,,"MATCHS")), FIND("--",INDIRECT(ADDRESS(9,3,,,"MATCHS")),1)),INDIRECT(ADDRESS(9,3,,,"MATCHS"))),,IF(IFERROR(FIND("--",INDIRECT(ADDRESS(23,3,,,"MATCHS"))),FALSE),RIGHT(INDIRECT(ADDRESS(23,3,,,"MATCHS")), FIND("--",INDIRECT(ADDRESS(23,3,,,"MATCHS")),1)),INDIRECT(ADDRESS(23,3,,,"MATCHS"))),,IF(IFERROR(FIND("--",INDIRECT(ADDRESS(37,3,,,"MATCHS"))),FALSE),RIGHT(INDIRECT(ADDRESS(37,3,,,"MATCHS")), FIND("--",INDIRECT(ADDRESS(37,3,,,"MATCHS")),1)),INDIRECT(ADDRESS(37,3,,,"MATCHS"))),IF(IFERROR(FIND("--",INDIRECT(ADDRESS(48,5,,,"MATCHS"))),FALSE),RIGHT(INDIRECT(ADDRESS(48,5,,,"MATCHS")), FIND("--",INDIRECT(ADDRESS(48,5,,,"MATCHS")),1)),INDIRECT(ADDRESS(48,5,,,"MATCHS"))),,IF(IFERROR(FIND("--",INDIRECT(ADDRESS(63,5,,,"MATCHS"))),FALSE),RIGHT(INDIRECT(ADDRESS(63,5,,,"MATCHS")), FIND("--",INDIRECT(ADDRESS(63,5,,,"MATCHS")),1)),INDIRECT(ADDRESS(63,5,,,"MATCHS"))),,,IF(IFERROR(FIND("--",INDIRECT(ADDRESS(79,5,,,"MATCHS"))),FALSE),RIGHT(INDIRECT(ADDRESS(79,5,,,"MATCHS")), FIND("--",INDIRECT(ADDRESS(79,5,,,"MATCHS")),1)),INDIRECT(ADDRESS(79,5,,,"MATCHS"))),,IF(IFERROR(FIND("--",INDIRECT(ADDRESS(94,5,,,"MATCHS"))),FALSE),RIGHT(INDIRECT(ADDRESS(94,5,,,"MATCHS")), FIND("--",INDIRECT(ADDRESS(94,5,,,"MATCHS")),1)),INDIRECT(ADDRESS(94,5,,,"MATCHS"))))</f>
        <v>0</v>
      </c>
      <c r="I19" s="107">
        <f ca="1">SUM(,IF(IFERROR(FIND("--",INDIRECT(ADDRESS(9,5,,,"MATCHS"))),FALSE),RIGHT(INDIRECT(ADDRESS(9,5,,,"MATCHS")), FIND("--",INDIRECT(ADDRESS(9,5,,,"MATCHS")),1)),INDIRECT(ADDRESS(9,5,,,"MATCHS"))),,IF(IFERROR(FIND("--",INDIRECT(ADDRESS(23,5,,,"MATCHS"))),FALSE),RIGHT(INDIRECT(ADDRESS(23,5,,,"MATCHS")), FIND("--",INDIRECT(ADDRESS(23,5,,,"MATCHS")),1)),INDIRECT(ADDRESS(23,5,,,"MATCHS"))),,IF(IFERROR(FIND("--",INDIRECT(ADDRESS(37,5,,,"MATCHS"))),FALSE),RIGHT(INDIRECT(ADDRESS(37,5,,,"MATCHS")), FIND("--",INDIRECT(ADDRESS(37,5,,,"MATCHS")),1)),INDIRECT(ADDRESS(37,5,,,"MATCHS"))),IF(IFERROR(FIND("--",INDIRECT(ADDRESS(48,3,,,"MATCHS"))),FALSE),RIGHT(INDIRECT(ADDRESS(48,3,,,"MATCHS")), FIND("--",INDIRECT(ADDRESS(48,3,,,"MATCHS")),1)),INDIRECT(ADDRESS(48,3,,,"MATCHS"))),,IF(IFERROR(FIND("--",INDIRECT(ADDRESS(63,3,,,"MATCHS"))),FALSE),RIGHT(INDIRECT(ADDRESS(63,3,,,"MATCHS")), FIND("--",INDIRECT(ADDRESS(63,3,,,"MATCHS")),1)),INDIRECT(ADDRESS(63,3,,,"MATCHS"))),,,IF(IFERROR(FIND("--",INDIRECT(ADDRESS(79,3,,,"MATCHS"))),FALSE),RIGHT(INDIRECT(ADDRESS(79,3,,,"MATCHS")), FIND("--",INDIRECT(ADDRESS(79,3,,,"MATCHS")),1)),INDIRECT(ADDRESS(79,3,,,"MATCHS"))),,IF(IFERROR(FIND("--",INDIRECT(ADDRESS(94,3,,,"MATCHS"))),FALSE),RIGHT(INDIRECT(ADDRESS(94,3,,,"MATCHS")), FIND("--",INDIRECT(ADDRESS(94,3,,,"MATCHS")),1)),INDIRECT(ADDRESS(94,3,,,"MATCHS"))))</f>
        <v>0</v>
      </c>
      <c r="J19" s="107">
        <f ca="1">H19 - I19</f>
        <v>0</v>
      </c>
      <c r="K19" s="107">
        <v>0</v>
      </c>
      <c r="L19" s="107">
        <v>5</v>
      </c>
      <c r="M19" s="107"/>
      <c r="N19" s="101" t="str">
        <f>M19 &amp; "DM"</f>
        <v>DM</v>
      </c>
    </row>
    <row r="20" spans="1:14" ht="15.75" x14ac:dyDescent="0.25">
      <c r="A20" s="106"/>
      <c r="B20" s="107">
        <v>6</v>
      </c>
      <c r="C20" s="107" t="s">
        <v>73</v>
      </c>
      <c r="D20" s="107" t="str">
        <f>INSCRITS!C16</f>
        <v>6B</v>
      </c>
      <c r="E20" s="113">
        <f ca="1">SUM(,IF(INDIRECT(ADDRESS(9,5,,,"MATCHS"))&gt;INDIRECT(ADDRESS(9,3,,,"MATCHS")),1,0),,IF(INDIRECT(ADDRESS(24,3,,,"MATCHS"))&gt;INDIRECT(ADDRESS(24,5,,,"MATCHS")),1,0),,IF(INDIRECT(ADDRESS(38,3,,,"MATCHS"))&gt;INDIRECT(ADDRESS(38,5,,,"MATCHS")),1,0),IF(INDIRECT(ADDRESS(49,5,,,"MATCHS"))&gt;INDIRECT(ADDRESS(49,3,,,"MATCHS")),1,0),,IF(INDIRECT(ADDRESS(62,5,,,"MATCHS"))&gt;INDIRECT(ADDRESS(62,3,,,"MATCHS")),1,0),,,IF(INDIRECT(ADDRESS(80,5,,,"MATCHS"))&gt;INDIRECT(ADDRESS(80,3,,,"MATCHS")),1,0),,IF(INDIRECT(ADDRESS(93,5,,,"MATCHS"))&gt;INDIRECT(ADDRESS(93,3,,,"MATCHS")),1,0)) + 0.01 * K20</f>
        <v>0</v>
      </c>
      <c r="F20" s="107">
        <f ca="1">SUM(,IF(INDIRECT(ADDRESS(9,5,,,"MATCHS"))&lt;INDIRECT(ADDRESS(9,3,,,"MATCHS")),1,0),,IF(INDIRECT(ADDRESS(24,3,,,"MATCHS"))&lt;INDIRECT(ADDRESS(24,5,,,"MATCHS")),1,0),,IF(INDIRECT(ADDRESS(38,3,,,"MATCHS"))&lt;INDIRECT(ADDRESS(38,5,,,"MATCHS")),1,0),IF(INDIRECT(ADDRESS(49,5,,,"MATCHS"))&lt;INDIRECT(ADDRESS(49,3,,,"MATCHS")),1,0),,IF(INDIRECT(ADDRESS(62,5,,,"MATCHS"))&lt;INDIRECT(ADDRESS(62,3,,,"MATCHS")),1,0),,,IF(INDIRECT(ADDRESS(80,5,,,"MATCHS"))&lt;INDIRECT(ADDRESS(80,3,,,"MATCHS")),1,0),,IF(INDIRECT(ADDRESS(93,5,,,"MATCHS"))&lt;INDIRECT(ADDRESS(93,3,,,"MATCHS")),1,0))</f>
        <v>0</v>
      </c>
      <c r="G20" s="107">
        <f ca="1">SUM(,IF(IFERROR(FIND("--",INDIRECT(ADDRESS(9,5,,,"MATCHS"))),FALSE),LEFT(INDIRECT(ADDRESS(9,5,,,"MATCHS")), FIND("--",INDIRECT(ADDRESS(9,5,,,"MATCHS")),1)-1),INDIRECT(ADDRESS(9,5,,,"MATCHS"))),,IF(IFERROR(FIND("--",INDIRECT(ADDRESS(24,3,,,"MATCHS"))),FALSE),LEFT(INDIRECT(ADDRESS(24,3,,,"MATCHS")), FIND("--",INDIRECT(ADDRESS(24,3,,,"MATCHS")),1)-1),INDIRECT(ADDRESS(24,3,,,"MATCHS"))),,IF(IFERROR(FIND("--",INDIRECT(ADDRESS(38,3,,,"MATCHS"))),FALSE),LEFT(INDIRECT(ADDRESS(38,3,,,"MATCHS")), FIND("--",INDIRECT(ADDRESS(38,3,,,"MATCHS")),1)-1),INDIRECT(ADDRESS(38,3,,,"MATCHS"))),IF(IFERROR(FIND("--",INDIRECT(ADDRESS(49,5,,,"MATCHS"))),FALSE),LEFT(INDIRECT(ADDRESS(49,5,,,"MATCHS")), FIND("--",INDIRECT(ADDRESS(49,5,,,"MATCHS")),1)-1),INDIRECT(ADDRESS(49,5,,,"MATCHS"))),,IF(IFERROR(FIND("--",INDIRECT(ADDRESS(62,5,,,"MATCHS"))),FALSE),LEFT(INDIRECT(ADDRESS(62,5,,,"MATCHS")), FIND("--",INDIRECT(ADDRESS(62,5,,,"MATCHS")),1)-1),INDIRECT(ADDRESS(62,5,,,"MATCHS"))),,,IF(IFERROR(FIND("--",INDIRECT(ADDRESS(80,5,,,"MATCHS"))),FALSE),LEFT(INDIRECT(ADDRESS(80,5,,,"MATCHS")), FIND("--",INDIRECT(ADDRESS(80,5,,,"MATCHS")),1)-1),INDIRECT(ADDRESS(80,5,,,"MATCHS"))),,IF(IFERROR(FIND("--",INDIRECT(ADDRESS(93,5,,,"MATCHS"))),FALSE),LEFT(INDIRECT(ADDRESS(93,5,,,"MATCHS")), FIND("--",INDIRECT(ADDRESS(93,5,,,"MATCHS")),1)-1),INDIRECT(ADDRESS(93,5,,,"MATCHS"))))</f>
        <v>0</v>
      </c>
      <c r="H20" s="107">
        <f ca="1">SUM(,IF(IFERROR(FIND("--",INDIRECT(ADDRESS(9,5,,,"MATCHS"))),FALSE),RIGHT(INDIRECT(ADDRESS(9,5,,,"MATCHS")), FIND("--",INDIRECT(ADDRESS(9,5,,,"MATCHS")),1)),INDIRECT(ADDRESS(9,5,,,"MATCHS"))),,IF(IFERROR(FIND("--",INDIRECT(ADDRESS(24,3,,,"MATCHS"))),FALSE),RIGHT(INDIRECT(ADDRESS(24,3,,,"MATCHS")), FIND("--",INDIRECT(ADDRESS(24,3,,,"MATCHS")),1)),INDIRECT(ADDRESS(24,3,,,"MATCHS"))),,IF(IFERROR(FIND("--",INDIRECT(ADDRESS(38,3,,,"MATCHS"))),FALSE),RIGHT(INDIRECT(ADDRESS(38,3,,,"MATCHS")), FIND("--",INDIRECT(ADDRESS(38,3,,,"MATCHS")),1)),INDIRECT(ADDRESS(38,3,,,"MATCHS"))),IF(IFERROR(FIND("--",INDIRECT(ADDRESS(49,5,,,"MATCHS"))),FALSE),RIGHT(INDIRECT(ADDRESS(49,5,,,"MATCHS")), FIND("--",INDIRECT(ADDRESS(49,5,,,"MATCHS")),1)),INDIRECT(ADDRESS(49,5,,,"MATCHS"))),,IF(IFERROR(FIND("--",INDIRECT(ADDRESS(62,5,,,"MATCHS"))),FALSE),RIGHT(INDIRECT(ADDRESS(62,5,,,"MATCHS")), FIND("--",INDIRECT(ADDRESS(62,5,,,"MATCHS")),1)),INDIRECT(ADDRESS(62,5,,,"MATCHS"))),,,IF(IFERROR(FIND("--",INDIRECT(ADDRESS(80,5,,,"MATCHS"))),FALSE),RIGHT(INDIRECT(ADDRESS(80,5,,,"MATCHS")), FIND("--",INDIRECT(ADDRESS(80,5,,,"MATCHS")),1)),INDIRECT(ADDRESS(80,5,,,"MATCHS"))),,IF(IFERROR(FIND("--",INDIRECT(ADDRESS(93,5,,,"MATCHS"))),FALSE),RIGHT(INDIRECT(ADDRESS(93,5,,,"MATCHS")), FIND("--",INDIRECT(ADDRESS(93,5,,,"MATCHS")),1)),INDIRECT(ADDRESS(93,5,,,"MATCHS"))))</f>
        <v>0</v>
      </c>
      <c r="I20" s="107">
        <f ca="1">SUM(,IF(IFERROR(FIND("--",INDIRECT(ADDRESS(9,3,,,"MATCHS"))),FALSE),RIGHT(INDIRECT(ADDRESS(9,3,,,"MATCHS")), FIND("--",INDIRECT(ADDRESS(9,3,,,"MATCHS")),1)),INDIRECT(ADDRESS(9,3,,,"MATCHS"))),,IF(IFERROR(FIND("--",INDIRECT(ADDRESS(24,5,,,"MATCHS"))),FALSE),RIGHT(INDIRECT(ADDRESS(24,5,,,"MATCHS")), FIND("--",INDIRECT(ADDRESS(24,5,,,"MATCHS")),1)),INDIRECT(ADDRESS(24,5,,,"MATCHS"))),,IF(IFERROR(FIND("--",INDIRECT(ADDRESS(38,5,,,"MATCHS"))),FALSE),RIGHT(INDIRECT(ADDRESS(38,5,,,"MATCHS")), FIND("--",INDIRECT(ADDRESS(38,5,,,"MATCHS")),1)),INDIRECT(ADDRESS(38,5,,,"MATCHS"))),IF(IFERROR(FIND("--",INDIRECT(ADDRESS(49,3,,,"MATCHS"))),FALSE),RIGHT(INDIRECT(ADDRESS(49,3,,,"MATCHS")), FIND("--",INDIRECT(ADDRESS(49,3,,,"MATCHS")),1)),INDIRECT(ADDRESS(49,3,,,"MATCHS"))),,IF(IFERROR(FIND("--",INDIRECT(ADDRESS(62,3,,,"MATCHS"))),FALSE),RIGHT(INDIRECT(ADDRESS(62,3,,,"MATCHS")), FIND("--",INDIRECT(ADDRESS(62,3,,,"MATCHS")),1)),INDIRECT(ADDRESS(62,3,,,"MATCHS"))),,,IF(IFERROR(FIND("--",INDIRECT(ADDRESS(80,3,,,"MATCHS"))),FALSE),RIGHT(INDIRECT(ADDRESS(80,3,,,"MATCHS")), FIND("--",INDIRECT(ADDRESS(80,3,,,"MATCHS")),1)),INDIRECT(ADDRESS(80,3,,,"MATCHS"))),,IF(IFERROR(FIND("--",INDIRECT(ADDRESS(93,3,,,"MATCHS"))),FALSE),RIGHT(INDIRECT(ADDRESS(93,3,,,"MATCHS")), FIND("--",INDIRECT(ADDRESS(93,3,,,"MATCHS")),1)),INDIRECT(ADDRESS(93,3,,,"MATCHS"))))</f>
        <v>0</v>
      </c>
      <c r="J20" s="107">
        <f ca="1">H20 - I20</f>
        <v>0</v>
      </c>
      <c r="K20" s="107">
        <v>0</v>
      </c>
      <c r="L20" s="107">
        <v>6</v>
      </c>
      <c r="M20" s="107"/>
      <c r="N20" s="101" t="str">
        <f>M20 &amp; "DM"</f>
        <v>DM</v>
      </c>
    </row>
    <row r="21" spans="1:14" ht="15.75" x14ac:dyDescent="0.25">
      <c r="A21" s="106"/>
      <c r="B21" s="107">
        <v>7</v>
      </c>
      <c r="C21" s="107" t="s">
        <v>67</v>
      </c>
      <c r="D21" s="107" t="str">
        <f>INSCRITS!C17</f>
        <v>7B</v>
      </c>
      <c r="E21" s="113">
        <f ca="1">SUM(,IF(INDIRECT(ADDRESS(10,3,,,"MATCHS"))&gt;INDIRECT(ADDRESS(10,5,,,"MATCHS")),1,0),,IF(INDIRECT(ADDRESS(23,5,,,"MATCHS"))&gt;INDIRECT(ADDRESS(23,3,,,"MATCHS")),1,0),,IF(INDIRECT(ADDRESS(38,5,,,"MATCHS"))&gt;INDIRECT(ADDRESS(38,3,,,"MATCHS")),1,0),,IF(INDIRECT(ADDRESS(51,5,,,"MATCHS"))&gt;INDIRECT(ADDRESS(51,3,,,"MATCHS")),1,0),,IF(INDIRECT(ADDRESS(66,5,,,"MATCHS"))&gt;INDIRECT(ADDRESS(66,3,,,"MATCHS")),1,0),IF(INDIRECT(ADDRESS(76,5,,,"MATCHS"))&gt;INDIRECT(ADDRESS(76,3,,,"MATCHS")),1,0),,IF(INDIRECT(ADDRESS(91,5,,,"MATCHS"))&gt;INDIRECT(ADDRESS(91,3,,,"MATCHS")),1,0),) + 0.01 * K21</f>
        <v>0</v>
      </c>
      <c r="F21" s="107">
        <f ca="1">SUM(,IF(INDIRECT(ADDRESS(10,3,,,"MATCHS"))&lt;INDIRECT(ADDRESS(10,5,,,"MATCHS")),1,0),,IF(INDIRECT(ADDRESS(23,5,,,"MATCHS"))&lt;INDIRECT(ADDRESS(23,3,,,"MATCHS")),1,0),,IF(INDIRECT(ADDRESS(38,5,,,"MATCHS"))&lt;INDIRECT(ADDRESS(38,3,,,"MATCHS")),1,0),,IF(INDIRECT(ADDRESS(51,5,,,"MATCHS"))&lt;INDIRECT(ADDRESS(51,3,,,"MATCHS")),1,0),,IF(INDIRECT(ADDRESS(66,5,,,"MATCHS"))&lt;INDIRECT(ADDRESS(66,3,,,"MATCHS")),1,0),IF(INDIRECT(ADDRESS(76,5,,,"MATCHS"))&lt;INDIRECT(ADDRESS(76,3,,,"MATCHS")),1,0),,IF(INDIRECT(ADDRESS(91,5,,,"MATCHS"))&lt;INDIRECT(ADDRESS(91,3,,,"MATCHS")),1,0),)</f>
        <v>0</v>
      </c>
      <c r="G21" s="107">
        <f ca="1">SUM(,IF(IFERROR(FIND("--",INDIRECT(ADDRESS(10,3,,,"MATCHS"))),FALSE),LEFT(INDIRECT(ADDRESS(10,3,,,"MATCHS")), FIND("--",INDIRECT(ADDRESS(10,3,,,"MATCHS")),1)-1),INDIRECT(ADDRESS(10,3,,,"MATCHS"))),,IF(IFERROR(FIND("--",INDIRECT(ADDRESS(23,5,,,"MATCHS"))),FALSE),LEFT(INDIRECT(ADDRESS(23,5,,,"MATCHS")), FIND("--",INDIRECT(ADDRESS(23,5,,,"MATCHS")),1)-1),INDIRECT(ADDRESS(23,5,,,"MATCHS"))),,IF(IFERROR(FIND("--",INDIRECT(ADDRESS(38,5,,,"MATCHS"))),FALSE),LEFT(INDIRECT(ADDRESS(38,5,,,"MATCHS")), FIND("--",INDIRECT(ADDRESS(38,5,,,"MATCHS")),1)-1),INDIRECT(ADDRESS(38,5,,,"MATCHS"))),,IF(IFERROR(FIND("--",INDIRECT(ADDRESS(51,5,,,"MATCHS"))),FALSE),LEFT(INDIRECT(ADDRESS(51,5,,,"MATCHS")), FIND("--",INDIRECT(ADDRESS(51,5,,,"MATCHS")),1)-1),INDIRECT(ADDRESS(51,5,,,"MATCHS"))),,IF(IFERROR(FIND("--",INDIRECT(ADDRESS(66,5,,,"MATCHS"))),FALSE),LEFT(INDIRECT(ADDRESS(66,5,,,"MATCHS")), FIND("--",INDIRECT(ADDRESS(66,5,,,"MATCHS")),1)-1),INDIRECT(ADDRESS(66,5,,,"MATCHS"))),IF(IFERROR(FIND("--",INDIRECT(ADDRESS(76,5,,,"MATCHS"))),FALSE),LEFT(INDIRECT(ADDRESS(76,5,,,"MATCHS")), FIND("--",INDIRECT(ADDRESS(76,5,,,"MATCHS")),1)-1),INDIRECT(ADDRESS(76,5,,,"MATCHS"))),,IF(IFERROR(FIND("--",INDIRECT(ADDRESS(91,5,,,"MATCHS"))),FALSE),LEFT(INDIRECT(ADDRESS(91,5,,,"MATCHS")), FIND("--",INDIRECT(ADDRESS(91,5,,,"MATCHS")),1)-1),INDIRECT(ADDRESS(91,5,,,"MATCHS"))),)</f>
        <v>0</v>
      </c>
      <c r="H21" s="107">
        <f ca="1">SUM(,IF(IFERROR(FIND("--",INDIRECT(ADDRESS(10,3,,,"MATCHS"))),FALSE),RIGHT(INDIRECT(ADDRESS(10,3,,,"MATCHS")), FIND("--",INDIRECT(ADDRESS(10,3,,,"MATCHS")),1)),INDIRECT(ADDRESS(10,3,,,"MATCHS"))),,IF(IFERROR(FIND("--",INDIRECT(ADDRESS(23,5,,,"MATCHS"))),FALSE),RIGHT(INDIRECT(ADDRESS(23,5,,,"MATCHS")), FIND("--",INDIRECT(ADDRESS(23,5,,,"MATCHS")),1)),INDIRECT(ADDRESS(23,5,,,"MATCHS"))),,IF(IFERROR(FIND("--",INDIRECT(ADDRESS(38,5,,,"MATCHS"))),FALSE),RIGHT(INDIRECT(ADDRESS(38,5,,,"MATCHS")), FIND("--",INDIRECT(ADDRESS(38,5,,,"MATCHS")),1)),INDIRECT(ADDRESS(38,5,,,"MATCHS"))),,IF(IFERROR(FIND("--",INDIRECT(ADDRESS(51,5,,,"MATCHS"))),FALSE),RIGHT(INDIRECT(ADDRESS(51,5,,,"MATCHS")), FIND("--",INDIRECT(ADDRESS(51,5,,,"MATCHS")),1)),INDIRECT(ADDRESS(51,5,,,"MATCHS"))),,IF(IFERROR(FIND("--",INDIRECT(ADDRESS(66,5,,,"MATCHS"))),FALSE),RIGHT(INDIRECT(ADDRESS(66,5,,,"MATCHS")), FIND("--",INDIRECT(ADDRESS(66,5,,,"MATCHS")),1)),INDIRECT(ADDRESS(66,5,,,"MATCHS"))),IF(IFERROR(FIND("--",INDIRECT(ADDRESS(76,5,,,"MATCHS"))),FALSE),RIGHT(INDIRECT(ADDRESS(76,5,,,"MATCHS")), FIND("--",INDIRECT(ADDRESS(76,5,,,"MATCHS")),1)),INDIRECT(ADDRESS(76,5,,,"MATCHS"))),,IF(IFERROR(FIND("--",INDIRECT(ADDRESS(91,5,,,"MATCHS"))),FALSE),RIGHT(INDIRECT(ADDRESS(91,5,,,"MATCHS")), FIND("--",INDIRECT(ADDRESS(91,5,,,"MATCHS")),1)),INDIRECT(ADDRESS(91,5,,,"MATCHS"))),)</f>
        <v>0</v>
      </c>
      <c r="I21" s="107">
        <f ca="1">SUM(,IF(IFERROR(FIND("--",INDIRECT(ADDRESS(10,5,,,"MATCHS"))),FALSE),RIGHT(INDIRECT(ADDRESS(10,5,,,"MATCHS")), FIND("--",INDIRECT(ADDRESS(10,5,,,"MATCHS")),1)),INDIRECT(ADDRESS(10,5,,,"MATCHS"))),,IF(IFERROR(FIND("--",INDIRECT(ADDRESS(23,3,,,"MATCHS"))),FALSE),RIGHT(INDIRECT(ADDRESS(23,3,,,"MATCHS")), FIND("--",INDIRECT(ADDRESS(23,3,,,"MATCHS")),1)),INDIRECT(ADDRESS(23,3,,,"MATCHS"))),,IF(IFERROR(FIND("--",INDIRECT(ADDRESS(38,3,,,"MATCHS"))),FALSE),RIGHT(INDIRECT(ADDRESS(38,3,,,"MATCHS")), FIND("--",INDIRECT(ADDRESS(38,3,,,"MATCHS")),1)),INDIRECT(ADDRESS(38,3,,,"MATCHS"))),,IF(IFERROR(FIND("--",INDIRECT(ADDRESS(51,3,,,"MATCHS"))),FALSE),RIGHT(INDIRECT(ADDRESS(51,3,,,"MATCHS")), FIND("--",INDIRECT(ADDRESS(51,3,,,"MATCHS")),1)),INDIRECT(ADDRESS(51,3,,,"MATCHS"))),,IF(IFERROR(FIND("--",INDIRECT(ADDRESS(66,3,,,"MATCHS"))),FALSE),RIGHT(INDIRECT(ADDRESS(66,3,,,"MATCHS")), FIND("--",INDIRECT(ADDRESS(66,3,,,"MATCHS")),1)),INDIRECT(ADDRESS(66,3,,,"MATCHS"))),IF(IFERROR(FIND("--",INDIRECT(ADDRESS(76,3,,,"MATCHS"))),FALSE),RIGHT(INDIRECT(ADDRESS(76,3,,,"MATCHS")), FIND("--",INDIRECT(ADDRESS(76,3,,,"MATCHS")),1)),INDIRECT(ADDRESS(76,3,,,"MATCHS"))),,IF(IFERROR(FIND("--",INDIRECT(ADDRESS(91,3,,,"MATCHS"))),FALSE),RIGHT(INDIRECT(ADDRESS(91,3,,,"MATCHS")), FIND("--",INDIRECT(ADDRESS(91,3,,,"MATCHS")),1)),INDIRECT(ADDRESS(91,3,,,"MATCHS"))),)</f>
        <v>0</v>
      </c>
      <c r="J21" s="107">
        <f ca="1">H21 - I21</f>
        <v>0</v>
      </c>
      <c r="K21" s="107">
        <v>0</v>
      </c>
      <c r="L21" s="107">
        <v>7</v>
      </c>
      <c r="M21" s="107"/>
      <c r="N21" s="101" t="str">
        <f>M21 &amp; "DM"</f>
        <v>DM</v>
      </c>
    </row>
    <row r="22" spans="1:14" ht="15.75" x14ac:dyDescent="0.25">
      <c r="A22" s="106"/>
      <c r="B22" s="107">
        <v>8</v>
      </c>
      <c r="C22" s="107" t="s">
        <v>77</v>
      </c>
      <c r="D22" s="107" t="str">
        <f>INSCRITS!C18</f>
        <v>8B</v>
      </c>
      <c r="E22" s="113">
        <f ca="1">SUM(,IF(INDIRECT(ADDRESS(10,5,,,"MATCHS"))&gt;INDIRECT(ADDRESS(10,3,,,"MATCHS")),1,0),,IF(INDIRECT(ADDRESS(24,5,,,"MATCHS"))&gt;INDIRECT(ADDRESS(24,3,,,"MATCHS")),1,0),,IF(INDIRECT(ADDRESS(37,5,,,"MATCHS"))&gt;INDIRECT(ADDRESS(37,3,,,"MATCHS")),1,0),,IF(INDIRECT(ADDRESS(52,5,,,"MATCHS"))&gt;INDIRECT(ADDRESS(52,3,,,"MATCHS")),1,0),,IF(INDIRECT(ADDRESS(65,5,,,"MATCHS"))&gt;INDIRECT(ADDRESS(65,3,,,"MATCHS")),1,0),IF(INDIRECT(ADDRESS(77,5,,,"MATCHS"))&gt;INDIRECT(ADDRESS(77,3,,,"MATCHS")),1,0),,IF(INDIRECT(ADDRESS(90,5,,,"MATCHS"))&gt;INDIRECT(ADDRESS(90,3,,,"MATCHS")),1,0),) + 0.01 * K22</f>
        <v>0</v>
      </c>
      <c r="F22" s="107">
        <f ca="1">SUM(,IF(INDIRECT(ADDRESS(10,5,,,"MATCHS"))&lt;INDIRECT(ADDRESS(10,3,,,"MATCHS")),1,0),,IF(INDIRECT(ADDRESS(24,5,,,"MATCHS"))&lt;INDIRECT(ADDRESS(24,3,,,"MATCHS")),1,0),,IF(INDIRECT(ADDRESS(37,5,,,"MATCHS"))&lt;INDIRECT(ADDRESS(37,3,,,"MATCHS")),1,0),,IF(INDIRECT(ADDRESS(52,5,,,"MATCHS"))&lt;INDIRECT(ADDRESS(52,3,,,"MATCHS")),1,0),,IF(INDIRECT(ADDRESS(65,5,,,"MATCHS"))&lt;INDIRECT(ADDRESS(65,3,,,"MATCHS")),1,0),IF(INDIRECT(ADDRESS(77,5,,,"MATCHS"))&lt;INDIRECT(ADDRESS(77,3,,,"MATCHS")),1,0),,IF(INDIRECT(ADDRESS(90,5,,,"MATCHS"))&lt;INDIRECT(ADDRESS(90,3,,,"MATCHS")),1,0),)</f>
        <v>0</v>
      </c>
      <c r="G22" s="107">
        <f ca="1">SUM(,IF(IFERROR(FIND("--",INDIRECT(ADDRESS(10,5,,,"MATCHS"))),FALSE),LEFT(INDIRECT(ADDRESS(10,5,,,"MATCHS")), FIND("--",INDIRECT(ADDRESS(10,5,,,"MATCHS")),1)-1),INDIRECT(ADDRESS(10,5,,,"MATCHS"))),,IF(IFERROR(FIND("--",INDIRECT(ADDRESS(24,5,,,"MATCHS"))),FALSE),LEFT(INDIRECT(ADDRESS(24,5,,,"MATCHS")), FIND("--",INDIRECT(ADDRESS(24,5,,,"MATCHS")),1)-1),INDIRECT(ADDRESS(24,5,,,"MATCHS"))),,IF(IFERROR(FIND("--",INDIRECT(ADDRESS(37,5,,,"MATCHS"))),FALSE),LEFT(INDIRECT(ADDRESS(37,5,,,"MATCHS")), FIND("--",INDIRECT(ADDRESS(37,5,,,"MATCHS")),1)-1),INDIRECT(ADDRESS(37,5,,,"MATCHS"))),,IF(IFERROR(FIND("--",INDIRECT(ADDRESS(52,5,,,"MATCHS"))),FALSE),LEFT(INDIRECT(ADDRESS(52,5,,,"MATCHS")), FIND("--",INDIRECT(ADDRESS(52,5,,,"MATCHS")),1)-1),INDIRECT(ADDRESS(52,5,,,"MATCHS"))),,IF(IFERROR(FIND("--",INDIRECT(ADDRESS(65,5,,,"MATCHS"))),FALSE),LEFT(INDIRECT(ADDRESS(65,5,,,"MATCHS")), FIND("--",INDIRECT(ADDRESS(65,5,,,"MATCHS")),1)-1),INDIRECT(ADDRESS(65,5,,,"MATCHS"))),IF(IFERROR(FIND("--",INDIRECT(ADDRESS(77,5,,,"MATCHS"))),FALSE),LEFT(INDIRECT(ADDRESS(77,5,,,"MATCHS")), FIND("--",INDIRECT(ADDRESS(77,5,,,"MATCHS")),1)-1),INDIRECT(ADDRESS(77,5,,,"MATCHS"))),,IF(IFERROR(FIND("--",INDIRECT(ADDRESS(90,5,,,"MATCHS"))),FALSE),LEFT(INDIRECT(ADDRESS(90,5,,,"MATCHS")), FIND("--",INDIRECT(ADDRESS(90,5,,,"MATCHS")),1)-1),INDIRECT(ADDRESS(90,5,,,"MATCHS"))),)</f>
        <v>0</v>
      </c>
      <c r="H22" s="107">
        <f ca="1">SUM(,IF(IFERROR(FIND("--",INDIRECT(ADDRESS(10,5,,,"MATCHS"))),FALSE),RIGHT(INDIRECT(ADDRESS(10,5,,,"MATCHS")), FIND("--",INDIRECT(ADDRESS(10,5,,,"MATCHS")),1)),INDIRECT(ADDRESS(10,5,,,"MATCHS"))),,IF(IFERROR(FIND("--",INDIRECT(ADDRESS(24,5,,,"MATCHS"))),FALSE),RIGHT(INDIRECT(ADDRESS(24,5,,,"MATCHS")), FIND("--",INDIRECT(ADDRESS(24,5,,,"MATCHS")),1)),INDIRECT(ADDRESS(24,5,,,"MATCHS"))),,IF(IFERROR(FIND("--",INDIRECT(ADDRESS(37,5,,,"MATCHS"))),FALSE),RIGHT(INDIRECT(ADDRESS(37,5,,,"MATCHS")), FIND("--",INDIRECT(ADDRESS(37,5,,,"MATCHS")),1)),INDIRECT(ADDRESS(37,5,,,"MATCHS"))),,IF(IFERROR(FIND("--",INDIRECT(ADDRESS(52,5,,,"MATCHS"))),FALSE),RIGHT(INDIRECT(ADDRESS(52,5,,,"MATCHS")), FIND("--",INDIRECT(ADDRESS(52,5,,,"MATCHS")),1)),INDIRECT(ADDRESS(52,5,,,"MATCHS"))),,IF(IFERROR(FIND("--",INDIRECT(ADDRESS(65,5,,,"MATCHS"))),FALSE),RIGHT(INDIRECT(ADDRESS(65,5,,,"MATCHS")), FIND("--",INDIRECT(ADDRESS(65,5,,,"MATCHS")),1)),INDIRECT(ADDRESS(65,5,,,"MATCHS"))),IF(IFERROR(FIND("--",INDIRECT(ADDRESS(77,5,,,"MATCHS"))),FALSE),RIGHT(INDIRECT(ADDRESS(77,5,,,"MATCHS")), FIND("--",INDIRECT(ADDRESS(77,5,,,"MATCHS")),1)),INDIRECT(ADDRESS(77,5,,,"MATCHS"))),,IF(IFERROR(FIND("--",INDIRECT(ADDRESS(90,5,,,"MATCHS"))),FALSE),RIGHT(INDIRECT(ADDRESS(90,5,,,"MATCHS")), FIND("--",INDIRECT(ADDRESS(90,5,,,"MATCHS")),1)),INDIRECT(ADDRESS(90,5,,,"MATCHS"))),)</f>
        <v>0</v>
      </c>
      <c r="I22" s="107">
        <f ca="1">SUM(,IF(IFERROR(FIND("--",INDIRECT(ADDRESS(10,3,,,"MATCHS"))),FALSE),RIGHT(INDIRECT(ADDRESS(10,3,,,"MATCHS")), FIND("--",INDIRECT(ADDRESS(10,3,,,"MATCHS")),1)),INDIRECT(ADDRESS(10,3,,,"MATCHS"))),,IF(IFERROR(FIND("--",INDIRECT(ADDRESS(24,3,,,"MATCHS"))),FALSE),RIGHT(INDIRECT(ADDRESS(24,3,,,"MATCHS")), FIND("--",INDIRECT(ADDRESS(24,3,,,"MATCHS")),1)),INDIRECT(ADDRESS(24,3,,,"MATCHS"))),,IF(IFERROR(FIND("--",INDIRECT(ADDRESS(37,3,,,"MATCHS"))),FALSE),RIGHT(INDIRECT(ADDRESS(37,3,,,"MATCHS")), FIND("--",INDIRECT(ADDRESS(37,3,,,"MATCHS")),1)),INDIRECT(ADDRESS(37,3,,,"MATCHS"))),,IF(IFERROR(FIND("--",INDIRECT(ADDRESS(52,3,,,"MATCHS"))),FALSE),RIGHT(INDIRECT(ADDRESS(52,3,,,"MATCHS")), FIND("--",INDIRECT(ADDRESS(52,3,,,"MATCHS")),1)),INDIRECT(ADDRESS(52,3,,,"MATCHS"))),,IF(IFERROR(FIND("--",INDIRECT(ADDRESS(65,3,,,"MATCHS"))),FALSE),RIGHT(INDIRECT(ADDRESS(65,3,,,"MATCHS")), FIND("--",INDIRECT(ADDRESS(65,3,,,"MATCHS")),1)),INDIRECT(ADDRESS(65,3,,,"MATCHS"))),IF(IFERROR(FIND("--",INDIRECT(ADDRESS(77,3,,,"MATCHS"))),FALSE),RIGHT(INDIRECT(ADDRESS(77,3,,,"MATCHS")), FIND("--",INDIRECT(ADDRESS(77,3,,,"MATCHS")),1)),INDIRECT(ADDRESS(77,3,,,"MATCHS"))),,IF(IFERROR(FIND("--",INDIRECT(ADDRESS(90,3,,,"MATCHS"))),FALSE),RIGHT(INDIRECT(ADDRESS(90,3,,,"MATCHS")), FIND("--",INDIRECT(ADDRESS(90,3,,,"MATCHS")),1)),INDIRECT(ADDRESS(90,3,,,"MATCHS"))),)</f>
        <v>0</v>
      </c>
      <c r="J22" s="107">
        <f ca="1">H22 - I22</f>
        <v>0</v>
      </c>
      <c r="K22" s="107">
        <v>0</v>
      </c>
      <c r="L22" s="107">
        <v>8</v>
      </c>
      <c r="M22" s="107"/>
      <c r="N22" s="101" t="str">
        <f>M22 &amp; "DM"</f>
        <v>DM</v>
      </c>
    </row>
    <row r="23" spans="1:14" ht="15.75" thickBot="1" x14ac:dyDescent="0.3"/>
    <row r="24" spans="1:14" ht="30.95" customHeight="1" thickBot="1" x14ac:dyDescent="0.3">
      <c r="C24" s="102" t="s">
        <v>86</v>
      </c>
      <c r="D24" s="102" t="s">
        <v>116</v>
      </c>
      <c r="E24" s="111" t="s">
        <v>87</v>
      </c>
      <c r="F24" s="102" t="s">
        <v>88</v>
      </c>
      <c r="G24" s="102" t="s">
        <v>89</v>
      </c>
      <c r="H24" s="102" t="s">
        <v>90</v>
      </c>
      <c r="I24" s="102" t="s">
        <v>91</v>
      </c>
      <c r="J24" s="102" t="s">
        <v>92</v>
      </c>
      <c r="K24" s="103" t="s">
        <v>93</v>
      </c>
      <c r="L24" s="102" t="s">
        <v>94</v>
      </c>
      <c r="M24" s="103" t="s">
        <v>95</v>
      </c>
    </row>
    <row r="26" spans="1:14" ht="15.75" x14ac:dyDescent="0.25">
      <c r="A26" s="108" t="s">
        <v>76</v>
      </c>
      <c r="B26" s="109">
        <v>1</v>
      </c>
      <c r="C26" s="109" t="s">
        <v>78</v>
      </c>
      <c r="D26" s="109" t="str">
        <f>INSCRITS!C20</f>
        <v>1C</v>
      </c>
      <c r="E26" s="114">
        <f ca="1">SUM(,IF(INDIRECT(ADDRESS(11,3,,,"MATCHS"))&gt;INDIRECT(ADDRESS(11,5,,,"MATCHS")),1,0),,IF(INDIRECT(ADDRESS(25,3,,,"MATCHS"))&gt;INDIRECT(ADDRESS(25,5,,,"MATCHS")),1,0),,IF(INDIRECT(ADDRESS(39,3,,,"MATCHS"))&gt;INDIRECT(ADDRESS(39,5,,,"MATCHS")),1,0),,IF(INDIRECT(ADDRESS(53,3,,,"MATCHS"))&gt;INDIRECT(ADDRESS(53,5,,,"MATCHS")),1,0),,IF(INDIRECT(ADDRESS(67,3,,,"MATCHS"))&gt;INDIRECT(ADDRESS(67,5,,,"MATCHS")),1,0),,IF(INDIRECT(ADDRESS(81,3,,,"MATCHS"))&gt;INDIRECT(ADDRESS(81,5,,,"MATCHS")),1,0),,IF(INDIRECT(ADDRESS(95,3,,,"MATCHS"))&gt;INDIRECT(ADDRESS(95,5,,,"MATCHS")),1,0)) + 0.01 * K26</f>
        <v>0</v>
      </c>
      <c r="F26" s="109">
        <f ca="1">SUM(,IF(INDIRECT(ADDRESS(11,3,,,"MATCHS"))&lt;INDIRECT(ADDRESS(11,5,,,"MATCHS")),1,0),,IF(INDIRECT(ADDRESS(25,3,,,"MATCHS"))&lt;INDIRECT(ADDRESS(25,5,,,"MATCHS")),1,0),,IF(INDIRECT(ADDRESS(39,3,,,"MATCHS"))&lt;INDIRECT(ADDRESS(39,5,,,"MATCHS")),1,0),,IF(INDIRECT(ADDRESS(53,3,,,"MATCHS"))&lt;INDIRECT(ADDRESS(53,5,,,"MATCHS")),1,0),,IF(INDIRECT(ADDRESS(67,3,,,"MATCHS"))&lt;INDIRECT(ADDRESS(67,5,,,"MATCHS")),1,0),,IF(INDIRECT(ADDRESS(81,3,,,"MATCHS"))&lt;INDIRECT(ADDRESS(81,5,,,"MATCHS")),1,0),,IF(INDIRECT(ADDRESS(95,3,,,"MATCHS"))&lt;INDIRECT(ADDRESS(95,5,,,"MATCHS")),1,0))</f>
        <v>0</v>
      </c>
      <c r="G26" s="109">
        <f ca="1">SUM(,IF(IFERROR(FIND("--",INDIRECT(ADDRESS(11,3,,,"MATCHS"))),FALSE),LEFT(INDIRECT(ADDRESS(11,3,,,"MATCHS")), FIND("--",INDIRECT(ADDRESS(11,3,,,"MATCHS")),1)-1),INDIRECT(ADDRESS(11,3,,,"MATCHS"))),,IF(IFERROR(FIND("--",INDIRECT(ADDRESS(25,3,,,"MATCHS"))),FALSE),LEFT(INDIRECT(ADDRESS(25,3,,,"MATCHS")), FIND("--",INDIRECT(ADDRESS(25,3,,,"MATCHS")),1)-1),INDIRECT(ADDRESS(25,3,,,"MATCHS"))),,IF(IFERROR(FIND("--",INDIRECT(ADDRESS(39,3,,,"MATCHS"))),FALSE),LEFT(INDIRECT(ADDRESS(39,3,,,"MATCHS")), FIND("--",INDIRECT(ADDRESS(39,3,,,"MATCHS")),1)-1),INDIRECT(ADDRESS(39,3,,,"MATCHS"))),,IF(IFERROR(FIND("--",INDIRECT(ADDRESS(53,3,,,"MATCHS"))),FALSE),LEFT(INDIRECT(ADDRESS(53,3,,,"MATCHS")), FIND("--",INDIRECT(ADDRESS(53,3,,,"MATCHS")),1)-1),INDIRECT(ADDRESS(53,3,,,"MATCHS"))),,IF(IFERROR(FIND("--",INDIRECT(ADDRESS(67,3,,,"MATCHS"))),FALSE),LEFT(INDIRECT(ADDRESS(67,3,,,"MATCHS")), FIND("--",INDIRECT(ADDRESS(67,3,,,"MATCHS")),1)-1),INDIRECT(ADDRESS(67,3,,,"MATCHS"))),,IF(IFERROR(FIND("--",INDIRECT(ADDRESS(81,3,,,"MATCHS"))),FALSE),LEFT(INDIRECT(ADDRESS(81,3,,,"MATCHS")), FIND("--",INDIRECT(ADDRESS(81,3,,,"MATCHS")),1)-1),INDIRECT(ADDRESS(81,3,,,"MATCHS"))),,IF(IFERROR(FIND("--",INDIRECT(ADDRESS(95,3,,,"MATCHS"))),FALSE),LEFT(INDIRECT(ADDRESS(95,3,,,"MATCHS")), FIND("--",INDIRECT(ADDRESS(95,3,,,"MATCHS")),1)-1),INDIRECT(ADDRESS(95,3,,,"MATCHS"))))</f>
        <v>0</v>
      </c>
      <c r="H26" s="109">
        <f ca="1">SUM(,IF(IFERROR(FIND("--",INDIRECT(ADDRESS(11,3,,,"MATCHS"))),FALSE),RIGHT(INDIRECT(ADDRESS(11,3,,,"MATCHS")), FIND("--",INDIRECT(ADDRESS(11,3,,,"MATCHS")),1)),INDIRECT(ADDRESS(11,3,,,"MATCHS"))),,IF(IFERROR(FIND("--",INDIRECT(ADDRESS(25,3,,,"MATCHS"))),FALSE),RIGHT(INDIRECT(ADDRESS(25,3,,,"MATCHS")), FIND("--",INDIRECT(ADDRESS(25,3,,,"MATCHS")),1)),INDIRECT(ADDRESS(25,3,,,"MATCHS"))),,IF(IFERROR(FIND("--",INDIRECT(ADDRESS(39,3,,,"MATCHS"))),FALSE),RIGHT(INDIRECT(ADDRESS(39,3,,,"MATCHS")), FIND("--",INDIRECT(ADDRESS(39,3,,,"MATCHS")),1)),INDIRECT(ADDRESS(39,3,,,"MATCHS"))),,IF(IFERROR(FIND("--",INDIRECT(ADDRESS(53,3,,,"MATCHS"))),FALSE),RIGHT(INDIRECT(ADDRESS(53,3,,,"MATCHS")), FIND("--",INDIRECT(ADDRESS(53,3,,,"MATCHS")),1)),INDIRECT(ADDRESS(53,3,,,"MATCHS"))),,IF(IFERROR(FIND("--",INDIRECT(ADDRESS(67,3,,,"MATCHS"))),FALSE),RIGHT(INDIRECT(ADDRESS(67,3,,,"MATCHS")), FIND("--",INDIRECT(ADDRESS(67,3,,,"MATCHS")),1)),INDIRECT(ADDRESS(67,3,,,"MATCHS"))),,IF(IFERROR(FIND("--",INDIRECT(ADDRESS(81,3,,,"MATCHS"))),FALSE),RIGHT(INDIRECT(ADDRESS(81,3,,,"MATCHS")), FIND("--",INDIRECT(ADDRESS(81,3,,,"MATCHS")),1)),INDIRECT(ADDRESS(81,3,,,"MATCHS"))),,IF(IFERROR(FIND("--",INDIRECT(ADDRESS(95,3,,,"MATCHS"))),FALSE),RIGHT(INDIRECT(ADDRESS(95,3,,,"MATCHS")), FIND("--",INDIRECT(ADDRESS(95,3,,,"MATCHS")),1)),INDIRECT(ADDRESS(95,3,,,"MATCHS"))))</f>
        <v>0</v>
      </c>
      <c r="I26" s="109">
        <f ca="1">SUM(,IF(IFERROR(FIND("--",INDIRECT(ADDRESS(11,5,,,"MATCHS"))),FALSE),RIGHT(INDIRECT(ADDRESS(11,5,,,"MATCHS")), FIND("--",INDIRECT(ADDRESS(11,5,,,"MATCHS")),1)),INDIRECT(ADDRESS(11,5,,,"MATCHS"))),,IF(IFERROR(FIND("--",INDIRECT(ADDRESS(25,5,,,"MATCHS"))),FALSE),RIGHT(INDIRECT(ADDRESS(25,5,,,"MATCHS")), FIND("--",INDIRECT(ADDRESS(25,5,,,"MATCHS")),1)),INDIRECT(ADDRESS(25,5,,,"MATCHS"))),,IF(IFERROR(FIND("--",INDIRECT(ADDRESS(39,5,,,"MATCHS"))),FALSE),RIGHT(INDIRECT(ADDRESS(39,5,,,"MATCHS")), FIND("--",INDIRECT(ADDRESS(39,5,,,"MATCHS")),1)),INDIRECT(ADDRESS(39,5,,,"MATCHS"))),,IF(IFERROR(FIND("--",INDIRECT(ADDRESS(53,5,,,"MATCHS"))),FALSE),RIGHT(INDIRECT(ADDRESS(53,5,,,"MATCHS")), FIND("--",INDIRECT(ADDRESS(53,5,,,"MATCHS")),1)),INDIRECT(ADDRESS(53,5,,,"MATCHS"))),,IF(IFERROR(FIND("--",INDIRECT(ADDRESS(67,5,,,"MATCHS"))),FALSE),RIGHT(INDIRECT(ADDRESS(67,5,,,"MATCHS")), FIND("--",INDIRECT(ADDRESS(67,5,,,"MATCHS")),1)),INDIRECT(ADDRESS(67,5,,,"MATCHS"))),,IF(IFERROR(FIND("--",INDIRECT(ADDRESS(81,5,,,"MATCHS"))),FALSE),RIGHT(INDIRECT(ADDRESS(81,5,,,"MATCHS")), FIND("--",INDIRECT(ADDRESS(81,5,,,"MATCHS")),1)),INDIRECT(ADDRESS(81,5,,,"MATCHS"))),,IF(IFERROR(FIND("--",INDIRECT(ADDRESS(95,5,,,"MATCHS"))),FALSE),RIGHT(INDIRECT(ADDRESS(95,5,,,"MATCHS")), FIND("--",INDIRECT(ADDRESS(95,5,,,"MATCHS")),1)),INDIRECT(ADDRESS(95,5,,,"MATCHS"))))</f>
        <v>0</v>
      </c>
      <c r="J26" s="109">
        <f ca="1">H26 - I26</f>
        <v>0</v>
      </c>
      <c r="K26" s="109">
        <v>0</v>
      </c>
      <c r="L26" s="109">
        <v>1</v>
      </c>
      <c r="M26" s="109"/>
      <c r="N26" s="101" t="str">
        <f>M26 &amp; "SH"</f>
        <v>SH</v>
      </c>
    </row>
    <row r="27" spans="1:14" ht="15.75" x14ac:dyDescent="0.25">
      <c r="A27" s="108"/>
      <c r="B27" s="109">
        <v>2</v>
      </c>
      <c r="C27" s="109" t="s">
        <v>79</v>
      </c>
      <c r="D27" s="109" t="str">
        <f>INSCRITS!C21</f>
        <v>2C</v>
      </c>
      <c r="E27" s="114">
        <f ca="1">SUM(,IF(INDIRECT(ADDRESS(11,5,,,"MATCHS"))&gt;INDIRECT(ADDRESS(11,3,,,"MATCHS")),1,0),,IF(INDIRECT(ADDRESS(26,3,,,"MATCHS"))&gt;INDIRECT(ADDRESS(26,5,,,"MATCHS")),1,0),,IF(INDIRECT(ADDRESS(40,3,,,"MATCHS"))&gt;INDIRECT(ADDRESS(40,5,,,"MATCHS")),1,0),,IF(INDIRECT(ADDRESS(54,3,,,"MATCHS"))&gt;INDIRECT(ADDRESS(54,5,,,"MATCHS")),1,0),,IF(INDIRECT(ADDRESS(68,3,,,"MATCHS"))&gt;INDIRECT(ADDRESS(68,5,,,"MATCHS")),1,0),,IF(INDIRECT(ADDRESS(82,3,,,"MATCHS"))&gt;INDIRECT(ADDRESS(82,5,,,"MATCHS")),1,0),,IF(INDIRECT(ADDRESS(96,3,,,"MATCHS"))&gt;INDIRECT(ADDRESS(96,5,,,"MATCHS")),1,0)) + 0.01 * K27</f>
        <v>0</v>
      </c>
      <c r="F27" s="109">
        <f ca="1">SUM(,IF(INDIRECT(ADDRESS(11,5,,,"MATCHS"))&lt;INDIRECT(ADDRESS(11,3,,,"MATCHS")),1,0),,IF(INDIRECT(ADDRESS(26,3,,,"MATCHS"))&lt;INDIRECT(ADDRESS(26,5,,,"MATCHS")),1,0),,IF(INDIRECT(ADDRESS(40,3,,,"MATCHS"))&lt;INDIRECT(ADDRESS(40,5,,,"MATCHS")),1,0),,IF(INDIRECT(ADDRESS(54,3,,,"MATCHS"))&lt;INDIRECT(ADDRESS(54,5,,,"MATCHS")),1,0),,IF(INDIRECT(ADDRESS(68,3,,,"MATCHS"))&lt;INDIRECT(ADDRESS(68,5,,,"MATCHS")),1,0),,IF(INDIRECT(ADDRESS(82,3,,,"MATCHS"))&lt;INDIRECT(ADDRESS(82,5,,,"MATCHS")),1,0),,IF(INDIRECT(ADDRESS(96,3,,,"MATCHS"))&lt;INDIRECT(ADDRESS(96,5,,,"MATCHS")),1,0))</f>
        <v>0</v>
      </c>
      <c r="G27" s="109">
        <f ca="1">SUM(,IF(IFERROR(FIND("--",INDIRECT(ADDRESS(11,5,,,"MATCHS"))),FALSE),LEFT(INDIRECT(ADDRESS(11,5,,,"MATCHS")), FIND("--",INDIRECT(ADDRESS(11,5,,,"MATCHS")),1)-1),INDIRECT(ADDRESS(11,5,,,"MATCHS"))),,IF(IFERROR(FIND("--",INDIRECT(ADDRESS(26,3,,,"MATCHS"))),FALSE),LEFT(INDIRECT(ADDRESS(26,3,,,"MATCHS")), FIND("--",INDIRECT(ADDRESS(26,3,,,"MATCHS")),1)-1),INDIRECT(ADDRESS(26,3,,,"MATCHS"))),,IF(IFERROR(FIND("--",INDIRECT(ADDRESS(40,3,,,"MATCHS"))),FALSE),LEFT(INDIRECT(ADDRESS(40,3,,,"MATCHS")), FIND("--",INDIRECT(ADDRESS(40,3,,,"MATCHS")),1)-1),INDIRECT(ADDRESS(40,3,,,"MATCHS"))),,IF(IFERROR(FIND("--",INDIRECT(ADDRESS(54,3,,,"MATCHS"))),FALSE),LEFT(INDIRECT(ADDRESS(54,3,,,"MATCHS")), FIND("--",INDIRECT(ADDRESS(54,3,,,"MATCHS")),1)-1),INDIRECT(ADDRESS(54,3,,,"MATCHS"))),,IF(IFERROR(FIND("--",INDIRECT(ADDRESS(68,3,,,"MATCHS"))),FALSE),LEFT(INDIRECT(ADDRESS(68,3,,,"MATCHS")), FIND("--",INDIRECT(ADDRESS(68,3,,,"MATCHS")),1)-1),INDIRECT(ADDRESS(68,3,,,"MATCHS"))),,IF(IFERROR(FIND("--",INDIRECT(ADDRESS(82,3,,,"MATCHS"))),FALSE),LEFT(INDIRECT(ADDRESS(82,3,,,"MATCHS")), FIND("--",INDIRECT(ADDRESS(82,3,,,"MATCHS")),1)-1),INDIRECT(ADDRESS(82,3,,,"MATCHS"))),,IF(IFERROR(FIND("--",INDIRECT(ADDRESS(96,3,,,"MATCHS"))),FALSE),LEFT(INDIRECT(ADDRESS(96,3,,,"MATCHS")), FIND("--",INDIRECT(ADDRESS(96,3,,,"MATCHS")),1)-1),INDIRECT(ADDRESS(96,3,,,"MATCHS"))))</f>
        <v>0</v>
      </c>
      <c r="H27" s="109">
        <f ca="1">SUM(,IF(IFERROR(FIND("--",INDIRECT(ADDRESS(11,5,,,"MATCHS"))),FALSE),RIGHT(INDIRECT(ADDRESS(11,5,,,"MATCHS")), FIND("--",INDIRECT(ADDRESS(11,5,,,"MATCHS")),1)),INDIRECT(ADDRESS(11,5,,,"MATCHS"))),,IF(IFERROR(FIND("--",INDIRECT(ADDRESS(26,3,,,"MATCHS"))),FALSE),RIGHT(INDIRECT(ADDRESS(26,3,,,"MATCHS")), FIND("--",INDIRECT(ADDRESS(26,3,,,"MATCHS")),1)),INDIRECT(ADDRESS(26,3,,,"MATCHS"))),,IF(IFERROR(FIND("--",INDIRECT(ADDRESS(40,3,,,"MATCHS"))),FALSE),RIGHT(INDIRECT(ADDRESS(40,3,,,"MATCHS")), FIND("--",INDIRECT(ADDRESS(40,3,,,"MATCHS")),1)),INDIRECT(ADDRESS(40,3,,,"MATCHS"))),,IF(IFERROR(FIND("--",INDIRECT(ADDRESS(54,3,,,"MATCHS"))),FALSE),RIGHT(INDIRECT(ADDRESS(54,3,,,"MATCHS")), FIND("--",INDIRECT(ADDRESS(54,3,,,"MATCHS")),1)),INDIRECT(ADDRESS(54,3,,,"MATCHS"))),,IF(IFERROR(FIND("--",INDIRECT(ADDRESS(68,3,,,"MATCHS"))),FALSE),RIGHT(INDIRECT(ADDRESS(68,3,,,"MATCHS")), FIND("--",INDIRECT(ADDRESS(68,3,,,"MATCHS")),1)),INDIRECT(ADDRESS(68,3,,,"MATCHS"))),,IF(IFERROR(FIND("--",INDIRECT(ADDRESS(82,3,,,"MATCHS"))),FALSE),RIGHT(INDIRECT(ADDRESS(82,3,,,"MATCHS")), FIND("--",INDIRECT(ADDRESS(82,3,,,"MATCHS")),1)),INDIRECT(ADDRESS(82,3,,,"MATCHS"))),,IF(IFERROR(FIND("--",INDIRECT(ADDRESS(96,3,,,"MATCHS"))),FALSE),RIGHT(INDIRECT(ADDRESS(96,3,,,"MATCHS")), FIND("--",INDIRECT(ADDRESS(96,3,,,"MATCHS")),1)),INDIRECT(ADDRESS(96,3,,,"MATCHS"))))</f>
        <v>0</v>
      </c>
      <c r="I27" s="109">
        <f ca="1">SUM(,IF(IFERROR(FIND("--",INDIRECT(ADDRESS(11,3,,,"MATCHS"))),FALSE),RIGHT(INDIRECT(ADDRESS(11,3,,,"MATCHS")), FIND("--",INDIRECT(ADDRESS(11,3,,,"MATCHS")),1)),INDIRECT(ADDRESS(11,3,,,"MATCHS"))),,IF(IFERROR(FIND("--",INDIRECT(ADDRESS(26,5,,,"MATCHS"))),FALSE),RIGHT(INDIRECT(ADDRESS(26,5,,,"MATCHS")), FIND("--",INDIRECT(ADDRESS(26,5,,,"MATCHS")),1)),INDIRECT(ADDRESS(26,5,,,"MATCHS"))),,IF(IFERROR(FIND("--",INDIRECT(ADDRESS(40,5,,,"MATCHS"))),FALSE),RIGHT(INDIRECT(ADDRESS(40,5,,,"MATCHS")), FIND("--",INDIRECT(ADDRESS(40,5,,,"MATCHS")),1)),INDIRECT(ADDRESS(40,5,,,"MATCHS"))),,IF(IFERROR(FIND("--",INDIRECT(ADDRESS(54,5,,,"MATCHS"))),FALSE),RIGHT(INDIRECT(ADDRESS(54,5,,,"MATCHS")), FIND("--",INDIRECT(ADDRESS(54,5,,,"MATCHS")),1)),INDIRECT(ADDRESS(54,5,,,"MATCHS"))),,IF(IFERROR(FIND("--",INDIRECT(ADDRESS(68,5,,,"MATCHS"))),FALSE),RIGHT(INDIRECT(ADDRESS(68,5,,,"MATCHS")), FIND("--",INDIRECT(ADDRESS(68,5,,,"MATCHS")),1)),INDIRECT(ADDRESS(68,5,,,"MATCHS"))),,IF(IFERROR(FIND("--",INDIRECT(ADDRESS(82,5,,,"MATCHS"))),FALSE),RIGHT(INDIRECT(ADDRESS(82,5,,,"MATCHS")), FIND("--",INDIRECT(ADDRESS(82,5,,,"MATCHS")),1)),INDIRECT(ADDRESS(82,5,,,"MATCHS"))),,IF(IFERROR(FIND("--",INDIRECT(ADDRESS(96,5,,,"MATCHS"))),FALSE),RIGHT(INDIRECT(ADDRESS(96,5,,,"MATCHS")), FIND("--",INDIRECT(ADDRESS(96,5,,,"MATCHS")),1)),INDIRECT(ADDRESS(96,5,,,"MATCHS"))))</f>
        <v>0</v>
      </c>
      <c r="J27" s="109">
        <f ca="1">H27 - I27</f>
        <v>0</v>
      </c>
      <c r="K27" s="109">
        <v>0</v>
      </c>
      <c r="L27" s="109">
        <v>2</v>
      </c>
      <c r="M27" s="109"/>
      <c r="N27" s="101" t="str">
        <f>M27 &amp; "SH"</f>
        <v>SH</v>
      </c>
    </row>
    <row r="28" spans="1:14" ht="15.75" x14ac:dyDescent="0.25">
      <c r="A28" s="108"/>
      <c r="B28" s="109">
        <v>3</v>
      </c>
      <c r="C28" s="109" t="s">
        <v>80</v>
      </c>
      <c r="D28" s="109" t="str">
        <f>INSCRITS!C22</f>
        <v>3C</v>
      </c>
      <c r="E28" s="114">
        <f ca="1">SUM(,IF(INDIRECT(ADDRESS(12,3,,,"MATCHS"))&gt;INDIRECT(ADDRESS(12,5,,,"MATCHS")),1,0),,IF(INDIRECT(ADDRESS(25,5,,,"MATCHS"))&gt;INDIRECT(ADDRESS(25,3,,,"MATCHS")),1,0),,IF(INDIRECT(ADDRESS(40,5,,,"MATCHS"))&gt;INDIRECT(ADDRESS(40,3,,,"MATCHS")),1,0),,IF(INDIRECT(ADDRESS(55,3,,,"MATCHS"))&gt;INDIRECT(ADDRESS(55,5,,,"MATCHS")),1,0),,IF(INDIRECT(ADDRESS(69,3,,,"MATCHS"))&gt;INDIRECT(ADDRESS(69,5,,,"MATCHS")),1,0),,IF(INDIRECT(ADDRESS(83,3,,,"MATCHS"))&gt;INDIRECT(ADDRESS(83,5,,,"MATCHS")),1,0),,IF(INDIRECT(ADDRESS(97,3,,,"MATCHS"))&gt;INDIRECT(ADDRESS(97,5,,,"MATCHS")),1,0)) + 0.01 * K28</f>
        <v>0</v>
      </c>
      <c r="F28" s="109">
        <f ca="1">SUM(,IF(INDIRECT(ADDRESS(12,3,,,"MATCHS"))&lt;INDIRECT(ADDRESS(12,5,,,"MATCHS")),1,0),,IF(INDIRECT(ADDRESS(25,5,,,"MATCHS"))&lt;INDIRECT(ADDRESS(25,3,,,"MATCHS")),1,0),,IF(INDIRECT(ADDRESS(40,5,,,"MATCHS"))&lt;INDIRECT(ADDRESS(40,3,,,"MATCHS")),1,0),,IF(INDIRECT(ADDRESS(55,3,,,"MATCHS"))&lt;INDIRECT(ADDRESS(55,5,,,"MATCHS")),1,0),,IF(INDIRECT(ADDRESS(69,3,,,"MATCHS"))&lt;INDIRECT(ADDRESS(69,5,,,"MATCHS")),1,0),,IF(INDIRECT(ADDRESS(83,3,,,"MATCHS"))&lt;INDIRECT(ADDRESS(83,5,,,"MATCHS")),1,0),,IF(INDIRECT(ADDRESS(97,3,,,"MATCHS"))&lt;INDIRECT(ADDRESS(97,5,,,"MATCHS")),1,0))</f>
        <v>0</v>
      </c>
      <c r="G28" s="109">
        <f ca="1">SUM(,IF(IFERROR(FIND("--",INDIRECT(ADDRESS(12,3,,,"MATCHS"))),FALSE),LEFT(INDIRECT(ADDRESS(12,3,,,"MATCHS")), FIND("--",INDIRECT(ADDRESS(12,3,,,"MATCHS")),1)-1),INDIRECT(ADDRESS(12,3,,,"MATCHS"))),,IF(IFERROR(FIND("--",INDIRECT(ADDRESS(25,5,,,"MATCHS"))),FALSE),LEFT(INDIRECT(ADDRESS(25,5,,,"MATCHS")), FIND("--",INDIRECT(ADDRESS(25,5,,,"MATCHS")),1)-1),INDIRECT(ADDRESS(25,5,,,"MATCHS"))),,IF(IFERROR(FIND("--",INDIRECT(ADDRESS(40,5,,,"MATCHS"))),FALSE),LEFT(INDIRECT(ADDRESS(40,5,,,"MATCHS")), FIND("--",INDIRECT(ADDRESS(40,5,,,"MATCHS")),1)-1),INDIRECT(ADDRESS(40,5,,,"MATCHS"))),,IF(IFERROR(FIND("--",INDIRECT(ADDRESS(55,3,,,"MATCHS"))),FALSE),LEFT(INDIRECT(ADDRESS(55,3,,,"MATCHS")), FIND("--",INDIRECT(ADDRESS(55,3,,,"MATCHS")),1)-1),INDIRECT(ADDRESS(55,3,,,"MATCHS"))),,IF(IFERROR(FIND("--",INDIRECT(ADDRESS(69,3,,,"MATCHS"))),FALSE),LEFT(INDIRECT(ADDRESS(69,3,,,"MATCHS")), FIND("--",INDIRECT(ADDRESS(69,3,,,"MATCHS")),1)-1),INDIRECT(ADDRESS(69,3,,,"MATCHS"))),,IF(IFERROR(FIND("--",INDIRECT(ADDRESS(83,3,,,"MATCHS"))),FALSE),LEFT(INDIRECT(ADDRESS(83,3,,,"MATCHS")), FIND("--",INDIRECT(ADDRESS(83,3,,,"MATCHS")),1)-1),INDIRECT(ADDRESS(83,3,,,"MATCHS"))),,IF(IFERROR(FIND("--",INDIRECT(ADDRESS(97,3,,,"MATCHS"))),FALSE),LEFT(INDIRECT(ADDRESS(97,3,,,"MATCHS")), FIND("--",INDIRECT(ADDRESS(97,3,,,"MATCHS")),1)-1),INDIRECT(ADDRESS(97,3,,,"MATCHS"))))</f>
        <v>0</v>
      </c>
      <c r="H28" s="109">
        <f ca="1">SUM(,IF(IFERROR(FIND("--",INDIRECT(ADDRESS(12,3,,,"MATCHS"))),FALSE),RIGHT(INDIRECT(ADDRESS(12,3,,,"MATCHS")), FIND("--",INDIRECT(ADDRESS(12,3,,,"MATCHS")),1)),INDIRECT(ADDRESS(12,3,,,"MATCHS"))),,IF(IFERROR(FIND("--",INDIRECT(ADDRESS(25,5,,,"MATCHS"))),FALSE),RIGHT(INDIRECT(ADDRESS(25,5,,,"MATCHS")), FIND("--",INDIRECT(ADDRESS(25,5,,,"MATCHS")),1)),INDIRECT(ADDRESS(25,5,,,"MATCHS"))),,IF(IFERROR(FIND("--",INDIRECT(ADDRESS(40,5,,,"MATCHS"))),FALSE),RIGHT(INDIRECT(ADDRESS(40,5,,,"MATCHS")), FIND("--",INDIRECT(ADDRESS(40,5,,,"MATCHS")),1)),INDIRECT(ADDRESS(40,5,,,"MATCHS"))),,IF(IFERROR(FIND("--",INDIRECT(ADDRESS(55,3,,,"MATCHS"))),FALSE),RIGHT(INDIRECT(ADDRESS(55,3,,,"MATCHS")), FIND("--",INDIRECT(ADDRESS(55,3,,,"MATCHS")),1)),INDIRECT(ADDRESS(55,3,,,"MATCHS"))),,IF(IFERROR(FIND("--",INDIRECT(ADDRESS(69,3,,,"MATCHS"))),FALSE),RIGHT(INDIRECT(ADDRESS(69,3,,,"MATCHS")), FIND("--",INDIRECT(ADDRESS(69,3,,,"MATCHS")),1)),INDIRECT(ADDRESS(69,3,,,"MATCHS"))),,IF(IFERROR(FIND("--",INDIRECT(ADDRESS(83,3,,,"MATCHS"))),FALSE),RIGHT(INDIRECT(ADDRESS(83,3,,,"MATCHS")), FIND("--",INDIRECT(ADDRESS(83,3,,,"MATCHS")),1)),INDIRECT(ADDRESS(83,3,,,"MATCHS"))),,IF(IFERROR(FIND("--",INDIRECT(ADDRESS(97,3,,,"MATCHS"))),FALSE),RIGHT(INDIRECT(ADDRESS(97,3,,,"MATCHS")), FIND("--",INDIRECT(ADDRESS(97,3,,,"MATCHS")),1)),INDIRECT(ADDRESS(97,3,,,"MATCHS"))))</f>
        <v>0</v>
      </c>
      <c r="I28" s="109">
        <f ca="1">SUM(,IF(IFERROR(FIND("--",INDIRECT(ADDRESS(12,5,,,"MATCHS"))),FALSE),RIGHT(INDIRECT(ADDRESS(12,5,,,"MATCHS")), FIND("--",INDIRECT(ADDRESS(12,5,,,"MATCHS")),1)),INDIRECT(ADDRESS(12,5,,,"MATCHS"))),,IF(IFERROR(FIND("--",INDIRECT(ADDRESS(25,3,,,"MATCHS"))),FALSE),RIGHT(INDIRECT(ADDRESS(25,3,,,"MATCHS")), FIND("--",INDIRECT(ADDRESS(25,3,,,"MATCHS")),1)),INDIRECT(ADDRESS(25,3,,,"MATCHS"))),,IF(IFERROR(FIND("--",INDIRECT(ADDRESS(40,3,,,"MATCHS"))),FALSE),RIGHT(INDIRECT(ADDRESS(40,3,,,"MATCHS")), FIND("--",INDIRECT(ADDRESS(40,3,,,"MATCHS")),1)),INDIRECT(ADDRESS(40,3,,,"MATCHS"))),,IF(IFERROR(FIND("--",INDIRECT(ADDRESS(55,5,,,"MATCHS"))),FALSE),RIGHT(INDIRECT(ADDRESS(55,5,,,"MATCHS")), FIND("--",INDIRECT(ADDRESS(55,5,,,"MATCHS")),1)),INDIRECT(ADDRESS(55,5,,,"MATCHS"))),,IF(IFERROR(FIND("--",INDIRECT(ADDRESS(69,5,,,"MATCHS"))),FALSE),RIGHT(INDIRECT(ADDRESS(69,5,,,"MATCHS")), FIND("--",INDIRECT(ADDRESS(69,5,,,"MATCHS")),1)),INDIRECT(ADDRESS(69,5,,,"MATCHS"))),,IF(IFERROR(FIND("--",INDIRECT(ADDRESS(83,5,,,"MATCHS"))),FALSE),RIGHT(INDIRECT(ADDRESS(83,5,,,"MATCHS")), FIND("--",INDIRECT(ADDRESS(83,5,,,"MATCHS")),1)),INDIRECT(ADDRESS(83,5,,,"MATCHS"))),,IF(IFERROR(FIND("--",INDIRECT(ADDRESS(97,5,,,"MATCHS"))),FALSE),RIGHT(INDIRECT(ADDRESS(97,5,,,"MATCHS")), FIND("--",INDIRECT(ADDRESS(97,5,,,"MATCHS")),1)),INDIRECT(ADDRESS(97,5,,,"MATCHS"))))</f>
        <v>0</v>
      </c>
      <c r="J28" s="109">
        <f ca="1">H28 - I28</f>
        <v>0</v>
      </c>
      <c r="K28" s="109">
        <v>0</v>
      </c>
      <c r="L28" s="109">
        <v>3</v>
      </c>
      <c r="M28" s="109"/>
      <c r="N28" s="101" t="str">
        <f>M28 &amp; "SH"</f>
        <v>SH</v>
      </c>
    </row>
    <row r="29" spans="1:14" ht="15.75" x14ac:dyDescent="0.25">
      <c r="A29" s="108"/>
      <c r="B29" s="109">
        <v>4</v>
      </c>
      <c r="C29" s="109" t="s">
        <v>81</v>
      </c>
      <c r="D29" s="109" t="str">
        <f>INSCRITS!C23</f>
        <v>4C</v>
      </c>
      <c r="E29" s="114">
        <f ca="1">SUM(,IF(INDIRECT(ADDRESS(12,5,,,"MATCHS"))&gt;INDIRECT(ADDRESS(12,3,,,"MATCHS")),1,0),,IF(INDIRECT(ADDRESS(26,5,,,"MATCHS"))&gt;INDIRECT(ADDRESS(26,3,,,"MATCHS")),1,0),,IF(INDIRECT(ADDRESS(39,5,,,"MATCHS"))&gt;INDIRECT(ADDRESS(39,3,,,"MATCHS")),1,0),,IF(INDIRECT(ADDRESS(56,3,,,"MATCHS"))&gt;INDIRECT(ADDRESS(56,5,,,"MATCHS")),1,0),,IF(INDIRECT(ADDRESS(70,3,,,"MATCHS"))&gt;INDIRECT(ADDRESS(70,5,,,"MATCHS")),1,0),,IF(INDIRECT(ADDRESS(84,3,,,"MATCHS"))&gt;INDIRECT(ADDRESS(84,5,,,"MATCHS")),1,0),,IF(INDIRECT(ADDRESS(98,3,,,"MATCHS"))&gt;INDIRECT(ADDRESS(98,5,,,"MATCHS")),1,0)) + 0.01 * K29</f>
        <v>0</v>
      </c>
      <c r="F29" s="109">
        <f ca="1">SUM(,IF(INDIRECT(ADDRESS(12,5,,,"MATCHS"))&lt;INDIRECT(ADDRESS(12,3,,,"MATCHS")),1,0),,IF(INDIRECT(ADDRESS(26,5,,,"MATCHS"))&lt;INDIRECT(ADDRESS(26,3,,,"MATCHS")),1,0),,IF(INDIRECT(ADDRESS(39,5,,,"MATCHS"))&lt;INDIRECT(ADDRESS(39,3,,,"MATCHS")),1,0),,IF(INDIRECT(ADDRESS(56,3,,,"MATCHS"))&lt;INDIRECT(ADDRESS(56,5,,,"MATCHS")),1,0),,IF(INDIRECT(ADDRESS(70,3,,,"MATCHS"))&lt;INDIRECT(ADDRESS(70,5,,,"MATCHS")),1,0),,IF(INDIRECT(ADDRESS(84,3,,,"MATCHS"))&lt;INDIRECT(ADDRESS(84,5,,,"MATCHS")),1,0),,IF(INDIRECT(ADDRESS(98,3,,,"MATCHS"))&lt;INDIRECT(ADDRESS(98,5,,,"MATCHS")),1,0))</f>
        <v>0</v>
      </c>
      <c r="G29" s="109">
        <f ca="1">SUM(,IF(IFERROR(FIND("--",INDIRECT(ADDRESS(12,5,,,"MATCHS"))),FALSE),LEFT(INDIRECT(ADDRESS(12,5,,,"MATCHS")), FIND("--",INDIRECT(ADDRESS(12,5,,,"MATCHS")),1)-1),INDIRECT(ADDRESS(12,5,,,"MATCHS"))),,IF(IFERROR(FIND("--",INDIRECT(ADDRESS(26,5,,,"MATCHS"))),FALSE),LEFT(INDIRECT(ADDRESS(26,5,,,"MATCHS")), FIND("--",INDIRECT(ADDRESS(26,5,,,"MATCHS")),1)-1),INDIRECT(ADDRESS(26,5,,,"MATCHS"))),,IF(IFERROR(FIND("--",INDIRECT(ADDRESS(39,5,,,"MATCHS"))),FALSE),LEFT(INDIRECT(ADDRESS(39,5,,,"MATCHS")), FIND("--",INDIRECT(ADDRESS(39,5,,,"MATCHS")),1)-1),INDIRECT(ADDRESS(39,5,,,"MATCHS"))),,IF(IFERROR(FIND("--",INDIRECT(ADDRESS(56,3,,,"MATCHS"))),FALSE),LEFT(INDIRECT(ADDRESS(56,3,,,"MATCHS")), FIND("--",INDIRECT(ADDRESS(56,3,,,"MATCHS")),1)-1),INDIRECT(ADDRESS(56,3,,,"MATCHS"))),,IF(IFERROR(FIND("--",INDIRECT(ADDRESS(70,3,,,"MATCHS"))),FALSE),LEFT(INDIRECT(ADDRESS(70,3,,,"MATCHS")), FIND("--",INDIRECT(ADDRESS(70,3,,,"MATCHS")),1)-1),INDIRECT(ADDRESS(70,3,,,"MATCHS"))),,IF(IFERROR(FIND("--",INDIRECT(ADDRESS(84,3,,,"MATCHS"))),FALSE),LEFT(INDIRECT(ADDRESS(84,3,,,"MATCHS")), FIND("--",INDIRECT(ADDRESS(84,3,,,"MATCHS")),1)-1),INDIRECT(ADDRESS(84,3,,,"MATCHS"))),,IF(IFERROR(FIND("--",INDIRECT(ADDRESS(98,3,,,"MATCHS"))),FALSE),LEFT(INDIRECT(ADDRESS(98,3,,,"MATCHS")), FIND("--",INDIRECT(ADDRESS(98,3,,,"MATCHS")),1)-1),INDIRECT(ADDRESS(98,3,,,"MATCHS"))))</f>
        <v>0</v>
      </c>
      <c r="H29" s="109">
        <f ca="1">SUM(,IF(IFERROR(FIND("--",INDIRECT(ADDRESS(12,5,,,"MATCHS"))),FALSE),RIGHT(INDIRECT(ADDRESS(12,5,,,"MATCHS")), FIND("--",INDIRECT(ADDRESS(12,5,,,"MATCHS")),1)),INDIRECT(ADDRESS(12,5,,,"MATCHS"))),,IF(IFERROR(FIND("--",INDIRECT(ADDRESS(26,5,,,"MATCHS"))),FALSE),RIGHT(INDIRECT(ADDRESS(26,5,,,"MATCHS")), FIND("--",INDIRECT(ADDRESS(26,5,,,"MATCHS")),1)),INDIRECT(ADDRESS(26,5,,,"MATCHS"))),,IF(IFERROR(FIND("--",INDIRECT(ADDRESS(39,5,,,"MATCHS"))),FALSE),RIGHT(INDIRECT(ADDRESS(39,5,,,"MATCHS")), FIND("--",INDIRECT(ADDRESS(39,5,,,"MATCHS")),1)),INDIRECT(ADDRESS(39,5,,,"MATCHS"))),,IF(IFERROR(FIND("--",INDIRECT(ADDRESS(56,3,,,"MATCHS"))),FALSE),RIGHT(INDIRECT(ADDRESS(56,3,,,"MATCHS")), FIND("--",INDIRECT(ADDRESS(56,3,,,"MATCHS")),1)),INDIRECT(ADDRESS(56,3,,,"MATCHS"))),,IF(IFERROR(FIND("--",INDIRECT(ADDRESS(70,3,,,"MATCHS"))),FALSE),RIGHT(INDIRECT(ADDRESS(70,3,,,"MATCHS")), FIND("--",INDIRECT(ADDRESS(70,3,,,"MATCHS")),1)),INDIRECT(ADDRESS(70,3,,,"MATCHS"))),,IF(IFERROR(FIND("--",INDIRECT(ADDRESS(84,3,,,"MATCHS"))),FALSE),RIGHT(INDIRECT(ADDRESS(84,3,,,"MATCHS")), FIND("--",INDIRECT(ADDRESS(84,3,,,"MATCHS")),1)),INDIRECT(ADDRESS(84,3,,,"MATCHS"))),,IF(IFERROR(FIND("--",INDIRECT(ADDRESS(98,3,,,"MATCHS"))),FALSE),RIGHT(INDIRECT(ADDRESS(98,3,,,"MATCHS")), FIND("--",INDIRECT(ADDRESS(98,3,,,"MATCHS")),1)),INDIRECT(ADDRESS(98,3,,,"MATCHS"))))</f>
        <v>0</v>
      </c>
      <c r="I29" s="109">
        <f ca="1">SUM(,IF(IFERROR(FIND("--",INDIRECT(ADDRESS(12,3,,,"MATCHS"))),FALSE),RIGHT(INDIRECT(ADDRESS(12,3,,,"MATCHS")), FIND("--",INDIRECT(ADDRESS(12,3,,,"MATCHS")),1)),INDIRECT(ADDRESS(12,3,,,"MATCHS"))),,IF(IFERROR(FIND("--",INDIRECT(ADDRESS(26,3,,,"MATCHS"))),FALSE),RIGHT(INDIRECT(ADDRESS(26,3,,,"MATCHS")), FIND("--",INDIRECT(ADDRESS(26,3,,,"MATCHS")),1)),INDIRECT(ADDRESS(26,3,,,"MATCHS"))),,IF(IFERROR(FIND("--",INDIRECT(ADDRESS(39,3,,,"MATCHS"))),FALSE),RIGHT(INDIRECT(ADDRESS(39,3,,,"MATCHS")), FIND("--",INDIRECT(ADDRESS(39,3,,,"MATCHS")),1)),INDIRECT(ADDRESS(39,3,,,"MATCHS"))),,IF(IFERROR(FIND("--",INDIRECT(ADDRESS(56,5,,,"MATCHS"))),FALSE),RIGHT(INDIRECT(ADDRESS(56,5,,,"MATCHS")), FIND("--",INDIRECT(ADDRESS(56,5,,,"MATCHS")),1)),INDIRECT(ADDRESS(56,5,,,"MATCHS"))),,IF(IFERROR(FIND("--",INDIRECT(ADDRESS(70,5,,,"MATCHS"))),FALSE),RIGHT(INDIRECT(ADDRESS(70,5,,,"MATCHS")), FIND("--",INDIRECT(ADDRESS(70,5,,,"MATCHS")),1)),INDIRECT(ADDRESS(70,5,,,"MATCHS"))),,IF(IFERROR(FIND("--",INDIRECT(ADDRESS(84,5,,,"MATCHS"))),FALSE),RIGHT(INDIRECT(ADDRESS(84,5,,,"MATCHS")), FIND("--",INDIRECT(ADDRESS(84,5,,,"MATCHS")),1)),INDIRECT(ADDRESS(84,5,,,"MATCHS"))),,IF(IFERROR(FIND("--",INDIRECT(ADDRESS(98,5,,,"MATCHS"))),FALSE),RIGHT(INDIRECT(ADDRESS(98,5,,,"MATCHS")), FIND("--",INDIRECT(ADDRESS(98,5,,,"MATCHS")),1)),INDIRECT(ADDRESS(98,5,,,"MATCHS"))))</f>
        <v>0</v>
      </c>
      <c r="J29" s="109">
        <f ca="1">H29 - I29</f>
        <v>0</v>
      </c>
      <c r="K29" s="109">
        <v>0</v>
      </c>
      <c r="L29" s="109">
        <v>4</v>
      </c>
      <c r="M29" s="109"/>
      <c r="N29" s="101" t="str">
        <f>M29 &amp; "SH"</f>
        <v>SH</v>
      </c>
    </row>
    <row r="30" spans="1:14" ht="15.75" x14ac:dyDescent="0.25">
      <c r="A30" s="108"/>
      <c r="B30" s="109">
        <v>5</v>
      </c>
      <c r="C30" s="109" t="s">
        <v>82</v>
      </c>
      <c r="D30" s="109" t="str">
        <f>INSCRITS!C24</f>
        <v>5C</v>
      </c>
      <c r="E30" s="114">
        <f ca="1">SUM(,IF(INDIRECT(ADDRESS(13,3,,,"MATCHS"))&gt;INDIRECT(ADDRESS(13,5,,,"MATCHS")),1,0),,IF(INDIRECT(ADDRESS(27,3,,,"MATCHS"))&gt;INDIRECT(ADDRESS(27,5,,,"MATCHS")),1,0),,IF(INDIRECT(ADDRESS(41,3,,,"MATCHS"))&gt;INDIRECT(ADDRESS(41,5,,,"MATCHS")),1,0),,IF(INDIRECT(ADDRESS(53,5,,,"MATCHS"))&gt;INDIRECT(ADDRESS(53,3,,,"MATCHS")),1,0),,IF(INDIRECT(ADDRESS(68,5,,,"MATCHS"))&gt;INDIRECT(ADDRESS(68,3,,,"MATCHS")),1,0),,IF(INDIRECT(ADDRESS(83,5,,,"MATCHS"))&gt;INDIRECT(ADDRESS(83,3,,,"MATCHS")),1,0),,IF(INDIRECT(ADDRESS(98,5,,,"MATCHS"))&gt;INDIRECT(ADDRESS(98,3,,,"MATCHS")),1,0)) + 0.01 * K30</f>
        <v>0</v>
      </c>
      <c r="F30" s="109">
        <f ca="1">SUM(,IF(INDIRECT(ADDRESS(13,3,,,"MATCHS"))&lt;INDIRECT(ADDRESS(13,5,,,"MATCHS")),1,0),,IF(INDIRECT(ADDRESS(27,3,,,"MATCHS"))&lt;INDIRECT(ADDRESS(27,5,,,"MATCHS")),1,0),,IF(INDIRECT(ADDRESS(41,3,,,"MATCHS"))&lt;INDIRECT(ADDRESS(41,5,,,"MATCHS")),1,0),,IF(INDIRECT(ADDRESS(53,5,,,"MATCHS"))&lt;INDIRECT(ADDRESS(53,3,,,"MATCHS")),1,0),,IF(INDIRECT(ADDRESS(68,5,,,"MATCHS"))&lt;INDIRECT(ADDRESS(68,3,,,"MATCHS")),1,0),,IF(INDIRECT(ADDRESS(83,5,,,"MATCHS"))&lt;INDIRECT(ADDRESS(83,3,,,"MATCHS")),1,0),,IF(INDIRECT(ADDRESS(98,5,,,"MATCHS"))&lt;INDIRECT(ADDRESS(98,3,,,"MATCHS")),1,0))</f>
        <v>0</v>
      </c>
      <c r="G30" s="109">
        <f ca="1">SUM(,IF(IFERROR(FIND("--",INDIRECT(ADDRESS(13,3,,,"MATCHS"))),FALSE),LEFT(INDIRECT(ADDRESS(13,3,,,"MATCHS")), FIND("--",INDIRECT(ADDRESS(13,3,,,"MATCHS")),1)-1),INDIRECT(ADDRESS(13,3,,,"MATCHS"))),,IF(IFERROR(FIND("--",INDIRECT(ADDRESS(27,3,,,"MATCHS"))),FALSE),LEFT(INDIRECT(ADDRESS(27,3,,,"MATCHS")), FIND("--",INDIRECT(ADDRESS(27,3,,,"MATCHS")),1)-1),INDIRECT(ADDRESS(27,3,,,"MATCHS"))),,IF(IFERROR(FIND("--",INDIRECT(ADDRESS(41,3,,,"MATCHS"))),FALSE),LEFT(INDIRECT(ADDRESS(41,3,,,"MATCHS")), FIND("--",INDIRECT(ADDRESS(41,3,,,"MATCHS")),1)-1),INDIRECT(ADDRESS(41,3,,,"MATCHS"))),,IF(IFERROR(FIND("--",INDIRECT(ADDRESS(53,5,,,"MATCHS"))),FALSE),LEFT(INDIRECT(ADDRESS(53,5,,,"MATCHS")), FIND("--",INDIRECT(ADDRESS(53,5,,,"MATCHS")),1)-1),INDIRECT(ADDRESS(53,5,,,"MATCHS"))),,IF(IFERROR(FIND("--",INDIRECT(ADDRESS(68,5,,,"MATCHS"))),FALSE),LEFT(INDIRECT(ADDRESS(68,5,,,"MATCHS")), FIND("--",INDIRECT(ADDRESS(68,5,,,"MATCHS")),1)-1),INDIRECT(ADDRESS(68,5,,,"MATCHS"))),,IF(IFERROR(FIND("--",INDIRECT(ADDRESS(83,5,,,"MATCHS"))),FALSE),LEFT(INDIRECT(ADDRESS(83,5,,,"MATCHS")), FIND("--",INDIRECT(ADDRESS(83,5,,,"MATCHS")),1)-1),INDIRECT(ADDRESS(83,5,,,"MATCHS"))),,IF(IFERROR(FIND("--",INDIRECT(ADDRESS(98,5,,,"MATCHS"))),FALSE),LEFT(INDIRECT(ADDRESS(98,5,,,"MATCHS")), FIND("--",INDIRECT(ADDRESS(98,5,,,"MATCHS")),1)-1),INDIRECT(ADDRESS(98,5,,,"MATCHS"))))</f>
        <v>0</v>
      </c>
      <c r="H30" s="109">
        <f ca="1">SUM(,IF(IFERROR(FIND("--",INDIRECT(ADDRESS(13,3,,,"MATCHS"))),FALSE),RIGHT(INDIRECT(ADDRESS(13,3,,,"MATCHS")), FIND("--",INDIRECT(ADDRESS(13,3,,,"MATCHS")),1)),INDIRECT(ADDRESS(13,3,,,"MATCHS"))),,IF(IFERROR(FIND("--",INDIRECT(ADDRESS(27,3,,,"MATCHS"))),FALSE),RIGHT(INDIRECT(ADDRESS(27,3,,,"MATCHS")), FIND("--",INDIRECT(ADDRESS(27,3,,,"MATCHS")),1)),INDIRECT(ADDRESS(27,3,,,"MATCHS"))),,IF(IFERROR(FIND("--",INDIRECT(ADDRESS(41,3,,,"MATCHS"))),FALSE),RIGHT(INDIRECT(ADDRESS(41,3,,,"MATCHS")), FIND("--",INDIRECT(ADDRESS(41,3,,,"MATCHS")),1)),INDIRECT(ADDRESS(41,3,,,"MATCHS"))),,IF(IFERROR(FIND("--",INDIRECT(ADDRESS(53,5,,,"MATCHS"))),FALSE),RIGHT(INDIRECT(ADDRESS(53,5,,,"MATCHS")), FIND("--",INDIRECT(ADDRESS(53,5,,,"MATCHS")),1)),INDIRECT(ADDRESS(53,5,,,"MATCHS"))),,IF(IFERROR(FIND("--",INDIRECT(ADDRESS(68,5,,,"MATCHS"))),FALSE),RIGHT(INDIRECT(ADDRESS(68,5,,,"MATCHS")), FIND("--",INDIRECT(ADDRESS(68,5,,,"MATCHS")),1)),INDIRECT(ADDRESS(68,5,,,"MATCHS"))),,IF(IFERROR(FIND("--",INDIRECT(ADDRESS(83,5,,,"MATCHS"))),FALSE),RIGHT(INDIRECT(ADDRESS(83,5,,,"MATCHS")), FIND("--",INDIRECT(ADDRESS(83,5,,,"MATCHS")),1)),INDIRECT(ADDRESS(83,5,,,"MATCHS"))),,IF(IFERROR(FIND("--",INDIRECT(ADDRESS(98,5,,,"MATCHS"))),FALSE),RIGHT(INDIRECT(ADDRESS(98,5,,,"MATCHS")), FIND("--",INDIRECT(ADDRESS(98,5,,,"MATCHS")),1)),INDIRECT(ADDRESS(98,5,,,"MATCHS"))))</f>
        <v>0</v>
      </c>
      <c r="I30" s="109">
        <f ca="1">SUM(,IF(IFERROR(FIND("--",INDIRECT(ADDRESS(13,5,,,"MATCHS"))),FALSE),RIGHT(INDIRECT(ADDRESS(13,5,,,"MATCHS")), FIND("--",INDIRECT(ADDRESS(13,5,,,"MATCHS")),1)),INDIRECT(ADDRESS(13,5,,,"MATCHS"))),,IF(IFERROR(FIND("--",INDIRECT(ADDRESS(27,5,,,"MATCHS"))),FALSE),RIGHT(INDIRECT(ADDRESS(27,5,,,"MATCHS")), FIND("--",INDIRECT(ADDRESS(27,5,,,"MATCHS")),1)),INDIRECT(ADDRESS(27,5,,,"MATCHS"))),,IF(IFERROR(FIND("--",INDIRECT(ADDRESS(41,5,,,"MATCHS"))),FALSE),RIGHT(INDIRECT(ADDRESS(41,5,,,"MATCHS")), FIND("--",INDIRECT(ADDRESS(41,5,,,"MATCHS")),1)),INDIRECT(ADDRESS(41,5,,,"MATCHS"))),,IF(IFERROR(FIND("--",INDIRECT(ADDRESS(53,3,,,"MATCHS"))),FALSE),RIGHT(INDIRECT(ADDRESS(53,3,,,"MATCHS")), FIND("--",INDIRECT(ADDRESS(53,3,,,"MATCHS")),1)),INDIRECT(ADDRESS(53,3,,,"MATCHS"))),,IF(IFERROR(FIND("--",INDIRECT(ADDRESS(68,3,,,"MATCHS"))),FALSE),RIGHT(INDIRECT(ADDRESS(68,3,,,"MATCHS")), FIND("--",INDIRECT(ADDRESS(68,3,,,"MATCHS")),1)),INDIRECT(ADDRESS(68,3,,,"MATCHS"))),,IF(IFERROR(FIND("--",INDIRECT(ADDRESS(83,3,,,"MATCHS"))),FALSE),RIGHT(INDIRECT(ADDRESS(83,3,,,"MATCHS")), FIND("--",INDIRECT(ADDRESS(83,3,,,"MATCHS")),1)),INDIRECT(ADDRESS(83,3,,,"MATCHS"))),,IF(IFERROR(FIND("--",INDIRECT(ADDRESS(98,3,,,"MATCHS"))),FALSE),RIGHT(INDIRECT(ADDRESS(98,3,,,"MATCHS")), FIND("--",INDIRECT(ADDRESS(98,3,,,"MATCHS")),1)),INDIRECT(ADDRESS(98,3,,,"MATCHS"))))</f>
        <v>0</v>
      </c>
      <c r="J30" s="109">
        <f ca="1">H30 - I30</f>
        <v>0</v>
      </c>
      <c r="K30" s="109">
        <v>0</v>
      </c>
      <c r="L30" s="109">
        <v>5</v>
      </c>
      <c r="M30" s="109"/>
      <c r="N30" s="101" t="str">
        <f>M30 &amp; "SH"</f>
        <v>SH</v>
      </c>
    </row>
    <row r="31" spans="1:14" ht="15.75" x14ac:dyDescent="0.25">
      <c r="A31" s="108"/>
      <c r="B31" s="109">
        <v>6</v>
      </c>
      <c r="C31" s="109" t="s">
        <v>83</v>
      </c>
      <c r="D31" s="109" t="str">
        <f>INSCRITS!C25</f>
        <v>6C</v>
      </c>
      <c r="E31" s="114">
        <f ca="1">SUM(,IF(INDIRECT(ADDRESS(13,5,,,"MATCHS"))&gt;INDIRECT(ADDRESS(13,3,,,"MATCHS")),1,0),,IF(INDIRECT(ADDRESS(28,3,,,"MATCHS"))&gt;INDIRECT(ADDRESS(28,5,,,"MATCHS")),1,0),,IF(INDIRECT(ADDRESS(42,3,,,"MATCHS"))&gt;INDIRECT(ADDRESS(42,5,,,"MATCHS")),1,0),,IF(INDIRECT(ADDRESS(54,5,,,"MATCHS"))&gt;INDIRECT(ADDRESS(54,3,,,"MATCHS")),1,0),,IF(INDIRECT(ADDRESS(67,5,,,"MATCHS"))&gt;INDIRECT(ADDRESS(67,3,,,"MATCHS")),1,0),,IF(INDIRECT(ADDRESS(84,5,,,"MATCHS"))&gt;INDIRECT(ADDRESS(84,3,,,"MATCHS")),1,0),,IF(INDIRECT(ADDRESS(97,5,,,"MATCHS"))&gt;INDIRECT(ADDRESS(97,3,,,"MATCHS")),1,0)) + 0.01 * K31</f>
        <v>0</v>
      </c>
      <c r="F31" s="109">
        <f ca="1">SUM(,IF(INDIRECT(ADDRESS(13,5,,,"MATCHS"))&lt;INDIRECT(ADDRESS(13,3,,,"MATCHS")),1,0),,IF(INDIRECT(ADDRESS(28,3,,,"MATCHS"))&lt;INDIRECT(ADDRESS(28,5,,,"MATCHS")),1,0),,IF(INDIRECT(ADDRESS(42,3,,,"MATCHS"))&lt;INDIRECT(ADDRESS(42,5,,,"MATCHS")),1,0),,IF(INDIRECT(ADDRESS(54,5,,,"MATCHS"))&lt;INDIRECT(ADDRESS(54,3,,,"MATCHS")),1,0),,IF(INDIRECT(ADDRESS(67,5,,,"MATCHS"))&lt;INDIRECT(ADDRESS(67,3,,,"MATCHS")),1,0),,IF(INDIRECT(ADDRESS(84,5,,,"MATCHS"))&lt;INDIRECT(ADDRESS(84,3,,,"MATCHS")),1,0),,IF(INDIRECT(ADDRESS(97,5,,,"MATCHS"))&lt;INDIRECT(ADDRESS(97,3,,,"MATCHS")),1,0))</f>
        <v>0</v>
      </c>
      <c r="G31" s="109">
        <f ca="1">SUM(,IF(IFERROR(FIND("--",INDIRECT(ADDRESS(13,5,,,"MATCHS"))),FALSE),LEFT(INDIRECT(ADDRESS(13,5,,,"MATCHS")), FIND("--",INDIRECT(ADDRESS(13,5,,,"MATCHS")),1)-1),INDIRECT(ADDRESS(13,5,,,"MATCHS"))),,IF(IFERROR(FIND("--",INDIRECT(ADDRESS(28,3,,,"MATCHS"))),FALSE),LEFT(INDIRECT(ADDRESS(28,3,,,"MATCHS")), FIND("--",INDIRECT(ADDRESS(28,3,,,"MATCHS")),1)-1),INDIRECT(ADDRESS(28,3,,,"MATCHS"))),,IF(IFERROR(FIND("--",INDIRECT(ADDRESS(42,3,,,"MATCHS"))),FALSE),LEFT(INDIRECT(ADDRESS(42,3,,,"MATCHS")), FIND("--",INDIRECT(ADDRESS(42,3,,,"MATCHS")),1)-1),INDIRECT(ADDRESS(42,3,,,"MATCHS"))),,IF(IFERROR(FIND("--",INDIRECT(ADDRESS(54,5,,,"MATCHS"))),FALSE),LEFT(INDIRECT(ADDRESS(54,5,,,"MATCHS")), FIND("--",INDIRECT(ADDRESS(54,5,,,"MATCHS")),1)-1),INDIRECT(ADDRESS(54,5,,,"MATCHS"))),,IF(IFERROR(FIND("--",INDIRECT(ADDRESS(67,5,,,"MATCHS"))),FALSE),LEFT(INDIRECT(ADDRESS(67,5,,,"MATCHS")), FIND("--",INDIRECT(ADDRESS(67,5,,,"MATCHS")),1)-1),INDIRECT(ADDRESS(67,5,,,"MATCHS"))),,IF(IFERROR(FIND("--",INDIRECT(ADDRESS(84,5,,,"MATCHS"))),FALSE),LEFT(INDIRECT(ADDRESS(84,5,,,"MATCHS")), FIND("--",INDIRECT(ADDRESS(84,5,,,"MATCHS")),1)-1),INDIRECT(ADDRESS(84,5,,,"MATCHS"))),,IF(IFERROR(FIND("--",INDIRECT(ADDRESS(97,5,,,"MATCHS"))),FALSE),LEFT(INDIRECT(ADDRESS(97,5,,,"MATCHS")), FIND("--",INDIRECT(ADDRESS(97,5,,,"MATCHS")),1)-1),INDIRECT(ADDRESS(97,5,,,"MATCHS"))))</f>
        <v>0</v>
      </c>
      <c r="H31" s="109">
        <f ca="1">SUM(,IF(IFERROR(FIND("--",INDIRECT(ADDRESS(13,5,,,"MATCHS"))),FALSE),RIGHT(INDIRECT(ADDRESS(13,5,,,"MATCHS")), FIND("--",INDIRECT(ADDRESS(13,5,,,"MATCHS")),1)),INDIRECT(ADDRESS(13,5,,,"MATCHS"))),,IF(IFERROR(FIND("--",INDIRECT(ADDRESS(28,3,,,"MATCHS"))),FALSE),RIGHT(INDIRECT(ADDRESS(28,3,,,"MATCHS")), FIND("--",INDIRECT(ADDRESS(28,3,,,"MATCHS")),1)),INDIRECT(ADDRESS(28,3,,,"MATCHS"))),,IF(IFERROR(FIND("--",INDIRECT(ADDRESS(42,3,,,"MATCHS"))),FALSE),RIGHT(INDIRECT(ADDRESS(42,3,,,"MATCHS")), FIND("--",INDIRECT(ADDRESS(42,3,,,"MATCHS")),1)),INDIRECT(ADDRESS(42,3,,,"MATCHS"))),,IF(IFERROR(FIND("--",INDIRECT(ADDRESS(54,5,,,"MATCHS"))),FALSE),RIGHT(INDIRECT(ADDRESS(54,5,,,"MATCHS")), FIND("--",INDIRECT(ADDRESS(54,5,,,"MATCHS")),1)),INDIRECT(ADDRESS(54,5,,,"MATCHS"))),,IF(IFERROR(FIND("--",INDIRECT(ADDRESS(67,5,,,"MATCHS"))),FALSE),RIGHT(INDIRECT(ADDRESS(67,5,,,"MATCHS")), FIND("--",INDIRECT(ADDRESS(67,5,,,"MATCHS")),1)),INDIRECT(ADDRESS(67,5,,,"MATCHS"))),,IF(IFERROR(FIND("--",INDIRECT(ADDRESS(84,5,,,"MATCHS"))),FALSE),RIGHT(INDIRECT(ADDRESS(84,5,,,"MATCHS")), FIND("--",INDIRECT(ADDRESS(84,5,,,"MATCHS")),1)),INDIRECT(ADDRESS(84,5,,,"MATCHS"))),,IF(IFERROR(FIND("--",INDIRECT(ADDRESS(97,5,,,"MATCHS"))),FALSE),RIGHT(INDIRECT(ADDRESS(97,5,,,"MATCHS")), FIND("--",INDIRECT(ADDRESS(97,5,,,"MATCHS")),1)),INDIRECT(ADDRESS(97,5,,,"MATCHS"))))</f>
        <v>0</v>
      </c>
      <c r="I31" s="109">
        <f ca="1">SUM(,IF(IFERROR(FIND("--",INDIRECT(ADDRESS(13,3,,,"MATCHS"))),FALSE),RIGHT(INDIRECT(ADDRESS(13,3,,,"MATCHS")), FIND("--",INDIRECT(ADDRESS(13,3,,,"MATCHS")),1)),INDIRECT(ADDRESS(13,3,,,"MATCHS"))),,IF(IFERROR(FIND("--",INDIRECT(ADDRESS(28,5,,,"MATCHS"))),FALSE),RIGHT(INDIRECT(ADDRESS(28,5,,,"MATCHS")), FIND("--",INDIRECT(ADDRESS(28,5,,,"MATCHS")),1)),INDIRECT(ADDRESS(28,5,,,"MATCHS"))),,IF(IFERROR(FIND("--",INDIRECT(ADDRESS(42,5,,,"MATCHS"))),FALSE),RIGHT(INDIRECT(ADDRESS(42,5,,,"MATCHS")), FIND("--",INDIRECT(ADDRESS(42,5,,,"MATCHS")),1)),INDIRECT(ADDRESS(42,5,,,"MATCHS"))),,IF(IFERROR(FIND("--",INDIRECT(ADDRESS(54,3,,,"MATCHS"))),FALSE),RIGHT(INDIRECT(ADDRESS(54,3,,,"MATCHS")), FIND("--",INDIRECT(ADDRESS(54,3,,,"MATCHS")),1)),INDIRECT(ADDRESS(54,3,,,"MATCHS"))),,IF(IFERROR(FIND("--",INDIRECT(ADDRESS(67,3,,,"MATCHS"))),FALSE),RIGHT(INDIRECT(ADDRESS(67,3,,,"MATCHS")), FIND("--",INDIRECT(ADDRESS(67,3,,,"MATCHS")),1)),INDIRECT(ADDRESS(67,3,,,"MATCHS"))),,IF(IFERROR(FIND("--",INDIRECT(ADDRESS(84,3,,,"MATCHS"))),FALSE),RIGHT(INDIRECT(ADDRESS(84,3,,,"MATCHS")), FIND("--",INDIRECT(ADDRESS(84,3,,,"MATCHS")),1)),INDIRECT(ADDRESS(84,3,,,"MATCHS"))),,IF(IFERROR(FIND("--",INDIRECT(ADDRESS(97,3,,,"MATCHS"))),FALSE),RIGHT(INDIRECT(ADDRESS(97,3,,,"MATCHS")), FIND("--",INDIRECT(ADDRESS(97,3,,,"MATCHS")),1)),INDIRECT(ADDRESS(97,3,,,"MATCHS"))))</f>
        <v>0</v>
      </c>
      <c r="J31" s="109">
        <f ca="1">H31 - I31</f>
        <v>0</v>
      </c>
      <c r="K31" s="109">
        <v>0</v>
      </c>
      <c r="L31" s="109">
        <v>6</v>
      </c>
      <c r="M31" s="109"/>
      <c r="N31" s="101" t="str">
        <f>M31 &amp; "SH"</f>
        <v>SH</v>
      </c>
    </row>
    <row r="32" spans="1:14" ht="15.75" x14ac:dyDescent="0.25">
      <c r="A32" s="108"/>
      <c r="B32" s="109">
        <v>7</v>
      </c>
      <c r="C32" s="109" t="s">
        <v>84</v>
      </c>
      <c r="D32" s="109" t="str">
        <f>INSCRITS!C26</f>
        <v>7C</v>
      </c>
      <c r="E32" s="114">
        <f ca="1">SUM(,IF(INDIRECT(ADDRESS(14,3,,,"MATCHS"))&gt;INDIRECT(ADDRESS(14,5,,,"MATCHS")),1,0),,IF(INDIRECT(ADDRESS(27,5,,,"MATCHS"))&gt;INDIRECT(ADDRESS(27,3,,,"MATCHS")),1,0),,IF(INDIRECT(ADDRESS(42,5,,,"MATCHS"))&gt;INDIRECT(ADDRESS(42,3,,,"MATCHS")),1,0),,IF(INDIRECT(ADDRESS(55,5,,,"MATCHS"))&gt;INDIRECT(ADDRESS(55,3,,,"MATCHS")),1,0),,IF(INDIRECT(ADDRESS(70,5,,,"MATCHS"))&gt;INDIRECT(ADDRESS(70,3,,,"MATCHS")),1,0),,IF(INDIRECT(ADDRESS(81,5,,,"MATCHS"))&gt;INDIRECT(ADDRESS(81,3,,,"MATCHS")),1,0),,IF(INDIRECT(ADDRESS(96,5,,,"MATCHS"))&gt;INDIRECT(ADDRESS(96,3,,,"MATCHS")),1,0)) + 0.01 * K32</f>
        <v>0</v>
      </c>
      <c r="F32" s="109">
        <f ca="1">SUM(,IF(INDIRECT(ADDRESS(14,3,,,"MATCHS"))&lt;INDIRECT(ADDRESS(14,5,,,"MATCHS")),1,0),,IF(INDIRECT(ADDRESS(27,5,,,"MATCHS"))&lt;INDIRECT(ADDRESS(27,3,,,"MATCHS")),1,0),,IF(INDIRECT(ADDRESS(42,5,,,"MATCHS"))&lt;INDIRECT(ADDRESS(42,3,,,"MATCHS")),1,0),,IF(INDIRECT(ADDRESS(55,5,,,"MATCHS"))&lt;INDIRECT(ADDRESS(55,3,,,"MATCHS")),1,0),,IF(INDIRECT(ADDRESS(70,5,,,"MATCHS"))&lt;INDIRECT(ADDRESS(70,3,,,"MATCHS")),1,0),,IF(INDIRECT(ADDRESS(81,5,,,"MATCHS"))&lt;INDIRECT(ADDRESS(81,3,,,"MATCHS")),1,0),,IF(INDIRECT(ADDRESS(96,5,,,"MATCHS"))&lt;INDIRECT(ADDRESS(96,3,,,"MATCHS")),1,0))</f>
        <v>0</v>
      </c>
      <c r="G32" s="109">
        <f ca="1">SUM(,IF(IFERROR(FIND("--",INDIRECT(ADDRESS(14,3,,,"MATCHS"))),FALSE),LEFT(INDIRECT(ADDRESS(14,3,,,"MATCHS")), FIND("--",INDIRECT(ADDRESS(14,3,,,"MATCHS")),1)-1),INDIRECT(ADDRESS(14,3,,,"MATCHS"))),,IF(IFERROR(FIND("--",INDIRECT(ADDRESS(27,5,,,"MATCHS"))),FALSE),LEFT(INDIRECT(ADDRESS(27,5,,,"MATCHS")), FIND("--",INDIRECT(ADDRESS(27,5,,,"MATCHS")),1)-1),INDIRECT(ADDRESS(27,5,,,"MATCHS"))),,IF(IFERROR(FIND("--",INDIRECT(ADDRESS(42,5,,,"MATCHS"))),FALSE),LEFT(INDIRECT(ADDRESS(42,5,,,"MATCHS")), FIND("--",INDIRECT(ADDRESS(42,5,,,"MATCHS")),1)-1),INDIRECT(ADDRESS(42,5,,,"MATCHS"))),,IF(IFERROR(FIND("--",INDIRECT(ADDRESS(55,5,,,"MATCHS"))),FALSE),LEFT(INDIRECT(ADDRESS(55,5,,,"MATCHS")), FIND("--",INDIRECT(ADDRESS(55,5,,,"MATCHS")),1)-1),INDIRECT(ADDRESS(55,5,,,"MATCHS"))),,IF(IFERROR(FIND("--",INDIRECT(ADDRESS(70,5,,,"MATCHS"))),FALSE),LEFT(INDIRECT(ADDRESS(70,5,,,"MATCHS")), FIND("--",INDIRECT(ADDRESS(70,5,,,"MATCHS")),1)-1),INDIRECT(ADDRESS(70,5,,,"MATCHS"))),,IF(IFERROR(FIND("--",INDIRECT(ADDRESS(81,5,,,"MATCHS"))),FALSE),LEFT(INDIRECT(ADDRESS(81,5,,,"MATCHS")), FIND("--",INDIRECT(ADDRESS(81,5,,,"MATCHS")),1)-1),INDIRECT(ADDRESS(81,5,,,"MATCHS"))),,IF(IFERROR(FIND("--",INDIRECT(ADDRESS(96,5,,,"MATCHS"))),FALSE),LEFT(INDIRECT(ADDRESS(96,5,,,"MATCHS")), FIND("--",INDIRECT(ADDRESS(96,5,,,"MATCHS")),1)-1),INDIRECT(ADDRESS(96,5,,,"MATCHS"))))</f>
        <v>0</v>
      </c>
      <c r="H32" s="109">
        <f ca="1">SUM(,IF(IFERROR(FIND("--",INDIRECT(ADDRESS(14,3,,,"MATCHS"))),FALSE),RIGHT(INDIRECT(ADDRESS(14,3,,,"MATCHS")), FIND("--",INDIRECT(ADDRESS(14,3,,,"MATCHS")),1)),INDIRECT(ADDRESS(14,3,,,"MATCHS"))),,IF(IFERROR(FIND("--",INDIRECT(ADDRESS(27,5,,,"MATCHS"))),FALSE),RIGHT(INDIRECT(ADDRESS(27,5,,,"MATCHS")), FIND("--",INDIRECT(ADDRESS(27,5,,,"MATCHS")),1)),INDIRECT(ADDRESS(27,5,,,"MATCHS"))),,IF(IFERROR(FIND("--",INDIRECT(ADDRESS(42,5,,,"MATCHS"))),FALSE),RIGHT(INDIRECT(ADDRESS(42,5,,,"MATCHS")), FIND("--",INDIRECT(ADDRESS(42,5,,,"MATCHS")),1)),INDIRECT(ADDRESS(42,5,,,"MATCHS"))),,IF(IFERROR(FIND("--",INDIRECT(ADDRESS(55,5,,,"MATCHS"))),FALSE),RIGHT(INDIRECT(ADDRESS(55,5,,,"MATCHS")), FIND("--",INDIRECT(ADDRESS(55,5,,,"MATCHS")),1)),INDIRECT(ADDRESS(55,5,,,"MATCHS"))),,IF(IFERROR(FIND("--",INDIRECT(ADDRESS(70,5,,,"MATCHS"))),FALSE),RIGHT(INDIRECT(ADDRESS(70,5,,,"MATCHS")), FIND("--",INDIRECT(ADDRESS(70,5,,,"MATCHS")),1)),INDIRECT(ADDRESS(70,5,,,"MATCHS"))),,IF(IFERROR(FIND("--",INDIRECT(ADDRESS(81,5,,,"MATCHS"))),FALSE),RIGHT(INDIRECT(ADDRESS(81,5,,,"MATCHS")), FIND("--",INDIRECT(ADDRESS(81,5,,,"MATCHS")),1)),INDIRECT(ADDRESS(81,5,,,"MATCHS"))),,IF(IFERROR(FIND("--",INDIRECT(ADDRESS(96,5,,,"MATCHS"))),FALSE),RIGHT(INDIRECT(ADDRESS(96,5,,,"MATCHS")), FIND("--",INDIRECT(ADDRESS(96,5,,,"MATCHS")),1)),INDIRECT(ADDRESS(96,5,,,"MATCHS"))))</f>
        <v>0</v>
      </c>
      <c r="I32" s="109">
        <f ca="1">SUM(,IF(IFERROR(FIND("--",INDIRECT(ADDRESS(14,5,,,"MATCHS"))),FALSE),RIGHT(INDIRECT(ADDRESS(14,5,,,"MATCHS")), FIND("--",INDIRECT(ADDRESS(14,5,,,"MATCHS")),1)),INDIRECT(ADDRESS(14,5,,,"MATCHS"))),,IF(IFERROR(FIND("--",INDIRECT(ADDRESS(27,3,,,"MATCHS"))),FALSE),RIGHT(INDIRECT(ADDRESS(27,3,,,"MATCHS")), FIND("--",INDIRECT(ADDRESS(27,3,,,"MATCHS")),1)),INDIRECT(ADDRESS(27,3,,,"MATCHS"))),,IF(IFERROR(FIND("--",INDIRECT(ADDRESS(42,3,,,"MATCHS"))),FALSE),RIGHT(INDIRECT(ADDRESS(42,3,,,"MATCHS")), FIND("--",INDIRECT(ADDRESS(42,3,,,"MATCHS")),1)),INDIRECT(ADDRESS(42,3,,,"MATCHS"))),,IF(IFERROR(FIND("--",INDIRECT(ADDRESS(55,3,,,"MATCHS"))),FALSE),RIGHT(INDIRECT(ADDRESS(55,3,,,"MATCHS")), FIND("--",INDIRECT(ADDRESS(55,3,,,"MATCHS")),1)),INDIRECT(ADDRESS(55,3,,,"MATCHS"))),,IF(IFERROR(FIND("--",INDIRECT(ADDRESS(70,3,,,"MATCHS"))),FALSE),RIGHT(INDIRECT(ADDRESS(70,3,,,"MATCHS")), FIND("--",INDIRECT(ADDRESS(70,3,,,"MATCHS")),1)),INDIRECT(ADDRESS(70,3,,,"MATCHS"))),,IF(IFERROR(FIND("--",INDIRECT(ADDRESS(81,3,,,"MATCHS"))),FALSE),RIGHT(INDIRECT(ADDRESS(81,3,,,"MATCHS")), FIND("--",INDIRECT(ADDRESS(81,3,,,"MATCHS")),1)),INDIRECT(ADDRESS(81,3,,,"MATCHS"))),,IF(IFERROR(FIND("--",INDIRECT(ADDRESS(96,3,,,"MATCHS"))),FALSE),RIGHT(INDIRECT(ADDRESS(96,3,,,"MATCHS")), FIND("--",INDIRECT(ADDRESS(96,3,,,"MATCHS")),1)),INDIRECT(ADDRESS(96,3,,,"MATCHS"))))</f>
        <v>0</v>
      </c>
      <c r="J32" s="109">
        <f ca="1">H32 - I32</f>
        <v>0</v>
      </c>
      <c r="K32" s="109">
        <v>0</v>
      </c>
      <c r="L32" s="109">
        <v>7</v>
      </c>
      <c r="M32" s="109"/>
      <c r="N32" s="101" t="str">
        <f>M32 &amp; "SH"</f>
        <v>SH</v>
      </c>
    </row>
    <row r="33" spans="1:14" ht="15.75" x14ac:dyDescent="0.25">
      <c r="A33" s="108"/>
      <c r="B33" s="109">
        <v>8</v>
      </c>
      <c r="C33" s="109" t="s">
        <v>85</v>
      </c>
      <c r="D33" s="109" t="str">
        <f>INSCRITS!C27</f>
        <v>8C</v>
      </c>
      <c r="E33" s="114">
        <f ca="1">SUM(,IF(INDIRECT(ADDRESS(14,5,,,"MATCHS"))&gt;INDIRECT(ADDRESS(14,3,,,"MATCHS")),1,0),,IF(INDIRECT(ADDRESS(28,5,,,"MATCHS"))&gt;INDIRECT(ADDRESS(28,3,,,"MATCHS")),1,0),,IF(INDIRECT(ADDRESS(41,5,,,"MATCHS"))&gt;INDIRECT(ADDRESS(41,3,,,"MATCHS")),1,0),,IF(INDIRECT(ADDRESS(56,5,,,"MATCHS"))&gt;INDIRECT(ADDRESS(56,3,,,"MATCHS")),1,0),,IF(INDIRECT(ADDRESS(69,5,,,"MATCHS"))&gt;INDIRECT(ADDRESS(69,3,,,"MATCHS")),1,0),,IF(INDIRECT(ADDRESS(82,5,,,"MATCHS"))&gt;INDIRECT(ADDRESS(82,3,,,"MATCHS")),1,0),,IF(INDIRECT(ADDRESS(95,5,,,"MATCHS"))&gt;INDIRECT(ADDRESS(95,3,,,"MATCHS")),1,0)) + 0.01 * K33</f>
        <v>0</v>
      </c>
      <c r="F33" s="109">
        <f ca="1">SUM(,IF(INDIRECT(ADDRESS(14,5,,,"MATCHS"))&lt;INDIRECT(ADDRESS(14,3,,,"MATCHS")),1,0),,IF(INDIRECT(ADDRESS(28,5,,,"MATCHS"))&lt;INDIRECT(ADDRESS(28,3,,,"MATCHS")),1,0),,IF(INDIRECT(ADDRESS(41,5,,,"MATCHS"))&lt;INDIRECT(ADDRESS(41,3,,,"MATCHS")),1,0),,IF(INDIRECT(ADDRESS(56,5,,,"MATCHS"))&lt;INDIRECT(ADDRESS(56,3,,,"MATCHS")),1,0),,IF(INDIRECT(ADDRESS(69,5,,,"MATCHS"))&lt;INDIRECT(ADDRESS(69,3,,,"MATCHS")),1,0),,IF(INDIRECT(ADDRESS(82,5,,,"MATCHS"))&lt;INDIRECT(ADDRESS(82,3,,,"MATCHS")),1,0),,IF(INDIRECT(ADDRESS(95,5,,,"MATCHS"))&lt;INDIRECT(ADDRESS(95,3,,,"MATCHS")),1,0))</f>
        <v>0</v>
      </c>
      <c r="G33" s="109">
        <f ca="1">SUM(,IF(IFERROR(FIND("--",INDIRECT(ADDRESS(14,5,,,"MATCHS"))),FALSE),LEFT(INDIRECT(ADDRESS(14,5,,,"MATCHS")), FIND("--",INDIRECT(ADDRESS(14,5,,,"MATCHS")),1)-1),INDIRECT(ADDRESS(14,5,,,"MATCHS"))),,IF(IFERROR(FIND("--",INDIRECT(ADDRESS(28,5,,,"MATCHS"))),FALSE),LEFT(INDIRECT(ADDRESS(28,5,,,"MATCHS")), FIND("--",INDIRECT(ADDRESS(28,5,,,"MATCHS")),1)-1),INDIRECT(ADDRESS(28,5,,,"MATCHS"))),,IF(IFERROR(FIND("--",INDIRECT(ADDRESS(41,5,,,"MATCHS"))),FALSE),LEFT(INDIRECT(ADDRESS(41,5,,,"MATCHS")), FIND("--",INDIRECT(ADDRESS(41,5,,,"MATCHS")),1)-1),INDIRECT(ADDRESS(41,5,,,"MATCHS"))),,IF(IFERROR(FIND("--",INDIRECT(ADDRESS(56,5,,,"MATCHS"))),FALSE),LEFT(INDIRECT(ADDRESS(56,5,,,"MATCHS")), FIND("--",INDIRECT(ADDRESS(56,5,,,"MATCHS")),1)-1),INDIRECT(ADDRESS(56,5,,,"MATCHS"))),,IF(IFERROR(FIND("--",INDIRECT(ADDRESS(69,5,,,"MATCHS"))),FALSE),LEFT(INDIRECT(ADDRESS(69,5,,,"MATCHS")), FIND("--",INDIRECT(ADDRESS(69,5,,,"MATCHS")),1)-1),INDIRECT(ADDRESS(69,5,,,"MATCHS"))),,IF(IFERROR(FIND("--",INDIRECT(ADDRESS(82,5,,,"MATCHS"))),FALSE),LEFT(INDIRECT(ADDRESS(82,5,,,"MATCHS")), FIND("--",INDIRECT(ADDRESS(82,5,,,"MATCHS")),1)-1),INDIRECT(ADDRESS(82,5,,,"MATCHS"))),,IF(IFERROR(FIND("--",INDIRECT(ADDRESS(95,5,,,"MATCHS"))),FALSE),LEFT(INDIRECT(ADDRESS(95,5,,,"MATCHS")), FIND("--",INDIRECT(ADDRESS(95,5,,,"MATCHS")),1)-1),INDIRECT(ADDRESS(95,5,,,"MATCHS"))))</f>
        <v>0</v>
      </c>
      <c r="H33" s="109">
        <f ca="1">SUM(,IF(IFERROR(FIND("--",INDIRECT(ADDRESS(14,5,,,"MATCHS"))),FALSE),RIGHT(INDIRECT(ADDRESS(14,5,,,"MATCHS")), FIND("--",INDIRECT(ADDRESS(14,5,,,"MATCHS")),1)),INDIRECT(ADDRESS(14,5,,,"MATCHS"))),,IF(IFERROR(FIND("--",INDIRECT(ADDRESS(28,5,,,"MATCHS"))),FALSE),RIGHT(INDIRECT(ADDRESS(28,5,,,"MATCHS")), FIND("--",INDIRECT(ADDRESS(28,5,,,"MATCHS")),1)),INDIRECT(ADDRESS(28,5,,,"MATCHS"))),,IF(IFERROR(FIND("--",INDIRECT(ADDRESS(41,5,,,"MATCHS"))),FALSE),RIGHT(INDIRECT(ADDRESS(41,5,,,"MATCHS")), FIND("--",INDIRECT(ADDRESS(41,5,,,"MATCHS")),1)),INDIRECT(ADDRESS(41,5,,,"MATCHS"))),,IF(IFERROR(FIND("--",INDIRECT(ADDRESS(56,5,,,"MATCHS"))),FALSE),RIGHT(INDIRECT(ADDRESS(56,5,,,"MATCHS")), FIND("--",INDIRECT(ADDRESS(56,5,,,"MATCHS")),1)),INDIRECT(ADDRESS(56,5,,,"MATCHS"))),,IF(IFERROR(FIND("--",INDIRECT(ADDRESS(69,5,,,"MATCHS"))),FALSE),RIGHT(INDIRECT(ADDRESS(69,5,,,"MATCHS")), FIND("--",INDIRECT(ADDRESS(69,5,,,"MATCHS")),1)),INDIRECT(ADDRESS(69,5,,,"MATCHS"))),,IF(IFERROR(FIND("--",INDIRECT(ADDRESS(82,5,,,"MATCHS"))),FALSE),RIGHT(INDIRECT(ADDRESS(82,5,,,"MATCHS")), FIND("--",INDIRECT(ADDRESS(82,5,,,"MATCHS")),1)),INDIRECT(ADDRESS(82,5,,,"MATCHS"))),,IF(IFERROR(FIND("--",INDIRECT(ADDRESS(95,5,,,"MATCHS"))),FALSE),RIGHT(INDIRECT(ADDRESS(95,5,,,"MATCHS")), FIND("--",INDIRECT(ADDRESS(95,5,,,"MATCHS")),1)),INDIRECT(ADDRESS(95,5,,,"MATCHS"))))</f>
        <v>0</v>
      </c>
      <c r="I33" s="109">
        <f ca="1">SUM(,IF(IFERROR(FIND("--",INDIRECT(ADDRESS(14,3,,,"MATCHS"))),FALSE),RIGHT(INDIRECT(ADDRESS(14,3,,,"MATCHS")), FIND("--",INDIRECT(ADDRESS(14,3,,,"MATCHS")),1)),INDIRECT(ADDRESS(14,3,,,"MATCHS"))),,IF(IFERROR(FIND("--",INDIRECT(ADDRESS(28,3,,,"MATCHS"))),FALSE),RIGHT(INDIRECT(ADDRESS(28,3,,,"MATCHS")), FIND("--",INDIRECT(ADDRESS(28,3,,,"MATCHS")),1)),INDIRECT(ADDRESS(28,3,,,"MATCHS"))),,IF(IFERROR(FIND("--",INDIRECT(ADDRESS(41,3,,,"MATCHS"))),FALSE),RIGHT(INDIRECT(ADDRESS(41,3,,,"MATCHS")), FIND("--",INDIRECT(ADDRESS(41,3,,,"MATCHS")),1)),INDIRECT(ADDRESS(41,3,,,"MATCHS"))),,IF(IFERROR(FIND("--",INDIRECT(ADDRESS(56,3,,,"MATCHS"))),FALSE),RIGHT(INDIRECT(ADDRESS(56,3,,,"MATCHS")), FIND("--",INDIRECT(ADDRESS(56,3,,,"MATCHS")),1)),INDIRECT(ADDRESS(56,3,,,"MATCHS"))),,IF(IFERROR(FIND("--",INDIRECT(ADDRESS(69,3,,,"MATCHS"))),FALSE),RIGHT(INDIRECT(ADDRESS(69,3,,,"MATCHS")), FIND("--",INDIRECT(ADDRESS(69,3,,,"MATCHS")),1)),INDIRECT(ADDRESS(69,3,,,"MATCHS"))),,IF(IFERROR(FIND("--",INDIRECT(ADDRESS(82,3,,,"MATCHS"))),FALSE),RIGHT(INDIRECT(ADDRESS(82,3,,,"MATCHS")), FIND("--",INDIRECT(ADDRESS(82,3,,,"MATCHS")),1)),INDIRECT(ADDRESS(82,3,,,"MATCHS"))),,IF(IFERROR(FIND("--",INDIRECT(ADDRESS(95,3,,,"MATCHS"))),FALSE),RIGHT(INDIRECT(ADDRESS(95,3,,,"MATCHS")), FIND("--",INDIRECT(ADDRESS(95,3,,,"MATCHS")),1)),INDIRECT(ADDRESS(95,3,,,"MATCHS"))))</f>
        <v>0</v>
      </c>
      <c r="J33" s="109">
        <f ca="1">H33 - I33</f>
        <v>0</v>
      </c>
      <c r="K33" s="109">
        <v>0</v>
      </c>
      <c r="L33" s="109">
        <v>8</v>
      </c>
      <c r="M33" s="109"/>
      <c r="N33" s="101" t="str">
        <f>M33 &amp; "SH"</f>
        <v>SH</v>
      </c>
    </row>
  </sheetData>
  <mergeCells count="3">
    <mergeCell ref="A4:A11"/>
    <mergeCell ref="A15:A22"/>
    <mergeCell ref="A26:A33"/>
  </mergeCells>
  <dataValidations count="2">
    <dataValidation type="whole" allowBlank="1" showErrorMessage="1" errorTitle="ATTENTION" error="NOMBRE ENTIER UNIQUEMENT_x000a_COMPRIS ENTRE --&gt; 1 ET 12" sqref="M1:M1048576" xr:uid="{DA022BE6-4515-4220-9B51-07EC6574B13E}">
      <formula1>1</formula1>
      <formula2>12</formula2>
    </dataValidation>
    <dataValidation type="whole" operator="greaterThanOrEqual" allowBlank="1" showErrorMessage="1" errorTitle="ATTENTION" error="NOMBRE ENTIER UNIQUEMENT_x000a_MINIMUM --&gt; 0" sqref="J1:J1048576" xr:uid="{34B0EC43-F5D0-45D4-8932-81AFFBEEF403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ValiderOrdrePhaseFinale">
              <controlPr defaultSize="0" print="0" autoFill="0" autoPict="0" macro="[0]!listmatchph14ind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C4PPClassement">
              <controlPr defaultSize="0" print="0" autoFill="0" autoPict="0" macro="[0]!'copyimage &quot;A2:J33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CBB8-6E3F-4C18-83BD-675D0233A983}">
  <sheetPr codeName="Feuil29"/>
  <dimension ref="B1:O49"/>
  <sheetViews>
    <sheetView workbookViewId="0"/>
  </sheetViews>
  <sheetFormatPr baseColWidth="10" defaultRowHeight="15" x14ac:dyDescent="0.25"/>
  <cols>
    <col min="1" max="1" width="11.42578125" style="115"/>
    <col min="2" max="2" width="4.28515625" style="120" customWidth="1"/>
    <col min="3" max="3" width="22.85546875" style="115" customWidth="1"/>
    <col min="4" max="4" width="2.85546875" style="115" customWidth="1"/>
    <col min="5" max="5" width="4.28515625" style="120" customWidth="1"/>
    <col min="6" max="6" width="22.85546875" style="115" customWidth="1"/>
    <col min="7" max="7" width="2.85546875" style="115" customWidth="1"/>
    <col min="8" max="8" width="22.85546875" style="115" customWidth="1"/>
    <col min="9" max="9" width="4.28515625" style="120" customWidth="1"/>
    <col min="10" max="10" width="2.85546875" style="115" customWidth="1"/>
    <col min="11" max="11" width="22.85546875" style="115" customWidth="1"/>
    <col min="12" max="12" width="4.28515625" style="120" customWidth="1"/>
    <col min="13" max="13" width="2.85546875" style="115" customWidth="1"/>
    <col min="14" max="14" width="22.85546875" style="115" customWidth="1"/>
    <col min="15" max="15" width="4.28515625" style="120" customWidth="1"/>
    <col min="16" max="16384" width="11.42578125" style="115"/>
  </cols>
  <sheetData>
    <row r="1" spans="2:15" x14ac:dyDescent="0.25">
      <c r="H1" s="115" t="s">
        <v>128</v>
      </c>
    </row>
    <row r="2" spans="2:15" x14ac:dyDescent="0.25">
      <c r="H2" s="115" t="s">
        <v>96</v>
      </c>
    </row>
    <row r="3" spans="2:15" ht="15.75" thickBot="1" x14ac:dyDescent="0.3">
      <c r="H3" s="115" t="s">
        <v>97</v>
      </c>
    </row>
    <row r="4" spans="2:15" x14ac:dyDescent="0.25">
      <c r="H4" s="116"/>
      <c r="I4" s="123"/>
    </row>
    <row r="5" spans="2:15" ht="15.75" thickBot="1" x14ac:dyDescent="0.3">
      <c r="F5" s="115" t="s">
        <v>99</v>
      </c>
      <c r="H5" s="118"/>
      <c r="I5" s="124"/>
      <c r="K5" s="115" t="s">
        <v>97</v>
      </c>
    </row>
    <row r="6" spans="2:15" x14ac:dyDescent="0.25">
      <c r="C6" s="115" t="s">
        <v>99</v>
      </c>
      <c r="E6" s="121"/>
      <c r="F6" s="117" t="str">
        <f>IF(OR(I4="",I5=""),"",IF(I4&lt;I5,H4,H5))</f>
        <v/>
      </c>
      <c r="K6" s="116" t="str">
        <f>IF(OR(I4="",I5=""),"",IF(I4&gt;I5,H4,H5))</f>
        <v/>
      </c>
      <c r="L6" s="123"/>
      <c r="N6" s="115" t="s">
        <v>97</v>
      </c>
    </row>
    <row r="7" spans="2:15" ht="15.75" thickBot="1" x14ac:dyDescent="0.3">
      <c r="C7" s="115" t="s">
        <v>106</v>
      </c>
      <c r="E7" s="122"/>
      <c r="F7" s="119" t="str">
        <f>IF(OR(I8="",I9=""),"",IF(I8&lt;I9,H8,H9))</f>
        <v/>
      </c>
      <c r="H7" s="115" t="s">
        <v>98</v>
      </c>
      <c r="K7" s="118" t="str">
        <f>IF(OR(I8="",I9=""),"",IF(I8&gt;I9,H8,H9))</f>
        <v/>
      </c>
      <c r="L7" s="124"/>
      <c r="N7" s="115" t="s">
        <v>104</v>
      </c>
    </row>
    <row r="8" spans="2:15" x14ac:dyDescent="0.25">
      <c r="B8" s="121"/>
      <c r="C8" s="117" t="str">
        <f>IF(OR(E6="",E7=""),"",IF(E6&gt;E7,F6,F7))</f>
        <v/>
      </c>
      <c r="H8" s="116"/>
      <c r="I8" s="123"/>
      <c r="N8" s="116" t="str">
        <f>IF(OR(L6="",L7=""),"",IF(L6&gt;L7,K6,K7))</f>
        <v/>
      </c>
      <c r="O8" s="123"/>
    </row>
    <row r="9" spans="2:15" ht="15.75" thickBot="1" x14ac:dyDescent="0.3">
      <c r="B9" s="122"/>
      <c r="C9" s="119" t="str">
        <f>IF(OR(E14="",E15=""),"",IF(E14&gt;E15,F14,F15))</f>
        <v/>
      </c>
      <c r="H9" s="118"/>
      <c r="I9" s="124"/>
      <c r="N9" s="118" t="str">
        <f>IF(OR(L14="",L15=""),"",IF(L14&gt;L15,K14,K15))</f>
        <v/>
      </c>
      <c r="O9" s="124"/>
    </row>
    <row r="10" spans="2:15" x14ac:dyDescent="0.25">
      <c r="C10" s="115" t="s">
        <v>100</v>
      </c>
      <c r="N10" s="115" t="s">
        <v>98</v>
      </c>
    </row>
    <row r="11" spans="2:15" ht="15.75" thickBot="1" x14ac:dyDescent="0.3">
      <c r="C11" s="115" t="s">
        <v>107</v>
      </c>
      <c r="H11" s="115" t="s">
        <v>99</v>
      </c>
      <c r="N11" s="115" t="s">
        <v>105</v>
      </c>
    </row>
    <row r="12" spans="2:15" x14ac:dyDescent="0.25">
      <c r="B12" s="121"/>
      <c r="C12" s="117" t="str">
        <f>IF(OR(E6="",E7=""),"",IF(E6&lt;E7,F6,F7))</f>
        <v/>
      </c>
      <c r="H12" s="116"/>
      <c r="I12" s="123"/>
      <c r="N12" s="116" t="str">
        <f>IF(OR(L6="",L7=""),"",IF(L6&lt;L7,K6,K7))</f>
        <v/>
      </c>
      <c r="O12" s="123"/>
    </row>
    <row r="13" spans="2:15" ht="15.75" thickBot="1" x14ac:dyDescent="0.3">
      <c r="B13" s="122"/>
      <c r="C13" s="119" t="str">
        <f>IF(OR(E14="",E15=""),"",IF(E14&lt;E15,F14,F15))</f>
        <v/>
      </c>
      <c r="F13" s="115" t="s">
        <v>100</v>
      </c>
      <c r="H13" s="118"/>
      <c r="I13" s="124"/>
      <c r="K13" s="115" t="s">
        <v>98</v>
      </c>
      <c r="N13" s="118" t="str">
        <f>IF(OR(L14="",L15=""),"",IF(L14&lt;L15,K14,K15))</f>
        <v/>
      </c>
      <c r="O13" s="124"/>
    </row>
    <row r="14" spans="2:15" x14ac:dyDescent="0.25">
      <c r="E14" s="121"/>
      <c r="F14" s="117" t="str">
        <f>IF(OR(I12="",I13=""),"",IF(I12&lt;I13,H12,H13))</f>
        <v/>
      </c>
      <c r="K14" s="116" t="str">
        <f>IF(OR(I12="",I13=""),"",IF(I12&gt;I13,H12,H13))</f>
        <v/>
      </c>
      <c r="L14" s="123"/>
    </row>
    <row r="15" spans="2:15" ht="15.75" thickBot="1" x14ac:dyDescent="0.3">
      <c r="E15" s="122"/>
      <c r="F15" s="119" t="str">
        <f>IF(OR(I16="",I17=""),"",IF(I16&lt;I17,H16,H17))</f>
        <v/>
      </c>
      <c r="H15" s="115" t="s">
        <v>100</v>
      </c>
      <c r="K15" s="118" t="str">
        <f>IF(OR(I16="",I17=""),"",IF(I16&gt;I17,H16,H17))</f>
        <v/>
      </c>
      <c r="L15" s="124"/>
    </row>
    <row r="16" spans="2:15" x14ac:dyDescent="0.25">
      <c r="H16" s="116"/>
      <c r="I16" s="123"/>
    </row>
    <row r="17" spans="2:15" ht="15.75" thickBot="1" x14ac:dyDescent="0.3">
      <c r="H17" s="118"/>
      <c r="I17" s="124"/>
    </row>
    <row r="19" spans="2:15" x14ac:dyDescent="0.25">
      <c r="H19" s="115" t="s">
        <v>101</v>
      </c>
    </row>
    <row r="20" spans="2:15" ht="15.75" thickBot="1" x14ac:dyDescent="0.3">
      <c r="H20" s="115" t="s">
        <v>102</v>
      </c>
    </row>
    <row r="21" spans="2:15" x14ac:dyDescent="0.25">
      <c r="H21" s="116"/>
      <c r="I21" s="123"/>
    </row>
    <row r="22" spans="2:15" ht="15.75" thickBot="1" x14ac:dyDescent="0.3">
      <c r="F22" s="115" t="s">
        <v>97</v>
      </c>
      <c r="H22" s="118"/>
      <c r="I22" s="124"/>
      <c r="K22" s="115" t="s">
        <v>102</v>
      </c>
    </row>
    <row r="23" spans="2:15" x14ac:dyDescent="0.25">
      <c r="C23" s="115" t="s">
        <v>97</v>
      </c>
      <c r="E23" s="121"/>
      <c r="F23" s="117" t="str">
        <f>IF(OR(I21="",I22=""),"",IF(I21&lt;I22,H21,H22))</f>
        <v/>
      </c>
      <c r="K23" s="116" t="str">
        <f>IF(OR(I21="",I22=""),"",IF(I21&gt;I22,H21,H22))</f>
        <v/>
      </c>
      <c r="L23" s="123"/>
      <c r="N23" s="115" t="s">
        <v>102</v>
      </c>
    </row>
    <row r="24" spans="2:15" ht="15.75" thickBot="1" x14ac:dyDescent="0.3">
      <c r="C24" s="115" t="s">
        <v>110</v>
      </c>
      <c r="E24" s="122"/>
      <c r="F24" s="119" t="str">
        <f>IF(OR(I25="",I26=""),"",IF(I25&lt;I26,H25,H26))</f>
        <v/>
      </c>
      <c r="H24" s="115" t="s">
        <v>103</v>
      </c>
      <c r="K24" s="118" t="str">
        <f>IF(OR(I25="",I26=""),"",IF(I25&gt;I26,H25,H26))</f>
        <v/>
      </c>
      <c r="L24" s="124"/>
      <c r="N24" s="115" t="s">
        <v>108</v>
      </c>
    </row>
    <row r="25" spans="2:15" x14ac:dyDescent="0.25">
      <c r="B25" s="121"/>
      <c r="C25" s="117" t="str">
        <f>IF(OR(E23="",E24=""),"",IF(E23&gt;E24,F23,F24))</f>
        <v/>
      </c>
      <c r="H25" s="116"/>
      <c r="I25" s="123"/>
      <c r="N25" s="116" t="str">
        <f>IF(OR(L23="",L24=""),"",IF(L23&gt;L24,K23,K24))</f>
        <v/>
      </c>
      <c r="O25" s="123"/>
    </row>
    <row r="26" spans="2:15" ht="15.75" thickBot="1" x14ac:dyDescent="0.3">
      <c r="B26" s="122"/>
      <c r="C26" s="119" t="str">
        <f>IF(OR(E31="",E32=""),"",IF(E31&gt;E32,F31,F32))</f>
        <v/>
      </c>
      <c r="H26" s="118"/>
      <c r="I26" s="124"/>
      <c r="N26" s="118" t="str">
        <f>IF(OR(L31="",L32=""),"",IF(L31&gt;L32,K31,K32))</f>
        <v/>
      </c>
      <c r="O26" s="124"/>
    </row>
    <row r="27" spans="2:15" x14ac:dyDescent="0.25">
      <c r="C27" s="115" t="s">
        <v>98</v>
      </c>
      <c r="N27" s="115" t="s">
        <v>103</v>
      </c>
    </row>
    <row r="28" spans="2:15" ht="15.75" thickBot="1" x14ac:dyDescent="0.3">
      <c r="C28" s="115" t="s">
        <v>111</v>
      </c>
      <c r="H28" s="115" t="s">
        <v>97</v>
      </c>
      <c r="N28" s="115" t="s">
        <v>109</v>
      </c>
    </row>
    <row r="29" spans="2:15" x14ac:dyDescent="0.25">
      <c r="B29" s="121"/>
      <c r="C29" s="117" t="str">
        <f>IF(OR(E23="",E24=""),"",IF(E23&lt;E24,F23,F24))</f>
        <v/>
      </c>
      <c r="H29" s="116"/>
      <c r="I29" s="123"/>
      <c r="N29" s="116" t="str">
        <f>IF(OR(L23="",L24=""),"",IF(L23&lt;L24,K23,K24))</f>
        <v/>
      </c>
      <c r="O29" s="123"/>
    </row>
    <row r="30" spans="2:15" ht="15.75" thickBot="1" x14ac:dyDescent="0.3">
      <c r="B30" s="122"/>
      <c r="C30" s="119" t="str">
        <f>IF(OR(E31="",E32=""),"",IF(E31&lt;E32,F31,F32))</f>
        <v/>
      </c>
      <c r="F30" s="115" t="s">
        <v>98</v>
      </c>
      <c r="H30" s="118"/>
      <c r="I30" s="124"/>
      <c r="K30" s="115" t="s">
        <v>103</v>
      </c>
      <c r="N30" s="118" t="str">
        <f>IF(OR(L31="",L32=""),"",IF(L31&lt;L32,K31,K32))</f>
        <v/>
      </c>
      <c r="O30" s="124"/>
    </row>
    <row r="31" spans="2:15" x14ac:dyDescent="0.25">
      <c r="E31" s="121"/>
      <c r="F31" s="117" t="str">
        <f>IF(OR(I29="",I30=""),"",IF(I29&lt;I30,H29,H30))</f>
        <v/>
      </c>
      <c r="K31" s="116" t="str">
        <f>IF(OR(I29="",I30=""),"",IF(I29&gt;I30,H29,H30))</f>
        <v/>
      </c>
      <c r="L31" s="123"/>
    </row>
    <row r="32" spans="2:15" ht="15.75" thickBot="1" x14ac:dyDescent="0.3">
      <c r="E32" s="122"/>
      <c r="F32" s="119" t="str">
        <f>IF(OR(I33="",I34=""),"",IF(I33&lt;I34,H33,H34))</f>
        <v/>
      </c>
      <c r="H32" s="115" t="s">
        <v>98</v>
      </c>
      <c r="K32" s="118" t="str">
        <f>IF(OR(I33="",I34=""),"",IF(I33&gt;I34,H33,H34))</f>
        <v/>
      </c>
      <c r="L32" s="124"/>
    </row>
    <row r="33" spans="3:14" x14ac:dyDescent="0.25">
      <c r="H33" s="116"/>
      <c r="I33" s="123"/>
    </row>
    <row r="34" spans="3:14" ht="15.75" thickBot="1" x14ac:dyDescent="0.3">
      <c r="H34" s="118"/>
      <c r="I34" s="124"/>
    </row>
    <row r="40" spans="3:14" x14ac:dyDescent="0.25">
      <c r="F40" s="115" t="str">
        <f>IF(OR(I38="",I39=""),"",IF(I38&lt;I39,H38,H39))</f>
        <v/>
      </c>
      <c r="K40" s="115" t="str">
        <f>IF(OR(I38="",I39=""),"",IF(I38&gt;I39,H38,H39))</f>
        <v/>
      </c>
    </row>
    <row r="41" spans="3:14" x14ac:dyDescent="0.25">
      <c r="F41" s="115" t="str">
        <f>IF(OR(I42="",I43=""),"",IF(I42&lt;I43,H42,H43))</f>
        <v/>
      </c>
      <c r="K41" s="115" t="str">
        <f>IF(OR(I42="",I43=""),"",IF(I42&gt;I43,H42,H43))</f>
        <v/>
      </c>
    </row>
    <row r="42" spans="3:14" x14ac:dyDescent="0.25">
      <c r="C42" s="115" t="str">
        <f>IF(OR(E40="",E41=""),"",IF(E40&gt;E41,F40,F41))</f>
        <v/>
      </c>
      <c r="N42" s="115" t="str">
        <f>IF(OR(L40="",L41=""),"",IF(L40&gt;L41,K40,K41))</f>
        <v/>
      </c>
    </row>
    <row r="43" spans="3:14" x14ac:dyDescent="0.25">
      <c r="C43" s="115" t="str">
        <f>IF(OR(E48="",E49=""),"",IF(E48&gt;E49,F48,F49))</f>
        <v/>
      </c>
      <c r="N43" s="115" t="str">
        <f>IF(OR(L48="",L49=""),"",IF(L48&gt;L49,K48,K49))</f>
        <v/>
      </c>
    </row>
    <row r="46" spans="3:14" x14ac:dyDescent="0.25">
      <c r="C46" s="115" t="str">
        <f>IF(OR(E40="",E41=""),"",IF(E40&lt;E41,F40,F41))</f>
        <v/>
      </c>
      <c r="N46" s="115" t="str">
        <f>IF(OR(L40="",L41=""),"",IF(L40&lt;L41,K40,K41))</f>
        <v/>
      </c>
    </row>
    <row r="47" spans="3:14" x14ac:dyDescent="0.25">
      <c r="C47" s="115" t="str">
        <f>IF(OR(E48="",E49=""),"",IF(E48&lt;E49,F48,F49))</f>
        <v/>
      </c>
      <c r="N47" s="115" t="str">
        <f>IF(OR(L48="",L49=""),"",IF(L48&lt;L49,K48,K49))</f>
        <v/>
      </c>
    </row>
    <row r="48" spans="3:14" x14ac:dyDescent="0.25">
      <c r="F48" s="115" t="str">
        <f>IF(OR(I46="",I47=""),"",IF(I46&lt;I47,H46,H47))</f>
        <v/>
      </c>
      <c r="K48" s="115" t="str">
        <f>IF(OR(I46="",I47=""),"",IF(I46&gt;I47,H46,H47))</f>
        <v/>
      </c>
    </row>
    <row r="49" spans="6:11" x14ac:dyDescent="0.25">
      <c r="F49" s="115" t="str">
        <f>IF(OR(I50="",I51=""),"",IF(I50&lt;I51,H50,H51))</f>
        <v/>
      </c>
      <c r="K49" s="115" t="str">
        <f>IF(OR(I50="",I51=""),"",IF(I50&gt;I51,H50,H51))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139345A7-CB98-45C2-A88C-6A4E386E6BB0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C4PPph14">
              <controlPr defaultSize="0" print="0" autoFill="0" autoPict="0" macro="[0]!'copyimage &quot;B2:O1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91356-A565-47E3-B2C3-3D6FD60670A3}">
  <sheetPr codeName="Feuil30"/>
  <dimension ref="B1:O49"/>
  <sheetViews>
    <sheetView workbookViewId="0"/>
  </sheetViews>
  <sheetFormatPr baseColWidth="10" defaultRowHeight="15" x14ac:dyDescent="0.25"/>
  <cols>
    <col min="1" max="1" width="11.42578125" style="115"/>
    <col min="2" max="2" width="4.28515625" style="120" customWidth="1"/>
    <col min="3" max="3" width="22.85546875" style="115" customWidth="1"/>
    <col min="4" max="4" width="2.85546875" style="115" customWidth="1"/>
    <col min="5" max="5" width="4.28515625" style="120" customWidth="1"/>
    <col min="6" max="6" width="22.85546875" style="115" customWidth="1"/>
    <col min="7" max="7" width="2.85546875" style="115" customWidth="1"/>
    <col min="8" max="8" width="22.85546875" style="115" customWidth="1"/>
    <col min="9" max="9" width="4.28515625" style="120" customWidth="1"/>
    <col min="10" max="10" width="2.85546875" style="115" customWidth="1"/>
    <col min="11" max="11" width="22.85546875" style="115" customWidth="1"/>
    <col min="12" max="12" width="4.28515625" style="120" customWidth="1"/>
    <col min="13" max="13" width="2.85546875" style="115" customWidth="1"/>
    <col min="14" max="14" width="22.85546875" style="115" customWidth="1"/>
    <col min="15" max="15" width="4.28515625" style="120" customWidth="1"/>
    <col min="16" max="16384" width="11.42578125" style="115"/>
  </cols>
  <sheetData>
    <row r="1" spans="2:15" x14ac:dyDescent="0.25">
      <c r="H1" s="115" t="s">
        <v>129</v>
      </c>
    </row>
    <row r="2" spans="2:15" x14ac:dyDescent="0.25">
      <c r="H2" s="115" t="s">
        <v>96</v>
      </c>
    </row>
    <row r="3" spans="2:15" ht="15.75" thickBot="1" x14ac:dyDescent="0.3">
      <c r="H3" s="115" t="s">
        <v>99</v>
      </c>
    </row>
    <row r="4" spans="2:15" x14ac:dyDescent="0.25">
      <c r="H4" s="116"/>
      <c r="I4" s="123"/>
    </row>
    <row r="5" spans="2:15" ht="15.75" thickBot="1" x14ac:dyDescent="0.3">
      <c r="F5" s="115" t="s">
        <v>102</v>
      </c>
      <c r="H5" s="118"/>
      <c r="I5" s="124"/>
      <c r="K5" s="115" t="s">
        <v>99</v>
      </c>
    </row>
    <row r="6" spans="2:15" x14ac:dyDescent="0.25">
      <c r="C6" s="115" t="s">
        <v>102</v>
      </c>
      <c r="E6" s="121"/>
      <c r="F6" s="117" t="str">
        <f>IF(OR(I4="",I5=""),"",IF(I4&lt;I5,H4,H5))</f>
        <v/>
      </c>
      <c r="K6" s="116" t="str">
        <f>IF(OR(I4="",I5=""),"",IF(I4&gt;I5,H4,H5))</f>
        <v/>
      </c>
      <c r="L6" s="123"/>
      <c r="N6" s="115" t="s">
        <v>99</v>
      </c>
    </row>
    <row r="7" spans="2:15" ht="15.75" thickBot="1" x14ac:dyDescent="0.3">
      <c r="C7" s="115" t="s">
        <v>106</v>
      </c>
      <c r="E7" s="122"/>
      <c r="F7" s="119" t="str">
        <f>IF(OR(I8="",I9=""),"",IF(I8&lt;I9,H8,H9))</f>
        <v/>
      </c>
      <c r="H7" s="115" t="s">
        <v>100</v>
      </c>
      <c r="K7" s="118" t="str">
        <f>IF(OR(I8="",I9=""),"",IF(I8&gt;I9,H8,H9))</f>
        <v/>
      </c>
      <c r="L7" s="124"/>
      <c r="N7" s="115" t="s">
        <v>104</v>
      </c>
    </row>
    <row r="8" spans="2:15" x14ac:dyDescent="0.25">
      <c r="B8" s="121"/>
      <c r="C8" s="117" t="str">
        <f>IF(OR(E6="",E7=""),"",IF(E6&gt;E7,F6,F7))</f>
        <v/>
      </c>
      <c r="H8" s="116"/>
      <c r="I8" s="123"/>
      <c r="N8" s="116" t="str">
        <f>IF(OR(L6="",L7=""),"",IF(L6&gt;L7,K6,K7))</f>
        <v/>
      </c>
      <c r="O8" s="123"/>
    </row>
    <row r="9" spans="2:15" ht="15.75" thickBot="1" x14ac:dyDescent="0.3">
      <c r="B9" s="122"/>
      <c r="C9" s="119" t="str">
        <f>IF(OR(E14="",E15=""),"",IF(E14&gt;E15,F14,F15))</f>
        <v/>
      </c>
      <c r="H9" s="118"/>
      <c r="I9" s="124"/>
      <c r="N9" s="118" t="str">
        <f>IF(OR(L14="",L15=""),"",IF(L14&gt;L15,K14,K15))</f>
        <v/>
      </c>
      <c r="O9" s="124"/>
    </row>
    <row r="10" spans="2:15" x14ac:dyDescent="0.25">
      <c r="C10" s="115" t="s">
        <v>103</v>
      </c>
      <c r="N10" s="115" t="s">
        <v>100</v>
      </c>
    </row>
    <row r="11" spans="2:15" ht="15.75" thickBot="1" x14ac:dyDescent="0.3">
      <c r="C11" s="115" t="s">
        <v>107</v>
      </c>
      <c r="H11" s="115" t="s">
        <v>102</v>
      </c>
      <c r="N11" s="115" t="s">
        <v>105</v>
      </c>
    </row>
    <row r="12" spans="2:15" x14ac:dyDescent="0.25">
      <c r="B12" s="121"/>
      <c r="C12" s="117" t="str">
        <f>IF(OR(E6="",E7=""),"",IF(E6&lt;E7,F6,F7))</f>
        <v/>
      </c>
      <c r="H12" s="116"/>
      <c r="I12" s="123"/>
      <c r="N12" s="116" t="str">
        <f>IF(OR(L6="",L7=""),"",IF(L6&lt;L7,K6,K7))</f>
        <v/>
      </c>
      <c r="O12" s="123"/>
    </row>
    <row r="13" spans="2:15" ht="15.75" thickBot="1" x14ac:dyDescent="0.3">
      <c r="B13" s="122"/>
      <c r="C13" s="119" t="str">
        <f>IF(OR(E14="",E15=""),"",IF(E14&lt;E15,F14,F15))</f>
        <v/>
      </c>
      <c r="F13" s="115" t="s">
        <v>103</v>
      </c>
      <c r="H13" s="118"/>
      <c r="I13" s="124"/>
      <c r="K13" s="115" t="s">
        <v>100</v>
      </c>
      <c r="N13" s="118" t="str">
        <f>IF(OR(L14="",L15=""),"",IF(L14&lt;L15,K14,K15))</f>
        <v/>
      </c>
      <c r="O13" s="124"/>
    </row>
    <row r="14" spans="2:15" x14ac:dyDescent="0.25">
      <c r="E14" s="121"/>
      <c r="F14" s="117" t="str">
        <f>IF(OR(I12="",I13=""),"",IF(I12&lt;I13,H12,H13))</f>
        <v/>
      </c>
      <c r="K14" s="116" t="str">
        <f>IF(OR(I12="",I13=""),"",IF(I12&gt;I13,H12,H13))</f>
        <v/>
      </c>
      <c r="L14" s="123"/>
    </row>
    <row r="15" spans="2:15" ht="15.75" thickBot="1" x14ac:dyDescent="0.3">
      <c r="E15" s="122"/>
      <c r="F15" s="119" t="str">
        <f>IF(OR(I16="",I17=""),"",IF(I16&lt;I17,H16,H17))</f>
        <v/>
      </c>
      <c r="H15" s="115" t="s">
        <v>103</v>
      </c>
      <c r="K15" s="118" t="str">
        <f>IF(OR(I16="",I17=""),"",IF(I16&gt;I17,H16,H17))</f>
        <v/>
      </c>
      <c r="L15" s="124"/>
    </row>
    <row r="16" spans="2:15" x14ac:dyDescent="0.25">
      <c r="H16" s="116"/>
      <c r="I16" s="123"/>
    </row>
    <row r="17" spans="3:14" ht="15.75" thickBot="1" x14ac:dyDescent="0.3">
      <c r="H17" s="118"/>
      <c r="I17" s="124"/>
    </row>
    <row r="23" spans="3:14" x14ac:dyDescent="0.25">
      <c r="F23" s="115" t="str">
        <f>IF(OR(I21="",I22=""),"",IF(I21&lt;I22,H21,H22))</f>
        <v/>
      </c>
      <c r="K23" s="115" t="str">
        <f>IF(OR(I21="",I22=""),"",IF(I21&gt;I22,H21,H22))</f>
        <v/>
      </c>
    </row>
    <row r="24" spans="3:14" x14ac:dyDescent="0.25">
      <c r="F24" s="115" t="str">
        <f>IF(OR(I25="",I26=""),"",IF(I25&lt;I26,H25,H26))</f>
        <v/>
      </c>
      <c r="K24" s="115" t="str">
        <f>IF(OR(I25="",I26=""),"",IF(I25&gt;I26,H25,H26))</f>
        <v/>
      </c>
    </row>
    <row r="25" spans="3:14" x14ac:dyDescent="0.25">
      <c r="C25" s="115" t="str">
        <f>IF(OR(E23="",E24=""),"",IF(E23&gt;E24,F23,F24))</f>
        <v/>
      </c>
      <c r="N25" s="115" t="str">
        <f>IF(OR(L23="",L24=""),"",IF(L23&gt;L24,K23,K24))</f>
        <v/>
      </c>
    </row>
    <row r="26" spans="3:14" x14ac:dyDescent="0.25">
      <c r="C26" s="115" t="str">
        <f>IF(OR(E31="",E32=""),"",IF(E31&gt;E32,F31,F32))</f>
        <v/>
      </c>
      <c r="N26" s="115" t="str">
        <f>IF(OR(L31="",L32=""),"",IF(L31&gt;L32,K31,K32))</f>
        <v/>
      </c>
    </row>
    <row r="29" spans="3:14" x14ac:dyDescent="0.25">
      <c r="C29" s="115" t="str">
        <f>IF(OR(E23="",E24=""),"",IF(E23&lt;E24,F23,F24))</f>
        <v/>
      </c>
      <c r="N29" s="115" t="str">
        <f>IF(OR(L23="",L24=""),"",IF(L23&lt;L24,K23,K24))</f>
        <v/>
      </c>
    </row>
    <row r="30" spans="3:14" x14ac:dyDescent="0.25">
      <c r="C30" s="115" t="str">
        <f>IF(OR(E31="",E32=""),"",IF(E31&lt;E32,F31,F32))</f>
        <v/>
      </c>
      <c r="N30" s="115" t="str">
        <f>IF(OR(L31="",L32=""),"",IF(L31&lt;L32,K31,K32))</f>
        <v/>
      </c>
    </row>
    <row r="31" spans="3:14" x14ac:dyDescent="0.25">
      <c r="F31" s="115" t="str">
        <f>IF(OR(I29="",I30=""),"",IF(I29&lt;I30,H29,H30))</f>
        <v/>
      </c>
      <c r="K31" s="115" t="str">
        <f>IF(OR(I29="",I30=""),"",IF(I29&gt;I30,H29,H30))</f>
        <v/>
      </c>
    </row>
    <row r="32" spans="3:14" x14ac:dyDescent="0.25">
      <c r="F32" s="115" t="str">
        <f>IF(OR(I33="",I34=""),"",IF(I33&lt;I34,H33,H34))</f>
        <v/>
      </c>
      <c r="K32" s="115" t="str">
        <f>IF(OR(I33="",I34=""),"",IF(I33&gt;I34,H33,H34))</f>
        <v/>
      </c>
    </row>
    <row r="40" spans="3:14" x14ac:dyDescent="0.25">
      <c r="F40" s="115" t="str">
        <f>IF(OR(I38="",I39=""),"",IF(I38&lt;I39,H38,H39))</f>
        <v/>
      </c>
      <c r="K40" s="115" t="str">
        <f>IF(OR(I38="",I39=""),"",IF(I38&gt;I39,H38,H39))</f>
        <v/>
      </c>
    </row>
    <row r="41" spans="3:14" x14ac:dyDescent="0.25">
      <c r="F41" s="115" t="str">
        <f>IF(OR(I42="",I43=""),"",IF(I42&lt;I43,H42,H43))</f>
        <v/>
      </c>
      <c r="K41" s="115" t="str">
        <f>IF(OR(I42="",I43=""),"",IF(I42&gt;I43,H42,H43))</f>
        <v/>
      </c>
    </row>
    <row r="42" spans="3:14" x14ac:dyDescent="0.25">
      <c r="C42" s="115" t="str">
        <f>IF(OR(E40="",E41=""),"",IF(E40&gt;E41,F40,F41))</f>
        <v/>
      </c>
      <c r="N42" s="115" t="str">
        <f>IF(OR(L40="",L41=""),"",IF(L40&gt;L41,K40,K41))</f>
        <v/>
      </c>
    </row>
    <row r="43" spans="3:14" x14ac:dyDescent="0.25">
      <c r="C43" s="115" t="str">
        <f>IF(OR(E48="",E49=""),"",IF(E48&gt;E49,F48,F49))</f>
        <v/>
      </c>
      <c r="N43" s="115" t="str">
        <f>IF(OR(L48="",L49=""),"",IF(L48&gt;L49,K48,K49))</f>
        <v/>
      </c>
    </row>
    <row r="46" spans="3:14" x14ac:dyDescent="0.25">
      <c r="C46" s="115" t="str">
        <f>IF(OR(E40="",E41=""),"",IF(E40&lt;E41,F40,F41))</f>
        <v/>
      </c>
      <c r="N46" s="115" t="str">
        <f>IF(OR(L40="",L41=""),"",IF(L40&lt;L41,K40,K41))</f>
        <v/>
      </c>
    </row>
    <row r="47" spans="3:14" x14ac:dyDescent="0.25">
      <c r="C47" s="115" t="str">
        <f>IF(OR(E48="",E49=""),"",IF(E48&lt;E49,F48,F49))</f>
        <v/>
      </c>
      <c r="N47" s="115" t="str">
        <f>IF(OR(L48="",L49=""),"",IF(L48&lt;L49,K48,K49))</f>
        <v/>
      </c>
    </row>
    <row r="48" spans="3:14" x14ac:dyDescent="0.25">
      <c r="F48" s="115" t="str">
        <f>IF(OR(I46="",I47=""),"",IF(I46&lt;I47,H46,H47))</f>
        <v/>
      </c>
      <c r="K48" s="115" t="str">
        <f>IF(OR(I46="",I47=""),"",IF(I46&gt;I47,H46,H47))</f>
        <v/>
      </c>
    </row>
    <row r="49" spans="6:11" x14ac:dyDescent="0.25">
      <c r="F49" s="115" t="str">
        <f>IF(OR(I50="",I51=""),"",IF(I50&lt;I51,H50,H51))</f>
        <v/>
      </c>
      <c r="K49" s="115" t="str">
        <f>IF(OR(I50="",I51=""),"",IF(I50&gt;I51,H50,H51))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98CAA6EF-F4BC-4150-8677-09171E8D17E9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C4PPph14">
              <controlPr defaultSize="0" print="0" autoFill="0" autoPict="0" macro="[0]!'copyimage &quot;B2:O1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1F7E1-92A8-4BFC-8FF0-25A9F01935ED}">
  <sheetPr codeName="Feuil31"/>
  <dimension ref="A1:G57"/>
  <sheetViews>
    <sheetView topLeftCell="B1" workbookViewId="0"/>
  </sheetViews>
  <sheetFormatPr baseColWidth="10" defaultRowHeight="15" x14ac:dyDescent="0.25"/>
  <cols>
    <col min="1" max="1" width="0" style="73" hidden="1" customWidth="1"/>
    <col min="2" max="2" width="43.5703125" style="73" customWidth="1"/>
    <col min="3" max="3" width="6" style="101" customWidth="1"/>
    <col min="4" max="4" width="16.7109375" style="73" customWidth="1"/>
    <col min="5" max="5" width="6" style="101" customWidth="1"/>
    <col min="6" max="6" width="43.5703125" style="73" customWidth="1"/>
    <col min="7" max="7" width="6" style="73" hidden="1" customWidth="1"/>
    <col min="8" max="16384" width="11.42578125" style="73"/>
  </cols>
  <sheetData>
    <row r="1" spans="1:7" x14ac:dyDescent="0.25">
      <c r="A1" s="92"/>
      <c r="B1" s="92"/>
      <c r="C1" s="99"/>
      <c r="D1" s="93">
        <f>MATCHS!D92 + "00:20:00"</f>
        <v>0.56944444444444564</v>
      </c>
      <c r="E1" s="99"/>
      <c r="F1" s="92"/>
      <c r="G1" s="92"/>
    </row>
    <row r="2" spans="1:7" x14ac:dyDescent="0.25">
      <c r="A2" s="95"/>
      <c r="B2" s="95">
        <f>PHASE_FINALE_DM!H4</f>
        <v>0</v>
      </c>
      <c r="C2" s="100" t="str">
        <f>IF(PHASE_FINALE_DM!I4&lt;&gt;"",PHASE_FINALE_DM!I4,"")</f>
        <v/>
      </c>
      <c r="D2" s="94" t="s">
        <v>118</v>
      </c>
      <c r="E2" s="100" t="str">
        <f>IF(PHASE_FINALE_DM!I5&lt;&gt;"",PHASE_FINALE_DM!I5,"")</f>
        <v/>
      </c>
      <c r="F2" s="95">
        <f>PHASE_FINALE_DM!H5</f>
        <v>0</v>
      </c>
      <c r="G2" s="95"/>
    </row>
    <row r="3" spans="1:7" x14ac:dyDescent="0.25">
      <c r="A3" s="95"/>
      <c r="B3" s="95">
        <f>PHASE_FINALE_DM!H8</f>
        <v>0</v>
      </c>
      <c r="C3" s="100" t="str">
        <f>IF(PHASE_FINALE_DM!I8&lt;&gt;"",PHASE_FINALE_DM!I8,"")</f>
        <v/>
      </c>
      <c r="D3" s="94" t="s">
        <v>119</v>
      </c>
      <c r="E3" s="100" t="str">
        <f>IF(PHASE_FINALE_DM!I9&lt;&gt;"",PHASE_FINALE_DM!I9,"")</f>
        <v/>
      </c>
      <c r="F3" s="95">
        <f>PHASE_FINALE_DM!H9</f>
        <v>0</v>
      </c>
      <c r="G3" s="95"/>
    </row>
    <row r="4" spans="1:7" x14ac:dyDescent="0.25">
      <c r="A4" s="95"/>
      <c r="B4" s="95">
        <f>PHASE_FINALE_DM!H12</f>
        <v>0</v>
      </c>
      <c r="C4" s="100" t="str">
        <f>IF(PHASE_FINALE_DM!I12&lt;&gt;"",PHASE_FINALE_DM!I12,"")</f>
        <v/>
      </c>
      <c r="D4" s="94" t="s">
        <v>120</v>
      </c>
      <c r="E4" s="100" t="str">
        <f>IF(PHASE_FINALE_DM!I13&lt;&gt;"",PHASE_FINALE_DM!I13,"")</f>
        <v/>
      </c>
      <c r="F4" s="95">
        <f>PHASE_FINALE_DM!H13</f>
        <v>0</v>
      </c>
      <c r="G4" s="95"/>
    </row>
    <row r="5" spans="1:7" x14ac:dyDescent="0.25">
      <c r="A5" s="95"/>
      <c r="B5" s="95">
        <f>PHASE_FINALE_DM!H16</f>
        <v>0</v>
      </c>
      <c r="C5" s="100" t="str">
        <f>IF(PHASE_FINALE_DM!I16&lt;&gt;"",PHASE_FINALE_DM!I16,"")</f>
        <v/>
      </c>
      <c r="D5" s="94" t="s">
        <v>121</v>
      </c>
      <c r="E5" s="100" t="str">
        <f>IF(PHASE_FINALE_DM!I17&lt;&gt;"",PHASE_FINALE_DM!I17,"")</f>
        <v/>
      </c>
      <c r="F5" s="95">
        <f>PHASE_FINALE_DM!H17</f>
        <v>0</v>
      </c>
      <c r="G5" s="95"/>
    </row>
    <row r="6" spans="1:7" x14ac:dyDescent="0.25">
      <c r="A6" s="95"/>
      <c r="B6" s="95">
        <f>PHASE_FINALE_DM!H21</f>
        <v>0</v>
      </c>
      <c r="C6" s="100" t="str">
        <f>IF(PHASE_FINALE_DM!I21&lt;&gt;"",PHASE_FINALE_DM!I21,"")</f>
        <v/>
      </c>
      <c r="D6" s="94" t="s">
        <v>122</v>
      </c>
      <c r="E6" s="100" t="str">
        <f>IF(PHASE_FINALE_DM!I22&lt;&gt;"",PHASE_FINALE_DM!I22,"")</f>
        <v/>
      </c>
      <c r="F6" s="95">
        <f>PHASE_FINALE_DM!H22</f>
        <v>0</v>
      </c>
      <c r="G6" s="95"/>
    </row>
    <row r="7" spans="1:7" x14ac:dyDescent="0.25">
      <c r="A7" s="95"/>
      <c r="B7" s="95">
        <f>PHASE_FINALE_DM!H25</f>
        <v>0</v>
      </c>
      <c r="C7" s="100" t="str">
        <f>IF(PHASE_FINALE_DM!I25&lt;&gt;"",PHASE_FINALE_DM!I25,"")</f>
        <v/>
      </c>
      <c r="D7" s="94" t="s">
        <v>123</v>
      </c>
      <c r="E7" s="100" t="str">
        <f>IF(PHASE_FINALE_DM!I26&lt;&gt;"",PHASE_FINALE_DM!I26,"")</f>
        <v/>
      </c>
      <c r="F7" s="95">
        <f>PHASE_FINALE_DM!H26</f>
        <v>0</v>
      </c>
      <c r="G7" s="95"/>
    </row>
    <row r="8" spans="1:7" x14ac:dyDescent="0.25">
      <c r="A8" s="92"/>
      <c r="B8" s="92"/>
      <c r="C8" s="99"/>
      <c r="D8" s="93">
        <f>0.569444444444446 + "00:20:00"</f>
        <v>0.58333333333333481</v>
      </c>
      <c r="E8" s="99"/>
      <c r="F8" s="92"/>
      <c r="G8" s="92"/>
    </row>
    <row r="9" spans="1:7" x14ac:dyDescent="0.25">
      <c r="A9" s="95"/>
      <c r="B9" s="95">
        <f>PHASE_FINALE_DM!H29</f>
        <v>0</v>
      </c>
      <c r="C9" s="100" t="str">
        <f>IF(PHASE_FINALE_DM!I29&lt;&gt;"",PHASE_FINALE_DM!I29,"")</f>
        <v/>
      </c>
      <c r="D9" s="94" t="s">
        <v>118</v>
      </c>
      <c r="E9" s="100" t="str">
        <f>IF(PHASE_FINALE_DM!I30&lt;&gt;"",PHASE_FINALE_DM!I30,"")</f>
        <v/>
      </c>
      <c r="F9" s="95">
        <f>PHASE_FINALE_DM!H30</f>
        <v>0</v>
      </c>
      <c r="G9" s="95"/>
    </row>
    <row r="10" spans="1:7" x14ac:dyDescent="0.25">
      <c r="A10" s="95"/>
      <c r="B10" s="95">
        <f>PHASE_FINALE_DM!H33</f>
        <v>0</v>
      </c>
      <c r="C10" s="100" t="str">
        <f>IF(PHASE_FINALE_DM!I33&lt;&gt;"",PHASE_FINALE_DM!I33,"")</f>
        <v/>
      </c>
      <c r="D10" s="94" t="s">
        <v>119</v>
      </c>
      <c r="E10" s="100" t="str">
        <f>IF(PHASE_FINALE_DM!I34&lt;&gt;"",PHASE_FINALE_DM!I34,"")</f>
        <v/>
      </c>
      <c r="F10" s="95">
        <f>PHASE_FINALE_DM!H34</f>
        <v>0</v>
      </c>
      <c r="G10" s="95"/>
    </row>
    <row r="11" spans="1:7" x14ac:dyDescent="0.25">
      <c r="A11" s="96"/>
      <c r="B11" s="96">
        <f>PHASE_FINALE_SH!H4</f>
        <v>0</v>
      </c>
      <c r="C11" s="100" t="str">
        <f>IF(PHASE_FINALE_SH!I4&lt;&gt;"",PHASE_FINALE_SH!I4,"")</f>
        <v/>
      </c>
      <c r="D11" s="94" t="s">
        <v>124</v>
      </c>
      <c r="E11" s="100" t="str">
        <f>IF(PHASE_FINALE_SH!I5&lt;&gt;"",PHASE_FINALE_SH!I5,"")</f>
        <v/>
      </c>
      <c r="F11" s="96">
        <f>PHASE_FINALE_SH!H5</f>
        <v>0</v>
      </c>
      <c r="G11" s="96"/>
    </row>
    <row r="12" spans="1:7" x14ac:dyDescent="0.25">
      <c r="A12" s="96"/>
      <c r="B12" s="96">
        <f>PHASE_FINALE_SH!H8</f>
        <v>0</v>
      </c>
      <c r="C12" s="100" t="str">
        <f>IF(PHASE_FINALE_SH!I8&lt;&gt;"",PHASE_FINALE_SH!I8,"")</f>
        <v/>
      </c>
      <c r="D12" s="94" t="s">
        <v>125</v>
      </c>
      <c r="E12" s="100" t="str">
        <f>IF(PHASE_FINALE_SH!I9&lt;&gt;"",PHASE_FINALE_SH!I9,"")</f>
        <v/>
      </c>
      <c r="F12" s="96">
        <f>PHASE_FINALE_SH!H9</f>
        <v>0</v>
      </c>
      <c r="G12" s="96"/>
    </row>
    <row r="13" spans="1:7" x14ac:dyDescent="0.25">
      <c r="A13" s="96"/>
      <c r="B13" s="96">
        <f>PHASE_FINALE_SH!H12</f>
        <v>0</v>
      </c>
      <c r="C13" s="100" t="str">
        <f>IF(PHASE_FINALE_SH!I12&lt;&gt;"",PHASE_FINALE_SH!I12,"")</f>
        <v/>
      </c>
      <c r="D13" s="94" t="s">
        <v>126</v>
      </c>
      <c r="E13" s="100" t="str">
        <f>IF(PHASE_FINALE_SH!I13&lt;&gt;"",PHASE_FINALE_SH!I13,"")</f>
        <v/>
      </c>
      <c r="F13" s="96">
        <f>PHASE_FINALE_SH!H13</f>
        <v>0</v>
      </c>
      <c r="G13" s="96"/>
    </row>
    <row r="14" spans="1:7" x14ac:dyDescent="0.25">
      <c r="A14" s="97"/>
      <c r="B14" s="97">
        <f>PHASE_FINALE_SH!H16</f>
        <v>0</v>
      </c>
      <c r="C14" s="100" t="str">
        <f>IF(PHASE_FINALE_SH!I16&lt;&gt;"",PHASE_FINALE_SH!I16,"")</f>
        <v/>
      </c>
      <c r="D14" s="94" t="s">
        <v>127</v>
      </c>
      <c r="E14" s="100" t="str">
        <f>IF(PHASE_FINALE_SH!I17&lt;&gt;"",PHASE_FINALE_SH!I17,"")</f>
        <v/>
      </c>
      <c r="F14" s="97">
        <f>PHASE_FINALE_SH!H17</f>
        <v>0</v>
      </c>
      <c r="G14" s="97"/>
    </row>
    <row r="15" spans="1:7" x14ac:dyDescent="0.25">
      <c r="A15" s="92"/>
      <c r="B15" s="92"/>
      <c r="C15" s="99"/>
      <c r="D15" s="93">
        <f>0.583333333333335 + "00:20:00"</f>
        <v>0.59722222222222388</v>
      </c>
      <c r="E15" s="99"/>
      <c r="F15" s="92"/>
      <c r="G15" s="92"/>
    </row>
    <row r="16" spans="1:7" x14ac:dyDescent="0.25">
      <c r="A16" s="98"/>
      <c r="B16" s="98" t="str">
        <f>PHASE_FINALE_DM!K6</f>
        <v/>
      </c>
      <c r="C16" s="100" t="str">
        <f>IF(PHASE_FINALE_DM!L6&lt;&gt;"",PHASE_FINALE_DM!L6,"")</f>
        <v/>
      </c>
      <c r="D16" s="94" t="s">
        <v>118</v>
      </c>
      <c r="E16" s="100" t="str">
        <f>IF(PHASE_FINALE_DM!L7&lt;&gt;"",PHASE_FINALE_DM!L7,"")</f>
        <v/>
      </c>
      <c r="F16" s="98" t="str">
        <f>PHASE_FINALE_DM!K7</f>
        <v/>
      </c>
      <c r="G16" s="98"/>
    </row>
    <row r="17" spans="1:7" x14ac:dyDescent="0.25">
      <c r="A17" s="98"/>
      <c r="B17" s="98" t="str">
        <f>PHASE_FINALE_DM!K14</f>
        <v/>
      </c>
      <c r="C17" s="100" t="str">
        <f>IF(PHASE_FINALE_DM!L14&lt;&gt;"",PHASE_FINALE_DM!L14,"")</f>
        <v/>
      </c>
      <c r="D17" s="94" t="s">
        <v>119</v>
      </c>
      <c r="E17" s="100" t="str">
        <f>IF(PHASE_FINALE_DM!L15&lt;&gt;"",PHASE_FINALE_DM!L15,"")</f>
        <v/>
      </c>
      <c r="F17" s="98" t="str">
        <f>PHASE_FINALE_DM!K15</f>
        <v/>
      </c>
      <c r="G17" s="98"/>
    </row>
    <row r="18" spans="1:7" x14ac:dyDescent="0.25">
      <c r="A18" s="98"/>
      <c r="B18" s="98" t="str">
        <f>PHASE_FINALE_DM!F6</f>
        <v/>
      </c>
      <c r="C18" s="100" t="str">
        <f>IF(PHASE_FINALE_DM!E6&lt;&gt;"",PHASE_FINALE_DM!E6,"")</f>
        <v/>
      </c>
      <c r="D18" s="94" t="s">
        <v>120</v>
      </c>
      <c r="E18" s="100" t="str">
        <f>IF(PHASE_FINALE_DM!E7&lt;&gt;"",PHASE_FINALE_DM!E7,"")</f>
        <v/>
      </c>
      <c r="F18" s="98" t="str">
        <f>PHASE_FINALE_DM!F7</f>
        <v/>
      </c>
      <c r="G18" s="98"/>
    </row>
    <row r="19" spans="1:7" x14ac:dyDescent="0.25">
      <c r="A19" s="98"/>
      <c r="B19" s="98" t="str">
        <f>PHASE_FINALE_DM!F14</f>
        <v/>
      </c>
      <c r="C19" s="100" t="str">
        <f>IF(PHASE_FINALE_DM!E14&lt;&gt;"",PHASE_FINALE_DM!E14,"")</f>
        <v/>
      </c>
      <c r="D19" s="94" t="s">
        <v>121</v>
      </c>
      <c r="E19" s="100" t="str">
        <f>IF(PHASE_FINALE_DM!E15&lt;&gt;"",PHASE_FINALE_DM!E15,"")</f>
        <v/>
      </c>
      <c r="F19" s="98" t="str">
        <f>PHASE_FINALE_DM!F15</f>
        <v/>
      </c>
      <c r="G19" s="98"/>
    </row>
    <row r="20" spans="1:7" x14ac:dyDescent="0.25">
      <c r="A20" s="98"/>
      <c r="B20" s="98" t="str">
        <f>PHASE_FINALE_DM!K23</f>
        <v/>
      </c>
      <c r="C20" s="100" t="str">
        <f>IF(PHASE_FINALE_DM!L23&lt;&gt;"",PHASE_FINALE_DM!L23,"")</f>
        <v/>
      </c>
      <c r="D20" s="94" t="s">
        <v>122</v>
      </c>
      <c r="E20" s="100" t="str">
        <f>IF(PHASE_FINALE_DM!L24&lt;&gt;"",PHASE_FINALE_DM!L24,"")</f>
        <v/>
      </c>
      <c r="F20" s="98" t="str">
        <f>PHASE_FINALE_DM!K24</f>
        <v/>
      </c>
      <c r="G20" s="98"/>
    </row>
    <row r="21" spans="1:7" x14ac:dyDescent="0.25">
      <c r="A21" s="98"/>
      <c r="B21" s="98" t="str">
        <f>PHASE_FINALE_DM!K31</f>
        <v/>
      </c>
      <c r="C21" s="100" t="str">
        <f>IF(PHASE_FINALE_DM!L31&lt;&gt;"",PHASE_FINALE_DM!L31,"")</f>
        <v/>
      </c>
      <c r="D21" s="94" t="s">
        <v>123</v>
      </c>
      <c r="E21" s="100" t="str">
        <f>IF(PHASE_FINALE_DM!L32&lt;&gt;"",PHASE_FINALE_DM!L32,"")</f>
        <v/>
      </c>
      <c r="F21" s="98" t="str">
        <f>PHASE_FINALE_DM!K32</f>
        <v/>
      </c>
      <c r="G21" s="98"/>
    </row>
    <row r="22" spans="1:7" x14ac:dyDescent="0.25">
      <c r="A22" s="92"/>
      <c r="B22" s="92"/>
      <c r="C22" s="99"/>
      <c r="D22" s="93">
        <f>0.597222222222224 + "00:20:00"</f>
        <v>0.61111111111111283</v>
      </c>
      <c r="E22" s="99"/>
      <c r="F22" s="92"/>
      <c r="G22" s="92"/>
    </row>
    <row r="23" spans="1:7" x14ac:dyDescent="0.25">
      <c r="A23" s="98"/>
      <c r="B23" s="98" t="str">
        <f>PHASE_FINALE_DM!F23</f>
        <v/>
      </c>
      <c r="C23" s="100" t="str">
        <f>IF(PHASE_FINALE_DM!E23&lt;&gt;"",PHASE_FINALE_DM!E23,"")</f>
        <v/>
      </c>
      <c r="D23" s="94" t="s">
        <v>118</v>
      </c>
      <c r="E23" s="100" t="str">
        <f>IF(PHASE_FINALE_DM!E24&lt;&gt;"",PHASE_FINALE_DM!E24,"")</f>
        <v/>
      </c>
      <c r="F23" s="98" t="str">
        <f>PHASE_FINALE_DM!F24</f>
        <v/>
      </c>
      <c r="G23" s="98"/>
    </row>
    <row r="24" spans="1:7" x14ac:dyDescent="0.25">
      <c r="A24" s="98"/>
      <c r="B24" s="98" t="str">
        <f>PHASE_FINALE_DM!F31</f>
        <v/>
      </c>
      <c r="C24" s="100" t="str">
        <f>IF(PHASE_FINALE_DM!E31&lt;&gt;"",PHASE_FINALE_DM!E31,"")</f>
        <v/>
      </c>
      <c r="D24" s="94" t="s">
        <v>119</v>
      </c>
      <c r="E24" s="100" t="str">
        <f>IF(PHASE_FINALE_DM!E32&lt;&gt;"",PHASE_FINALE_DM!E32,"")</f>
        <v/>
      </c>
      <c r="F24" s="98" t="str">
        <f>PHASE_FINALE_DM!F32</f>
        <v/>
      </c>
      <c r="G24" s="98"/>
    </row>
    <row r="25" spans="1:7" x14ac:dyDescent="0.25">
      <c r="A25" s="148"/>
      <c r="B25" s="148" t="str">
        <f>PHASE_FINALE_SH!K6</f>
        <v/>
      </c>
      <c r="C25" s="100" t="str">
        <f>IF(PHASE_FINALE_SH!L6&lt;&gt;"",PHASE_FINALE_SH!L6,"")</f>
        <v/>
      </c>
      <c r="D25" s="94" t="s">
        <v>124</v>
      </c>
      <c r="E25" s="100" t="str">
        <f>IF(PHASE_FINALE_SH!L7&lt;&gt;"",PHASE_FINALE_SH!L7,"")</f>
        <v/>
      </c>
      <c r="F25" s="148" t="str">
        <f>PHASE_FINALE_SH!K7</f>
        <v/>
      </c>
      <c r="G25" s="148"/>
    </row>
    <row r="26" spans="1:7" x14ac:dyDescent="0.25">
      <c r="A26" s="148"/>
      <c r="B26" s="148" t="str">
        <f>PHASE_FINALE_SH!K14</f>
        <v/>
      </c>
      <c r="C26" s="100" t="str">
        <f>IF(PHASE_FINALE_SH!L14&lt;&gt;"",PHASE_FINALE_SH!L14,"")</f>
        <v/>
      </c>
      <c r="D26" s="94" t="s">
        <v>125</v>
      </c>
      <c r="E26" s="100" t="str">
        <f>IF(PHASE_FINALE_SH!L15&lt;&gt;"",PHASE_FINALE_SH!L15,"")</f>
        <v/>
      </c>
      <c r="F26" s="148" t="str">
        <f>PHASE_FINALE_SH!K15</f>
        <v/>
      </c>
      <c r="G26" s="148"/>
    </row>
    <row r="27" spans="1:7" x14ac:dyDescent="0.25">
      <c r="A27" s="149"/>
      <c r="B27" s="149" t="str">
        <f>PHASE_FINALE_SH!F6</f>
        <v/>
      </c>
      <c r="C27" s="100" t="str">
        <f>IF(PHASE_FINALE_SH!E6&lt;&gt;"",PHASE_FINALE_SH!E6,"")</f>
        <v/>
      </c>
      <c r="D27" s="94" t="s">
        <v>126</v>
      </c>
      <c r="E27" s="100" t="str">
        <f>IF(PHASE_FINALE_SH!E7&lt;&gt;"",PHASE_FINALE_SH!E7,"")</f>
        <v/>
      </c>
      <c r="F27" s="149" t="str">
        <f>PHASE_FINALE_SH!F7</f>
        <v/>
      </c>
      <c r="G27" s="149"/>
    </row>
    <row r="28" spans="1:7" x14ac:dyDescent="0.25">
      <c r="A28" s="149"/>
      <c r="B28" s="149" t="str">
        <f>PHASE_FINALE_SH!F14</f>
        <v/>
      </c>
      <c r="C28" s="100" t="str">
        <f>IF(PHASE_FINALE_SH!E14&lt;&gt;"",PHASE_FINALE_SH!E14,"")</f>
        <v/>
      </c>
      <c r="D28" s="94" t="s">
        <v>127</v>
      </c>
      <c r="E28" s="100" t="str">
        <f>IF(PHASE_FINALE_SH!E15&lt;&gt;"",PHASE_FINALE_SH!E15,"")</f>
        <v/>
      </c>
      <c r="F28" s="149" t="str">
        <f>PHASE_FINALE_SH!F15</f>
        <v/>
      </c>
      <c r="G28" s="149"/>
    </row>
    <row r="29" spans="1:7" x14ac:dyDescent="0.25">
      <c r="A29" s="92"/>
      <c r="B29" s="92"/>
      <c r="C29" s="99"/>
      <c r="D29" s="93">
        <f>0.611111111111113 + "00:20:00"</f>
        <v>0.62500000000000189</v>
      </c>
      <c r="E29" s="99"/>
      <c r="F29" s="92"/>
      <c r="G29" s="92"/>
    </row>
    <row r="30" spans="1:7" x14ac:dyDescent="0.25">
      <c r="A30" s="150"/>
      <c r="B30" s="150" t="str">
        <f>PHASE_FINALE_DM!N8</f>
        <v/>
      </c>
      <c r="C30" s="100" t="str">
        <f>IF(PHASE_FINALE_DM!O8&lt;&gt;"",PHASE_FINALE_DM!O8,"")</f>
        <v/>
      </c>
      <c r="D30" s="94" t="s">
        <v>118</v>
      </c>
      <c r="E30" s="100" t="str">
        <f>IF(PHASE_FINALE_DM!O9&lt;&gt;"",PHASE_FINALE_DM!O9,"")</f>
        <v/>
      </c>
      <c r="F30" s="150" t="str">
        <f>PHASE_FINALE_DM!N9</f>
        <v/>
      </c>
      <c r="G30" s="150"/>
    </row>
    <row r="31" spans="1:7" x14ac:dyDescent="0.25">
      <c r="A31" s="150"/>
      <c r="B31" s="150" t="str">
        <f>PHASE_FINALE_DM!N12</f>
        <v/>
      </c>
      <c r="C31" s="100" t="str">
        <f>IF(PHASE_FINALE_DM!O12&lt;&gt;"",PHASE_FINALE_DM!O12,"")</f>
        <v/>
      </c>
      <c r="D31" s="94" t="s">
        <v>119</v>
      </c>
      <c r="E31" s="100" t="str">
        <f>IF(PHASE_FINALE_DM!O13&lt;&gt;"",PHASE_FINALE_DM!O13,"")</f>
        <v/>
      </c>
      <c r="F31" s="150" t="str">
        <f>PHASE_FINALE_DM!N13</f>
        <v/>
      </c>
      <c r="G31" s="150"/>
    </row>
    <row r="32" spans="1:7" x14ac:dyDescent="0.25">
      <c r="A32" s="150"/>
      <c r="B32" s="150" t="str">
        <f>PHASE_FINALE_DM!C8</f>
        <v/>
      </c>
      <c r="C32" s="100" t="str">
        <f>IF(PHASE_FINALE_DM!B8&lt;&gt;"",PHASE_FINALE_DM!B8,"")</f>
        <v/>
      </c>
      <c r="D32" s="94" t="s">
        <v>120</v>
      </c>
      <c r="E32" s="100" t="str">
        <f>IF(PHASE_FINALE_DM!B9&lt;&gt;"",PHASE_FINALE_DM!B9,"")</f>
        <v/>
      </c>
      <c r="F32" s="150" t="str">
        <f>PHASE_FINALE_DM!C9</f>
        <v/>
      </c>
      <c r="G32" s="150"/>
    </row>
    <row r="33" spans="1:7" x14ac:dyDescent="0.25">
      <c r="A33" s="150"/>
      <c r="B33" s="150" t="str">
        <f>PHASE_FINALE_DM!C12</f>
        <v/>
      </c>
      <c r="C33" s="100" t="str">
        <f>IF(PHASE_FINALE_DM!B12&lt;&gt;"",PHASE_FINALE_DM!B12,"")</f>
        <v/>
      </c>
      <c r="D33" s="94" t="s">
        <v>121</v>
      </c>
      <c r="E33" s="100" t="str">
        <f>IF(PHASE_FINALE_DM!B13&lt;&gt;"",PHASE_FINALE_DM!B13,"")</f>
        <v/>
      </c>
      <c r="F33" s="150" t="str">
        <f>PHASE_FINALE_DM!C13</f>
        <v/>
      </c>
      <c r="G33" s="150"/>
    </row>
    <row r="34" spans="1:7" x14ac:dyDescent="0.25">
      <c r="A34" s="150"/>
      <c r="B34" s="150" t="str">
        <f>PHASE_FINALE_DM!N25</f>
        <v/>
      </c>
      <c r="C34" s="100" t="str">
        <f>IF(PHASE_FINALE_DM!O25&lt;&gt;"",PHASE_FINALE_DM!O25,"")</f>
        <v/>
      </c>
      <c r="D34" s="94" t="s">
        <v>122</v>
      </c>
      <c r="E34" s="100" t="str">
        <f>IF(PHASE_FINALE_DM!O26&lt;&gt;"",PHASE_FINALE_DM!O26,"")</f>
        <v/>
      </c>
      <c r="F34" s="150" t="str">
        <f>PHASE_FINALE_DM!N26</f>
        <v/>
      </c>
      <c r="G34" s="150"/>
    </row>
    <row r="35" spans="1:7" x14ac:dyDescent="0.25">
      <c r="A35" s="150"/>
      <c r="B35" s="150" t="str">
        <f>PHASE_FINALE_DM!N29</f>
        <v/>
      </c>
      <c r="C35" s="100" t="str">
        <f>IF(PHASE_FINALE_DM!O29&lt;&gt;"",PHASE_FINALE_DM!O29,"")</f>
        <v/>
      </c>
      <c r="D35" s="94" t="s">
        <v>123</v>
      </c>
      <c r="E35" s="100" t="str">
        <f>IF(PHASE_FINALE_DM!O30&lt;&gt;"",PHASE_FINALE_DM!O30,"")</f>
        <v/>
      </c>
      <c r="F35" s="150" t="str">
        <f>PHASE_FINALE_DM!N30</f>
        <v/>
      </c>
      <c r="G35" s="150"/>
    </row>
    <row r="36" spans="1:7" x14ac:dyDescent="0.25">
      <c r="A36" s="92"/>
      <c r="B36" s="92"/>
      <c r="C36" s="99"/>
      <c r="D36" s="93">
        <f>0.625000000000002 + "00:20:00"</f>
        <v>0.63888888888889084</v>
      </c>
      <c r="E36" s="99"/>
      <c r="F36" s="92"/>
      <c r="G36" s="92"/>
    </row>
    <row r="37" spans="1:7" x14ac:dyDescent="0.25">
      <c r="A37" s="150"/>
      <c r="B37" s="150" t="str">
        <f>PHASE_FINALE_DM!C25</f>
        <v/>
      </c>
      <c r="C37" s="100" t="str">
        <f>IF(PHASE_FINALE_DM!B25&lt;&gt;"",PHASE_FINALE_DM!B25,"")</f>
        <v/>
      </c>
      <c r="D37" s="94" t="s">
        <v>118</v>
      </c>
      <c r="E37" s="100" t="str">
        <f>IF(PHASE_FINALE_DM!B26&lt;&gt;"",PHASE_FINALE_DM!B26,"")</f>
        <v/>
      </c>
      <c r="F37" s="150" t="str">
        <f>PHASE_FINALE_DM!C26</f>
        <v/>
      </c>
      <c r="G37" s="150"/>
    </row>
    <row r="38" spans="1:7" x14ac:dyDescent="0.25">
      <c r="A38" s="150"/>
      <c r="B38" s="150" t="str">
        <f>PHASE_FINALE_DM!C29</f>
        <v/>
      </c>
      <c r="C38" s="100" t="str">
        <f>IF(PHASE_FINALE_DM!B29&lt;&gt;"",PHASE_FINALE_DM!B29,"")</f>
        <v/>
      </c>
      <c r="D38" s="94" t="s">
        <v>119</v>
      </c>
      <c r="E38" s="100" t="str">
        <f>IF(PHASE_FINALE_DM!B30&lt;&gt;"",PHASE_FINALE_DM!B30,"")</f>
        <v/>
      </c>
      <c r="F38" s="150" t="str">
        <f>PHASE_FINALE_DM!C30</f>
        <v/>
      </c>
      <c r="G38" s="150"/>
    </row>
    <row r="39" spans="1:7" x14ac:dyDescent="0.25">
      <c r="A39" s="151"/>
      <c r="B39" s="151" t="str">
        <f>PHASE_FINALE_SH!N8</f>
        <v/>
      </c>
      <c r="C39" s="100" t="str">
        <f>IF(PHASE_FINALE_SH!O8&lt;&gt;"",PHASE_FINALE_SH!O8,"")</f>
        <v/>
      </c>
      <c r="D39" s="94" t="s">
        <v>124</v>
      </c>
      <c r="E39" s="100" t="str">
        <f>IF(PHASE_FINALE_SH!O9&lt;&gt;"",PHASE_FINALE_SH!O9,"")</f>
        <v/>
      </c>
      <c r="F39" s="151" t="str">
        <f>PHASE_FINALE_SH!N9</f>
        <v/>
      </c>
      <c r="G39" s="151"/>
    </row>
    <row r="40" spans="1:7" x14ac:dyDescent="0.25">
      <c r="A40" s="152"/>
      <c r="B40" s="152" t="str">
        <f>PHASE_FINALE_SH!N12</f>
        <v/>
      </c>
      <c r="C40" s="100" t="str">
        <f>IF(PHASE_FINALE_SH!O12&lt;&gt;"",PHASE_FINALE_SH!O12,"")</f>
        <v/>
      </c>
      <c r="D40" s="94" t="s">
        <v>125</v>
      </c>
      <c r="E40" s="100" t="str">
        <f>IF(PHASE_FINALE_SH!O13&lt;&gt;"",PHASE_FINALE_SH!O13,"")</f>
        <v/>
      </c>
      <c r="F40" s="152" t="str">
        <f>PHASE_FINALE_SH!N13</f>
        <v/>
      </c>
      <c r="G40" s="152"/>
    </row>
    <row r="41" spans="1:7" x14ac:dyDescent="0.25">
      <c r="A41" s="152"/>
      <c r="B41" s="152" t="str">
        <f>PHASE_FINALE_SH!C8</f>
        <v/>
      </c>
      <c r="C41" s="100" t="str">
        <f>IF(PHASE_FINALE_SH!B8&lt;&gt;"",PHASE_FINALE_SH!B8,"")</f>
        <v/>
      </c>
      <c r="D41" s="94" t="s">
        <v>126</v>
      </c>
      <c r="E41" s="100" t="str">
        <f>IF(PHASE_FINALE_SH!B9&lt;&gt;"",PHASE_FINALE_SH!B9,"")</f>
        <v/>
      </c>
      <c r="F41" s="152" t="str">
        <f>PHASE_FINALE_SH!C9</f>
        <v/>
      </c>
      <c r="G41" s="152"/>
    </row>
    <row r="42" spans="1:7" x14ac:dyDescent="0.25">
      <c r="A42" s="152"/>
      <c r="B42" s="152" t="str">
        <f>PHASE_FINALE_SH!C12</f>
        <v/>
      </c>
      <c r="C42" s="100" t="str">
        <f>IF(PHASE_FINALE_SH!B12&lt;&gt;"",PHASE_FINALE_SH!B12,"")</f>
        <v/>
      </c>
      <c r="D42" s="94" t="s">
        <v>127</v>
      </c>
      <c r="E42" s="100" t="str">
        <f>IF(PHASE_FINALE_SH!B13&lt;&gt;"",PHASE_FINALE_SH!B13,"")</f>
        <v/>
      </c>
      <c r="F42" s="152" t="str">
        <f>PHASE_FINALE_SH!C13</f>
        <v/>
      </c>
      <c r="G42" s="152"/>
    </row>
    <row r="43" spans="1:7" x14ac:dyDescent="0.25">
      <c r="A43" s="92"/>
      <c r="B43" s="92"/>
      <c r="C43" s="99"/>
      <c r="D43" s="93">
        <f>0.638888888888891 + "00:20:00"</f>
        <v>0.65277777777777979</v>
      </c>
      <c r="E43" s="99"/>
      <c r="F43" s="92"/>
      <c r="G43" s="92"/>
    </row>
    <row r="50" spans="4:4" x14ac:dyDescent="0.25">
      <c r="D50" s="73">
        <f>0.65277777777778 + "00:20:00"</f>
        <v>0.66666666666666885</v>
      </c>
    </row>
    <row r="57" spans="4:4" x14ac:dyDescent="0.25">
      <c r="D57" s="73">
        <f>0.666666666666669 + "00:20:00"</f>
        <v>0.6805555555555578</v>
      </c>
    </row>
  </sheetData>
  <conditionalFormatting sqref="C2">
    <cfRule type="expression" dxfId="143" priority="143">
      <formula>$C2&lt;$E2</formula>
    </cfRule>
    <cfRule type="expression" dxfId="142" priority="144">
      <formula>$C2&gt;$E2</formula>
    </cfRule>
  </conditionalFormatting>
  <conditionalFormatting sqref="E2">
    <cfRule type="expression" dxfId="141" priority="141">
      <formula>$C2&gt;$E2</formula>
    </cfRule>
    <cfRule type="expression" dxfId="140" priority="142">
      <formula>$C2&lt;$E2</formula>
    </cfRule>
  </conditionalFormatting>
  <conditionalFormatting sqref="C3">
    <cfRule type="expression" dxfId="139" priority="139">
      <formula>$C3&lt;$E3</formula>
    </cfRule>
    <cfRule type="expression" dxfId="138" priority="140">
      <formula>$C3&gt;$E3</formula>
    </cfRule>
  </conditionalFormatting>
  <conditionalFormatting sqref="E3">
    <cfRule type="expression" dxfId="137" priority="137">
      <formula>$C3&gt;$E3</formula>
    </cfRule>
    <cfRule type="expression" dxfId="136" priority="138">
      <formula>$C3&lt;$E3</formula>
    </cfRule>
  </conditionalFormatting>
  <conditionalFormatting sqref="C4">
    <cfRule type="expression" dxfId="135" priority="135">
      <formula>$C4&lt;$E4</formula>
    </cfRule>
    <cfRule type="expression" dxfId="134" priority="136">
      <formula>$C4&gt;$E4</formula>
    </cfRule>
  </conditionalFormatting>
  <conditionalFormatting sqref="E4">
    <cfRule type="expression" dxfId="133" priority="133">
      <formula>$C4&gt;$E4</formula>
    </cfRule>
    <cfRule type="expression" dxfId="132" priority="134">
      <formula>$C4&lt;$E4</formula>
    </cfRule>
  </conditionalFormatting>
  <conditionalFormatting sqref="C5">
    <cfRule type="expression" dxfId="131" priority="131">
      <formula>$C5&lt;$E5</formula>
    </cfRule>
    <cfRule type="expression" dxfId="130" priority="132">
      <formula>$C5&gt;$E5</formula>
    </cfRule>
  </conditionalFormatting>
  <conditionalFormatting sqref="E5">
    <cfRule type="expression" dxfId="129" priority="129">
      <formula>$C5&gt;$E5</formula>
    </cfRule>
    <cfRule type="expression" dxfId="128" priority="130">
      <formula>$C5&lt;$E5</formula>
    </cfRule>
  </conditionalFormatting>
  <conditionalFormatting sqref="C6">
    <cfRule type="expression" dxfId="127" priority="127">
      <formula>$C6&lt;$E6</formula>
    </cfRule>
    <cfRule type="expression" dxfId="126" priority="128">
      <formula>$C6&gt;$E6</formula>
    </cfRule>
  </conditionalFormatting>
  <conditionalFormatting sqref="E6">
    <cfRule type="expression" dxfId="125" priority="125">
      <formula>$C6&gt;$E6</formula>
    </cfRule>
    <cfRule type="expression" dxfId="124" priority="126">
      <formula>$C6&lt;$E6</formula>
    </cfRule>
  </conditionalFormatting>
  <conditionalFormatting sqref="C7">
    <cfRule type="expression" dxfId="123" priority="123">
      <formula>$C7&lt;$E7</formula>
    </cfRule>
    <cfRule type="expression" dxfId="122" priority="124">
      <formula>$C7&gt;$E7</formula>
    </cfRule>
  </conditionalFormatting>
  <conditionalFormatting sqref="E7">
    <cfRule type="expression" dxfId="121" priority="121">
      <formula>$C7&gt;$E7</formula>
    </cfRule>
    <cfRule type="expression" dxfId="120" priority="122">
      <formula>$C7&lt;$E7</formula>
    </cfRule>
  </conditionalFormatting>
  <conditionalFormatting sqref="C9">
    <cfRule type="expression" dxfId="119" priority="119">
      <formula>$C9&lt;$E9</formula>
    </cfRule>
    <cfRule type="expression" dxfId="118" priority="120">
      <formula>$C9&gt;$E9</formula>
    </cfRule>
  </conditionalFormatting>
  <conditionalFormatting sqref="E9">
    <cfRule type="expression" dxfId="117" priority="117">
      <formula>$C9&gt;$E9</formula>
    </cfRule>
    <cfRule type="expression" dxfId="116" priority="118">
      <formula>$C9&lt;$E9</formula>
    </cfRule>
  </conditionalFormatting>
  <conditionalFormatting sqref="C10">
    <cfRule type="expression" dxfId="115" priority="115">
      <formula>$C10&lt;$E10</formula>
    </cfRule>
    <cfRule type="expression" dxfId="114" priority="116">
      <formula>$C10&gt;$E10</formula>
    </cfRule>
  </conditionalFormatting>
  <conditionalFormatting sqref="E10">
    <cfRule type="expression" dxfId="113" priority="113">
      <formula>$C10&gt;$E10</formula>
    </cfRule>
    <cfRule type="expression" dxfId="112" priority="114">
      <formula>$C10&lt;$E10</formula>
    </cfRule>
  </conditionalFormatting>
  <conditionalFormatting sqref="C11">
    <cfRule type="expression" dxfId="111" priority="111">
      <formula>$C11&lt;$E11</formula>
    </cfRule>
    <cfRule type="expression" dxfId="110" priority="112">
      <formula>$C11&gt;$E11</formula>
    </cfRule>
  </conditionalFormatting>
  <conditionalFormatting sqref="E11">
    <cfRule type="expression" dxfId="109" priority="109">
      <formula>$C11&gt;$E11</formula>
    </cfRule>
    <cfRule type="expression" dxfId="108" priority="110">
      <formula>$C11&lt;$E11</formula>
    </cfRule>
  </conditionalFormatting>
  <conditionalFormatting sqref="C12">
    <cfRule type="expression" dxfId="107" priority="107">
      <formula>$C12&lt;$E12</formula>
    </cfRule>
    <cfRule type="expression" dxfId="106" priority="108">
      <formula>$C12&gt;$E12</formula>
    </cfRule>
  </conditionalFormatting>
  <conditionalFormatting sqref="E12">
    <cfRule type="expression" dxfId="105" priority="105">
      <formula>$C12&gt;$E12</formula>
    </cfRule>
    <cfRule type="expression" dxfId="104" priority="106">
      <formula>$C12&lt;$E12</formula>
    </cfRule>
  </conditionalFormatting>
  <conditionalFormatting sqref="C13">
    <cfRule type="expression" dxfId="103" priority="104">
      <formula>$C13&gt;$E13</formula>
    </cfRule>
  </conditionalFormatting>
  <conditionalFormatting sqref="C13">
    <cfRule type="expression" dxfId="102" priority="103">
      <formula>$C13&lt;$E13</formula>
    </cfRule>
  </conditionalFormatting>
  <conditionalFormatting sqref="E13">
    <cfRule type="expression" dxfId="101" priority="102">
      <formula>$C13&lt;$E13</formula>
    </cfRule>
  </conditionalFormatting>
  <conditionalFormatting sqref="E13">
    <cfRule type="expression" dxfId="100" priority="101">
      <formula>$C13&gt;$E13</formula>
    </cfRule>
  </conditionalFormatting>
  <conditionalFormatting sqref="C14">
    <cfRule type="expression" dxfId="99" priority="100">
      <formula>$C14&gt;$E14</formula>
    </cfRule>
  </conditionalFormatting>
  <conditionalFormatting sqref="C14">
    <cfRule type="expression" dxfId="98" priority="99">
      <formula>$C14&lt;$E14</formula>
    </cfRule>
  </conditionalFormatting>
  <conditionalFormatting sqref="E14">
    <cfRule type="expression" dxfId="97" priority="98">
      <formula>$C14&lt;$E14</formula>
    </cfRule>
  </conditionalFormatting>
  <conditionalFormatting sqref="E14">
    <cfRule type="expression" dxfId="96" priority="97">
      <formula>$C14&gt;$E14</formula>
    </cfRule>
  </conditionalFormatting>
  <conditionalFormatting sqref="C16">
    <cfRule type="expression" dxfId="95" priority="96">
      <formula>$C16&gt;$E16</formula>
    </cfRule>
  </conditionalFormatting>
  <conditionalFormatting sqref="C16">
    <cfRule type="expression" dxfId="94" priority="95">
      <formula>$C16&lt;$E16</formula>
    </cfRule>
  </conditionalFormatting>
  <conditionalFormatting sqref="E16">
    <cfRule type="expression" dxfId="93" priority="94">
      <formula>$C16&lt;$E16</formula>
    </cfRule>
  </conditionalFormatting>
  <conditionalFormatting sqref="E16">
    <cfRule type="expression" dxfId="92" priority="93">
      <formula>$C16&gt;$E16</formula>
    </cfRule>
  </conditionalFormatting>
  <conditionalFormatting sqref="C17">
    <cfRule type="expression" dxfId="91" priority="92">
      <formula>$C17&gt;$E17</formula>
    </cfRule>
  </conditionalFormatting>
  <conditionalFormatting sqref="C17">
    <cfRule type="expression" dxfId="90" priority="91">
      <formula>$C17&lt;$E17</formula>
    </cfRule>
  </conditionalFormatting>
  <conditionalFormatting sqref="E17">
    <cfRule type="expression" dxfId="89" priority="90">
      <formula>$C17&lt;$E17</formula>
    </cfRule>
  </conditionalFormatting>
  <conditionalFormatting sqref="E17">
    <cfRule type="expression" dxfId="88" priority="89">
      <formula>$C17&gt;$E17</formula>
    </cfRule>
  </conditionalFormatting>
  <conditionalFormatting sqref="C18">
    <cfRule type="expression" dxfId="87" priority="88">
      <formula>$C18&gt;$E18</formula>
    </cfRule>
  </conditionalFormatting>
  <conditionalFormatting sqref="C18">
    <cfRule type="expression" dxfId="86" priority="87">
      <formula>$C18&lt;$E18</formula>
    </cfRule>
  </conditionalFormatting>
  <conditionalFormatting sqref="E18">
    <cfRule type="expression" dxfId="85" priority="86">
      <formula>$C18&lt;$E18</formula>
    </cfRule>
  </conditionalFormatting>
  <conditionalFormatting sqref="E18">
    <cfRule type="expression" dxfId="84" priority="85">
      <formula>$C18&gt;$E18</formula>
    </cfRule>
  </conditionalFormatting>
  <conditionalFormatting sqref="C19">
    <cfRule type="expression" dxfId="83" priority="84">
      <formula>$C19&gt;$E19</formula>
    </cfRule>
  </conditionalFormatting>
  <conditionalFormatting sqref="C19">
    <cfRule type="expression" dxfId="82" priority="83">
      <formula>$C19&lt;$E19</formula>
    </cfRule>
  </conditionalFormatting>
  <conditionalFormatting sqref="E19">
    <cfRule type="expression" dxfId="81" priority="82">
      <formula>$C19&lt;$E19</formula>
    </cfRule>
  </conditionalFormatting>
  <conditionalFormatting sqref="E19">
    <cfRule type="expression" dxfId="80" priority="81">
      <formula>$C19&gt;$E19</formula>
    </cfRule>
  </conditionalFormatting>
  <conditionalFormatting sqref="C20">
    <cfRule type="expression" dxfId="79" priority="80">
      <formula>$C20&gt;$E20</formula>
    </cfRule>
  </conditionalFormatting>
  <conditionalFormatting sqref="C20">
    <cfRule type="expression" dxfId="78" priority="79">
      <formula>$C20&lt;$E20</formula>
    </cfRule>
  </conditionalFormatting>
  <conditionalFormatting sqref="E20">
    <cfRule type="expression" dxfId="77" priority="78">
      <formula>$C20&lt;$E20</formula>
    </cfRule>
  </conditionalFormatting>
  <conditionalFormatting sqref="E20">
    <cfRule type="expression" dxfId="76" priority="77">
      <formula>$C20&gt;$E20</formula>
    </cfRule>
  </conditionalFormatting>
  <conditionalFormatting sqref="C21">
    <cfRule type="expression" dxfId="75" priority="76">
      <formula>$C21&gt;$E21</formula>
    </cfRule>
  </conditionalFormatting>
  <conditionalFormatting sqref="C21">
    <cfRule type="expression" dxfId="74" priority="75">
      <formula>$C21&lt;$E21</formula>
    </cfRule>
  </conditionalFormatting>
  <conditionalFormatting sqref="E21">
    <cfRule type="expression" dxfId="73" priority="74">
      <formula>$C21&lt;$E21</formula>
    </cfRule>
  </conditionalFormatting>
  <conditionalFormatting sqref="E21">
    <cfRule type="expression" dxfId="72" priority="73">
      <formula>$C21&gt;$E21</formula>
    </cfRule>
  </conditionalFormatting>
  <conditionalFormatting sqref="C23">
    <cfRule type="expression" dxfId="71" priority="72">
      <formula>$C23&gt;$E23</formula>
    </cfRule>
  </conditionalFormatting>
  <conditionalFormatting sqref="C23">
    <cfRule type="expression" dxfId="70" priority="71">
      <formula>$C23&lt;$E23</formula>
    </cfRule>
  </conditionalFormatting>
  <conditionalFormatting sqref="E23">
    <cfRule type="expression" dxfId="69" priority="70">
      <formula>$C23&lt;$E23</formula>
    </cfRule>
  </conditionalFormatting>
  <conditionalFormatting sqref="E23">
    <cfRule type="expression" dxfId="68" priority="69">
      <formula>$C23&gt;$E23</formula>
    </cfRule>
  </conditionalFormatting>
  <conditionalFormatting sqref="C24">
    <cfRule type="expression" dxfId="67" priority="68">
      <formula>$C24&gt;$E24</formula>
    </cfRule>
  </conditionalFormatting>
  <conditionalFormatting sqref="C24">
    <cfRule type="expression" dxfId="66" priority="67">
      <formula>$C24&lt;$E24</formula>
    </cfRule>
  </conditionalFormatting>
  <conditionalFormatting sqref="E24">
    <cfRule type="expression" dxfId="65" priority="66">
      <formula>$C24&lt;$E24</formula>
    </cfRule>
  </conditionalFormatting>
  <conditionalFormatting sqref="E24">
    <cfRule type="expression" dxfId="64" priority="65">
      <formula>$C24&gt;$E24</formula>
    </cfRule>
  </conditionalFormatting>
  <conditionalFormatting sqref="C25">
    <cfRule type="expression" dxfId="63" priority="64">
      <formula>$C25&gt;$E25</formula>
    </cfRule>
  </conditionalFormatting>
  <conditionalFormatting sqref="C25">
    <cfRule type="expression" dxfId="62" priority="63">
      <formula>$C25&lt;$E25</formula>
    </cfRule>
  </conditionalFormatting>
  <conditionalFormatting sqref="E25">
    <cfRule type="expression" dxfId="61" priority="62">
      <formula>$C25&lt;$E25</formula>
    </cfRule>
  </conditionalFormatting>
  <conditionalFormatting sqref="E25">
    <cfRule type="expression" dxfId="60" priority="61">
      <formula>$C25&gt;$E25</formula>
    </cfRule>
  </conditionalFormatting>
  <conditionalFormatting sqref="C26">
    <cfRule type="expression" dxfId="59" priority="60">
      <formula>$C26&gt;$E26</formula>
    </cfRule>
  </conditionalFormatting>
  <conditionalFormatting sqref="C26">
    <cfRule type="expression" dxfId="58" priority="59">
      <formula>$C26&lt;$E26</formula>
    </cfRule>
  </conditionalFormatting>
  <conditionalFormatting sqref="E26">
    <cfRule type="expression" dxfId="57" priority="58">
      <formula>$C26&lt;$E26</formula>
    </cfRule>
  </conditionalFormatting>
  <conditionalFormatting sqref="E26">
    <cfRule type="expression" dxfId="56" priority="57">
      <formula>$C26&gt;$E26</formula>
    </cfRule>
  </conditionalFormatting>
  <conditionalFormatting sqref="C27">
    <cfRule type="expression" dxfId="55" priority="56">
      <formula>$C27&gt;$E27</formula>
    </cfRule>
  </conditionalFormatting>
  <conditionalFormatting sqref="C27">
    <cfRule type="expression" dxfId="54" priority="55">
      <formula>$C27&lt;$E27</formula>
    </cfRule>
  </conditionalFormatting>
  <conditionalFormatting sqref="E27">
    <cfRule type="expression" dxfId="53" priority="54">
      <formula>$C27&lt;$E27</formula>
    </cfRule>
  </conditionalFormatting>
  <conditionalFormatting sqref="E27">
    <cfRule type="expression" dxfId="52" priority="53">
      <formula>$C27&gt;$E27</formula>
    </cfRule>
  </conditionalFormatting>
  <conditionalFormatting sqref="C28">
    <cfRule type="expression" dxfId="51" priority="52">
      <formula>$C28&gt;$E28</formula>
    </cfRule>
  </conditionalFormatting>
  <conditionalFormatting sqref="C28">
    <cfRule type="expression" dxfId="50" priority="51">
      <formula>$C28&lt;$E28</formula>
    </cfRule>
  </conditionalFormatting>
  <conditionalFormatting sqref="E28">
    <cfRule type="expression" dxfId="49" priority="50">
      <formula>$C28&lt;$E28</formula>
    </cfRule>
  </conditionalFormatting>
  <conditionalFormatting sqref="E28">
    <cfRule type="expression" dxfId="48" priority="49">
      <formula>$C28&gt;$E28</formula>
    </cfRule>
  </conditionalFormatting>
  <conditionalFormatting sqref="C30">
    <cfRule type="expression" dxfId="47" priority="48">
      <formula>$C30&gt;$E30</formula>
    </cfRule>
  </conditionalFormatting>
  <conditionalFormatting sqref="C30">
    <cfRule type="expression" dxfId="46" priority="47">
      <formula>$C30&lt;$E30</formula>
    </cfRule>
  </conditionalFormatting>
  <conditionalFormatting sqref="E30">
    <cfRule type="expression" dxfId="45" priority="46">
      <formula>$C30&lt;$E30</formula>
    </cfRule>
  </conditionalFormatting>
  <conditionalFormatting sqref="E30">
    <cfRule type="expression" dxfId="44" priority="45">
      <formula>$C30&gt;$E30</formula>
    </cfRule>
  </conditionalFormatting>
  <conditionalFormatting sqref="C31">
    <cfRule type="expression" dxfId="43" priority="44">
      <formula>$C31&gt;$E31</formula>
    </cfRule>
  </conditionalFormatting>
  <conditionalFormatting sqref="C31">
    <cfRule type="expression" dxfId="42" priority="43">
      <formula>$C31&lt;$E31</formula>
    </cfRule>
  </conditionalFormatting>
  <conditionalFormatting sqref="E31">
    <cfRule type="expression" dxfId="41" priority="42">
      <formula>$C31&lt;$E31</formula>
    </cfRule>
  </conditionalFormatting>
  <conditionalFormatting sqref="E31">
    <cfRule type="expression" dxfId="40" priority="41">
      <formula>$C31&gt;$E31</formula>
    </cfRule>
  </conditionalFormatting>
  <conditionalFormatting sqref="C32">
    <cfRule type="expression" dxfId="39" priority="40">
      <formula>$C32&gt;$E32</formula>
    </cfRule>
  </conditionalFormatting>
  <conditionalFormatting sqref="C32">
    <cfRule type="expression" dxfId="38" priority="39">
      <formula>$C32&lt;$E32</formula>
    </cfRule>
  </conditionalFormatting>
  <conditionalFormatting sqref="E32">
    <cfRule type="expression" dxfId="37" priority="38">
      <formula>$C32&lt;$E32</formula>
    </cfRule>
  </conditionalFormatting>
  <conditionalFormatting sqref="E32">
    <cfRule type="expression" dxfId="36" priority="37">
      <formula>$C32&gt;$E32</formula>
    </cfRule>
  </conditionalFormatting>
  <conditionalFormatting sqref="C33">
    <cfRule type="expression" dxfId="35" priority="36">
      <formula>$C33&gt;$E33</formula>
    </cfRule>
  </conditionalFormatting>
  <conditionalFormatting sqref="C33">
    <cfRule type="expression" dxfId="34" priority="35">
      <formula>$C33&lt;$E33</formula>
    </cfRule>
  </conditionalFormatting>
  <conditionalFormatting sqref="E33">
    <cfRule type="expression" dxfId="33" priority="34">
      <formula>$C33&lt;$E33</formula>
    </cfRule>
  </conditionalFormatting>
  <conditionalFormatting sqref="E33">
    <cfRule type="expression" dxfId="32" priority="33">
      <formula>$C33&gt;$E33</formula>
    </cfRule>
  </conditionalFormatting>
  <conditionalFormatting sqref="C34">
    <cfRule type="expression" dxfId="31" priority="32">
      <formula>$C34&gt;$E34</formula>
    </cfRule>
  </conditionalFormatting>
  <conditionalFormatting sqref="C34">
    <cfRule type="expression" dxfId="30" priority="31">
      <formula>$C34&lt;$E34</formula>
    </cfRule>
  </conditionalFormatting>
  <conditionalFormatting sqref="E34">
    <cfRule type="expression" dxfId="29" priority="30">
      <formula>$C34&lt;$E34</formula>
    </cfRule>
  </conditionalFormatting>
  <conditionalFormatting sqref="E34">
    <cfRule type="expression" dxfId="28" priority="29">
      <formula>$C34&gt;$E34</formula>
    </cfRule>
  </conditionalFormatting>
  <conditionalFormatting sqref="C35">
    <cfRule type="expression" dxfId="27" priority="28">
      <formula>$C35&gt;$E35</formula>
    </cfRule>
  </conditionalFormatting>
  <conditionalFormatting sqref="C35">
    <cfRule type="expression" dxfId="26" priority="27">
      <formula>$C35&lt;$E35</formula>
    </cfRule>
  </conditionalFormatting>
  <conditionalFormatting sqref="E35">
    <cfRule type="expression" dxfId="25" priority="26">
      <formula>$C35&lt;$E35</formula>
    </cfRule>
  </conditionalFormatting>
  <conditionalFormatting sqref="E35">
    <cfRule type="expression" dxfId="24" priority="25">
      <formula>$C35&gt;$E35</formula>
    </cfRule>
  </conditionalFormatting>
  <conditionalFormatting sqref="C37">
    <cfRule type="expression" dxfId="23" priority="24">
      <formula>$C37&gt;$E37</formula>
    </cfRule>
  </conditionalFormatting>
  <conditionalFormatting sqref="C37">
    <cfRule type="expression" dxfId="22" priority="23">
      <formula>$C37&lt;$E37</formula>
    </cfRule>
  </conditionalFormatting>
  <conditionalFormatting sqref="E37">
    <cfRule type="expression" dxfId="21" priority="22">
      <formula>$C37&lt;$E37</formula>
    </cfRule>
  </conditionalFormatting>
  <conditionalFormatting sqref="E37">
    <cfRule type="expression" dxfId="20" priority="21">
      <formula>$C37&gt;$E37</formula>
    </cfRule>
  </conditionalFormatting>
  <conditionalFormatting sqref="C38">
    <cfRule type="expression" dxfId="19" priority="20">
      <formula>$C38&gt;$E38</formula>
    </cfRule>
  </conditionalFormatting>
  <conditionalFormatting sqref="C38">
    <cfRule type="expression" dxfId="18" priority="19">
      <formula>$C38&lt;$E38</formula>
    </cfRule>
  </conditionalFormatting>
  <conditionalFormatting sqref="E38">
    <cfRule type="expression" dxfId="17" priority="18">
      <formula>$C38&lt;$E38</formula>
    </cfRule>
  </conditionalFormatting>
  <conditionalFormatting sqref="E38">
    <cfRule type="expression" dxfId="16" priority="17">
      <formula>$C38&gt;$E38</formula>
    </cfRule>
  </conditionalFormatting>
  <conditionalFormatting sqref="C39">
    <cfRule type="expression" dxfId="15" priority="16">
      <formula>$C39&gt;$E39</formula>
    </cfRule>
  </conditionalFormatting>
  <conditionalFormatting sqref="C39">
    <cfRule type="expression" dxfId="14" priority="15">
      <formula>$C39&lt;$E39</formula>
    </cfRule>
  </conditionalFormatting>
  <conditionalFormatting sqref="E39">
    <cfRule type="expression" dxfId="13" priority="14">
      <formula>$C39&lt;$E39</formula>
    </cfRule>
  </conditionalFormatting>
  <conditionalFormatting sqref="E39">
    <cfRule type="expression" dxfId="12" priority="13">
      <formula>$C39&gt;$E39</formula>
    </cfRule>
  </conditionalFormatting>
  <conditionalFormatting sqref="C40">
    <cfRule type="expression" dxfId="11" priority="12">
      <formula>$C40&gt;$E40</formula>
    </cfRule>
  </conditionalFormatting>
  <conditionalFormatting sqref="C40">
    <cfRule type="expression" dxfId="10" priority="11">
      <formula>$C40&lt;$E40</formula>
    </cfRule>
  </conditionalFormatting>
  <conditionalFormatting sqref="E40">
    <cfRule type="expression" dxfId="9" priority="10">
      <formula>$C40&lt;$E40</formula>
    </cfRule>
  </conditionalFormatting>
  <conditionalFormatting sqref="E40">
    <cfRule type="expression" dxfId="8" priority="9">
      <formula>$C40&gt;$E40</formula>
    </cfRule>
  </conditionalFormatting>
  <conditionalFormatting sqref="C41">
    <cfRule type="expression" dxfId="7" priority="8">
      <formula>$C41&gt;$E41</formula>
    </cfRule>
  </conditionalFormatting>
  <conditionalFormatting sqref="C41">
    <cfRule type="expression" dxfId="6" priority="7">
      <formula>$C41&lt;$E41</formula>
    </cfRule>
  </conditionalFormatting>
  <conditionalFormatting sqref="E41">
    <cfRule type="expression" dxfId="5" priority="6">
      <formula>$C41&lt;$E41</formula>
    </cfRule>
  </conditionalFormatting>
  <conditionalFormatting sqref="E41">
    <cfRule type="expression" dxfId="4" priority="5">
      <formula>$C41&gt;$E41</formula>
    </cfRule>
  </conditionalFormatting>
  <conditionalFormatting sqref="C42">
    <cfRule type="expression" dxfId="3" priority="4">
      <formula>$C42&gt;$E42</formula>
    </cfRule>
  </conditionalFormatting>
  <conditionalFormatting sqref="C42">
    <cfRule type="expression" dxfId="2" priority="3">
      <formula>$C42&lt;$E42</formula>
    </cfRule>
  </conditionalFormatting>
  <conditionalFormatting sqref="E42">
    <cfRule type="expression" dxfId="1" priority="2">
      <formula>$C42&lt;$E42</formula>
    </cfRule>
  </conditionalFormatting>
  <conditionalFormatting sqref="E42">
    <cfRule type="expression" dxfId="0" priority="1">
      <formula>$C42&gt;$E42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5ACFD8E9-C2FF-4FD1-B9AE-267AA3E18689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C4PPMatchph">
              <controlPr defaultSize="0" print="0" autoFill="0" autoPict="0" macro="[0]!'copyimage &quot;A2:F42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D0C1C-4224-4A4B-85AF-D69B34B35A9C}">
  <sheetPr codeName="Feuil32"/>
  <dimension ref="A2:L18"/>
  <sheetViews>
    <sheetView workbookViewId="0"/>
  </sheetViews>
  <sheetFormatPr baseColWidth="10" defaultRowHeight="15" x14ac:dyDescent="0.25"/>
  <cols>
    <col min="1" max="1" width="30.7109375" style="115" customWidth="1"/>
    <col min="2" max="2" width="6.7109375" style="115" customWidth="1"/>
    <col min="3" max="16384" width="11.42578125" style="115"/>
  </cols>
  <sheetData>
    <row r="2" spans="1:12" ht="15.75" thickBot="1" x14ac:dyDescent="0.3">
      <c r="A2" s="115" t="s">
        <v>130</v>
      </c>
    </row>
    <row r="3" spans="1:12" x14ac:dyDescent="0.25">
      <c r="A3" s="116" t="str">
        <f>IF(OR(PHASE_FINALE_DM!O8="",PHASE_FINALE_DM!O9=""),"",IF(PHASE_FINALE_DM!O8&gt;PHASE_FINALE_DM!O9,PHASE_FINALE_DM!N8,PHASE_FINALE_DM!N9))</f>
        <v/>
      </c>
      <c r="B3" s="117">
        <v>1</v>
      </c>
    </row>
    <row r="4" spans="1:12" x14ac:dyDescent="0.25">
      <c r="A4" s="125" t="str">
        <f>IF(OR(PHASE_FINALE_DM!O8="",PHASE_FINALE_DM!O9=""),"",IF(PHASE_FINALE_DM!O8&lt;PHASE_FINALE_DM!O9,PHASE_FINALE_DM!N8,PHASE_FINALE_DM!N9))</f>
        <v/>
      </c>
      <c r="B4" s="126">
        <v>2</v>
      </c>
    </row>
    <row r="5" spans="1:12" x14ac:dyDescent="0.25">
      <c r="A5" s="125" t="str">
        <f>IF(OR(PHASE_FINALE_DM!O12="",PHASE_FINALE_DM!O13=""),"",IF(PHASE_FINALE_DM!O12&gt;PHASE_FINALE_DM!O13,PHASE_FINALE_DM!N12,PHASE_FINALE_DM!N13))</f>
        <v/>
      </c>
      <c r="B5" s="126">
        <v>3</v>
      </c>
    </row>
    <row r="6" spans="1:12" x14ac:dyDescent="0.25">
      <c r="A6" s="125" t="str">
        <f>IF(OR(PHASE_FINALE_DM!O12="",PHASE_FINALE_DM!O13=""),"",IF(PHASE_FINALE_DM!O12&lt;PHASE_FINALE_DM!O13,PHASE_FINALE_DM!N12,PHASE_FINALE_DM!N13))</f>
        <v/>
      </c>
      <c r="B6" s="126">
        <v>4</v>
      </c>
    </row>
    <row r="7" spans="1:12" x14ac:dyDescent="0.25">
      <c r="A7" s="125" t="str">
        <f>IF(OR(PHASE_FINALE_DM!B8="",PHASE_FINALE_DM!B9=""),"",IF(PHASE_FINALE_DM!B8&gt;PHASE_FINALE_DM!B9,PHASE_FINALE_DM!C8,PHASE_FINALE_DM!C9))</f>
        <v/>
      </c>
      <c r="B7" s="126">
        <v>5</v>
      </c>
      <c r="D7" s="127"/>
      <c r="E7" s="127"/>
      <c r="F7" s="127"/>
      <c r="G7" s="136" t="str">
        <f>A3</f>
        <v/>
      </c>
      <c r="H7" s="136"/>
      <c r="I7" s="136"/>
      <c r="J7" s="127"/>
      <c r="K7" s="127"/>
      <c r="L7" s="127"/>
    </row>
    <row r="8" spans="1:12" x14ac:dyDescent="0.25">
      <c r="A8" s="125" t="str">
        <f>IF(OR(PHASE_FINALE_DM!B8="",PHASE_FINALE_DM!B9=""),"",IF(PHASE_FINALE_DM!B8&lt;PHASE_FINALE_DM!B9,PHASE_FINALE_DM!C8,PHASE_FINALE_DM!C9))</f>
        <v/>
      </c>
      <c r="B8" s="126">
        <v>6</v>
      </c>
      <c r="D8" s="136" t="str">
        <f>A4</f>
        <v/>
      </c>
      <c r="E8" s="136"/>
      <c r="F8" s="136"/>
      <c r="G8" s="137"/>
      <c r="H8" s="137"/>
      <c r="I8" s="137"/>
      <c r="J8" s="127"/>
      <c r="K8" s="127"/>
      <c r="L8" s="127"/>
    </row>
    <row r="9" spans="1:12" x14ac:dyDescent="0.25">
      <c r="A9" s="125" t="str">
        <f>IF(OR(PHASE_FINALE_DM!B12="",PHASE_FINALE_DM!B13=""),"",IF(PHASE_FINALE_DM!B12&gt;PHASE_FINALE_DM!B13,PHASE_FINALE_DM!C12,PHASE_FINALE_DM!C13))</f>
        <v/>
      </c>
      <c r="B9" s="126">
        <v>7</v>
      </c>
      <c r="D9" s="137"/>
      <c r="E9" s="137"/>
      <c r="F9" s="137"/>
      <c r="G9" s="130"/>
      <c r="H9" s="128"/>
      <c r="I9" s="128"/>
      <c r="J9" s="138" t="str">
        <f>A5</f>
        <v/>
      </c>
      <c r="K9" s="136"/>
      <c r="L9" s="136"/>
    </row>
    <row r="10" spans="1:12" x14ac:dyDescent="0.25">
      <c r="A10" s="125" t="str">
        <f>IF(OR(PHASE_FINALE_DM!B12="",PHASE_FINALE_DM!B13=""),"",IF(PHASE_FINALE_DM!B12&lt;PHASE_FINALE_DM!B13,PHASE_FINALE_DM!C12,PHASE_FINALE_DM!C13))</f>
        <v/>
      </c>
      <c r="B10" s="126">
        <v>8</v>
      </c>
      <c r="D10" s="128"/>
      <c r="E10" s="128"/>
      <c r="F10" s="128"/>
      <c r="G10" s="128"/>
      <c r="H10" s="131">
        <v>1</v>
      </c>
      <c r="I10" s="128"/>
      <c r="J10" s="139"/>
      <c r="K10" s="137"/>
      <c r="L10" s="137"/>
    </row>
    <row r="11" spans="1:12" x14ac:dyDescent="0.25">
      <c r="A11" s="125" t="str">
        <f>IF(OR(PHASE_FINALE_DM!O25="",PHASE_FINALE_DM!O26=""),"",IF(PHASE_FINALE_DM!O25&gt;PHASE_FINALE_DM!O26,PHASE_FINALE_DM!N25,PHASE_FINALE_DM!N26))</f>
        <v/>
      </c>
      <c r="B11" s="126">
        <v>9</v>
      </c>
      <c r="D11" s="128"/>
      <c r="E11" s="132">
        <v>2</v>
      </c>
      <c r="F11" s="128"/>
      <c r="G11" s="128"/>
      <c r="H11" s="131"/>
      <c r="I11" s="128"/>
      <c r="J11" s="128"/>
      <c r="K11" s="134">
        <v>3</v>
      </c>
      <c r="L11" s="128"/>
    </row>
    <row r="12" spans="1:12" x14ac:dyDescent="0.25">
      <c r="A12" s="125" t="str">
        <f>IF(OR(PHASE_FINALE_DM!O25="",PHASE_FINALE_DM!O26=""),"",IF(PHASE_FINALE_DM!O25&lt;PHASE_FINALE_DM!O26,PHASE_FINALE_DM!N25,PHASE_FINALE_DM!N26))</f>
        <v/>
      </c>
      <c r="B12" s="126">
        <v>10</v>
      </c>
      <c r="D12" s="129"/>
      <c r="E12" s="133"/>
      <c r="F12" s="129"/>
      <c r="G12" s="129"/>
      <c r="H12" s="129"/>
      <c r="I12" s="129"/>
      <c r="J12" s="129"/>
      <c r="K12" s="135"/>
      <c r="L12" s="129"/>
    </row>
    <row r="13" spans="1:12" x14ac:dyDescent="0.25">
      <c r="A13" s="125" t="str">
        <f>IF(OR(PHASE_FINALE_DM!O29="",PHASE_FINALE_DM!O30=""),"",IF(PHASE_FINALE_DM!O29&gt;PHASE_FINALE_DM!O30,PHASE_FINALE_DM!N29,PHASE_FINALE_DM!N30))</f>
        <v/>
      </c>
      <c r="B13" s="126">
        <v>11</v>
      </c>
    </row>
    <row r="14" spans="1:12" x14ac:dyDescent="0.25">
      <c r="A14" s="125" t="str">
        <f>IF(OR(PHASE_FINALE_DM!O29="",PHASE_FINALE_DM!O30=""),"",IF(PHASE_FINALE_DM!O29&lt;PHASE_FINALE_DM!O30,PHASE_FINALE_DM!N29,PHASE_FINALE_DM!N30))</f>
        <v/>
      </c>
      <c r="B14" s="126">
        <v>12</v>
      </c>
    </row>
    <row r="15" spans="1:12" x14ac:dyDescent="0.25">
      <c r="A15" s="125" t="str">
        <f>IF(OR(PHASE_FINALE_DM!B25="",PHASE_FINALE_DM!B26=""),"",IF(PHASE_FINALE_DM!B25&gt;PHASE_FINALE_DM!B26,PHASE_FINALE_DM!C25,PHASE_FINALE_DM!C26))</f>
        <v/>
      </c>
      <c r="B15" s="126">
        <v>13</v>
      </c>
    </row>
    <row r="16" spans="1:12" x14ac:dyDescent="0.25">
      <c r="A16" s="125" t="str">
        <f>IF(OR(PHASE_FINALE_DM!B25="",PHASE_FINALE_DM!B26=""),"",IF(PHASE_FINALE_DM!B25&lt;PHASE_FINALE_DM!B26,PHASE_FINALE_DM!C25,PHASE_FINALE_DM!C26))</f>
        <v/>
      </c>
      <c r="B16" s="126">
        <v>14</v>
      </c>
    </row>
    <row r="17" spans="1:2" x14ac:dyDescent="0.25">
      <c r="A17" s="125" t="str">
        <f>IF(OR(PHASE_FINALE_DM!B29="",PHASE_FINALE_DM!B30=""),"",IF(PHASE_FINALE_DM!B29&gt;PHASE_FINALE_DM!B30,PHASE_FINALE_DM!C29,PHASE_FINALE_DM!C30))</f>
        <v/>
      </c>
      <c r="B17" s="126">
        <v>15</v>
      </c>
    </row>
    <row r="18" spans="1:2" ht="15.75" thickBot="1" x14ac:dyDescent="0.3">
      <c r="A18" s="118" t="str">
        <f>IF(OR(PHASE_FINALE_DM!B29="",PHASE_FINALE_DM!B30=""),"",IF(PHASE_FINALE_DM!B29&lt;PHASE_FINALE_DM!B30,PHASE_FINALE_DM!C29,PHASE_FINALE_DM!C30))</f>
        <v/>
      </c>
      <c r="B18" s="119">
        <v>16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C4PPphfinalh">
              <controlPr defaultSize="0" print="0" autoFill="0" autoPict="0" macro="[0]!'copyimage &quot;A2:L26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7794C-D357-4958-862C-88C921083223}">
  <sheetPr codeName="Feuil33"/>
  <dimension ref="A2:L12"/>
  <sheetViews>
    <sheetView workbookViewId="0"/>
  </sheetViews>
  <sheetFormatPr baseColWidth="10" defaultRowHeight="15" x14ac:dyDescent="0.25"/>
  <cols>
    <col min="1" max="1" width="30.7109375" style="115" customWidth="1"/>
    <col min="2" max="2" width="6.7109375" style="115" customWidth="1"/>
    <col min="3" max="16384" width="11.42578125" style="115"/>
  </cols>
  <sheetData>
    <row r="2" spans="1:12" ht="15.75" thickBot="1" x14ac:dyDescent="0.3">
      <c r="A2" s="115" t="s">
        <v>131</v>
      </c>
    </row>
    <row r="3" spans="1:12" x14ac:dyDescent="0.25">
      <c r="A3" s="116" t="str">
        <f>IF(OR(PHASE_FINALE_SH!O8="",PHASE_FINALE_SH!O9=""),"",IF(PHASE_FINALE_SH!O8&gt;PHASE_FINALE_SH!O9,PHASE_FINALE_SH!N8,PHASE_FINALE_SH!N9))</f>
        <v/>
      </c>
      <c r="B3" s="117">
        <v>1</v>
      </c>
    </row>
    <row r="4" spans="1:12" x14ac:dyDescent="0.25">
      <c r="A4" s="125" t="str">
        <f>IF(OR(PHASE_FINALE_SH!O8="",PHASE_FINALE_SH!O9=""),"",IF(PHASE_FINALE_SH!O8&lt;PHASE_FINALE_SH!O9,PHASE_FINALE_SH!N8,PHASE_FINALE_SH!N9))</f>
        <v/>
      </c>
      <c r="B4" s="126">
        <v>2</v>
      </c>
    </row>
    <row r="5" spans="1:12" x14ac:dyDescent="0.25">
      <c r="A5" s="125" t="str">
        <f>IF(OR(PHASE_FINALE_SH!O12="",PHASE_FINALE_SH!O13=""),"",IF(PHASE_FINALE_SH!O12&gt;PHASE_FINALE_SH!O13,PHASE_FINALE_SH!N12,PHASE_FINALE_SH!N13))</f>
        <v/>
      </c>
      <c r="B5" s="126">
        <v>3</v>
      </c>
    </row>
    <row r="6" spans="1:12" x14ac:dyDescent="0.25">
      <c r="A6" s="125" t="str">
        <f>IF(OR(PHASE_FINALE_SH!O12="",PHASE_FINALE_SH!O13=""),"",IF(PHASE_FINALE_SH!O12&lt;PHASE_FINALE_SH!O13,PHASE_FINALE_SH!N12,PHASE_FINALE_SH!N13))</f>
        <v/>
      </c>
      <c r="B6" s="126">
        <v>4</v>
      </c>
    </row>
    <row r="7" spans="1:12" x14ac:dyDescent="0.25">
      <c r="A7" s="125" t="str">
        <f>IF(OR(PHASE_FINALE_SH!B8="",PHASE_FINALE_SH!B9=""),"",IF(PHASE_FINALE_SH!B8&gt;PHASE_FINALE_SH!B9,PHASE_FINALE_SH!C8,PHASE_FINALE_SH!C9))</f>
        <v/>
      </c>
      <c r="B7" s="126">
        <v>5</v>
      </c>
      <c r="D7" s="127"/>
      <c r="E7" s="127"/>
      <c r="F7" s="127"/>
      <c r="G7" s="136" t="str">
        <f>A3</f>
        <v/>
      </c>
      <c r="H7" s="136"/>
      <c r="I7" s="136"/>
      <c r="J7" s="127"/>
      <c r="K7" s="127"/>
      <c r="L7" s="127"/>
    </row>
    <row r="8" spans="1:12" x14ac:dyDescent="0.25">
      <c r="A8" s="125" t="str">
        <f>IF(OR(PHASE_FINALE_SH!B8="",PHASE_FINALE_SH!B9=""),"",IF(PHASE_FINALE_SH!B8&lt;PHASE_FINALE_SH!B9,PHASE_FINALE_SH!C8,PHASE_FINALE_SH!C9))</f>
        <v/>
      </c>
      <c r="B8" s="126">
        <v>6</v>
      </c>
      <c r="D8" s="136" t="str">
        <f>A4</f>
        <v/>
      </c>
      <c r="E8" s="136"/>
      <c r="F8" s="136"/>
      <c r="G8" s="137"/>
      <c r="H8" s="137"/>
      <c r="I8" s="137"/>
      <c r="J8" s="127"/>
      <c r="K8" s="127"/>
      <c r="L8" s="127"/>
    </row>
    <row r="9" spans="1:12" x14ac:dyDescent="0.25">
      <c r="A9" s="125" t="str">
        <f>IF(OR(PHASE_FINALE_SH!B12="",PHASE_FINALE_SH!B13=""),"",IF(PHASE_FINALE_SH!B12&gt;PHASE_FINALE_SH!B13,PHASE_FINALE_SH!C12,PHASE_FINALE_SH!C13))</f>
        <v/>
      </c>
      <c r="B9" s="126">
        <v>7</v>
      </c>
      <c r="D9" s="137"/>
      <c r="E9" s="137"/>
      <c r="F9" s="137"/>
      <c r="G9" s="130"/>
      <c r="H9" s="128"/>
      <c r="I9" s="128"/>
      <c r="J9" s="138" t="str">
        <f>A5</f>
        <v/>
      </c>
      <c r="K9" s="136"/>
      <c r="L9" s="136"/>
    </row>
    <row r="10" spans="1:12" ht="15.75" thickBot="1" x14ac:dyDescent="0.3">
      <c r="A10" s="118" t="str">
        <f>IF(OR(PHASE_FINALE_SH!B12="",PHASE_FINALE_SH!B13=""),"",IF(PHASE_FINALE_SH!B12&lt;PHASE_FINALE_SH!B13,PHASE_FINALE_SH!C12,PHASE_FINALE_SH!C13))</f>
        <v/>
      </c>
      <c r="B10" s="119">
        <v>8</v>
      </c>
      <c r="D10" s="128"/>
      <c r="E10" s="128"/>
      <c r="F10" s="128"/>
      <c r="G10" s="128"/>
      <c r="H10" s="131">
        <v>1</v>
      </c>
      <c r="I10" s="128"/>
      <c r="J10" s="139"/>
      <c r="K10" s="137"/>
      <c r="L10" s="137"/>
    </row>
    <row r="11" spans="1:12" x14ac:dyDescent="0.25">
      <c r="D11" s="128"/>
      <c r="E11" s="132">
        <v>2</v>
      </c>
      <c r="F11" s="128"/>
      <c r="G11" s="128"/>
      <c r="H11" s="131"/>
      <c r="I11" s="128"/>
      <c r="J11" s="128"/>
      <c r="K11" s="134">
        <v>3</v>
      </c>
      <c r="L11" s="128"/>
    </row>
    <row r="12" spans="1:12" x14ac:dyDescent="0.25">
      <c r="D12" s="129"/>
      <c r="E12" s="133"/>
      <c r="F12" s="129"/>
      <c r="G12" s="129"/>
      <c r="H12" s="129"/>
      <c r="I12" s="129"/>
      <c r="J12" s="129"/>
      <c r="K12" s="135"/>
      <c r="L12" s="129"/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C4PPphfinalh">
              <controlPr defaultSize="0" print="0" autoFill="0" autoPict="0" macro="[0]!'copyimage &quot;A2:L26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Accueil</vt:lpstr>
      <vt:lpstr>Parametres</vt:lpstr>
      <vt:lpstr>OMPN</vt:lpstr>
      <vt:lpstr>NOTES</vt:lpstr>
      <vt:lpstr>TEMPLATE</vt:lpstr>
      <vt:lpstr>INSCRITS</vt:lpstr>
      <vt:lpstr>MATCHS</vt:lpstr>
      <vt:lpstr>CLASSEMENTS</vt:lpstr>
      <vt:lpstr>PHASE_FINALE_DM</vt:lpstr>
      <vt:lpstr>PHASE_FINALE_SH</vt:lpstr>
      <vt:lpstr>FINAL_MATCHS</vt:lpstr>
      <vt:lpstr>PLACE_FINALE_DM</vt:lpstr>
      <vt:lpstr>PLACE_FINALE_SH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2022-04-10T02:39:03Z</cp:lastPrinted>
  <dcterms:created xsi:type="dcterms:W3CDTF">2020-04-24T22:48:13Z</dcterms:created>
  <dcterms:modified xsi:type="dcterms:W3CDTF">2024-01-24T19:22:44Z</dcterms:modified>
</cp:coreProperties>
</file>