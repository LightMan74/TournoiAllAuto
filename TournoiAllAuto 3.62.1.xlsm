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"/>
    </mc:Choice>
  </mc:AlternateContent>
  <xr:revisionPtr revIDLastSave="0" documentId="13_ncr:1_{94231106-7EA8-41AC-A639-AEF318A6D21C}" xr6:coauthVersionLast="47" xr6:coauthVersionMax="47" xr10:uidLastSave="{00000000-0000-0000-0000-000000000000}"/>
  <bookViews>
    <workbookView xWindow="-28920" yWindow="-9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  <sheet name="INSCRITS" sheetId="205" r:id="rId10"/>
    <sheet name="MATCHS" sheetId="206" r:id="rId11"/>
    <sheet name="CLASSEMENTS" sheetId="207" r:id="rId12"/>
    <sheet name="PHASE_FINALE" sheetId="208" r:id="rId13"/>
    <sheet name="FINAL_MATCHS" sheetId="209" r:id="rId14"/>
    <sheet name="PLACE_FINALE" sheetId="210" r:id="rId15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17" i="1"/>
  <c r="A23" i="210" l="1"/>
  <c r="A22" i="210"/>
  <c r="A21" i="210"/>
  <c r="A20" i="210"/>
  <c r="A19" i="210"/>
  <c r="A18" i="210"/>
  <c r="A17" i="210"/>
  <c r="A16" i="210"/>
  <c r="A15" i="210"/>
  <c r="A14" i="210"/>
  <c r="A13" i="210"/>
  <c r="A12" i="210"/>
  <c r="A11" i="210"/>
  <c r="A10" i="210"/>
  <c r="A9" i="210"/>
  <c r="A8" i="210"/>
  <c r="A7" i="210"/>
  <c r="A6" i="210"/>
  <c r="A5" i="210"/>
  <c r="A4" i="210"/>
  <c r="D8" i="210" s="1"/>
  <c r="A3" i="210"/>
  <c r="G7" i="210" s="1"/>
  <c r="J9" i="210"/>
  <c r="D41" i="209"/>
  <c r="D36" i="209"/>
  <c r="D31" i="209"/>
  <c r="D26" i="209"/>
  <c r="D21" i="209"/>
  <c r="D16" i="209"/>
  <c r="D11" i="209"/>
  <c r="D6" i="209"/>
  <c r="D1" i="209"/>
  <c r="E44" i="209"/>
  <c r="C44" i="209"/>
  <c r="F44" i="209"/>
  <c r="E43" i="209"/>
  <c r="C43" i="209"/>
  <c r="E42" i="209"/>
  <c r="C42" i="209"/>
  <c r="F42" i="209"/>
  <c r="B42" i="209"/>
  <c r="E41" i="209"/>
  <c r="C41" i="209"/>
  <c r="E40" i="209"/>
  <c r="C40" i="209"/>
  <c r="E39" i="209"/>
  <c r="C39" i="209"/>
  <c r="E38" i="209"/>
  <c r="C38" i="209"/>
  <c r="F38" i="209"/>
  <c r="E37" i="209"/>
  <c r="C37" i="209"/>
  <c r="E36" i="209"/>
  <c r="C36" i="209"/>
  <c r="E35" i="209"/>
  <c r="C35" i="209"/>
  <c r="E34" i="209"/>
  <c r="C34" i="209"/>
  <c r="E33" i="209"/>
  <c r="C33" i="209"/>
  <c r="E32" i="209"/>
  <c r="C32" i="209"/>
  <c r="F32" i="209"/>
  <c r="B32" i="209"/>
  <c r="E31" i="209"/>
  <c r="C31" i="209"/>
  <c r="E29" i="209"/>
  <c r="C29" i="209"/>
  <c r="E28" i="209"/>
  <c r="C28" i="209"/>
  <c r="E27" i="209"/>
  <c r="C27" i="209"/>
  <c r="E26" i="209"/>
  <c r="C26" i="209"/>
  <c r="E25" i="209"/>
  <c r="C25" i="209"/>
  <c r="E24" i="209"/>
  <c r="C24" i="209"/>
  <c r="F24" i="209"/>
  <c r="B24" i="209"/>
  <c r="E23" i="209"/>
  <c r="C23" i="209"/>
  <c r="E22" i="209"/>
  <c r="C22" i="209"/>
  <c r="E21" i="209"/>
  <c r="C21" i="209"/>
  <c r="E20" i="209"/>
  <c r="C20" i="209"/>
  <c r="E19" i="209"/>
  <c r="C19" i="209"/>
  <c r="E18" i="209"/>
  <c r="C18" i="209"/>
  <c r="E17" i="209"/>
  <c r="C17" i="209"/>
  <c r="E16" i="209"/>
  <c r="C16" i="209"/>
  <c r="E14" i="209"/>
  <c r="C14" i="209"/>
  <c r="F14" i="209"/>
  <c r="B14" i="209"/>
  <c r="E13" i="209"/>
  <c r="C13" i="209"/>
  <c r="F13" i="209"/>
  <c r="B13" i="209"/>
  <c r="E12" i="209"/>
  <c r="C12" i="209"/>
  <c r="F12" i="209"/>
  <c r="B12" i="209"/>
  <c r="E11" i="209"/>
  <c r="C11" i="209"/>
  <c r="E10" i="209"/>
  <c r="C10" i="209"/>
  <c r="F10" i="209"/>
  <c r="B10" i="209"/>
  <c r="E9" i="209"/>
  <c r="C9" i="209"/>
  <c r="F9" i="209"/>
  <c r="B9" i="209"/>
  <c r="E8" i="209"/>
  <c r="C8" i="209"/>
  <c r="F8" i="209"/>
  <c r="B8" i="209"/>
  <c r="E7" i="209"/>
  <c r="C7" i="209"/>
  <c r="F7" i="209"/>
  <c r="B7" i="209"/>
  <c r="E6" i="209"/>
  <c r="C6" i="209"/>
  <c r="E5" i="209"/>
  <c r="C5" i="209"/>
  <c r="F5" i="209"/>
  <c r="B5" i="209"/>
  <c r="E4" i="209"/>
  <c r="C4" i="209"/>
  <c r="F4" i="209"/>
  <c r="B4" i="209"/>
  <c r="E3" i="209"/>
  <c r="C3" i="209"/>
  <c r="F3" i="209"/>
  <c r="B3" i="209"/>
  <c r="E2" i="209"/>
  <c r="C2" i="209"/>
  <c r="S2" i="209" s="1"/>
  <c r="S3" i="209" s="1"/>
  <c r="F2" i="209"/>
  <c r="B2" i="209"/>
  <c r="E1" i="209"/>
  <c r="U2" i="209" s="1"/>
  <c r="U3" i="209" s="1"/>
  <c r="U4" i="209" s="1"/>
  <c r="U5" i="209" s="1"/>
  <c r="C1" i="209"/>
  <c r="C43" i="208"/>
  <c r="C42" i="208"/>
  <c r="B44" i="209" s="1"/>
  <c r="F41" i="208"/>
  <c r="F29" i="209" s="1"/>
  <c r="F40" i="208"/>
  <c r="B29" i="209" s="1"/>
  <c r="K49" i="208"/>
  <c r="F28" i="209" s="1"/>
  <c r="K48" i="208"/>
  <c r="B28" i="209" s="1"/>
  <c r="K41" i="208"/>
  <c r="F27" i="209" s="1"/>
  <c r="K40" i="208"/>
  <c r="B27" i="209" s="1"/>
  <c r="N47" i="208"/>
  <c r="F43" i="209" s="1"/>
  <c r="N46" i="208"/>
  <c r="B43" i="209" s="1"/>
  <c r="N43" i="208"/>
  <c r="N42" i="208"/>
  <c r="C30" i="208"/>
  <c r="F40" i="209" s="1"/>
  <c r="C29" i="208"/>
  <c r="B40" i="209" s="1"/>
  <c r="C26" i="208"/>
  <c r="F39" i="209" s="1"/>
  <c r="C25" i="208"/>
  <c r="B39" i="209" s="1"/>
  <c r="F32" i="208"/>
  <c r="F25" i="209" s="1"/>
  <c r="F31" i="208"/>
  <c r="B25" i="209" s="1"/>
  <c r="F24" i="208"/>
  <c r="F23" i="208"/>
  <c r="K32" i="208"/>
  <c r="F23" i="209" s="1"/>
  <c r="K31" i="208"/>
  <c r="B23" i="209" s="1"/>
  <c r="K24" i="208"/>
  <c r="F22" i="209" s="1"/>
  <c r="K23" i="208"/>
  <c r="B22" i="209" s="1"/>
  <c r="N30" i="208"/>
  <c r="N29" i="208"/>
  <c r="B38" i="209" s="1"/>
  <c r="N26" i="208"/>
  <c r="F37" i="209" s="1"/>
  <c r="N25" i="208"/>
  <c r="B37" i="209" s="1"/>
  <c r="C13" i="208"/>
  <c r="F35" i="209" s="1"/>
  <c r="C12" i="208"/>
  <c r="B35" i="209" s="1"/>
  <c r="C9" i="208"/>
  <c r="F34" i="209" s="1"/>
  <c r="C8" i="208"/>
  <c r="B34" i="209" s="1"/>
  <c r="F15" i="208"/>
  <c r="F20" i="209" s="1"/>
  <c r="F14" i="208"/>
  <c r="B20" i="209" s="1"/>
  <c r="F7" i="208"/>
  <c r="F19" i="209" s="1"/>
  <c r="F6" i="208"/>
  <c r="B19" i="209" s="1"/>
  <c r="K15" i="208"/>
  <c r="F18" i="209" s="1"/>
  <c r="K14" i="208"/>
  <c r="B18" i="209" s="1"/>
  <c r="K7" i="208"/>
  <c r="F17" i="209" s="1"/>
  <c r="K6" i="208"/>
  <c r="B17" i="209" s="1"/>
  <c r="N13" i="208"/>
  <c r="F33" i="209" s="1"/>
  <c r="N12" i="208"/>
  <c r="B33" i="209" s="1"/>
  <c r="N9" i="208"/>
  <c r="N8" i="208"/>
  <c r="D30" i="207"/>
  <c r="D29" i="207"/>
  <c r="D28" i="207"/>
  <c r="D27" i="207"/>
  <c r="D26" i="207"/>
  <c r="D25" i="207"/>
  <c r="D24" i="207"/>
  <c r="D20" i="207"/>
  <c r="D19" i="207"/>
  <c r="D18" i="207"/>
  <c r="D17" i="207"/>
  <c r="D16" i="207"/>
  <c r="D15" i="207"/>
  <c r="D14" i="207"/>
  <c r="D10" i="207"/>
  <c r="D9" i="207"/>
  <c r="D8" i="207"/>
  <c r="D7" i="207"/>
  <c r="D6" i="207"/>
  <c r="D5" i="207"/>
  <c r="D4" i="207"/>
  <c r="F77" i="206"/>
  <c r="F68" i="206"/>
  <c r="F57" i="206"/>
  <c r="F45" i="206"/>
  <c r="B34" i="206"/>
  <c r="F23" i="206"/>
  <c r="F79" i="206"/>
  <c r="F65" i="206"/>
  <c r="F55" i="206"/>
  <c r="B44" i="206"/>
  <c r="B23" i="206"/>
  <c r="F12" i="206"/>
  <c r="B68" i="206"/>
  <c r="F54" i="206"/>
  <c r="F43" i="206"/>
  <c r="F33" i="206"/>
  <c r="B22" i="206"/>
  <c r="B12" i="206"/>
  <c r="B79" i="206"/>
  <c r="F67" i="206"/>
  <c r="B57" i="206"/>
  <c r="F32" i="206"/>
  <c r="F22" i="206"/>
  <c r="F10" i="206"/>
  <c r="F78" i="206"/>
  <c r="B54" i="206"/>
  <c r="F44" i="206"/>
  <c r="F34" i="206"/>
  <c r="F20" i="206"/>
  <c r="B10" i="206"/>
  <c r="B78" i="206"/>
  <c r="B67" i="206"/>
  <c r="B55" i="206"/>
  <c r="B45" i="206"/>
  <c r="B33" i="206"/>
  <c r="F9" i="206"/>
  <c r="B77" i="206"/>
  <c r="B65" i="206"/>
  <c r="B43" i="206"/>
  <c r="B32" i="206"/>
  <c r="B20" i="206"/>
  <c r="B9" i="206"/>
  <c r="F73" i="206"/>
  <c r="F64" i="206"/>
  <c r="F53" i="206"/>
  <c r="F42" i="206"/>
  <c r="B30" i="206"/>
  <c r="F19" i="206"/>
  <c r="F75" i="206"/>
  <c r="F62" i="206"/>
  <c r="F52" i="206"/>
  <c r="B40" i="206"/>
  <c r="B19" i="206"/>
  <c r="F8" i="206"/>
  <c r="B64" i="206"/>
  <c r="F50" i="206"/>
  <c r="F39" i="206"/>
  <c r="F29" i="206"/>
  <c r="B18" i="206"/>
  <c r="B8" i="206"/>
  <c r="B75" i="206"/>
  <c r="F63" i="206"/>
  <c r="B53" i="206"/>
  <c r="F28" i="206"/>
  <c r="F18" i="206"/>
  <c r="F7" i="206"/>
  <c r="F74" i="206"/>
  <c r="B50" i="206"/>
  <c r="F40" i="206"/>
  <c r="F30" i="206"/>
  <c r="F17" i="206"/>
  <c r="B7" i="206"/>
  <c r="B74" i="206"/>
  <c r="B63" i="206"/>
  <c r="B52" i="206"/>
  <c r="B42" i="206"/>
  <c r="B29" i="206"/>
  <c r="F5" i="206"/>
  <c r="B73" i="206"/>
  <c r="B62" i="206"/>
  <c r="B39" i="206"/>
  <c r="B28" i="206"/>
  <c r="B17" i="206"/>
  <c r="B5" i="206"/>
  <c r="F69" i="206"/>
  <c r="F60" i="206"/>
  <c r="F49" i="206"/>
  <c r="F38" i="206"/>
  <c r="B27" i="206"/>
  <c r="F15" i="206"/>
  <c r="F72" i="206"/>
  <c r="F58" i="206"/>
  <c r="F48" i="206"/>
  <c r="B37" i="206"/>
  <c r="B15" i="206"/>
  <c r="F4" i="206"/>
  <c r="B60" i="206"/>
  <c r="F47" i="206"/>
  <c r="F35" i="206"/>
  <c r="F25" i="206"/>
  <c r="B14" i="206"/>
  <c r="B4" i="206"/>
  <c r="B72" i="206"/>
  <c r="F59" i="206"/>
  <c r="B49" i="206"/>
  <c r="F24" i="206"/>
  <c r="F14" i="206"/>
  <c r="F3" i="206"/>
  <c r="F70" i="206"/>
  <c r="B47" i="206"/>
  <c r="F37" i="206"/>
  <c r="F27" i="206"/>
  <c r="F13" i="206"/>
  <c r="B3" i="206"/>
  <c r="B70" i="206"/>
  <c r="B59" i="206"/>
  <c r="B48" i="206"/>
  <c r="B38" i="206"/>
  <c r="B25" i="206"/>
  <c r="F2" i="206"/>
  <c r="B69" i="206"/>
  <c r="B58" i="206"/>
  <c r="B35" i="206"/>
  <c r="B24" i="206"/>
  <c r="B13" i="206"/>
  <c r="B2" i="206"/>
  <c r="D311" i="206"/>
  <c r="D306" i="206"/>
  <c r="D301" i="206"/>
  <c r="D296" i="206"/>
  <c r="D291" i="206"/>
  <c r="D286" i="206"/>
  <c r="D281" i="206"/>
  <c r="D276" i="206"/>
  <c r="D271" i="206"/>
  <c r="D266" i="206"/>
  <c r="D261" i="206"/>
  <c r="D256" i="206"/>
  <c r="D251" i="206"/>
  <c r="D246" i="206"/>
  <c r="D241" i="206"/>
  <c r="D236" i="206"/>
  <c r="D231" i="206"/>
  <c r="D226" i="206"/>
  <c r="D221" i="206"/>
  <c r="D216" i="206"/>
  <c r="D211" i="206"/>
  <c r="D206" i="206"/>
  <c r="D201" i="206"/>
  <c r="D196" i="206"/>
  <c r="D191" i="206"/>
  <c r="D186" i="206"/>
  <c r="D181" i="206"/>
  <c r="D176" i="206"/>
  <c r="D171" i="206"/>
  <c r="D166" i="206"/>
  <c r="D161" i="206"/>
  <c r="D156" i="206"/>
  <c r="D151" i="206"/>
  <c r="D146" i="206"/>
  <c r="D141" i="206"/>
  <c r="D136" i="206"/>
  <c r="D131" i="206"/>
  <c r="D126" i="206"/>
  <c r="D121" i="206"/>
  <c r="D116" i="206"/>
  <c r="D111" i="206"/>
  <c r="D106" i="206"/>
  <c r="D101" i="206"/>
  <c r="D96" i="206"/>
  <c r="D91" i="206"/>
  <c r="D86" i="206"/>
  <c r="D81" i="206"/>
  <c r="D76" i="206"/>
  <c r="D71" i="206"/>
  <c r="D66" i="206"/>
  <c r="D61" i="206"/>
  <c r="D56" i="206"/>
  <c r="D51" i="206"/>
  <c r="D46" i="206"/>
  <c r="D41" i="206"/>
  <c r="D36" i="206"/>
  <c r="D31" i="206"/>
  <c r="D26" i="206"/>
  <c r="D21" i="206"/>
  <c r="D16" i="206"/>
  <c r="D11" i="206"/>
  <c r="D6" i="206"/>
  <c r="E81" i="206"/>
  <c r="C81" i="206"/>
  <c r="E76" i="206"/>
  <c r="C76" i="206"/>
  <c r="E71" i="206"/>
  <c r="C71" i="206"/>
  <c r="E66" i="206"/>
  <c r="C66" i="206"/>
  <c r="E61" i="206"/>
  <c r="C61" i="206"/>
  <c r="E56" i="206"/>
  <c r="C56" i="206"/>
  <c r="E51" i="206"/>
  <c r="C51" i="206"/>
  <c r="E46" i="206"/>
  <c r="C46" i="206"/>
  <c r="E41" i="206"/>
  <c r="C41" i="206"/>
  <c r="E36" i="206"/>
  <c r="C36" i="206"/>
  <c r="E31" i="206"/>
  <c r="C31" i="206"/>
  <c r="E26" i="206"/>
  <c r="C26" i="206"/>
  <c r="E21" i="206"/>
  <c r="C21" i="206"/>
  <c r="E16" i="206"/>
  <c r="C16" i="206"/>
  <c r="E11" i="206"/>
  <c r="C11" i="206"/>
  <c r="E6" i="206"/>
  <c r="C6" i="206"/>
  <c r="E1" i="206"/>
  <c r="C1" i="206"/>
  <c r="U2" i="206"/>
  <c r="U3" i="206" s="1"/>
  <c r="U4" i="206" s="1"/>
  <c r="U5" i="206" s="1"/>
  <c r="S2" i="206"/>
  <c r="S3" i="206" s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25" i="207"/>
  <c r="I15" i="207"/>
  <c r="F30" i="207"/>
  <c r="E18" i="207"/>
  <c r="I5" i="207"/>
  <c r="F20" i="207"/>
  <c r="E5" i="207"/>
  <c r="X295" i="209"/>
  <c r="X259" i="209"/>
  <c r="X223" i="209"/>
  <c r="X187" i="209"/>
  <c r="X209" i="209"/>
  <c r="X290" i="209"/>
  <c r="X107" i="209"/>
  <c r="X26" i="209"/>
  <c r="X269" i="209"/>
  <c r="X135" i="209"/>
  <c r="X63" i="209"/>
  <c r="X207" i="209"/>
  <c r="X134" i="209"/>
  <c r="X194" i="209"/>
  <c r="X15" i="209"/>
  <c r="X1" i="209"/>
  <c r="X165" i="209"/>
  <c r="X53" i="209"/>
  <c r="X251" i="209"/>
  <c r="X296" i="209"/>
  <c r="X130" i="209"/>
  <c r="X246" i="209"/>
  <c r="X153" i="209"/>
  <c r="X219" i="209"/>
  <c r="X168" i="209"/>
  <c r="X197" i="206"/>
  <c r="X170" i="206"/>
  <c r="X181" i="206"/>
  <c r="X57" i="206"/>
  <c r="X72" i="206"/>
  <c r="X186" i="206"/>
  <c r="X150" i="206"/>
  <c r="X108" i="206"/>
  <c r="X139" i="206"/>
  <c r="X23" i="206"/>
  <c r="X40" i="206"/>
  <c r="X137" i="206"/>
  <c r="X76" i="206"/>
  <c r="X68" i="206"/>
  <c r="X125" i="206"/>
  <c r="X55" i="206"/>
  <c r="X116" i="206"/>
  <c r="X128" i="206"/>
  <c r="X62" i="206"/>
  <c r="X103" i="206"/>
  <c r="X94" i="206"/>
  <c r="X74" i="209"/>
  <c r="X267" i="209"/>
  <c r="X154" i="209"/>
  <c r="X200" i="209"/>
  <c r="X160" i="209"/>
  <c r="X182" i="206"/>
  <c r="X175" i="206"/>
  <c r="X60" i="206"/>
  <c r="X144" i="206"/>
  <c r="X122" i="206"/>
  <c r="X106" i="206"/>
  <c r="X119" i="206"/>
  <c r="X89" i="206"/>
  <c r="X80" i="206"/>
  <c r="X69" i="209"/>
  <c r="X43" i="209"/>
  <c r="X105" i="209"/>
  <c r="X152" i="206"/>
  <c r="X138" i="206"/>
  <c r="X77" i="206"/>
  <c r="X151" i="209"/>
  <c r="X49" i="209"/>
  <c r="X159" i="206"/>
  <c r="I7" i="207"/>
  <c r="X32" i="209"/>
  <c r="X101" i="209"/>
  <c r="X16" i="209"/>
  <c r="X121" i="206"/>
  <c r="E24" i="207"/>
  <c r="X67" i="209"/>
  <c r="X4" i="209"/>
  <c r="X78" i="206"/>
  <c r="X98" i="206"/>
  <c r="E19" i="207"/>
  <c r="I9" i="207"/>
  <c r="F27" i="207"/>
  <c r="E15" i="207"/>
  <c r="H7" i="207"/>
  <c r="F17" i="207"/>
  <c r="H10" i="207"/>
  <c r="X292" i="209"/>
  <c r="X256" i="209"/>
  <c r="X220" i="209"/>
  <c r="X184" i="209"/>
  <c r="X204" i="209"/>
  <c r="X285" i="209"/>
  <c r="X95" i="209"/>
  <c r="X23" i="209"/>
  <c r="X264" i="209"/>
  <c r="X127" i="209"/>
  <c r="X55" i="209"/>
  <c r="X176" i="209"/>
  <c r="X98" i="209"/>
  <c r="X189" i="209"/>
  <c r="X12" i="209"/>
  <c r="X150" i="209"/>
  <c r="X141" i="209"/>
  <c r="X10" i="209"/>
  <c r="X224" i="209"/>
  <c r="X203" i="209"/>
  <c r="X114" i="209"/>
  <c r="X231" i="209"/>
  <c r="X145" i="209"/>
  <c r="X188" i="209"/>
  <c r="X287" i="209"/>
  <c r="X188" i="206"/>
  <c r="X164" i="206"/>
  <c r="X178" i="206"/>
  <c r="X48" i="206"/>
  <c r="X66" i="206"/>
  <c r="X183" i="206"/>
  <c r="X147" i="206"/>
  <c r="X105" i="206"/>
  <c r="X130" i="206"/>
  <c r="X17" i="206"/>
  <c r="X16" i="206"/>
  <c r="X12" i="206"/>
  <c r="X49" i="206"/>
  <c r="X9" i="209"/>
  <c r="X90" i="209"/>
  <c r="X206" i="209"/>
  <c r="X42" i="206"/>
  <c r="X102" i="206"/>
  <c r="X113" i="206"/>
  <c r="X43" i="206"/>
  <c r="X174" i="209"/>
  <c r="X169" i="206"/>
  <c r="X93" i="206"/>
  <c r="X83" i="206"/>
  <c r="X131" i="206"/>
  <c r="X248" i="209"/>
  <c r="X185" i="206"/>
  <c r="X22" i="206"/>
  <c r="F29" i="207"/>
  <c r="X230" i="209"/>
  <c r="X288" i="209"/>
  <c r="X156" i="206"/>
  <c r="X95" i="206"/>
  <c r="E8" i="207"/>
  <c r="X119" i="209"/>
  <c r="X18" i="209"/>
  <c r="S10" i="209"/>
  <c r="E16" i="207"/>
  <c r="I6" i="207"/>
  <c r="F24" i="207"/>
  <c r="E9" i="207"/>
  <c r="H29" i="207"/>
  <c r="F14" i="207"/>
  <c r="F28" i="207"/>
  <c r="X289" i="209"/>
  <c r="X253" i="209"/>
  <c r="X217" i="209"/>
  <c r="X181" i="209"/>
  <c r="X173" i="209"/>
  <c r="X254" i="209"/>
  <c r="X83" i="209"/>
  <c r="X20" i="209"/>
  <c r="X233" i="209"/>
  <c r="X123" i="209"/>
  <c r="X51" i="209"/>
  <c r="X299" i="209"/>
  <c r="X45" i="209"/>
  <c r="X126" i="209"/>
  <c r="X117" i="209"/>
  <c r="X183" i="209"/>
  <c r="X129" i="209"/>
  <c r="X161" i="206"/>
  <c r="X180" i="206"/>
  <c r="X6" i="206"/>
  <c r="X56" i="206"/>
  <c r="X3" i="209"/>
  <c r="X118" i="209"/>
  <c r="X45" i="206"/>
  <c r="X70" i="206"/>
  <c r="X31" i="206"/>
  <c r="X56" i="209"/>
  <c r="X22" i="209"/>
  <c r="X120" i="206"/>
  <c r="X14" i="206"/>
  <c r="I14" i="207"/>
  <c r="X75" i="209"/>
  <c r="X162" i="209"/>
  <c r="X84" i="206"/>
  <c r="X104" i="206"/>
  <c r="X298" i="209"/>
  <c r="X240" i="209"/>
  <c r="X158" i="209"/>
  <c r="X282" i="209"/>
  <c r="X48" i="209"/>
  <c r="X111" i="206"/>
  <c r="X61" i="206"/>
  <c r="E10" i="207"/>
  <c r="H30" i="207"/>
  <c r="F18" i="207"/>
  <c r="E6" i="207"/>
  <c r="H26" i="207"/>
  <c r="F8" i="207"/>
  <c r="F25" i="207"/>
  <c r="X286" i="209"/>
  <c r="X250" i="209"/>
  <c r="X214" i="209"/>
  <c r="X178" i="209"/>
  <c r="X164" i="209"/>
  <c r="X249" i="209"/>
  <c r="X71" i="209"/>
  <c r="X17" i="209"/>
  <c r="X228" i="209"/>
  <c r="X115" i="209"/>
  <c r="X146" i="209"/>
  <c r="X294" i="209"/>
  <c r="X278" i="209"/>
  <c r="X42" i="209"/>
  <c r="X6" i="209"/>
  <c r="X94" i="209"/>
  <c r="X93" i="209"/>
  <c r="X215" i="209"/>
  <c r="X156" i="209"/>
  <c r="X106" i="209"/>
  <c r="X66" i="209"/>
  <c r="X161" i="209"/>
  <c r="X121" i="209"/>
  <c r="X144" i="209"/>
  <c r="X142" i="209"/>
  <c r="X176" i="206"/>
  <c r="X155" i="206"/>
  <c r="X172" i="206"/>
  <c r="X33" i="206"/>
  <c r="X54" i="206"/>
  <c r="X177" i="206"/>
  <c r="X141" i="206"/>
  <c r="X96" i="206"/>
  <c r="X100" i="206"/>
  <c r="X1" i="206"/>
  <c r="X92" i="206"/>
  <c r="X91" i="206"/>
  <c r="X97" i="206"/>
  <c r="X50" i="206"/>
  <c r="X3" i="206"/>
  <c r="X37" i="206"/>
  <c r="X140" i="206"/>
  <c r="X283" i="209"/>
  <c r="X218" i="209"/>
  <c r="X14" i="209"/>
  <c r="X197" i="209"/>
  <c r="X110" i="209"/>
  <c r="X273" i="209"/>
  <c r="X70" i="209"/>
  <c r="X82" i="209"/>
  <c r="X136" i="209"/>
  <c r="X27" i="206"/>
  <c r="X107" i="206"/>
  <c r="X142" i="206"/>
  <c r="X24" i="209"/>
  <c r="X190" i="206"/>
  <c r="X36" i="206"/>
  <c r="X109" i="206"/>
  <c r="H28" i="207"/>
  <c r="X243" i="209"/>
  <c r="X221" i="209"/>
  <c r="X192" i="206"/>
  <c r="X143" i="206"/>
  <c r="X262" i="209"/>
  <c r="X190" i="209"/>
  <c r="X212" i="209"/>
  <c r="X236" i="209"/>
  <c r="X257" i="209"/>
  <c r="X153" i="206"/>
  <c r="X134" i="206"/>
  <c r="E7" i="207"/>
  <c r="H27" i="207"/>
  <c r="F15" i="207"/>
  <c r="I10" i="207"/>
  <c r="H20" i="207"/>
  <c r="F5" i="207"/>
  <c r="F19" i="207"/>
  <c r="X247" i="209"/>
  <c r="X211" i="209"/>
  <c r="X175" i="209"/>
  <c r="X152" i="209"/>
  <c r="X59" i="209"/>
  <c r="X111" i="209"/>
  <c r="X263" i="209"/>
  <c r="X39" i="209"/>
  <c r="X148" i="209"/>
  <c r="X137" i="209"/>
  <c r="X167" i="206"/>
  <c r="X174" i="206"/>
  <c r="X86" i="206"/>
  <c r="X44" i="206"/>
  <c r="X79" i="209"/>
  <c r="X72" i="209"/>
  <c r="X41" i="206"/>
  <c r="E14" i="207"/>
  <c r="X171" i="209"/>
  <c r="X210" i="209"/>
  <c r="X114" i="206"/>
  <c r="I8" i="207"/>
  <c r="X300" i="209"/>
  <c r="X198" i="209"/>
  <c r="X173" i="206"/>
  <c r="X148" i="206"/>
  <c r="E4" i="207"/>
  <c r="H24" i="207"/>
  <c r="F9" i="207"/>
  <c r="H16" i="207"/>
  <c r="H17" i="207"/>
  <c r="I28" i="207"/>
  <c r="F16" i="207"/>
  <c r="X280" i="209"/>
  <c r="X244" i="209"/>
  <c r="X208" i="209"/>
  <c r="X172" i="209"/>
  <c r="X128" i="209"/>
  <c r="X213" i="209"/>
  <c r="X47" i="209"/>
  <c r="X11" i="209"/>
  <c r="X192" i="209"/>
  <c r="X103" i="209"/>
  <c r="X86" i="209"/>
  <c r="X258" i="209"/>
  <c r="X242" i="209"/>
  <c r="X36" i="209"/>
  <c r="X140" i="209"/>
  <c r="X54" i="209"/>
  <c r="X52" i="209"/>
  <c r="X157" i="209"/>
  <c r="X132" i="209"/>
  <c r="X58" i="209"/>
  <c r="X31" i="209"/>
  <c r="X113" i="209"/>
  <c r="X97" i="209"/>
  <c r="X120" i="209"/>
  <c r="X102" i="209"/>
  <c r="X158" i="206"/>
  <c r="X149" i="206"/>
  <c r="X166" i="206"/>
  <c r="X21" i="206"/>
  <c r="X39" i="206"/>
  <c r="X171" i="206"/>
  <c r="X135" i="206"/>
  <c r="X87" i="206"/>
  <c r="X65" i="206"/>
  <c r="X85" i="206"/>
  <c r="X64" i="206"/>
  <c r="X10" i="206"/>
  <c r="X9" i="206"/>
  <c r="X38" i="206"/>
  <c r="X133" i="206"/>
  <c r="X25" i="206"/>
  <c r="X115" i="206"/>
  <c r="X46" i="206"/>
  <c r="X26" i="206"/>
  <c r="X79" i="206"/>
  <c r="X87" i="209"/>
  <c r="X100" i="209"/>
  <c r="X291" i="209"/>
  <c r="X191" i="206"/>
  <c r="X99" i="206"/>
  <c r="X51" i="206"/>
  <c r="X136" i="206"/>
  <c r="X88" i="206"/>
  <c r="E30" i="207"/>
  <c r="I16" i="207"/>
  <c r="X232" i="209"/>
  <c r="X143" i="209"/>
  <c r="X261" i="209"/>
  <c r="X61" i="209"/>
  <c r="X260" i="209"/>
  <c r="X195" i="206"/>
  <c r="X74" i="206"/>
  <c r="X229" i="209"/>
  <c r="X245" i="209"/>
  <c r="X62" i="209"/>
  <c r="X21" i="209"/>
  <c r="X60" i="209"/>
  <c r="X187" i="206"/>
  <c r="X5" i="206"/>
  <c r="X67" i="206"/>
  <c r="F26" i="207"/>
  <c r="X234" i="209"/>
  <c r="X225" i="209"/>
  <c r="X179" i="209"/>
  <c r="X189" i="206"/>
  <c r="X82" i="206"/>
  <c r="I19" i="207"/>
  <c r="H18" i="207"/>
  <c r="F6" i="207"/>
  <c r="I29" i="207"/>
  <c r="H14" i="207"/>
  <c r="E29" i="207"/>
  <c r="F10" i="207"/>
  <c r="X277" i="209"/>
  <c r="X241" i="209"/>
  <c r="X205" i="209"/>
  <c r="X169" i="209"/>
  <c r="X80" i="209"/>
  <c r="X182" i="209"/>
  <c r="X44" i="209"/>
  <c r="X8" i="209"/>
  <c r="X167" i="209"/>
  <c r="X99" i="209"/>
  <c r="X50" i="209"/>
  <c r="X227" i="209"/>
  <c r="X237" i="209"/>
  <c r="X33" i="209"/>
  <c r="X116" i="209"/>
  <c r="X40" i="209"/>
  <c r="X252" i="209"/>
  <c r="X133" i="209"/>
  <c r="X124" i="209"/>
  <c r="X37" i="209"/>
  <c r="X19" i="209"/>
  <c r="X89" i="209"/>
  <c r="X81" i="209"/>
  <c r="X112" i="209"/>
  <c r="X78" i="209"/>
  <c r="X200" i="206"/>
  <c r="X199" i="206"/>
  <c r="X163" i="206"/>
  <c r="X15" i="206"/>
  <c r="X30" i="206"/>
  <c r="X168" i="206"/>
  <c r="X132" i="206"/>
  <c r="X75" i="206"/>
  <c r="X59" i="206"/>
  <c r="X11" i="206"/>
  <c r="X58" i="206"/>
  <c r="X7" i="206"/>
  <c r="X4" i="206"/>
  <c r="X32" i="206"/>
  <c r="X124" i="206"/>
  <c r="X13" i="206"/>
  <c r="X101" i="206"/>
  <c r="X165" i="206"/>
  <c r="X53" i="206"/>
  <c r="X52" i="206"/>
  <c r="X19" i="206"/>
  <c r="X110" i="206"/>
  <c r="X2" i="206"/>
  <c r="X159" i="209"/>
  <c r="X27" i="209"/>
  <c r="X255" i="209"/>
  <c r="X293" i="209"/>
  <c r="X57" i="209"/>
  <c r="X193" i="206"/>
  <c r="X198" i="206"/>
  <c r="X47" i="206"/>
  <c r="X34" i="206"/>
  <c r="X20" i="206"/>
  <c r="H6" i="207"/>
  <c r="X268" i="209"/>
  <c r="X276" i="209"/>
  <c r="X35" i="209"/>
  <c r="X216" i="209"/>
  <c r="X201" i="209"/>
  <c r="X117" i="206"/>
  <c r="X8" i="206"/>
  <c r="E27" i="207"/>
  <c r="X131" i="209"/>
  <c r="X185" i="209"/>
  <c r="X64" i="209"/>
  <c r="X35" i="206"/>
  <c r="H25" i="207"/>
  <c r="X29" i="209"/>
  <c r="X77" i="209"/>
  <c r="X184" i="206"/>
  <c r="X29" i="206"/>
  <c r="X73" i="206"/>
  <c r="H4" i="207"/>
  <c r="H15" i="207"/>
  <c r="I4" i="207"/>
  <c r="I26" i="207"/>
  <c r="H8" i="207"/>
  <c r="E26" i="207"/>
  <c r="F7" i="207"/>
  <c r="X274" i="209"/>
  <c r="X238" i="209"/>
  <c r="X202" i="209"/>
  <c r="X166" i="209"/>
  <c r="X68" i="209"/>
  <c r="X177" i="209"/>
  <c r="X41" i="209"/>
  <c r="X5" i="209"/>
  <c r="X163" i="209"/>
  <c r="X91" i="209"/>
  <c r="X284" i="209"/>
  <c r="X222" i="209"/>
  <c r="X297" i="209"/>
  <c r="X30" i="209"/>
  <c r="X104" i="209"/>
  <c r="X28" i="209"/>
  <c r="X195" i="209"/>
  <c r="X109" i="209"/>
  <c r="X108" i="209"/>
  <c r="X25" i="209"/>
  <c r="X180" i="209"/>
  <c r="X65" i="209"/>
  <c r="X73" i="209"/>
  <c r="X96" i="209"/>
  <c r="X46" i="209"/>
  <c r="X194" i="206"/>
  <c r="X196" i="206"/>
  <c r="X160" i="206"/>
  <c r="X123" i="206"/>
  <c r="X18" i="206"/>
  <c r="X129" i="206"/>
  <c r="X63" i="206"/>
  <c r="X145" i="206"/>
  <c r="X279" i="209"/>
  <c r="X85" i="209"/>
  <c r="X34" i="209"/>
  <c r="X126" i="206"/>
  <c r="I25" i="207"/>
  <c r="X122" i="209"/>
  <c r="X84" i="209"/>
  <c r="X127" i="206"/>
  <c r="X193" i="209"/>
  <c r="X81" i="206"/>
  <c r="X226" i="209"/>
  <c r="X170" i="209"/>
  <c r="X146" i="206"/>
  <c r="I30" i="207"/>
  <c r="H9" i="207"/>
  <c r="H19" i="207"/>
  <c r="I20" i="207"/>
  <c r="H5" i="207"/>
  <c r="E20" i="207"/>
  <c r="F4" i="207"/>
  <c r="X271" i="209"/>
  <c r="X235" i="209"/>
  <c r="X199" i="209"/>
  <c r="X281" i="209"/>
  <c r="X275" i="209"/>
  <c r="X155" i="209"/>
  <c r="X38" i="209"/>
  <c r="X2" i="209"/>
  <c r="X191" i="209"/>
  <c r="X266" i="209"/>
  <c r="X92" i="209"/>
  <c r="X149" i="209"/>
  <c r="X13" i="209"/>
  <c r="X88" i="209"/>
  <c r="X157" i="206"/>
  <c r="X162" i="206"/>
  <c r="X28" i="206"/>
  <c r="X154" i="206"/>
  <c r="X151" i="206"/>
  <c r="I17" i="207"/>
  <c r="E17" i="207"/>
  <c r="X196" i="209"/>
  <c r="X270" i="209"/>
  <c r="X186" i="209"/>
  <c r="X125" i="209"/>
  <c r="X7" i="209"/>
  <c r="X90" i="206"/>
  <c r="X118" i="206"/>
  <c r="X265" i="209"/>
  <c r="X239" i="209"/>
  <c r="X147" i="209"/>
  <c r="X272" i="209"/>
  <c r="X76" i="209"/>
  <c r="X179" i="206"/>
  <c r="X24" i="206"/>
  <c r="X112" i="206"/>
  <c r="I18" i="207"/>
  <c r="X139" i="209"/>
  <c r="X138" i="209"/>
  <c r="X69" i="206"/>
  <c r="X71" i="206"/>
  <c r="I27" i="207"/>
  <c r="I24" i="207"/>
  <c r="E28" i="207"/>
  <c r="J28" i="207" l="1"/>
  <c r="J10" i="207"/>
  <c r="J5" i="207"/>
  <c r="J8" i="207"/>
  <c r="J14" i="207"/>
  <c r="J17" i="207"/>
  <c r="J20" i="207"/>
  <c r="J26" i="207"/>
  <c r="J29" i="207"/>
  <c r="J7" i="207"/>
  <c r="J16" i="207"/>
  <c r="J19" i="207"/>
  <c r="J25" i="207"/>
  <c r="J6" i="207"/>
  <c r="J9" i="207"/>
  <c r="J15" i="207"/>
  <c r="J18" i="207"/>
  <c r="J24" i="207"/>
  <c r="J27" i="207"/>
  <c r="J30" i="207"/>
  <c r="J4" i="207"/>
  <c r="Y300" i="209"/>
  <c r="Y297" i="209"/>
  <c r="Y294" i="209"/>
  <c r="Y291" i="209"/>
  <c r="Y288" i="209"/>
  <c r="Y285" i="209"/>
  <c r="Y282" i="209"/>
  <c r="Y279" i="209"/>
  <c r="Y276" i="209"/>
  <c r="Y273" i="209"/>
  <c r="Y270" i="209"/>
  <c r="Y267" i="209"/>
  <c r="Y264" i="209"/>
  <c r="Y261" i="209"/>
  <c r="Y258" i="209"/>
  <c r="Y255" i="209"/>
  <c r="Y252" i="209"/>
  <c r="Y249" i="209"/>
  <c r="Y246" i="209"/>
  <c r="Y243" i="209"/>
  <c r="Y240" i="209"/>
  <c r="Y237" i="209"/>
  <c r="Y234" i="209"/>
  <c r="Y231" i="209"/>
  <c r="Y228" i="209"/>
  <c r="Y225" i="209"/>
  <c r="Y222" i="209"/>
  <c r="Y219" i="209"/>
  <c r="Y216" i="209"/>
  <c r="Y213" i="209"/>
  <c r="Y210" i="209"/>
  <c r="Y207" i="209"/>
  <c r="Y204" i="209"/>
  <c r="Y201" i="209"/>
  <c r="Y198" i="209"/>
  <c r="Y195" i="209"/>
  <c r="Y192" i="209"/>
  <c r="Y189" i="209"/>
  <c r="Y186" i="209"/>
  <c r="Y183" i="209"/>
  <c r="Y180" i="209"/>
  <c r="Y177" i="209"/>
  <c r="Y174" i="209"/>
  <c r="Y171" i="209"/>
  <c r="Y168" i="209"/>
  <c r="Y165" i="209"/>
  <c r="Y162" i="209"/>
  <c r="Y159" i="209"/>
  <c r="Y156" i="209"/>
  <c r="Y153" i="209"/>
  <c r="Y150" i="209"/>
  <c r="Y147" i="209"/>
  <c r="Y144" i="209"/>
  <c r="Y141" i="209"/>
  <c r="Y138" i="209"/>
  <c r="Y135" i="209"/>
  <c r="Y132" i="209"/>
  <c r="Y129" i="209"/>
  <c r="Y126" i="209"/>
  <c r="Y123" i="209"/>
  <c r="Y120" i="209"/>
  <c r="Y117" i="209"/>
  <c r="Y114" i="209"/>
  <c r="Y111" i="209"/>
  <c r="Y108" i="209"/>
  <c r="Y105" i="209"/>
  <c r="Y102" i="209"/>
  <c r="Y99" i="209"/>
  <c r="Y96" i="209"/>
  <c r="Y93" i="209"/>
  <c r="Y90" i="209"/>
  <c r="Y87" i="209"/>
  <c r="Y84" i="209"/>
  <c r="Y81" i="209"/>
  <c r="Y78" i="209"/>
  <c r="Y75" i="209"/>
  <c r="Y72" i="209"/>
  <c r="Y69" i="209"/>
  <c r="Y66" i="209"/>
  <c r="Y63" i="209"/>
  <c r="Y60" i="209"/>
  <c r="Y57" i="209"/>
  <c r="Y54" i="209"/>
  <c r="Y51" i="209"/>
  <c r="Y48" i="209"/>
  <c r="Y299" i="209"/>
  <c r="Y296" i="209"/>
  <c r="Y293" i="209"/>
  <c r="Y290" i="209"/>
  <c r="Y287" i="209"/>
  <c r="Y284" i="209"/>
  <c r="Y281" i="209"/>
  <c r="Y278" i="209"/>
  <c r="Y275" i="209"/>
  <c r="Y272" i="209"/>
  <c r="Y269" i="209"/>
  <c r="Y266" i="209"/>
  <c r="Y263" i="209"/>
  <c r="Y260" i="209"/>
  <c r="Y257" i="209"/>
  <c r="Y254" i="209"/>
  <c r="Y251" i="209"/>
  <c r="Y248" i="209"/>
  <c r="Y245" i="209"/>
  <c r="Y242" i="209"/>
  <c r="Y239" i="209"/>
  <c r="Y236" i="209"/>
  <c r="Y233" i="209"/>
  <c r="Y230" i="209"/>
  <c r="Y227" i="209"/>
  <c r="Y224" i="209"/>
  <c r="Y221" i="209"/>
  <c r="Y218" i="209"/>
  <c r="Y215" i="209"/>
  <c r="Y212" i="209"/>
  <c r="Y209" i="209"/>
  <c r="Y206" i="209"/>
  <c r="Y203" i="209"/>
  <c r="Y200" i="209"/>
  <c r="Y197" i="209"/>
  <c r="Y194" i="209"/>
  <c r="Y191" i="209"/>
  <c r="Y188" i="209"/>
  <c r="Y185" i="209"/>
  <c r="Y182" i="209"/>
  <c r="Y179" i="209"/>
  <c r="Y176" i="209"/>
  <c r="Y173" i="209"/>
  <c r="Y170" i="209"/>
  <c r="Y167" i="209"/>
  <c r="Y164" i="209"/>
  <c r="Y161" i="209"/>
  <c r="Y158" i="209"/>
  <c r="Y155" i="209"/>
  <c r="Y152" i="209"/>
  <c r="Y149" i="209"/>
  <c r="Y146" i="209"/>
  <c r="Y143" i="209"/>
  <c r="Y140" i="209"/>
  <c r="Y137" i="209"/>
  <c r="Y134" i="209"/>
  <c r="Y131" i="209"/>
  <c r="Y128" i="209"/>
  <c r="Y125" i="209"/>
  <c r="Y122" i="209"/>
  <c r="Y119" i="209"/>
  <c r="Y116" i="209"/>
  <c r="Y113" i="209"/>
  <c r="Y110" i="209"/>
  <c r="Y107" i="209"/>
  <c r="Y104" i="209"/>
  <c r="Y101" i="209"/>
  <c r="Y98" i="209"/>
  <c r="Y95" i="209"/>
  <c r="Y92" i="209"/>
  <c r="Y89" i="209"/>
  <c r="Y86" i="209"/>
  <c r="Y83" i="209"/>
  <c r="Y80" i="209"/>
  <c r="Y77" i="209"/>
  <c r="Y74" i="209"/>
  <c r="Y71" i="209"/>
  <c r="Y68" i="209"/>
  <c r="Y65" i="209"/>
  <c r="Y62" i="209"/>
  <c r="Y59" i="209"/>
  <c r="Y56" i="209"/>
  <c r="Y53" i="209"/>
  <c r="Y50" i="209"/>
  <c r="Y47" i="209"/>
  <c r="Y271" i="209"/>
  <c r="Y235" i="209"/>
  <c r="Y199" i="209"/>
  <c r="Y136" i="209"/>
  <c r="Y112" i="209"/>
  <c r="Y100" i="209"/>
  <c r="Y88" i="209"/>
  <c r="Y52" i="209"/>
  <c r="Y265" i="209"/>
  <c r="Y280" i="209"/>
  <c r="Y244" i="209"/>
  <c r="Y208" i="209"/>
  <c r="Y172" i="209"/>
  <c r="Y163" i="209"/>
  <c r="Y151" i="209"/>
  <c r="Y139" i="209"/>
  <c r="Y127" i="209"/>
  <c r="Y115" i="209"/>
  <c r="Y103" i="209"/>
  <c r="Y91" i="209"/>
  <c r="Y79" i="209"/>
  <c r="Y67" i="209"/>
  <c r="Y55" i="209"/>
  <c r="Y217" i="209"/>
  <c r="Y142" i="209"/>
  <c r="Y94" i="209"/>
  <c r="Y43" i="209"/>
  <c r="Y31" i="209"/>
  <c r="Y22" i="209"/>
  <c r="Y16" i="209"/>
  <c r="Y7" i="209"/>
  <c r="Y1" i="209"/>
  <c r="Y295" i="209"/>
  <c r="Y259" i="209"/>
  <c r="Y223" i="209"/>
  <c r="Y187" i="209"/>
  <c r="Y154" i="209"/>
  <c r="Y130" i="209"/>
  <c r="Y118" i="209"/>
  <c r="Y70" i="209"/>
  <c r="Y40" i="209"/>
  <c r="Y34" i="209"/>
  <c r="Y25" i="209"/>
  <c r="Y19" i="209"/>
  <c r="Y10" i="209"/>
  <c r="Y4" i="209"/>
  <c r="Y274" i="209"/>
  <c r="Y238" i="209"/>
  <c r="Y202" i="209"/>
  <c r="Y289" i="209"/>
  <c r="Y253" i="209"/>
  <c r="Y181" i="209"/>
  <c r="Y106" i="209"/>
  <c r="Y82" i="209"/>
  <c r="Y58" i="209"/>
  <c r="Y46" i="209"/>
  <c r="Y37" i="209"/>
  <c r="Y28" i="209"/>
  <c r="Y13" i="209"/>
  <c r="Y268" i="209"/>
  <c r="Y292" i="209"/>
  <c r="Y256" i="209"/>
  <c r="Y220" i="209"/>
  <c r="Y184" i="209"/>
  <c r="Y169" i="209"/>
  <c r="Y160" i="209"/>
  <c r="Y148" i="209"/>
  <c r="Y124" i="209"/>
  <c r="Y76" i="209"/>
  <c r="Y64" i="209"/>
  <c r="Y229" i="209"/>
  <c r="Y41" i="209"/>
  <c r="Y35" i="209"/>
  <c r="Y29" i="209"/>
  <c r="Y17" i="209"/>
  <c r="Y241" i="209"/>
  <c r="Y196" i="209"/>
  <c r="Y166" i="209"/>
  <c r="Y6" i="209"/>
  <c r="Y286" i="209"/>
  <c r="Y175" i="209"/>
  <c r="Y11" i="209"/>
  <c r="Y205" i="209"/>
  <c r="Y45" i="209"/>
  <c r="Y39" i="209"/>
  <c r="Y27" i="209"/>
  <c r="Y21" i="209"/>
  <c r="Y5" i="209"/>
  <c r="Y283" i="209"/>
  <c r="Y226" i="209"/>
  <c r="Y157" i="209"/>
  <c r="Y133" i="209"/>
  <c r="Y109" i="209"/>
  <c r="Y85" i="209"/>
  <c r="Y61" i="209"/>
  <c r="Y33" i="209"/>
  <c r="Y15" i="209"/>
  <c r="Y298" i="209"/>
  <c r="Y214" i="209"/>
  <c r="Y250" i="209"/>
  <c r="Y193" i="209"/>
  <c r="Y44" i="209"/>
  <c r="Y38" i="209"/>
  <c r="Y32" i="209"/>
  <c r="Y26" i="209"/>
  <c r="Y20" i="209"/>
  <c r="Y9" i="209"/>
  <c r="Y14" i="209"/>
  <c r="Y211" i="209"/>
  <c r="Y3" i="209"/>
  <c r="Y247" i="209"/>
  <c r="Y232" i="209"/>
  <c r="Y262" i="209"/>
  <c r="Y277" i="209"/>
  <c r="Y190" i="209"/>
  <c r="Y145" i="209"/>
  <c r="Y121" i="209"/>
  <c r="Y97" i="209"/>
  <c r="Y73" i="209"/>
  <c r="Y49" i="209"/>
  <c r="Y8" i="209"/>
  <c r="Y42" i="209"/>
  <c r="Y36" i="209"/>
  <c r="Y30" i="209"/>
  <c r="Y24" i="209"/>
  <c r="Y18" i="209"/>
  <c r="Y178" i="209"/>
  <c r="Y12" i="209"/>
  <c r="Y2" i="209"/>
  <c r="Y23" i="209"/>
  <c r="S4" i="209"/>
  <c r="S4" i="206"/>
  <c r="E34" i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S10" i="206"/>
  <c r="S5" i="209" l="1"/>
  <c r="Y200" i="206"/>
  <c r="Y197" i="206"/>
  <c r="Y194" i="206"/>
  <c r="Y191" i="206"/>
  <c r="Y188" i="206"/>
  <c r="Y185" i="206"/>
  <c r="Y182" i="206"/>
  <c r="Y179" i="206"/>
  <c r="Y176" i="206"/>
  <c r="Y173" i="206"/>
  <c r="Y170" i="206"/>
  <c r="Y167" i="206"/>
  <c r="Y164" i="206"/>
  <c r="Y161" i="206"/>
  <c r="Y158" i="206"/>
  <c r="Y155" i="206"/>
  <c r="Y152" i="206"/>
  <c r="Y149" i="206"/>
  <c r="Y146" i="206"/>
  <c r="Y143" i="206"/>
  <c r="Y140" i="206"/>
  <c r="Y137" i="206"/>
  <c r="Y134" i="206"/>
  <c r="Y131" i="206"/>
  <c r="Y128" i="206"/>
  <c r="Y125" i="206"/>
  <c r="Y122" i="206"/>
  <c r="Y119" i="206"/>
  <c r="Y116" i="206"/>
  <c r="Y113" i="206"/>
  <c r="Y110" i="206"/>
  <c r="Y107" i="206"/>
  <c r="Y104" i="206"/>
  <c r="Y101" i="206"/>
  <c r="Y98" i="206"/>
  <c r="Y95" i="206"/>
  <c r="Y92" i="206"/>
  <c r="Y89" i="206"/>
  <c r="Y86" i="206"/>
  <c r="Y83" i="206"/>
  <c r="Y80" i="206"/>
  <c r="Y77" i="206"/>
  <c r="Y74" i="206"/>
  <c r="Y71" i="206"/>
  <c r="Y68" i="206"/>
  <c r="Y65" i="206"/>
  <c r="Y62" i="206"/>
  <c r="Y59" i="206"/>
  <c r="Y56" i="206"/>
  <c r="Y53" i="206"/>
  <c r="Y50" i="206"/>
  <c r="Y47" i="206"/>
  <c r="Y44" i="206"/>
  <c r="Y41" i="206"/>
  <c r="Y38" i="206"/>
  <c r="Y35" i="206"/>
  <c r="Y32" i="206"/>
  <c r="Y29" i="206"/>
  <c r="Y26" i="206"/>
  <c r="Y23" i="206"/>
  <c r="Y20" i="206"/>
  <c r="Y17" i="206"/>
  <c r="Y14" i="206"/>
  <c r="Y11" i="206"/>
  <c r="Y8" i="206"/>
  <c r="Y5" i="206"/>
  <c r="Y2" i="206"/>
  <c r="Y199" i="206"/>
  <c r="Y196" i="206"/>
  <c r="Y193" i="206"/>
  <c r="Y190" i="206"/>
  <c r="Y187" i="206"/>
  <c r="Y184" i="206"/>
  <c r="Y181" i="206"/>
  <c r="Y178" i="206"/>
  <c r="Y175" i="206"/>
  <c r="Y172" i="206"/>
  <c r="Y169" i="206"/>
  <c r="Y166" i="206"/>
  <c r="Y163" i="206"/>
  <c r="Y160" i="206"/>
  <c r="Y157" i="206"/>
  <c r="Y154" i="206"/>
  <c r="Y151" i="206"/>
  <c r="Y148" i="206"/>
  <c r="Y145" i="206"/>
  <c r="Y142" i="206"/>
  <c r="Y139" i="206"/>
  <c r="Y136" i="206"/>
  <c r="Y133" i="206"/>
  <c r="Y130" i="206"/>
  <c r="Y127" i="206"/>
  <c r="Y124" i="206"/>
  <c r="Y121" i="206"/>
  <c r="Y118" i="206"/>
  <c r="Y115" i="206"/>
  <c r="Y112" i="206"/>
  <c r="Y109" i="206"/>
  <c r="Y106" i="206"/>
  <c r="Y103" i="206"/>
  <c r="Y100" i="206"/>
  <c r="Y97" i="206"/>
  <c r="Y94" i="206"/>
  <c r="Y91" i="206"/>
  <c r="Y88" i="206"/>
  <c r="Y85" i="206"/>
  <c r="Y82" i="206"/>
  <c r="Y79" i="206"/>
  <c r="Y76" i="206"/>
  <c r="Y73" i="206"/>
  <c r="Y70" i="206"/>
  <c r="Y67" i="206"/>
  <c r="Y64" i="206"/>
  <c r="Y61" i="206"/>
  <c r="Y58" i="206"/>
  <c r="Y55" i="206"/>
  <c r="Y52" i="206"/>
  <c r="Y49" i="206"/>
  <c r="Y46" i="206"/>
  <c r="Y43" i="206"/>
  <c r="Y40" i="206"/>
  <c r="Y37" i="206"/>
  <c r="Y34" i="206"/>
  <c r="Y31" i="206"/>
  <c r="Y28" i="206"/>
  <c r="Y25" i="206"/>
  <c r="Y22" i="206"/>
  <c r="Y19" i="206"/>
  <c r="Y16" i="206"/>
  <c r="Y13" i="206"/>
  <c r="Y10" i="206"/>
  <c r="Y7" i="206"/>
  <c r="Y4" i="206"/>
  <c r="Y1" i="206"/>
  <c r="Y198" i="206"/>
  <c r="Y195" i="206"/>
  <c r="Y192" i="206"/>
  <c r="Y189" i="206"/>
  <c r="Y186" i="206"/>
  <c r="Y183" i="206"/>
  <c r="Y180" i="206"/>
  <c r="Y177" i="206"/>
  <c r="Y174" i="206"/>
  <c r="Y171" i="206"/>
  <c r="Y168" i="206"/>
  <c r="Y165" i="206"/>
  <c r="Y162" i="206"/>
  <c r="Y159" i="206"/>
  <c r="Y156" i="206"/>
  <c r="Y153" i="206"/>
  <c r="Y150" i="206"/>
  <c r="Y147" i="206"/>
  <c r="Y144" i="206"/>
  <c r="Y141" i="206"/>
  <c r="Y138" i="206"/>
  <c r="Y135" i="206"/>
  <c r="Y132" i="206"/>
  <c r="Y129" i="206"/>
  <c r="Y126" i="206"/>
  <c r="Y123" i="206"/>
  <c r="Y120" i="206"/>
  <c r="Y117" i="206"/>
  <c r="Y114" i="206"/>
  <c r="Y111" i="206"/>
  <c r="Y108" i="206"/>
  <c r="Y105" i="206"/>
  <c r="Y102" i="206"/>
  <c r="Y99" i="206"/>
  <c r="Y96" i="206"/>
  <c r="Y93" i="206"/>
  <c r="Y90" i="206"/>
  <c r="Y87" i="206"/>
  <c r="Y84" i="206"/>
  <c r="Y81" i="206"/>
  <c r="Y78" i="206"/>
  <c r="Y75" i="206"/>
  <c r="Y72" i="206"/>
  <c r="Y69" i="206"/>
  <c r="Y66" i="206"/>
  <c r="Y63" i="206"/>
  <c r="Y60" i="206"/>
  <c r="Y57" i="206"/>
  <c r="Y54" i="206"/>
  <c r="Y51" i="206"/>
  <c r="Y48" i="206"/>
  <c r="Y45" i="206"/>
  <c r="Y42" i="206"/>
  <c r="Y39" i="206"/>
  <c r="Y36" i="206"/>
  <c r="Y33" i="206"/>
  <c r="Y30" i="206"/>
  <c r="Y27" i="206"/>
  <c r="Y24" i="206"/>
  <c r="Y21" i="206"/>
  <c r="Y18" i="206"/>
  <c r="Y15" i="206"/>
  <c r="Y12" i="206"/>
  <c r="Y9" i="206"/>
  <c r="Y6" i="206"/>
  <c r="Y3" i="206"/>
  <c r="S5" i="206"/>
  <c r="A19" i="1"/>
  <c r="E3" i="1"/>
  <c r="A38" i="1"/>
  <c r="S30" i="206"/>
  <c r="S20" i="206"/>
  <c r="S20" i="209"/>
  <c r="S30" i="209"/>
  <c r="AA300" i="209" l="1"/>
  <c r="AA297" i="209"/>
  <c r="AA294" i="209"/>
  <c r="AA291" i="209"/>
  <c r="AA288" i="209"/>
  <c r="AA285" i="209"/>
  <c r="AA282" i="209"/>
  <c r="AA279" i="209"/>
  <c r="AA276" i="209"/>
  <c r="AA273" i="209"/>
  <c r="AA270" i="209"/>
  <c r="AA267" i="209"/>
  <c r="AA264" i="209"/>
  <c r="AA261" i="209"/>
  <c r="AA258" i="209"/>
  <c r="AA255" i="209"/>
  <c r="AA252" i="209"/>
  <c r="AA249" i="209"/>
  <c r="AA246" i="209"/>
  <c r="AA243" i="209"/>
  <c r="AA240" i="209"/>
  <c r="AA237" i="209"/>
  <c r="AA234" i="209"/>
  <c r="AA231" i="209"/>
  <c r="AA228" i="209"/>
  <c r="AA225" i="209"/>
  <c r="AA222" i="209"/>
  <c r="AA219" i="209"/>
  <c r="AA216" i="209"/>
  <c r="AA213" i="209"/>
  <c r="AA210" i="209"/>
  <c r="AA207" i="209"/>
  <c r="AA204" i="209"/>
  <c r="AA201" i="209"/>
  <c r="AA198" i="209"/>
  <c r="AA195" i="209"/>
  <c r="AA192" i="209"/>
  <c r="AA189" i="209"/>
  <c r="AA186" i="209"/>
  <c r="AA183" i="209"/>
  <c r="AA180" i="209"/>
  <c r="AA177" i="209"/>
  <c r="AA174" i="209"/>
  <c r="AA299" i="209"/>
  <c r="AA296" i="209"/>
  <c r="AA293" i="209"/>
  <c r="AA290" i="209"/>
  <c r="AA287" i="209"/>
  <c r="AA284" i="209"/>
  <c r="AA281" i="209"/>
  <c r="AA278" i="209"/>
  <c r="AA275" i="209"/>
  <c r="AA272" i="209"/>
  <c r="AA269" i="209"/>
  <c r="AA266" i="209"/>
  <c r="AA263" i="209"/>
  <c r="AA260" i="209"/>
  <c r="AA257" i="209"/>
  <c r="AA254" i="209"/>
  <c r="AA251" i="209"/>
  <c r="AA248" i="209"/>
  <c r="AA245" i="209"/>
  <c r="AA242" i="209"/>
  <c r="AA239" i="209"/>
  <c r="AA236" i="209"/>
  <c r="AA233" i="209"/>
  <c r="AA230" i="209"/>
  <c r="AA227" i="209"/>
  <c r="AA224" i="209"/>
  <c r="AA221" i="209"/>
  <c r="AA218" i="209"/>
  <c r="AA215" i="209"/>
  <c r="AA212" i="209"/>
  <c r="AA209" i="209"/>
  <c r="AA206" i="209"/>
  <c r="AA203" i="209"/>
  <c r="AA200" i="209"/>
  <c r="AA197" i="209"/>
  <c r="AA194" i="209"/>
  <c r="AA191" i="209"/>
  <c r="AA188" i="209"/>
  <c r="AA185" i="209"/>
  <c r="AA182" i="209"/>
  <c r="AA179" i="209"/>
  <c r="AA176" i="209"/>
  <c r="AA173" i="209"/>
  <c r="AA170" i="209"/>
  <c r="AA167" i="209"/>
  <c r="AA164" i="209"/>
  <c r="AA161" i="209"/>
  <c r="AA158" i="209"/>
  <c r="AA155" i="209"/>
  <c r="AA152" i="209"/>
  <c r="AA149" i="209"/>
  <c r="AA146" i="209"/>
  <c r="AA143" i="209"/>
  <c r="AA140" i="209"/>
  <c r="AA137" i="209"/>
  <c r="AA134" i="209"/>
  <c r="AA131" i="209"/>
  <c r="AA128" i="209"/>
  <c r="AA125" i="209"/>
  <c r="AA122" i="209"/>
  <c r="AA119" i="209"/>
  <c r="AA116" i="209"/>
  <c r="AA113" i="209"/>
  <c r="AA110" i="209"/>
  <c r="AA107" i="209"/>
  <c r="AA104" i="209"/>
  <c r="AA101" i="209"/>
  <c r="AA98" i="209"/>
  <c r="AA95" i="209"/>
  <c r="AA92" i="209"/>
  <c r="AA89" i="209"/>
  <c r="AA86" i="209"/>
  <c r="AA83" i="209"/>
  <c r="AA80" i="209"/>
  <c r="AA77" i="209"/>
  <c r="AA74" i="209"/>
  <c r="AA71" i="209"/>
  <c r="AA68" i="209"/>
  <c r="AA65" i="209"/>
  <c r="AA62" i="209"/>
  <c r="AA59" i="209"/>
  <c r="AA56" i="209"/>
  <c r="AA53" i="209"/>
  <c r="AA50" i="209"/>
  <c r="AA47" i="209"/>
  <c r="AA265" i="209"/>
  <c r="AA229" i="209"/>
  <c r="AA193" i="209"/>
  <c r="AA168" i="209"/>
  <c r="AA44" i="209"/>
  <c r="AA35" i="209"/>
  <c r="AA23" i="209"/>
  <c r="AA295" i="209"/>
  <c r="AA259" i="209"/>
  <c r="AA274" i="209"/>
  <c r="AA238" i="209"/>
  <c r="AA202" i="209"/>
  <c r="AA289" i="209"/>
  <c r="AA253" i="209"/>
  <c r="AA217" i="209"/>
  <c r="AA181" i="209"/>
  <c r="AA171" i="209"/>
  <c r="AA154" i="209"/>
  <c r="AA142" i="209"/>
  <c r="AA130" i="209"/>
  <c r="AA118" i="209"/>
  <c r="AA106" i="209"/>
  <c r="AA94" i="209"/>
  <c r="AA82" i="209"/>
  <c r="AA70" i="209"/>
  <c r="AA58" i="209"/>
  <c r="AA46" i="209"/>
  <c r="AA43" i="209"/>
  <c r="AA40" i="209"/>
  <c r="AA37" i="209"/>
  <c r="AA34" i="209"/>
  <c r="AA31" i="209"/>
  <c r="AA28" i="209"/>
  <c r="AA25" i="209"/>
  <c r="AA22" i="209"/>
  <c r="AA19" i="209"/>
  <c r="AA16" i="209"/>
  <c r="AA13" i="209"/>
  <c r="AA10" i="209"/>
  <c r="AA7" i="209"/>
  <c r="AA4" i="209"/>
  <c r="AA1" i="209"/>
  <c r="AA211" i="209"/>
  <c r="AA268" i="209"/>
  <c r="AA232" i="209"/>
  <c r="AA196" i="209"/>
  <c r="AA166" i="209"/>
  <c r="AA162" i="209"/>
  <c r="AA150" i="209"/>
  <c r="AA138" i="209"/>
  <c r="AA126" i="209"/>
  <c r="AA114" i="209"/>
  <c r="AA102" i="209"/>
  <c r="AA90" i="209"/>
  <c r="AA78" i="209"/>
  <c r="AA66" i="209"/>
  <c r="AA54" i="209"/>
  <c r="AA283" i="209"/>
  <c r="AA247" i="209"/>
  <c r="AA175" i="209"/>
  <c r="AA298" i="209"/>
  <c r="AA262" i="209"/>
  <c r="AA286" i="209"/>
  <c r="AA250" i="209"/>
  <c r="AA214" i="209"/>
  <c r="AA178" i="209"/>
  <c r="AA156" i="209"/>
  <c r="AA144" i="209"/>
  <c r="AA132" i="209"/>
  <c r="AA120" i="209"/>
  <c r="AA108" i="209"/>
  <c r="AA96" i="209"/>
  <c r="AA84" i="209"/>
  <c r="AA72" i="209"/>
  <c r="AA60" i="209"/>
  <c r="AA48" i="209"/>
  <c r="AA41" i="209"/>
  <c r="AA38" i="209"/>
  <c r="AA32" i="209"/>
  <c r="AA29" i="209"/>
  <c r="AA26" i="209"/>
  <c r="AA20" i="209"/>
  <c r="AA17" i="209"/>
  <c r="AA256" i="209"/>
  <c r="AA187" i="209"/>
  <c r="AA159" i="209"/>
  <c r="AA135" i="209"/>
  <c r="AA111" i="209"/>
  <c r="AA87" i="209"/>
  <c r="AA63" i="209"/>
  <c r="AA11" i="209"/>
  <c r="AA271" i="209"/>
  <c r="AA133" i="209"/>
  <c r="AA109" i="209"/>
  <c r="AA205" i="209"/>
  <c r="AA165" i="209"/>
  <c r="AA141" i="209"/>
  <c r="AA117" i="209"/>
  <c r="AA93" i="209"/>
  <c r="AA69" i="209"/>
  <c r="AA45" i="209"/>
  <c r="AA39" i="209"/>
  <c r="AA33" i="209"/>
  <c r="AA27" i="209"/>
  <c r="AA21" i="209"/>
  <c r="AA15" i="209"/>
  <c r="AA5" i="209"/>
  <c r="AA148" i="209"/>
  <c r="AA124" i="209"/>
  <c r="AA100" i="209"/>
  <c r="AA76" i="209"/>
  <c r="AA52" i="209"/>
  <c r="AA9" i="209"/>
  <c r="AA184" i="209"/>
  <c r="AA235" i="209"/>
  <c r="AA172" i="209"/>
  <c r="AA163" i="209"/>
  <c r="AA139" i="209"/>
  <c r="AA115" i="209"/>
  <c r="AA91" i="209"/>
  <c r="AA67" i="209"/>
  <c r="AA14" i="209"/>
  <c r="AA280" i="209"/>
  <c r="AA223" i="209"/>
  <c r="AA147" i="209"/>
  <c r="AA123" i="209"/>
  <c r="AA99" i="209"/>
  <c r="AA75" i="209"/>
  <c r="AA51" i="209"/>
  <c r="AA3" i="209"/>
  <c r="AA121" i="209"/>
  <c r="AA153" i="209"/>
  <c r="AA105" i="209"/>
  <c r="AA81" i="209"/>
  <c r="AA30" i="209"/>
  <c r="AA18" i="209"/>
  <c r="AA277" i="209"/>
  <c r="AA190" i="209"/>
  <c r="AA145" i="209"/>
  <c r="AA97" i="209"/>
  <c r="AA73" i="209"/>
  <c r="AA49" i="209"/>
  <c r="AA8" i="209"/>
  <c r="AA129" i="209"/>
  <c r="AA57" i="209"/>
  <c r="AA42" i="209"/>
  <c r="AA24" i="209"/>
  <c r="AA292" i="209"/>
  <c r="AA36" i="209"/>
  <c r="AA220" i="209"/>
  <c r="AA169" i="209"/>
  <c r="AA12" i="209"/>
  <c r="AA2" i="209"/>
  <c r="AA244" i="209"/>
  <c r="AA199" i="209"/>
  <c r="AA160" i="209"/>
  <c r="AA136" i="209"/>
  <c r="AA112" i="209"/>
  <c r="AA88" i="209"/>
  <c r="AA64" i="209"/>
  <c r="AA241" i="209"/>
  <c r="AA208" i="209"/>
  <c r="AA151" i="209"/>
  <c r="AA127" i="209"/>
  <c r="AA103" i="209"/>
  <c r="AA79" i="209"/>
  <c r="AA55" i="209"/>
  <c r="AA6" i="209"/>
  <c r="AA226" i="209"/>
  <c r="AA157" i="209"/>
  <c r="AA85" i="209"/>
  <c r="AA61" i="209"/>
  <c r="Z296" i="209"/>
  <c r="Z291" i="209"/>
  <c r="Z286" i="209"/>
  <c r="Z260" i="209"/>
  <c r="Z255" i="209"/>
  <c r="Z250" i="209"/>
  <c r="Z224" i="209"/>
  <c r="Z214" i="209"/>
  <c r="Z188" i="209"/>
  <c r="Z183" i="209"/>
  <c r="Z178" i="209"/>
  <c r="Z156" i="209"/>
  <c r="Z144" i="209"/>
  <c r="Z132" i="209"/>
  <c r="Z108" i="209"/>
  <c r="Z96" i="209"/>
  <c r="Z84" i="209"/>
  <c r="Z290" i="209"/>
  <c r="Z285" i="209"/>
  <c r="Z280" i="209"/>
  <c r="Z254" i="209"/>
  <c r="Z249" i="209"/>
  <c r="Z244" i="209"/>
  <c r="Z300" i="209"/>
  <c r="Z295" i="209"/>
  <c r="Z269" i="209"/>
  <c r="Z264" i="209"/>
  <c r="Z259" i="209"/>
  <c r="Z233" i="209"/>
  <c r="Z228" i="209"/>
  <c r="Z223" i="209"/>
  <c r="Z197" i="209"/>
  <c r="Z192" i="209"/>
  <c r="Z187" i="209"/>
  <c r="Z167" i="209"/>
  <c r="Z159" i="209"/>
  <c r="Z147" i="209"/>
  <c r="Z135" i="209"/>
  <c r="Z123" i="209"/>
  <c r="Z111" i="209"/>
  <c r="Z99" i="209"/>
  <c r="Z87" i="209"/>
  <c r="Z75" i="209"/>
  <c r="Z63" i="209"/>
  <c r="Z51" i="209"/>
  <c r="Z78" i="209"/>
  <c r="Z66" i="209"/>
  <c r="Z284" i="209"/>
  <c r="Z279" i="209"/>
  <c r="Z274" i="209"/>
  <c r="Z248" i="209"/>
  <c r="Z243" i="209"/>
  <c r="Z238" i="209"/>
  <c r="Z212" i="209"/>
  <c r="Z207" i="209"/>
  <c r="Z202" i="209"/>
  <c r="Z176" i="209"/>
  <c r="Z162" i="209"/>
  <c r="Z126" i="209"/>
  <c r="Z102" i="209"/>
  <c r="Z90" i="209"/>
  <c r="Z54" i="209"/>
  <c r="Z299" i="209"/>
  <c r="Z294" i="209"/>
  <c r="Z289" i="209"/>
  <c r="Z263" i="209"/>
  <c r="Z258" i="209"/>
  <c r="Z253" i="209"/>
  <c r="Z227" i="209"/>
  <c r="Z222" i="209"/>
  <c r="Z217" i="209"/>
  <c r="Z191" i="209"/>
  <c r="Z186" i="209"/>
  <c r="Z181" i="209"/>
  <c r="Z171" i="209"/>
  <c r="Z158" i="209"/>
  <c r="Z154" i="209"/>
  <c r="Z146" i="209"/>
  <c r="Z142" i="209"/>
  <c r="Z134" i="209"/>
  <c r="Z130" i="209"/>
  <c r="Z122" i="209"/>
  <c r="Z118" i="209"/>
  <c r="Z110" i="209"/>
  <c r="Z106" i="209"/>
  <c r="Z98" i="209"/>
  <c r="Z94" i="209"/>
  <c r="Z86" i="209"/>
  <c r="Z82" i="209"/>
  <c r="Z74" i="209"/>
  <c r="Z70" i="209"/>
  <c r="Z62" i="209"/>
  <c r="Z58" i="209"/>
  <c r="Z50" i="209"/>
  <c r="Z46" i="209"/>
  <c r="Z43" i="209"/>
  <c r="Z40" i="209"/>
  <c r="Z37" i="209"/>
  <c r="Z34" i="209"/>
  <c r="Z31" i="209"/>
  <c r="Z28" i="209"/>
  <c r="Z25" i="209"/>
  <c r="Z22" i="209"/>
  <c r="Z19" i="209"/>
  <c r="Z16" i="209"/>
  <c r="Z13" i="209"/>
  <c r="Z10" i="209"/>
  <c r="Z7" i="209"/>
  <c r="Z4" i="209"/>
  <c r="Z1" i="209"/>
  <c r="Z278" i="209"/>
  <c r="Z273" i="209"/>
  <c r="Z268" i="209"/>
  <c r="Z242" i="209"/>
  <c r="Z237" i="209"/>
  <c r="Z232" i="209"/>
  <c r="Z206" i="209"/>
  <c r="Z201" i="209"/>
  <c r="Z196" i="209"/>
  <c r="Z166" i="209"/>
  <c r="Z150" i="209"/>
  <c r="Z138" i="209"/>
  <c r="Z114" i="209"/>
  <c r="Z293" i="209"/>
  <c r="Z288" i="209"/>
  <c r="Z283" i="209"/>
  <c r="Z257" i="209"/>
  <c r="Z252" i="209"/>
  <c r="Z247" i="209"/>
  <c r="Z281" i="209"/>
  <c r="Z276" i="209"/>
  <c r="Z271" i="209"/>
  <c r="Z245" i="209"/>
  <c r="Z240" i="209"/>
  <c r="Z235" i="209"/>
  <c r="Z209" i="209"/>
  <c r="Z204" i="209"/>
  <c r="Z199" i="209"/>
  <c r="Z173" i="209"/>
  <c r="Z164" i="209"/>
  <c r="Z160" i="209"/>
  <c r="Z152" i="209"/>
  <c r="Z148" i="209"/>
  <c r="Z140" i="209"/>
  <c r="Z136" i="209"/>
  <c r="Z128" i="209"/>
  <c r="Z124" i="209"/>
  <c r="Z116" i="209"/>
  <c r="Z112" i="209"/>
  <c r="Z104" i="209"/>
  <c r="Z100" i="209"/>
  <c r="Z92" i="209"/>
  <c r="Z88" i="209"/>
  <c r="Z80" i="209"/>
  <c r="Z76" i="209"/>
  <c r="Z68" i="209"/>
  <c r="Z64" i="209"/>
  <c r="Z56" i="209"/>
  <c r="Z52" i="209"/>
  <c r="Z219" i="209"/>
  <c r="Z120" i="209"/>
  <c r="Z72" i="209"/>
  <c r="Z60" i="209"/>
  <c r="Z48" i="209"/>
  <c r="Z287" i="209"/>
  <c r="Z241" i="209"/>
  <c r="Z218" i="209"/>
  <c r="Z208" i="209"/>
  <c r="Z177" i="209"/>
  <c r="Z151" i="209"/>
  <c r="Z143" i="209"/>
  <c r="Z127" i="209"/>
  <c r="Z119" i="209"/>
  <c r="Z103" i="209"/>
  <c r="Z95" i="209"/>
  <c r="Z71" i="209"/>
  <c r="Z55" i="209"/>
  <c r="Z216" i="209"/>
  <c r="Z185" i="209"/>
  <c r="Z175" i="209"/>
  <c r="Z11" i="209"/>
  <c r="Z270" i="209"/>
  <c r="Z239" i="209"/>
  <c r="Z226" i="209"/>
  <c r="Z195" i="209"/>
  <c r="Z157" i="209"/>
  <c r="Z149" i="209"/>
  <c r="Z133" i="209"/>
  <c r="Z125" i="209"/>
  <c r="Z109" i="209"/>
  <c r="Z101" i="209"/>
  <c r="Z85" i="209"/>
  <c r="Z77" i="209"/>
  <c r="Z61" i="209"/>
  <c r="Z53" i="209"/>
  <c r="Z5" i="209"/>
  <c r="Z282" i="209"/>
  <c r="Z251" i="209"/>
  <c r="Z225" i="209"/>
  <c r="Z194" i="209"/>
  <c r="Z184" i="209"/>
  <c r="Z298" i="209"/>
  <c r="Z267" i="209"/>
  <c r="Z236" i="209"/>
  <c r="Z215" i="209"/>
  <c r="Z205" i="209"/>
  <c r="Z174" i="209"/>
  <c r="Z165" i="209"/>
  <c r="Z141" i="209"/>
  <c r="Z117" i="209"/>
  <c r="Z93" i="209"/>
  <c r="Z69" i="209"/>
  <c r="Z45" i="209"/>
  <c r="Z39" i="209"/>
  <c r="Z33" i="209"/>
  <c r="Z27" i="209"/>
  <c r="Z21" i="209"/>
  <c r="Z15" i="209"/>
  <c r="Z297" i="209"/>
  <c r="Z266" i="209"/>
  <c r="Z203" i="209"/>
  <c r="Z193" i="209"/>
  <c r="Z44" i="209"/>
  <c r="Z38" i="209"/>
  <c r="Z32" i="209"/>
  <c r="Z26" i="209"/>
  <c r="Z20" i="209"/>
  <c r="Z9" i="209"/>
  <c r="Z265" i="209"/>
  <c r="Z234" i="209"/>
  <c r="Z213" i="209"/>
  <c r="Z182" i="209"/>
  <c r="Z172" i="209"/>
  <c r="Z163" i="209"/>
  <c r="Z155" i="209"/>
  <c r="Z139" i="209"/>
  <c r="Z131" i="209"/>
  <c r="Z115" i="209"/>
  <c r="Z107" i="209"/>
  <c r="Z91" i="209"/>
  <c r="Z83" i="209"/>
  <c r="Z67" i="209"/>
  <c r="Z59" i="209"/>
  <c r="Z14" i="209"/>
  <c r="Z262" i="209"/>
  <c r="Z3" i="209"/>
  <c r="Z161" i="209"/>
  <c r="Z137" i="209"/>
  <c r="Z121" i="209"/>
  <c r="Z65" i="209"/>
  <c r="Z49" i="209"/>
  <c r="Z8" i="209"/>
  <c r="Z12" i="209"/>
  <c r="Z221" i="209"/>
  <c r="Z211" i="209"/>
  <c r="Z180" i="209"/>
  <c r="Z170" i="209"/>
  <c r="Z200" i="209"/>
  <c r="Z145" i="209"/>
  <c r="Z113" i="209"/>
  <c r="Z97" i="209"/>
  <c r="Z73" i="209"/>
  <c r="Z277" i="209"/>
  <c r="Z246" i="209"/>
  <c r="Z231" i="209"/>
  <c r="Z190" i="209"/>
  <c r="Z89" i="209"/>
  <c r="Z292" i="209"/>
  <c r="Z261" i="209"/>
  <c r="Z210" i="209"/>
  <c r="Z179" i="209"/>
  <c r="Z153" i="209"/>
  <c r="Z129" i="209"/>
  <c r="Z105" i="209"/>
  <c r="Z81" i="209"/>
  <c r="Z57" i="209"/>
  <c r="Z42" i="209"/>
  <c r="Z36" i="209"/>
  <c r="Z30" i="209"/>
  <c r="Z24" i="209"/>
  <c r="Z18" i="209"/>
  <c r="Z275" i="209"/>
  <c r="Z230" i="209"/>
  <c r="Z220" i="209"/>
  <c r="Z189" i="209"/>
  <c r="Z169" i="209"/>
  <c r="Z2" i="209"/>
  <c r="Z272" i="209"/>
  <c r="Z229" i="209"/>
  <c r="Z198" i="209"/>
  <c r="Z168" i="209"/>
  <c r="Z41" i="209"/>
  <c r="Z35" i="209"/>
  <c r="Z29" i="209"/>
  <c r="Z23" i="209"/>
  <c r="Z17" i="209"/>
  <c r="Z79" i="209"/>
  <c r="Z47" i="209"/>
  <c r="Z6" i="209"/>
  <c r="Z256" i="209"/>
  <c r="AA199" i="206"/>
  <c r="AA196" i="206"/>
  <c r="AA193" i="206"/>
  <c r="AA190" i="206"/>
  <c r="AA187" i="206"/>
  <c r="AA184" i="206"/>
  <c r="AA181" i="206"/>
  <c r="AA178" i="206"/>
  <c r="AA175" i="206"/>
  <c r="AA172" i="206"/>
  <c r="AA169" i="206"/>
  <c r="AA166" i="206"/>
  <c r="AA163" i="206"/>
  <c r="AA160" i="206"/>
  <c r="AA157" i="206"/>
  <c r="AA154" i="206"/>
  <c r="AA151" i="206"/>
  <c r="AA148" i="206"/>
  <c r="AA145" i="206"/>
  <c r="AA142" i="206"/>
  <c r="AA139" i="206"/>
  <c r="AA136" i="206"/>
  <c r="AA133" i="206"/>
  <c r="AA130" i="206"/>
  <c r="AA127" i="206"/>
  <c r="AA124" i="206"/>
  <c r="AA121" i="206"/>
  <c r="AA118" i="206"/>
  <c r="AA115" i="206"/>
  <c r="AA112" i="206"/>
  <c r="AA109" i="206"/>
  <c r="AA106" i="206"/>
  <c r="AA103" i="206"/>
  <c r="AA100" i="206"/>
  <c r="AA97" i="206"/>
  <c r="AA94" i="206"/>
  <c r="AA91" i="206"/>
  <c r="AA88" i="206"/>
  <c r="AA85" i="206"/>
  <c r="AA82" i="206"/>
  <c r="AA79" i="206"/>
  <c r="AA76" i="206"/>
  <c r="AA73" i="206"/>
  <c r="AA70" i="206"/>
  <c r="AA67" i="206"/>
  <c r="AA64" i="206"/>
  <c r="AA61" i="206"/>
  <c r="AA58" i="206"/>
  <c r="AA55" i="206"/>
  <c r="AA52" i="206"/>
  <c r="AA49" i="206"/>
  <c r="AA46" i="206"/>
  <c r="AA43" i="206"/>
  <c r="AA40" i="206"/>
  <c r="AA37" i="206"/>
  <c r="AA34" i="206"/>
  <c r="AA31" i="206"/>
  <c r="AA28" i="206"/>
  <c r="AA25" i="206"/>
  <c r="AA22" i="206"/>
  <c r="AA19" i="206"/>
  <c r="AA16" i="206"/>
  <c r="AA13" i="206"/>
  <c r="AA10" i="206"/>
  <c r="AA7" i="206"/>
  <c r="AA4" i="206"/>
  <c r="AA1" i="206"/>
  <c r="AA198" i="206"/>
  <c r="AA195" i="206"/>
  <c r="AA192" i="206"/>
  <c r="AA189" i="206"/>
  <c r="AA186" i="206"/>
  <c r="AA183" i="206"/>
  <c r="AA180" i="206"/>
  <c r="AA177" i="206"/>
  <c r="AA174" i="206"/>
  <c r="AA171" i="206"/>
  <c r="AA168" i="206"/>
  <c r="AA165" i="206"/>
  <c r="AA162" i="206"/>
  <c r="AA159" i="206"/>
  <c r="AA156" i="206"/>
  <c r="AA153" i="206"/>
  <c r="AA150" i="206"/>
  <c r="AA147" i="206"/>
  <c r="AA144" i="206"/>
  <c r="AA141" i="206"/>
  <c r="AA138" i="206"/>
  <c r="AA135" i="206"/>
  <c r="AA132" i="206"/>
  <c r="AA129" i="206"/>
  <c r="AA126" i="206"/>
  <c r="AA197" i="206"/>
  <c r="AA179" i="206"/>
  <c r="AA161" i="206"/>
  <c r="AA114" i="206"/>
  <c r="AA92" i="206"/>
  <c r="AA78" i="206"/>
  <c r="AA113" i="206"/>
  <c r="AA99" i="206"/>
  <c r="AA77" i="206"/>
  <c r="AA15" i="206"/>
  <c r="AA146" i="206"/>
  <c r="AA137" i="206"/>
  <c r="AA128" i="206"/>
  <c r="AA5" i="206"/>
  <c r="AA21" i="206"/>
  <c r="AA17" i="206"/>
  <c r="AA194" i="206"/>
  <c r="AA176" i="206"/>
  <c r="AA158" i="206"/>
  <c r="AA120" i="206"/>
  <c r="AA98" i="206"/>
  <c r="AA84" i="206"/>
  <c r="AA29" i="206"/>
  <c r="AA119" i="206"/>
  <c r="AA105" i="206"/>
  <c r="AA83" i="206"/>
  <c r="AA69" i="206"/>
  <c r="AA63" i="206"/>
  <c r="AA57" i="206"/>
  <c r="AA51" i="206"/>
  <c r="AA45" i="206"/>
  <c r="AA39" i="206"/>
  <c r="AA33" i="206"/>
  <c r="AA27" i="206"/>
  <c r="AA2" i="206"/>
  <c r="AA191" i="206"/>
  <c r="AA173" i="206"/>
  <c r="AA155" i="206"/>
  <c r="AA104" i="206"/>
  <c r="AA90" i="206"/>
  <c r="AA68" i="206"/>
  <c r="AA62" i="206"/>
  <c r="AA56" i="206"/>
  <c r="AA50" i="206"/>
  <c r="AA44" i="206"/>
  <c r="AA38" i="206"/>
  <c r="AA32" i="206"/>
  <c r="AA26" i="206"/>
  <c r="AA20" i="206"/>
  <c r="AA14" i="206"/>
  <c r="AA9" i="206"/>
  <c r="AA143" i="206"/>
  <c r="AA134" i="206"/>
  <c r="AA125" i="206"/>
  <c r="AA111" i="206"/>
  <c r="AA89" i="206"/>
  <c r="AA75" i="206"/>
  <c r="AA11" i="206"/>
  <c r="AA188" i="206"/>
  <c r="AA170" i="206"/>
  <c r="AA110" i="206"/>
  <c r="AA96" i="206"/>
  <c r="AA74" i="206"/>
  <c r="AA8" i="206"/>
  <c r="AA3" i="206"/>
  <c r="AA152" i="206"/>
  <c r="AA117" i="206"/>
  <c r="AA95" i="206"/>
  <c r="AA81" i="206"/>
  <c r="AA185" i="206"/>
  <c r="AA167" i="206"/>
  <c r="AA116" i="206"/>
  <c r="AA102" i="206"/>
  <c r="AA80" i="206"/>
  <c r="AA140" i="206"/>
  <c r="AA131" i="206"/>
  <c r="AA123" i="206"/>
  <c r="AA101" i="206"/>
  <c r="AA87" i="206"/>
  <c r="AA66" i="206"/>
  <c r="AA60" i="206"/>
  <c r="AA54" i="206"/>
  <c r="AA48" i="206"/>
  <c r="AA42" i="206"/>
  <c r="AA36" i="206"/>
  <c r="AA30" i="206"/>
  <c r="AA24" i="206"/>
  <c r="AA18" i="206"/>
  <c r="AA12" i="206"/>
  <c r="AA59" i="206"/>
  <c r="AA200" i="206"/>
  <c r="AA182" i="206"/>
  <c r="AA164" i="206"/>
  <c r="AA149" i="206"/>
  <c r="AA122" i="206"/>
  <c r="AA108" i="206"/>
  <c r="AA86" i="206"/>
  <c r="AA72" i="206"/>
  <c r="AA65" i="206"/>
  <c r="AA53" i="206"/>
  <c r="AA47" i="206"/>
  <c r="AA41" i="206"/>
  <c r="AA35" i="206"/>
  <c r="AA23" i="206"/>
  <c r="AA107" i="206"/>
  <c r="AA93" i="206"/>
  <c r="AA71" i="206"/>
  <c r="AA6" i="206"/>
  <c r="Z175" i="206"/>
  <c r="Z160" i="206"/>
  <c r="Z154" i="206"/>
  <c r="Z145" i="206"/>
  <c r="Z139" i="206"/>
  <c r="Z133" i="206"/>
  <c r="Z127" i="206"/>
  <c r="Z124" i="206"/>
  <c r="Z118" i="206"/>
  <c r="Z112" i="206"/>
  <c r="Z103" i="206"/>
  <c r="Z97" i="206"/>
  <c r="Z94" i="206"/>
  <c r="Z88" i="206"/>
  <c r="Z82" i="206"/>
  <c r="Z76" i="206"/>
  <c r="Z73" i="206"/>
  <c r="Z199" i="206"/>
  <c r="Z196" i="206"/>
  <c r="Z193" i="206"/>
  <c r="Z190" i="206"/>
  <c r="Z187" i="206"/>
  <c r="Z184" i="206"/>
  <c r="Z181" i="206"/>
  <c r="Z178" i="206"/>
  <c r="Z172" i="206"/>
  <c r="Z169" i="206"/>
  <c r="Z166" i="206"/>
  <c r="Z163" i="206"/>
  <c r="Z157" i="206"/>
  <c r="Z151" i="206"/>
  <c r="Z148" i="206"/>
  <c r="Z142" i="206"/>
  <c r="Z136" i="206"/>
  <c r="Z130" i="206"/>
  <c r="Z121" i="206"/>
  <c r="Z115" i="206"/>
  <c r="Z109" i="206"/>
  <c r="Z106" i="206"/>
  <c r="Z100" i="206"/>
  <c r="Z91" i="206"/>
  <c r="Z85" i="206"/>
  <c r="Z79" i="206"/>
  <c r="Z70" i="206"/>
  <c r="Z198" i="206"/>
  <c r="Z195" i="206"/>
  <c r="Z192" i="206"/>
  <c r="Z189" i="206"/>
  <c r="Z186" i="206"/>
  <c r="Z183" i="206"/>
  <c r="Z180" i="206"/>
  <c r="Z177" i="206"/>
  <c r="Z174" i="206"/>
  <c r="Z171" i="206"/>
  <c r="Z168" i="206"/>
  <c r="Z165" i="206"/>
  <c r="Z162" i="206"/>
  <c r="Z159" i="206"/>
  <c r="Z156" i="206"/>
  <c r="Z153" i="206"/>
  <c r="Z150" i="206"/>
  <c r="Z147" i="206"/>
  <c r="Z144" i="206"/>
  <c r="Z141" i="206"/>
  <c r="Z138" i="206"/>
  <c r="Z135" i="206"/>
  <c r="Z132" i="206"/>
  <c r="Z129" i="206"/>
  <c r="Z126" i="206"/>
  <c r="Z123" i="206"/>
  <c r="Z120" i="206"/>
  <c r="Z117" i="206"/>
  <c r="Z114" i="206"/>
  <c r="Z111" i="206"/>
  <c r="Z108" i="206"/>
  <c r="Z105" i="206"/>
  <c r="Z102" i="206"/>
  <c r="Z99" i="206"/>
  <c r="Z96" i="206"/>
  <c r="Z93" i="206"/>
  <c r="Z90" i="206"/>
  <c r="Z87" i="206"/>
  <c r="Z84" i="206"/>
  <c r="Z81" i="206"/>
  <c r="Z78" i="206"/>
  <c r="Z75" i="206"/>
  <c r="Z72" i="206"/>
  <c r="Z69" i="206"/>
  <c r="Z66" i="206"/>
  <c r="Z63" i="206"/>
  <c r="Z60" i="206"/>
  <c r="Z57" i="206"/>
  <c r="Z54" i="206"/>
  <c r="Z51" i="206"/>
  <c r="Z48" i="206"/>
  <c r="Z45" i="206"/>
  <c r="Z42" i="206"/>
  <c r="Z39" i="206"/>
  <c r="Z36" i="206"/>
  <c r="Z33" i="206"/>
  <c r="Z30" i="206"/>
  <c r="Z27" i="206"/>
  <c r="Z24" i="206"/>
  <c r="Z21" i="206"/>
  <c r="Z18" i="206"/>
  <c r="Z15" i="206"/>
  <c r="Z12" i="206"/>
  <c r="Z9" i="206"/>
  <c r="Z6" i="206"/>
  <c r="Z3" i="206"/>
  <c r="Z107" i="206"/>
  <c r="Z71" i="206"/>
  <c r="Z11" i="206"/>
  <c r="Z64" i="206"/>
  <c r="Z58" i="206"/>
  <c r="Z52" i="206"/>
  <c r="Z46" i="206"/>
  <c r="Z40" i="206"/>
  <c r="Z34" i="206"/>
  <c r="Z22" i="206"/>
  <c r="Z16" i="206"/>
  <c r="Z5" i="206"/>
  <c r="Z197" i="206"/>
  <c r="Z179" i="206"/>
  <c r="Z161" i="206"/>
  <c r="Z92" i="206"/>
  <c r="Z28" i="206"/>
  <c r="Z4" i="206"/>
  <c r="Z146" i="206"/>
  <c r="Z137" i="206"/>
  <c r="Z128" i="206"/>
  <c r="Z113" i="206"/>
  <c r="Z77" i="206"/>
  <c r="Z10" i="206"/>
  <c r="Z194" i="206"/>
  <c r="Z176" i="206"/>
  <c r="Z158" i="206"/>
  <c r="Z98" i="206"/>
  <c r="Z119" i="206"/>
  <c r="Z83" i="206"/>
  <c r="Z191" i="206"/>
  <c r="Z173" i="206"/>
  <c r="Z155" i="206"/>
  <c r="Z104" i="206"/>
  <c r="Z68" i="206"/>
  <c r="Z62" i="206"/>
  <c r="Z56" i="206"/>
  <c r="Z50" i="206"/>
  <c r="Z44" i="206"/>
  <c r="Z38" i="206"/>
  <c r="Z32" i="206"/>
  <c r="Z26" i="206"/>
  <c r="Z20" i="206"/>
  <c r="Z14" i="206"/>
  <c r="Z143" i="206"/>
  <c r="Z134" i="206"/>
  <c r="Z125" i="206"/>
  <c r="Z89" i="206"/>
  <c r="Z188" i="206"/>
  <c r="Z170" i="206"/>
  <c r="Z110" i="206"/>
  <c r="Z74" i="206"/>
  <c r="Z67" i="206"/>
  <c r="Z61" i="206"/>
  <c r="Z55" i="206"/>
  <c r="Z49" i="206"/>
  <c r="Z43" i="206"/>
  <c r="Z37" i="206"/>
  <c r="Z31" i="206"/>
  <c r="Z25" i="206"/>
  <c r="Z19" i="206"/>
  <c r="Z13" i="206"/>
  <c r="Z8" i="206"/>
  <c r="Z152" i="206"/>
  <c r="Z95" i="206"/>
  <c r="Z185" i="206"/>
  <c r="Z167" i="206"/>
  <c r="Z116" i="206"/>
  <c r="Z80" i="206"/>
  <c r="Z7" i="206"/>
  <c r="Z2" i="206"/>
  <c r="Z140" i="206"/>
  <c r="Z131" i="206"/>
  <c r="Z101" i="206"/>
  <c r="Z200" i="206"/>
  <c r="Z182" i="206"/>
  <c r="Z164" i="206"/>
  <c r="Z149" i="206"/>
  <c r="Z122" i="206"/>
  <c r="Z86" i="206"/>
  <c r="Z65" i="206"/>
  <c r="Z59" i="206"/>
  <c r="Z53" i="206"/>
  <c r="Z47" i="206"/>
  <c r="Z41" i="206"/>
  <c r="Z35" i="206"/>
  <c r="Z29" i="206"/>
  <c r="Z23" i="206"/>
  <c r="Z17" i="206"/>
  <c r="Z1" i="206"/>
</calcChain>
</file>

<file path=xl/sharedStrings.xml><?xml version="1.0" encoding="utf-8"?>
<sst xmlns="http://schemas.openxmlformats.org/spreadsheetml/2006/main" count="4803" uniqueCount="222">
  <si>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</si>
  <si>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</si>
  <si>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</si>
  <si>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</si>
  <si>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</si>
  <si>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</si>
  <si>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</si>
  <si>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</si>
  <si>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</si>
  <si>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</si>
  <si>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</si>
  <si>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</si>
  <si>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</si>
  <si>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</si>
  <si>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</si>
  <si>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</si>
  <si>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</si>
  <si>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</si>
  <si>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</si>
  <si>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</si>
  <si>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</si>
  <si>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</si>
  <si>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</si>
  <si>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</si>
  <si>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</si>
  <si>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</si>
  <si>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</si>
  <si>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</si>
  <si>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</si>
  <si>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</si>
  <si>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</si>
  <si>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</si>
  <si>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</si>
  <si>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</si>
  <si>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</si>
  <si>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</si>
  <si>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</si>
  <si>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</si>
  <si>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</si>
  <si>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</si>
  <si>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</si>
  <si>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</si>
  <si>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</si>
  <si>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</si>
  <si>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</si>
  <si>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</si>
  <si>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</si>
  <si>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</si>
  <si>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</si>
  <si>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</si>
  <si>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</si>
  <si>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</si>
  <si>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</si>
  <si>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</si>
  <si>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</si>
  <si>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</si>
  <si>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</si>
  <si>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</si>
  <si>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</si>
  <si>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</si>
  <si>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</si>
  <si>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</si>
  <si>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</si>
  <si>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</si>
  <si>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</si>
  <si>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</si>
  <si>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</si>
  <si>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</si>
  <si>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</si>
  <si>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</si>
  <si>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</si>
  <si>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</si>
  <si>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</si>
  <si>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</si>
  <si>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</si>
  <si>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</si>
  <si>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</si>
  <si>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</si>
  <si>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</si>
  <si>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</si>
  <si>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</si>
  <si>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</si>
  <si>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</si>
  <si>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</si>
  <si>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</si>
  <si>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</si>
  <si>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</si>
  <si>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</si>
  <si>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</si>
  <si>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</si>
  <si>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</si>
  <si>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</si>
  <si>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</si>
  <si>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</si>
  <si>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</si>
  <si>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</si>
  <si>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</si>
  <si>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</si>
  <si>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</si>
  <si>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</si>
  <si>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</si>
  <si>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</si>
  <si>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</si>
  <si>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</si>
  <si>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</si>
  <si>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</si>
  <si>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</si>
  <si>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</si>
  <si>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</si>
  <si>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</si>
  <si>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</si>
  <si>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</si>
  <si>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</si>
  <si>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</si>
  <si>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</si>
  <si>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</si>
  <si>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</si>
  <si>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</si>
  <si>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</si>
  <si>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</si>
  <si>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</si>
  <si>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</si>
  <si>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</si>
  <si>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</si>
  <si>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</si>
  <si>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</si>
  <si>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</si>
  <si>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</si>
  <si>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</si>
  <si>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</si>
  <si>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</si>
  <si>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</si>
  <si>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</si>
  <si>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</si>
  <si>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</si>
  <si>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</si>
  <si>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</si>
  <si>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</si>
  <si>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</si>
  <si>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</si>
  <si>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</si>
  <si>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</si>
  <si>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</si>
  <si>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</si>
  <si>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</si>
  <si>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</si>
  <si>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</si>
  <si>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</si>
  <si>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</si>
  <si>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</si>
  <si>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</si>
  <si>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</si>
  <si>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</si>
  <si>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</si>
  <si>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</si>
  <si>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</si>
  <si>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</si>
  <si>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</si>
  <si>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</si>
  <si>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</si>
  <si>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</si>
  <si>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</si>
  <si>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</si>
  <si>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</si>
  <si>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</si>
  <si>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</si>
  <si>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</si>
  <si>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</si>
  <si>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 xml:space="preserve">Cree et propose par William LANSARD 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</si>
  <si>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</si>
  <si>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</si>
  <si>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</si>
  <si>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</si>
  <si>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</si>
  <si>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</si>
  <si>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</si>
  <si>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</si>
  <si>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</si>
  <si>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</si>
  <si>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</si>
  <si>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</si>
  <si>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</si>
  <si>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</si>
  <si>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</si>
  <si>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</si>
  <si>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A</t>
  </si>
  <si>
    <t>B</t>
  </si>
  <si>
    <t>C</t>
  </si>
  <si>
    <t>7C</t>
  </si>
  <si>
    <t>PROCHAIN MATCH</t>
  </si>
  <si>
    <t>SE PREPARENT</t>
  </si>
  <si>
    <t>Lettre</t>
  </si>
  <si>
    <t>Equipe</t>
  </si>
  <si>
    <t>Gagnes</t>
  </si>
  <si>
    <t>Perdus</t>
  </si>
  <si>
    <t>Set Gagnes</t>
  </si>
  <si>
    <t>Marques</t>
  </si>
  <si>
    <t>Encaisses</t>
  </si>
  <si>
    <t>Difference</t>
  </si>
  <si>
    <t>Confrontation Directe</t>
  </si>
  <si>
    <t>Ordre Inscrip</t>
  </si>
  <si>
    <t>Ordre Ph</t>
  </si>
  <si>
    <t>TABLEAU PRINCIPAL 1</t>
  </si>
  <si>
    <t>TERRAIN 1</t>
  </si>
  <si>
    <t>TERRAIN 2</t>
  </si>
  <si>
    <t>TERRAIN 3</t>
  </si>
  <si>
    <t>TERRAIN 4</t>
  </si>
  <si>
    <t>CONSOLANTE 1</t>
  </si>
  <si>
    <t>CONSOLANTE 2</t>
  </si>
  <si>
    <t>Place 1 et 2</t>
  </si>
  <si>
    <t>Place 3 et 4</t>
  </si>
  <si>
    <t>Place 5 et 6</t>
  </si>
  <si>
    <t>Place 7 et 8</t>
  </si>
  <si>
    <t>Place 9 et 10</t>
  </si>
  <si>
    <t>Place 11 et 12</t>
  </si>
  <si>
    <t>Place 13 et 14</t>
  </si>
  <si>
    <t>Place 15 et 16</t>
  </si>
  <si>
    <t>Place 17 et 18</t>
  </si>
  <si>
    <t>Place 19 et 20</t>
  </si>
  <si>
    <t>Place 21 et 22</t>
  </si>
  <si>
    <t>CLASSEMENT FINAL</t>
  </si>
  <si>
    <t>Version 3.62.1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</si>
</sst>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  <font>
      <sz val="11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2"/>
      <color rgb="FFFFFFFF"/>
      <name val="Calibri"/>
      <family val="2"/>
      <scheme val="minor"/>
    </font>
    <font>
      <sz val="15"/>
      <color indexed="8"/>
      <name val="Calibri"/>
      <family val="2"/>
      <scheme val="minor"/>
    </font>
    <font>
      <sz val="21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2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0" fillId="13" borderId="0" xfId="0" applyFill="1"/>
    <xf numFmtId="0" fontId="23" fillId="14" borderId="72" xfId="0" applyFont="1" applyFill="1" applyBorder="1" applyAlignment="1" applyProtection="1">
      <alignment horizontal="center" vertical="center"/>
      <protection locked="0"/>
    </xf>
    <xf numFmtId="0" fontId="23" fillId="14" borderId="73" xfId="0" applyFont="1" applyFill="1" applyBorder="1" applyAlignment="1" applyProtection="1">
      <alignment horizontal="center" vertical="center"/>
      <protection locked="0"/>
    </xf>
    <xf numFmtId="0" fontId="23" fillId="14" borderId="74" xfId="0" applyFont="1" applyFill="1" applyBorder="1" applyAlignment="1" applyProtection="1">
      <alignment horizontal="center" vertical="center"/>
      <protection locked="0"/>
    </xf>
    <xf numFmtId="0" fontId="23" fillId="15" borderId="72" xfId="0" applyFont="1" applyFill="1" applyBorder="1" applyAlignment="1" applyProtection="1">
      <alignment horizontal="center" vertical="center"/>
      <protection locked="0"/>
    </xf>
    <xf numFmtId="0" fontId="23" fillId="15" borderId="73" xfId="0" applyFont="1" applyFill="1" applyBorder="1" applyAlignment="1" applyProtection="1">
      <alignment horizontal="center" vertical="center"/>
      <protection locked="0"/>
    </xf>
    <xf numFmtId="0" fontId="23" fillId="15" borderId="74" xfId="0" applyFont="1" applyFill="1" applyBorder="1" applyAlignment="1" applyProtection="1">
      <alignment horizontal="center" vertical="center"/>
      <protection locked="0"/>
    </xf>
    <xf numFmtId="0" fontId="23" fillId="16" borderId="72" xfId="0" applyFont="1" applyFill="1" applyBorder="1" applyAlignment="1" applyProtection="1">
      <alignment horizontal="center" vertical="center"/>
      <protection locked="0"/>
    </xf>
    <xf numFmtId="0" fontId="23" fillId="16" borderId="73" xfId="0" applyFont="1" applyFill="1" applyBorder="1" applyAlignment="1" applyProtection="1">
      <alignment horizontal="center" vertical="center"/>
      <protection locked="0"/>
    </xf>
    <xf numFmtId="0" fontId="23" fillId="16" borderId="74" xfId="0" applyFont="1" applyFill="1" applyBorder="1" applyAlignment="1" applyProtection="1">
      <alignment horizontal="center" vertical="center"/>
      <protection locked="0"/>
    </xf>
    <xf numFmtId="0" fontId="26" fillId="17" borderId="0" xfId="0" applyFont="1" applyFill="1" applyAlignment="1">
      <alignment horizontal="center" vertical="center"/>
    </xf>
    <xf numFmtId="20" fontId="26" fillId="17" borderId="0" xfId="0" applyNumberFormat="1" applyFont="1" applyFill="1" applyAlignment="1">
      <alignment horizontal="center" vertical="center"/>
    </xf>
    <xf numFmtId="0" fontId="26" fillId="17" borderId="35" xfId="0" applyFont="1" applyFill="1" applyBorder="1" applyAlignment="1">
      <alignment horizontal="center" vertical="center"/>
    </xf>
    <xf numFmtId="0" fontId="21" fillId="14" borderId="37" xfId="0" applyFont="1" applyFill="1" applyBorder="1" applyAlignment="1">
      <alignment horizontal="center" vertical="center"/>
    </xf>
    <xf numFmtId="0" fontId="21" fillId="15" borderId="37" xfId="0" applyFont="1" applyFill="1" applyBorder="1" applyAlignment="1">
      <alignment horizontal="center" vertical="center"/>
    </xf>
    <xf numFmtId="0" fontId="21" fillId="16" borderId="37" xfId="0" applyFont="1" applyFill="1" applyBorder="1" applyAlignment="1">
      <alignment horizontal="center" vertical="center"/>
    </xf>
    <xf numFmtId="0" fontId="26" fillId="17" borderId="0" xfId="0" applyFont="1" applyFill="1" applyAlignment="1" applyProtection="1">
      <alignment horizontal="center" vertical="center"/>
      <protection locked="0"/>
    </xf>
    <xf numFmtId="0" fontId="15" fillId="0" borderId="36" xfId="0" applyFont="1" applyBorder="1" applyAlignment="1" applyProtection="1">
      <alignment horizontal="center" vertical="center"/>
      <protection locked="0"/>
    </xf>
    <xf numFmtId="0" fontId="0" fillId="13" borderId="0" xfId="0" applyFill="1" applyProtection="1">
      <protection locked="0"/>
    </xf>
    <xf numFmtId="0" fontId="27" fillId="18" borderId="75" xfId="0" applyFont="1" applyFill="1" applyBorder="1" applyAlignment="1">
      <alignment horizontal="center" vertical="center"/>
    </xf>
    <xf numFmtId="0" fontId="28" fillId="18" borderId="75" xfId="0" applyFont="1" applyFill="1" applyBorder="1" applyAlignment="1">
      <alignment horizontal="center" vertical="center" wrapText="1"/>
    </xf>
    <xf numFmtId="0" fontId="23" fillId="14" borderId="37" xfId="0" applyFont="1" applyFill="1" applyBorder="1" applyAlignment="1" applyProtection="1">
      <alignment horizontal="center" vertical="center"/>
      <protection locked="0"/>
    </xf>
    <xf numFmtId="0" fontId="23" fillId="15" borderId="37" xfId="0" applyFont="1" applyFill="1" applyBorder="1" applyAlignment="1" applyProtection="1">
      <alignment horizontal="center" vertical="center"/>
      <protection locked="0"/>
    </xf>
    <xf numFmtId="0" fontId="23" fillId="16" borderId="37" xfId="0" applyFont="1" applyFill="1" applyBorder="1" applyAlignment="1" applyProtection="1">
      <alignment horizontal="center" vertical="center"/>
      <protection locked="0"/>
    </xf>
    <xf numFmtId="1" fontId="0" fillId="13" borderId="0" xfId="0" applyNumberFormat="1" applyFill="1"/>
    <xf numFmtId="1" fontId="27" fillId="18" borderId="75" xfId="0" applyNumberFormat="1" applyFont="1" applyFill="1" applyBorder="1" applyAlignment="1">
      <alignment horizontal="center" vertical="center"/>
    </xf>
    <xf numFmtId="1" fontId="23" fillId="14" borderId="37" xfId="0" applyNumberFormat="1" applyFont="1" applyFill="1" applyBorder="1" applyAlignment="1" applyProtection="1">
      <alignment horizontal="center" vertical="center"/>
      <protection locked="0"/>
    </xf>
    <xf numFmtId="1" fontId="23" fillId="15" borderId="37" xfId="0" applyNumberFormat="1" applyFont="1" applyFill="1" applyBorder="1" applyAlignment="1" applyProtection="1">
      <alignment horizontal="center" vertical="center"/>
      <protection locked="0"/>
    </xf>
    <xf numFmtId="1" fontId="23" fillId="16" borderId="37" xfId="0" applyNumberFormat="1" applyFont="1" applyFill="1" applyBorder="1" applyAlignment="1" applyProtection="1">
      <alignment horizontal="center" vertical="center"/>
      <protection locked="0"/>
    </xf>
    <xf numFmtId="0" fontId="26" fillId="13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5" fillId="18" borderId="4" xfId="0" applyFont="1" applyFill="1" applyBorder="1" applyAlignment="1">
      <alignment horizontal="center" vertical="center"/>
    </xf>
    <xf numFmtId="0" fontId="15" fillId="18" borderId="10" xfId="0" applyFont="1" applyFill="1" applyBorder="1" applyAlignment="1">
      <alignment horizontal="center" vertical="center"/>
    </xf>
    <xf numFmtId="0" fontId="15" fillId="18" borderId="11" xfId="0" applyFont="1" applyFill="1" applyBorder="1" applyAlignment="1">
      <alignment horizontal="center" vertical="center"/>
    </xf>
    <xf numFmtId="0" fontId="26" fillId="13" borderId="0" xfId="0" applyFont="1" applyFill="1" applyAlignment="1" applyProtection="1">
      <alignment horizontal="center" vertical="center"/>
      <protection locked="0"/>
    </xf>
    <xf numFmtId="0" fontId="15" fillId="18" borderId="3" xfId="0" applyFont="1" applyFill="1" applyBorder="1" applyAlignment="1" applyProtection="1">
      <alignment horizontal="center" vertical="center"/>
      <protection locked="0"/>
    </xf>
    <xf numFmtId="0" fontId="15" fillId="18" borderId="10" xfId="0" applyFont="1" applyFill="1" applyBorder="1" applyAlignment="1" applyProtection="1">
      <alignment horizontal="center" vertical="center"/>
      <protection locked="0"/>
    </xf>
    <xf numFmtId="0" fontId="15" fillId="18" borderId="4" xfId="0" applyFont="1" applyFill="1" applyBorder="1" applyAlignment="1" applyProtection="1">
      <alignment horizontal="center" vertical="center"/>
      <protection locked="0"/>
    </xf>
    <xf numFmtId="0" fontId="15" fillId="18" borderId="11" xfId="0" applyFont="1" applyFill="1" applyBorder="1" applyAlignment="1" applyProtection="1">
      <alignment horizontal="center" vertical="center"/>
      <protection locked="0"/>
    </xf>
    <xf numFmtId="0" fontId="15" fillId="18" borderId="6" xfId="0" applyFont="1" applyFill="1" applyBorder="1" applyAlignment="1">
      <alignment horizontal="center" vertical="center"/>
    </xf>
    <xf numFmtId="0" fontId="15" fillId="18" borderId="7" xfId="0" applyFont="1" applyFill="1" applyBorder="1" applyAlignment="1">
      <alignment horizontal="center" vertical="center"/>
    </xf>
    <xf numFmtId="0" fontId="26" fillId="12" borderId="0" xfId="0" applyFont="1" applyFill="1" applyAlignment="1">
      <alignment horizontal="center" vertical="center"/>
    </xf>
    <xf numFmtId="0" fontId="26" fillId="12" borderId="76" xfId="0" applyFont="1" applyFill="1" applyBorder="1" applyAlignment="1">
      <alignment horizontal="center" vertical="center"/>
    </xf>
    <xf numFmtId="0" fontId="26" fillId="12" borderId="79" xfId="0" applyFont="1" applyFill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22" fillId="14" borderId="69" xfId="0" applyFont="1" applyFill="1" applyBorder="1" applyAlignment="1">
      <alignment horizontal="center" vertical="center"/>
    </xf>
    <xf numFmtId="0" fontId="22" fillId="14" borderId="70" xfId="0" applyFont="1" applyFill="1" applyBorder="1" applyAlignment="1">
      <alignment horizontal="center" vertical="center"/>
    </xf>
    <xf numFmtId="0" fontId="22" fillId="14" borderId="71" xfId="0" applyFont="1" applyFill="1" applyBorder="1" applyAlignment="1">
      <alignment horizontal="center" vertical="center"/>
    </xf>
    <xf numFmtId="0" fontId="22" fillId="15" borderId="69" xfId="0" applyFont="1" applyFill="1" applyBorder="1" applyAlignment="1">
      <alignment horizontal="center" vertical="center"/>
    </xf>
    <xf numFmtId="0" fontId="22" fillId="15" borderId="70" xfId="0" applyFont="1" applyFill="1" applyBorder="1" applyAlignment="1">
      <alignment horizontal="center" vertical="center"/>
    </xf>
    <xf numFmtId="0" fontId="22" fillId="15" borderId="71" xfId="0" applyFont="1" applyFill="1" applyBorder="1" applyAlignment="1">
      <alignment horizontal="center" vertical="center"/>
    </xf>
    <xf numFmtId="0" fontId="22" fillId="16" borderId="69" xfId="0" applyFont="1" applyFill="1" applyBorder="1" applyAlignment="1">
      <alignment horizontal="center" vertical="center"/>
    </xf>
    <xf numFmtId="0" fontId="22" fillId="16" borderId="70" xfId="0" applyFont="1" applyFill="1" applyBorder="1" applyAlignment="1">
      <alignment horizontal="center" vertical="center"/>
    </xf>
    <xf numFmtId="0" fontId="22" fillId="16" borderId="71" xfId="0" applyFont="1" applyFill="1" applyBorder="1" applyAlignment="1">
      <alignment horizontal="center" vertical="center"/>
    </xf>
    <xf numFmtId="0" fontId="24" fillId="17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2" fillId="14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6" borderId="0" xfId="0" applyFont="1" applyFill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0" fillId="12" borderId="76" xfId="0" applyFont="1" applyFill="1" applyBorder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1" fillId="12" borderId="76" xfId="0" applyFont="1" applyFill="1" applyBorder="1" applyAlignment="1">
      <alignment horizontal="center" vertical="center"/>
    </xf>
    <xf numFmtId="0" fontId="29" fillId="12" borderId="0" xfId="0" applyFont="1" applyFill="1" applyAlignment="1">
      <alignment horizontal="center" vertical="center"/>
    </xf>
    <xf numFmtId="0" fontId="32" fillId="12" borderId="78" xfId="0" applyFont="1" applyFill="1" applyBorder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2" borderId="77" xfId="0" applyFont="1" applyFill="1" applyBorder="1" applyAlignment="1">
      <alignment horizontal="center"/>
    </xf>
    <xf numFmtId="0" fontId="32" fillId="12" borderId="76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414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80897" name="C4PPinscript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9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80</xdr:row>
          <xdr:rowOff>0</xdr:rowOff>
        </xdr:to>
        <xdr:sp macro="" textlink="">
          <xdr:nvSpPr>
            <xdr:cNvPr id="81921" name="MAJHEUREB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A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80</xdr:row>
          <xdr:rowOff>0</xdr:rowOff>
        </xdr:to>
        <xdr:sp macro="" textlink="">
          <xdr:nvSpPr>
            <xdr:cNvPr id="81922" name="C4PPMatch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A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80</xdr:row>
          <xdr:rowOff>0</xdr:rowOff>
        </xdr:to>
        <xdr:sp macro="" textlink="">
          <xdr:nvSpPr>
            <xdr:cNvPr id="81923" name="C4IMPMatch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A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C4IMP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30</xdr:row>
          <xdr:rowOff>0</xdr:rowOff>
        </xdr:to>
        <xdr:sp macro="" textlink="">
          <xdr:nvSpPr>
            <xdr:cNvPr id="82945" name="TRIPOULE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B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82946" name="ValiderOrdrePhaseFinale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B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82947" name="C4PPClassement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B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83969" name="C4PPph14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C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84993" name="MAJHEUREB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D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45</xdr:row>
          <xdr:rowOff>0</xdr:rowOff>
        </xdr:to>
        <xdr:sp macro="" textlink="">
          <xdr:nvSpPr>
            <xdr:cNvPr id="84994" name="C4PPMatchph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0D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45</xdr:row>
          <xdr:rowOff>0</xdr:rowOff>
        </xdr:to>
        <xdr:sp macro="" textlink="">
          <xdr:nvSpPr>
            <xdr:cNvPr id="84995" name="C4IMPMatch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0D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C4IMP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86017" name="C4PPphfinalh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E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41" t="s">
        <v>13</v>
      </c>
      <c r="B1" s="142"/>
      <c r="C1" s="142"/>
      <c r="D1" s="142"/>
      <c r="E1" s="142"/>
      <c r="F1" s="142"/>
      <c r="G1" s="142"/>
      <c r="H1" s="142"/>
      <c r="I1" s="142"/>
      <c r="J1" s="142"/>
      <c r="K1" s="143"/>
    </row>
    <row r="2" spans="1:11" ht="15" customHeight="1" x14ac:dyDescent="0.25">
      <c r="A2" s="144"/>
      <c r="B2" s="145"/>
      <c r="C2" s="145"/>
      <c r="D2" s="145"/>
      <c r="E2" s="145"/>
      <c r="F2" s="145"/>
      <c r="G2" s="145"/>
      <c r="H2" s="145"/>
      <c r="I2" s="145"/>
      <c r="J2" s="145"/>
      <c r="K2" s="146"/>
    </row>
    <row r="3" spans="1:11" ht="15" customHeight="1" x14ac:dyDescent="0.25">
      <c r="A3" s="144"/>
      <c r="B3" s="145"/>
      <c r="C3" s="145"/>
      <c r="D3" s="145"/>
      <c r="E3" s="145"/>
      <c r="F3" s="145"/>
      <c r="G3" s="145"/>
      <c r="H3" s="145"/>
      <c r="I3" s="145"/>
      <c r="J3" s="145"/>
      <c r="K3" s="146"/>
    </row>
    <row r="4" spans="1:11" ht="15" customHeight="1" x14ac:dyDescent="0.25">
      <c r="A4" s="144"/>
      <c r="B4" s="145"/>
      <c r="C4" s="145"/>
      <c r="D4" s="145"/>
      <c r="E4" s="145"/>
      <c r="F4" s="145"/>
      <c r="G4" s="145"/>
      <c r="H4" s="145"/>
      <c r="I4" s="145"/>
      <c r="J4" s="145"/>
      <c r="K4" s="146"/>
    </row>
    <row r="5" spans="1:11" ht="15" customHeight="1" x14ac:dyDescent="0.25">
      <c r="A5" s="144"/>
      <c r="B5" s="145"/>
      <c r="C5" s="145"/>
      <c r="D5" s="145"/>
      <c r="E5" s="145"/>
      <c r="F5" s="145"/>
      <c r="G5" s="145"/>
      <c r="H5" s="145"/>
      <c r="I5" s="145"/>
      <c r="J5" s="145"/>
      <c r="K5" s="146"/>
    </row>
    <row r="6" spans="1:11" ht="15" customHeight="1" x14ac:dyDescent="0.25">
      <c r="A6" s="144"/>
      <c r="B6" s="145"/>
      <c r="C6" s="145"/>
      <c r="D6" s="145"/>
      <c r="E6" s="145"/>
      <c r="F6" s="145"/>
      <c r="G6" s="145"/>
      <c r="H6" s="145"/>
      <c r="I6" s="145"/>
      <c r="J6" s="145"/>
      <c r="K6" s="146"/>
    </row>
    <row r="7" spans="1:11" ht="15" customHeight="1" x14ac:dyDescent="0.25">
      <c r="A7" s="144"/>
      <c r="B7" s="145"/>
      <c r="C7" s="145"/>
      <c r="D7" s="145"/>
      <c r="E7" s="145"/>
      <c r="F7" s="145"/>
      <c r="G7" s="145"/>
      <c r="H7" s="145"/>
      <c r="I7" s="145"/>
      <c r="J7" s="145"/>
      <c r="K7" s="146"/>
    </row>
    <row r="8" spans="1:11" ht="15" customHeight="1" x14ac:dyDescent="0.25">
      <c r="A8" s="144"/>
      <c r="B8" s="145"/>
      <c r="C8" s="145"/>
      <c r="D8" s="145"/>
      <c r="E8" s="145"/>
      <c r="F8" s="145"/>
      <c r="G8" s="145"/>
      <c r="H8" s="145"/>
      <c r="I8" s="145"/>
      <c r="J8" s="145"/>
      <c r="K8" s="146"/>
    </row>
    <row r="9" spans="1:11" ht="15" customHeight="1" x14ac:dyDescent="0.25">
      <c r="A9" s="144"/>
      <c r="B9" s="145"/>
      <c r="C9" s="145"/>
      <c r="D9" s="145"/>
      <c r="E9" s="145"/>
      <c r="F9" s="145"/>
      <c r="G9" s="145"/>
      <c r="H9" s="145"/>
      <c r="I9" s="145"/>
      <c r="J9" s="145"/>
      <c r="K9" s="146"/>
    </row>
    <row r="10" spans="1:11" ht="15" customHeight="1" x14ac:dyDescent="0.25">
      <c r="A10" s="144"/>
      <c r="B10" s="145"/>
      <c r="C10" s="145"/>
      <c r="D10" s="145"/>
      <c r="E10" s="145"/>
      <c r="F10" s="145"/>
      <c r="G10" s="145"/>
      <c r="H10" s="145"/>
      <c r="I10" s="145"/>
      <c r="J10" s="145"/>
      <c r="K10" s="146"/>
    </row>
    <row r="11" spans="1:11" ht="15" customHeight="1" x14ac:dyDescent="0.25">
      <c r="A11" s="144"/>
      <c r="B11" s="145"/>
      <c r="C11" s="145"/>
      <c r="D11" s="145"/>
      <c r="E11" s="145"/>
      <c r="F11" s="145"/>
      <c r="G11" s="145"/>
      <c r="H11" s="145"/>
      <c r="I11" s="145"/>
      <c r="J11" s="145"/>
      <c r="K11" s="146"/>
    </row>
    <row r="12" spans="1:11" ht="15" customHeight="1" x14ac:dyDescent="0.25">
      <c r="A12" s="144"/>
      <c r="B12" s="145"/>
      <c r="C12" s="145"/>
      <c r="D12" s="145"/>
      <c r="E12" s="145"/>
      <c r="F12" s="145"/>
      <c r="G12" s="145"/>
      <c r="H12" s="145"/>
      <c r="I12" s="145"/>
      <c r="J12" s="145"/>
      <c r="K12" s="146"/>
    </row>
    <row r="13" spans="1:11" ht="15" customHeight="1" x14ac:dyDescent="0.25">
      <c r="A13" s="144"/>
      <c r="B13" s="145"/>
      <c r="C13" s="145"/>
      <c r="D13" s="145"/>
      <c r="E13" s="145"/>
      <c r="F13" s="145"/>
      <c r="G13" s="145"/>
      <c r="H13" s="145"/>
      <c r="I13" s="145"/>
      <c r="J13" s="145"/>
      <c r="K13" s="146"/>
    </row>
    <row r="14" spans="1:11" ht="15" customHeight="1" x14ac:dyDescent="0.25">
      <c r="A14" s="144"/>
      <c r="B14" s="145"/>
      <c r="C14" s="145"/>
      <c r="D14" s="145"/>
      <c r="E14" s="145"/>
      <c r="F14" s="145"/>
      <c r="G14" s="145"/>
      <c r="H14" s="145"/>
      <c r="I14" s="145"/>
      <c r="J14" s="145"/>
      <c r="K14" s="146"/>
    </row>
    <row r="15" spans="1:11" ht="15" customHeight="1" x14ac:dyDescent="0.25">
      <c r="A15" s="144"/>
      <c r="B15" s="145"/>
      <c r="C15" s="145"/>
      <c r="D15" s="145"/>
      <c r="E15" s="145"/>
      <c r="F15" s="145"/>
      <c r="G15" s="145"/>
      <c r="H15" s="145"/>
      <c r="I15" s="145"/>
      <c r="J15" s="145"/>
      <c r="K15" s="146"/>
    </row>
    <row r="16" spans="1:11" ht="15" customHeight="1" x14ac:dyDescent="0.25">
      <c r="A16" s="144"/>
      <c r="B16" s="145"/>
      <c r="C16" s="145"/>
      <c r="D16" s="145"/>
      <c r="E16" s="145"/>
      <c r="F16" s="145"/>
      <c r="G16" s="145"/>
      <c r="H16" s="145"/>
      <c r="I16" s="145"/>
      <c r="J16" s="145"/>
      <c r="K16" s="146"/>
    </row>
    <row r="17" spans="1:11" ht="15" customHeight="1" x14ac:dyDescent="0.25">
      <c r="A17" s="144"/>
      <c r="B17" s="145"/>
      <c r="C17" s="145"/>
      <c r="D17" s="145"/>
      <c r="E17" s="145"/>
      <c r="F17" s="145"/>
      <c r="G17" s="145"/>
      <c r="H17" s="145"/>
      <c r="I17" s="145"/>
      <c r="J17" s="145"/>
      <c r="K17" s="146"/>
    </row>
    <row r="18" spans="1:11" ht="15" customHeight="1" x14ac:dyDescent="0.25">
      <c r="A18" s="144"/>
      <c r="B18" s="145"/>
      <c r="C18" s="145"/>
      <c r="D18" s="145"/>
      <c r="E18" s="145"/>
      <c r="F18" s="145"/>
      <c r="G18" s="145"/>
      <c r="H18" s="145"/>
      <c r="I18" s="145"/>
      <c r="J18" s="145"/>
      <c r="K18" s="146"/>
    </row>
    <row r="19" spans="1:11" ht="15" customHeight="1" x14ac:dyDescent="0.25">
      <c r="A19" s="144"/>
      <c r="B19" s="145"/>
      <c r="C19" s="145"/>
      <c r="D19" s="145"/>
      <c r="E19" s="145"/>
      <c r="F19" s="145"/>
      <c r="G19" s="145"/>
      <c r="H19" s="145"/>
      <c r="I19" s="145"/>
      <c r="J19" s="145"/>
      <c r="K19" s="146"/>
    </row>
    <row r="20" spans="1:11" ht="15" customHeight="1" x14ac:dyDescent="0.25">
      <c r="A20" s="144"/>
      <c r="B20" s="145"/>
      <c r="C20" s="145"/>
      <c r="D20" s="145"/>
      <c r="E20" s="145"/>
      <c r="F20" s="145"/>
      <c r="G20" s="145"/>
      <c r="H20" s="145"/>
      <c r="I20" s="145"/>
      <c r="J20" s="145"/>
      <c r="K20" s="146"/>
    </row>
    <row r="21" spans="1:11" ht="15" customHeight="1" x14ac:dyDescent="0.25">
      <c r="A21" s="144"/>
      <c r="B21" s="145"/>
      <c r="C21" s="145"/>
      <c r="D21" s="145"/>
      <c r="E21" s="145"/>
      <c r="F21" s="145"/>
      <c r="G21" s="145"/>
      <c r="H21" s="145"/>
      <c r="I21" s="145"/>
      <c r="J21" s="145"/>
      <c r="K21" s="146"/>
    </row>
    <row r="22" spans="1:11" ht="15" customHeight="1" x14ac:dyDescent="0.25">
      <c r="A22" s="144"/>
      <c r="B22" s="145"/>
      <c r="C22" s="145"/>
      <c r="D22" s="145"/>
      <c r="E22" s="145"/>
      <c r="F22" s="145"/>
      <c r="G22" s="145"/>
      <c r="H22" s="145"/>
      <c r="I22" s="145"/>
      <c r="J22" s="145"/>
      <c r="K22" s="146"/>
    </row>
    <row r="23" spans="1:11" ht="15" customHeight="1" x14ac:dyDescent="0.25">
      <c r="A23" s="138" t="s">
        <v>15</v>
      </c>
      <c r="B23" s="139"/>
      <c r="C23" s="139"/>
      <c r="D23" s="139"/>
      <c r="E23" s="139"/>
      <c r="F23" s="139"/>
      <c r="G23" s="139"/>
      <c r="H23" s="139"/>
      <c r="I23" s="139"/>
      <c r="J23" s="139"/>
      <c r="K23" s="140"/>
    </row>
    <row r="24" spans="1:11" ht="15" customHeight="1" x14ac:dyDescent="0.25">
      <c r="A24" s="138"/>
      <c r="B24" s="139"/>
      <c r="C24" s="139"/>
      <c r="D24" s="139"/>
      <c r="E24" s="139"/>
      <c r="F24" s="139"/>
      <c r="G24" s="139"/>
      <c r="H24" s="139"/>
      <c r="I24" s="139"/>
      <c r="J24" s="139"/>
      <c r="K24" s="140"/>
    </row>
    <row r="25" spans="1:11" ht="15" customHeight="1" x14ac:dyDescent="0.25">
      <c r="A25" s="138"/>
      <c r="B25" s="139"/>
      <c r="C25" s="139"/>
      <c r="D25" s="139"/>
      <c r="E25" s="139"/>
      <c r="F25" s="139"/>
      <c r="G25" s="139"/>
      <c r="H25" s="139"/>
      <c r="I25" s="139"/>
      <c r="J25" s="139"/>
      <c r="K25" s="140"/>
    </row>
    <row r="26" spans="1:11" ht="15" customHeight="1" x14ac:dyDescent="0.25">
      <c r="A26" s="138"/>
      <c r="B26" s="139"/>
      <c r="C26" s="139"/>
      <c r="D26" s="139"/>
      <c r="E26" s="139"/>
      <c r="F26" s="139"/>
      <c r="G26" s="139"/>
      <c r="H26" s="139"/>
      <c r="I26" s="139"/>
      <c r="J26" s="139"/>
      <c r="K26" s="140"/>
    </row>
    <row r="27" spans="1:11" ht="15" customHeight="1" x14ac:dyDescent="0.25">
      <c r="A27" s="123"/>
      <c r="B27" s="124"/>
      <c r="C27" s="124"/>
      <c r="D27" s="124"/>
      <c r="E27" s="124"/>
      <c r="F27" s="124"/>
      <c r="G27" s="124"/>
      <c r="H27" s="124"/>
      <c r="I27" s="124"/>
      <c r="J27" s="124"/>
      <c r="K27" s="125"/>
    </row>
    <row r="28" spans="1:11" ht="15" customHeight="1" thickBot="1" x14ac:dyDescent="0.3">
      <c r="A28" s="126"/>
      <c r="B28" s="127"/>
      <c r="C28" s="127"/>
      <c r="D28" s="127"/>
      <c r="E28" s="127"/>
      <c r="F28" s="127"/>
      <c r="G28" s="127"/>
      <c r="H28" s="127"/>
      <c r="I28" s="127"/>
      <c r="J28" s="127"/>
      <c r="K28" s="128"/>
    </row>
    <row r="29" spans="1:11" ht="15" customHeight="1" x14ac:dyDescent="0.25">
      <c r="A29" s="129" t="s">
        <v>14</v>
      </c>
      <c r="B29" s="130"/>
      <c r="C29" s="130"/>
      <c r="D29" s="130"/>
      <c r="E29" s="130"/>
      <c r="F29" s="130"/>
      <c r="G29" s="130"/>
      <c r="H29" s="130"/>
      <c r="I29" s="130"/>
      <c r="J29" s="130"/>
      <c r="K29" s="131"/>
    </row>
    <row r="30" spans="1:11" ht="15" customHeight="1" x14ac:dyDescent="0.25">
      <c r="A30" s="132"/>
      <c r="B30" s="133"/>
      <c r="C30" s="133"/>
      <c r="D30" s="133"/>
      <c r="E30" s="133"/>
      <c r="F30" s="133"/>
      <c r="G30" s="133"/>
      <c r="H30" s="133"/>
      <c r="I30" s="133"/>
      <c r="J30" s="133"/>
      <c r="K30" s="134"/>
    </row>
    <row r="31" spans="1:11" ht="15" customHeight="1" thickBot="1" x14ac:dyDescent="0.3">
      <c r="A31" s="135"/>
      <c r="B31" s="136"/>
      <c r="C31" s="136"/>
      <c r="D31" s="136"/>
      <c r="E31" s="136"/>
      <c r="F31" s="136"/>
      <c r="G31" s="136"/>
      <c r="H31" s="136"/>
      <c r="I31" s="136"/>
      <c r="J31" s="136"/>
      <c r="K31" s="137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G28" sqref="G28"/>
    </sheetView>
  </sheetViews>
  <sheetFormatPr baseColWidth="10" defaultRowHeight="15" x14ac:dyDescent="0.25"/>
  <sheetData>
    <row r="1" spans="1:17" x14ac:dyDescent="0.25">
      <c r="A1" s="147" t="s">
        <v>36</v>
      </c>
      <c r="B1" s="147"/>
      <c r="C1" s="147"/>
      <c r="D1" s="147"/>
      <c r="E1" s="147"/>
      <c r="F1" s="147"/>
      <c r="G1" s="147"/>
      <c r="H1" s="147"/>
    </row>
    <row r="2" spans="1:17" x14ac:dyDescent="0.25">
      <c r="A2" s="147"/>
      <c r="B2" s="147"/>
      <c r="C2" s="147"/>
      <c r="D2" s="147"/>
      <c r="E2" s="147"/>
      <c r="F2" s="147"/>
      <c r="G2" s="147"/>
      <c r="H2" s="147"/>
    </row>
    <row r="3" spans="1:17" x14ac:dyDescent="0.25">
      <c r="A3" s="147"/>
      <c r="B3" s="147"/>
      <c r="C3" s="147"/>
      <c r="D3" s="147"/>
      <c r="E3" s="147"/>
      <c r="F3" s="147"/>
      <c r="G3" s="147"/>
      <c r="H3" s="147"/>
    </row>
    <row r="4" spans="1:17" x14ac:dyDescent="0.25">
      <c r="A4" s="148" t="str">
        <f>Parametres!F16</f>
        <v>Version 3.62.1</v>
      </c>
      <c r="B4" s="148"/>
      <c r="C4" s="148"/>
      <c r="D4" s="148"/>
      <c r="E4" s="148"/>
      <c r="F4" s="148"/>
      <c r="G4" s="148"/>
      <c r="H4" s="148"/>
    </row>
    <row r="6" spans="1:17" x14ac:dyDescent="0.25">
      <c r="K6" s="149" t="s">
        <v>57</v>
      </c>
      <c r="L6" s="150"/>
      <c r="M6" s="150"/>
      <c r="N6" s="150"/>
      <c r="O6" s="150"/>
      <c r="P6" s="150"/>
      <c r="Q6" s="150"/>
    </row>
    <row r="7" spans="1:17" x14ac:dyDescent="0.25">
      <c r="K7" s="150"/>
      <c r="L7" s="150"/>
      <c r="M7" s="150"/>
      <c r="N7" s="150"/>
      <c r="O7" s="150"/>
      <c r="P7" s="150"/>
      <c r="Q7" s="150"/>
    </row>
    <row r="8" spans="1:17" x14ac:dyDescent="0.25">
      <c r="K8" s="150"/>
      <c r="L8" s="150"/>
      <c r="M8" s="150"/>
      <c r="N8" s="150"/>
      <c r="O8" s="150"/>
      <c r="P8" s="150"/>
      <c r="Q8" s="150"/>
    </row>
    <row r="9" spans="1:17" x14ac:dyDescent="0.25">
      <c r="K9" s="150"/>
      <c r="L9" s="150"/>
      <c r="M9" s="150"/>
      <c r="N9" s="150"/>
      <c r="O9" s="150"/>
      <c r="P9" s="150"/>
      <c r="Q9" s="150"/>
    </row>
    <row r="10" spans="1:17" x14ac:dyDescent="0.25">
      <c r="K10" s="150"/>
      <c r="L10" s="150"/>
      <c r="M10" s="150"/>
      <c r="N10" s="150"/>
      <c r="O10" s="150"/>
      <c r="P10" s="150"/>
      <c r="Q10" s="150"/>
    </row>
    <row r="11" spans="1:17" x14ac:dyDescent="0.25">
      <c r="K11" s="150"/>
      <c r="L11" s="150"/>
      <c r="M11" s="150"/>
      <c r="N11" s="150"/>
      <c r="O11" s="150"/>
      <c r="P11" s="150"/>
      <c r="Q11" s="150"/>
    </row>
    <row r="12" spans="1:17" x14ac:dyDescent="0.25">
      <c r="K12" s="150"/>
      <c r="L12" s="150"/>
      <c r="M12" s="150"/>
      <c r="N12" s="150"/>
      <c r="O12" s="150"/>
      <c r="P12" s="150"/>
      <c r="Q12" s="150"/>
    </row>
    <row r="13" spans="1:17" x14ac:dyDescent="0.25">
      <c r="K13" s="150"/>
      <c r="L13" s="150"/>
      <c r="M13" s="150"/>
      <c r="N13" s="150"/>
      <c r="O13" s="150"/>
      <c r="P13" s="150"/>
      <c r="Q13" s="150"/>
    </row>
    <row r="14" spans="1:17" x14ac:dyDescent="0.25">
      <c r="K14" s="150"/>
      <c r="L14" s="150"/>
      <c r="M14" s="150"/>
      <c r="N14" s="150"/>
      <c r="O14" s="150"/>
      <c r="P14" s="150"/>
      <c r="Q14" s="150"/>
    </row>
    <row r="15" spans="1:17" x14ac:dyDescent="0.25">
      <c r="K15" s="150"/>
      <c r="L15" s="150"/>
      <c r="M15" s="150"/>
      <c r="N15" s="150"/>
      <c r="O15" s="150"/>
      <c r="P15" s="150"/>
      <c r="Q15" s="150"/>
    </row>
    <row r="16" spans="1:17" x14ac:dyDescent="0.25">
      <c r="K16" s="150"/>
      <c r="L16" s="150"/>
      <c r="M16" s="150"/>
      <c r="N16" s="150"/>
      <c r="O16" s="150"/>
      <c r="P16" s="150"/>
      <c r="Q16" s="150"/>
    </row>
    <row r="17" spans="11:17" x14ac:dyDescent="0.25">
      <c r="K17" s="150"/>
      <c r="L17" s="150"/>
      <c r="M17" s="150"/>
      <c r="N17" s="150"/>
      <c r="O17" s="150"/>
      <c r="P17" s="150"/>
      <c r="Q17" s="150"/>
    </row>
    <row r="18" spans="11:17" x14ac:dyDescent="0.25">
      <c r="K18" s="150"/>
      <c r="L18" s="150"/>
      <c r="M18" s="150"/>
      <c r="N18" s="150"/>
      <c r="O18" s="150"/>
      <c r="P18" s="150"/>
      <c r="Q18" s="150"/>
    </row>
    <row r="19" spans="11:17" x14ac:dyDescent="0.25">
      <c r="K19" s="150"/>
      <c r="L19" s="150"/>
      <c r="M19" s="150"/>
      <c r="N19" s="150"/>
      <c r="O19" s="150"/>
      <c r="P19" s="150"/>
      <c r="Q19" s="150"/>
    </row>
    <row r="20" spans="11:17" x14ac:dyDescent="0.25">
      <c r="K20" s="150"/>
      <c r="L20" s="150"/>
      <c r="M20" s="150"/>
      <c r="N20" s="150"/>
      <c r="O20" s="150"/>
      <c r="P20" s="150"/>
      <c r="Q20" s="150"/>
    </row>
    <row r="21" spans="11:17" x14ac:dyDescent="0.25">
      <c r="K21" s="150"/>
      <c r="L21" s="150"/>
      <c r="M21" s="150"/>
      <c r="N21" s="150"/>
      <c r="O21" s="150"/>
      <c r="P21" s="150"/>
      <c r="Q21" s="150"/>
    </row>
    <row r="22" spans="11:17" x14ac:dyDescent="0.25">
      <c r="K22" s="150"/>
      <c r="L22" s="150"/>
      <c r="M22" s="150"/>
      <c r="N22" s="150"/>
      <c r="O22" s="150"/>
      <c r="P22" s="150"/>
      <c r="Q22" s="150"/>
    </row>
    <row r="23" spans="11:17" x14ac:dyDescent="0.25">
      <c r="K23" s="150"/>
      <c r="L23" s="150"/>
      <c r="M23" s="150"/>
      <c r="N23" s="150"/>
      <c r="O23" s="150"/>
      <c r="P23" s="150"/>
      <c r="Q23" s="150"/>
    </row>
    <row r="24" spans="11:17" x14ac:dyDescent="0.25">
      <c r="K24" s="150"/>
      <c r="L24" s="150"/>
      <c r="M24" s="150"/>
      <c r="N24" s="150"/>
      <c r="O24" s="150"/>
      <c r="P24" s="150"/>
      <c r="Q24" s="150"/>
    </row>
    <row r="25" spans="11:17" x14ac:dyDescent="0.25">
      <c r="K25" s="150"/>
      <c r="L25" s="150"/>
      <c r="M25" s="150"/>
      <c r="N25" s="150"/>
      <c r="O25" s="150"/>
      <c r="P25" s="150"/>
      <c r="Q25" s="150"/>
    </row>
    <row r="26" spans="11:17" x14ac:dyDescent="0.25">
      <c r="K26" s="151" t="s">
        <v>118</v>
      </c>
      <c r="L26" s="151"/>
      <c r="M26" s="151"/>
      <c r="N26" s="151"/>
      <c r="O26" s="151"/>
      <c r="P26" s="151"/>
      <c r="Q26" s="151"/>
    </row>
    <row r="27" spans="11:17" x14ac:dyDescent="0.25">
      <c r="K27" s="151"/>
      <c r="L27" s="151"/>
      <c r="M27" s="151"/>
      <c r="N27" s="151"/>
      <c r="O27" s="151"/>
      <c r="P27" s="151"/>
      <c r="Q27" s="151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53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</row>
    <row r="2" spans="1:24" ht="15.75" thickBot="1" x14ac:dyDescent="0.3">
      <c r="A2" s="37">
        <v>6.2500000000000003E-3</v>
      </c>
      <c r="C2" s="153"/>
      <c r="D2" s="25">
        <v>3</v>
      </c>
      <c r="E2" s="26">
        <v>4</v>
      </c>
      <c r="F2" s="20">
        <v>3</v>
      </c>
      <c r="H2" s="13" t="s">
        <v>121</v>
      </c>
      <c r="I2" s="13" t="s">
        <v>122</v>
      </c>
    </row>
    <row r="3" spans="1:24" ht="15.75" thickBot="1" x14ac:dyDescent="0.3">
      <c r="A3" s="44">
        <v>0</v>
      </c>
      <c r="C3" s="154"/>
      <c r="D3" s="4" t="s">
        <v>146</v>
      </c>
      <c r="E3" s="34" t="str">
        <f>"Nbre de Catégories : " &amp; B30</f>
        <v>Nbre de Catégories : 1</v>
      </c>
      <c r="H3" s="13" t="s">
        <v>147</v>
      </c>
      <c r="I3" s="13" t="s">
        <v>148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7</v>
      </c>
      <c r="E4" s="6"/>
      <c r="H4" s="13" t="s">
        <v>123</v>
      </c>
      <c r="I4" s="13" t="s">
        <v>124</v>
      </c>
    </row>
    <row r="5" spans="1:24" ht="15.75" thickBot="1" x14ac:dyDescent="0.3">
      <c r="A5" s="20">
        <f>ROUNDUP(SUM(D4:D29)/8,0)</f>
        <v>3</v>
      </c>
      <c r="B5" s="2">
        <v>2</v>
      </c>
      <c r="C5" s="23" t="str">
        <f t="shared" si="0"/>
        <v>B</v>
      </c>
      <c r="D5" s="27">
        <v>7</v>
      </c>
      <c r="E5" s="6"/>
      <c r="X5"/>
    </row>
    <row r="6" spans="1:24" ht="15.75" thickBot="1" x14ac:dyDescent="0.3">
      <c r="B6" s="2">
        <v>3</v>
      </c>
      <c r="C6" s="23" t="str">
        <f t="shared" si="0"/>
        <v>C</v>
      </c>
      <c r="D6" s="27">
        <v>7</v>
      </c>
      <c r="E6" s="6"/>
      <c r="H6" s="13" t="s">
        <v>125</v>
      </c>
      <c r="I6" s="13" t="s">
        <v>126</v>
      </c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H7" s="13" t="s">
        <v>150</v>
      </c>
      <c r="I7" s="13" t="s">
        <v>151</v>
      </c>
      <c r="X7"/>
    </row>
    <row r="8" spans="1:24" ht="15.75" thickBot="1" x14ac:dyDescent="0.3">
      <c r="A8" s="5">
        <f>ROUNDUP(SUM(D4:D29)/16,0)</f>
        <v>2</v>
      </c>
      <c r="B8" s="2">
        <v>5</v>
      </c>
      <c r="C8" s="23" t="str">
        <f t="shared" si="0"/>
        <v/>
      </c>
      <c r="D8" s="27"/>
      <c r="E8" s="6"/>
      <c r="H8" s="13" t="s">
        <v>153</v>
      </c>
      <c r="I8" s="13" t="s">
        <v>154</v>
      </c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155</v>
      </c>
      <c r="I9" s="13" t="s">
        <v>156</v>
      </c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157</v>
      </c>
      <c r="I11" s="13" t="s">
        <v>158</v>
      </c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119</v>
      </c>
      <c r="I12" s="13" t="s">
        <v>121</v>
      </c>
      <c r="X12"/>
    </row>
    <row r="13" spans="1:24" x14ac:dyDescent="0.25">
      <c r="A13" s="42">
        <f>A2</f>
        <v>6.2500000000000003E-3</v>
      </c>
      <c r="B13" s="2">
        <v>10</v>
      </c>
      <c r="C13" s="23" t="str">
        <f t="shared" si="0"/>
        <v/>
      </c>
      <c r="D13" s="27"/>
      <c r="E13" s="6"/>
      <c r="H13" s="13" t="s">
        <v>147</v>
      </c>
      <c r="I13" s="13" t="s">
        <v>122</v>
      </c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148</v>
      </c>
      <c r="I14" s="13" t="s">
        <v>149</v>
      </c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221</v>
      </c>
      <c r="H16" s="13" t="s">
        <v>123</v>
      </c>
      <c r="I16" s="13" t="s">
        <v>125</v>
      </c>
      <c r="X16"/>
    </row>
    <row r="17" spans="1:24" x14ac:dyDescent="0.25">
      <c r="A17" s="43">
        <f>(counttour()/E2*(A2+A3)) + (ROUNDUP(IF(B31=TRUE,12*A5,12*A5*B30)/E2,0)*(A2+A3))</f>
        <v>0.15468750000000001</v>
      </c>
      <c r="B17" s="2">
        <v>14</v>
      </c>
      <c r="C17" s="23" t="str">
        <f t="shared" si="0"/>
        <v/>
      </c>
      <c r="D17" s="27"/>
      <c r="E17" s="6"/>
      <c r="H17" s="13" t="s">
        <v>150</v>
      </c>
      <c r="I17" s="13" t="s">
        <v>126</v>
      </c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52" t="s">
        <v>168</v>
      </c>
      <c r="H18" s="13" t="s">
        <v>151</v>
      </c>
      <c r="I18" s="13" t="s">
        <v>152</v>
      </c>
      <c r="X18"/>
    </row>
    <row r="19" spans="1:24" x14ac:dyDescent="0.25">
      <c r="A19" s="42">
        <f>A15+A17+A21</f>
        <v>0.98802083333333335</v>
      </c>
      <c r="B19" s="2">
        <v>16</v>
      </c>
      <c r="C19" s="23" t="str">
        <f t="shared" si="0"/>
        <v/>
      </c>
      <c r="D19" s="27"/>
      <c r="E19" s="6"/>
      <c r="F19" s="152"/>
      <c r="H19" s="13" t="s">
        <v>153</v>
      </c>
      <c r="I19" s="13" t="s">
        <v>155</v>
      </c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52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52"/>
      <c r="H21" s="13" t="s">
        <v>157</v>
      </c>
      <c r="I21" s="13" t="s">
        <v>156</v>
      </c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158</v>
      </c>
      <c r="I22" s="13" t="s">
        <v>188</v>
      </c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H23" s="13" t="s">
        <v>119</v>
      </c>
      <c r="I23" s="13" t="s">
        <v>122</v>
      </c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H24" s="13" t="s">
        <v>120</v>
      </c>
      <c r="I24" s="13" t="s">
        <v>147</v>
      </c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H26" s="13" t="s">
        <v>149</v>
      </c>
      <c r="I26" s="13" t="s">
        <v>121</v>
      </c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H27" s="13" t="s">
        <v>123</v>
      </c>
      <c r="I27" s="13" t="s">
        <v>126</v>
      </c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H28" s="13" t="s">
        <v>124</v>
      </c>
      <c r="I28" s="13" t="s">
        <v>150</v>
      </c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H29" s="13" t="s">
        <v>152</v>
      </c>
      <c r="I29" s="13" t="s">
        <v>125</v>
      </c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  <c r="H31" s="13" t="s">
        <v>153</v>
      </c>
      <c r="I31" s="13" t="s">
        <v>156</v>
      </c>
    </row>
    <row r="32" spans="1:24" x14ac:dyDescent="0.25">
      <c r="A32" s="37">
        <v>0.39583333333333331</v>
      </c>
      <c r="B32" s="33" t="b">
        <v>1</v>
      </c>
      <c r="D32" s="26">
        <v>0</v>
      </c>
      <c r="H32" s="13" t="s">
        <v>154</v>
      </c>
      <c r="I32" s="13" t="s">
        <v>157</v>
      </c>
    </row>
    <row r="33" spans="1:9" x14ac:dyDescent="0.25">
      <c r="A33" s="9" t="s">
        <v>45</v>
      </c>
      <c r="B33" s="33" t="b">
        <v>1</v>
      </c>
      <c r="D33" s="9" t="s">
        <v>34</v>
      </c>
      <c r="F33" s="29"/>
      <c r="H33" s="13" t="s">
        <v>188</v>
      </c>
      <c r="I33" s="13" t="s">
        <v>155</v>
      </c>
    </row>
    <row r="34" spans="1:9" x14ac:dyDescent="0.25">
      <c r="A34" s="35">
        <f>(counttour()/E2*(A2+A3))+A32</f>
        <v>0.49427083333333333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  <c r="H34" s="13" t="s">
        <v>119</v>
      </c>
      <c r="I34" s="13" t="s">
        <v>147</v>
      </c>
    </row>
    <row r="35" spans="1:9" x14ac:dyDescent="0.25">
      <c r="A35" s="9" t="s">
        <v>46</v>
      </c>
      <c r="D35" s="9" t="s">
        <v>48</v>
      </c>
    </row>
    <row r="36" spans="1:9" x14ac:dyDescent="0.25">
      <c r="A36" s="37" t="s">
        <v>56</v>
      </c>
      <c r="D36" s="26" t="b">
        <v>0</v>
      </c>
      <c r="E36" s="2" t="s">
        <v>35</v>
      </c>
      <c r="H36" s="13" t="s">
        <v>148</v>
      </c>
      <c r="I36" s="13" t="s">
        <v>121</v>
      </c>
    </row>
    <row r="37" spans="1:9" x14ac:dyDescent="0.25">
      <c r="A37" s="9" t="s">
        <v>32</v>
      </c>
      <c r="D37" s="9" t="s">
        <v>184</v>
      </c>
      <c r="H37" s="13" t="s">
        <v>120</v>
      </c>
      <c r="I37" s="13" t="s">
        <v>149</v>
      </c>
    </row>
    <row r="38" spans="1:9" x14ac:dyDescent="0.25">
      <c r="A38" s="35">
        <f>A36+(ROUNDUP(IF(B31=TRUE,12*A5,12*A5*B30)/E2,0)*(A2+A3))</f>
        <v>5.6250000000000001E-2</v>
      </c>
      <c r="D38" s="26" t="b">
        <v>0</v>
      </c>
      <c r="H38" s="13" t="s">
        <v>123</v>
      </c>
      <c r="I38" s="13" t="s">
        <v>150</v>
      </c>
    </row>
    <row r="39" spans="1:9" ht="16.5" thickBot="1" x14ac:dyDescent="0.3">
      <c r="A39" s="11"/>
      <c r="D39" s="26"/>
      <c r="H39" s="13" t="s">
        <v>151</v>
      </c>
      <c r="I39" s="13" t="s">
        <v>125</v>
      </c>
    </row>
    <row r="40" spans="1:9" x14ac:dyDescent="0.25">
      <c r="A40" s="3" t="s">
        <v>47</v>
      </c>
    </row>
    <row r="41" spans="1:9" x14ac:dyDescent="0.25">
      <c r="A41" s="26">
        <v>4</v>
      </c>
      <c r="H41" s="13" t="s">
        <v>124</v>
      </c>
      <c r="I41" s="13" t="s">
        <v>152</v>
      </c>
    </row>
    <row r="42" spans="1:9" ht="15.75" x14ac:dyDescent="0.25">
      <c r="A42" s="11"/>
      <c r="H42" s="13" t="s">
        <v>153</v>
      </c>
      <c r="I42" s="13" t="s">
        <v>157</v>
      </c>
    </row>
    <row r="43" spans="1:9" ht="15.75" x14ac:dyDescent="0.25">
      <c r="A43" s="11"/>
      <c r="H43" s="13" t="s">
        <v>158</v>
      </c>
      <c r="I43" s="13" t="s">
        <v>155</v>
      </c>
    </row>
    <row r="44" spans="1:9" x14ac:dyDescent="0.25">
      <c r="A44" s="15"/>
      <c r="H44" s="13" t="s">
        <v>154</v>
      </c>
      <c r="I44" s="13" t="s">
        <v>188</v>
      </c>
    </row>
    <row r="45" spans="1:9" x14ac:dyDescent="0.25">
      <c r="A45" s="15"/>
    </row>
    <row r="46" spans="1:9" x14ac:dyDescent="0.25">
      <c r="A46" s="14"/>
      <c r="H46" s="13" t="s">
        <v>121</v>
      </c>
      <c r="I46" s="13" t="s">
        <v>147</v>
      </c>
    </row>
    <row r="47" spans="1:9" x14ac:dyDescent="0.25">
      <c r="A47" s="10"/>
      <c r="H47" s="13" t="s">
        <v>120</v>
      </c>
      <c r="I47" s="13" t="s">
        <v>148</v>
      </c>
    </row>
    <row r="48" spans="1:9" ht="15.75" x14ac:dyDescent="0.25">
      <c r="A48" s="11"/>
      <c r="H48" s="13" t="s">
        <v>122</v>
      </c>
      <c r="I48" s="13" t="s">
        <v>149</v>
      </c>
    </row>
    <row r="49" spans="1:9" ht="15.75" x14ac:dyDescent="0.25">
      <c r="A49" s="11"/>
      <c r="H49" s="13" t="s">
        <v>125</v>
      </c>
      <c r="I49" s="13" t="s">
        <v>150</v>
      </c>
    </row>
    <row r="50" spans="1:9" ht="15.75" x14ac:dyDescent="0.25">
      <c r="A50" s="11"/>
    </row>
    <row r="51" spans="1:9" ht="15.75" x14ac:dyDescent="0.25">
      <c r="A51" s="11"/>
      <c r="H51" s="13" t="s">
        <v>124</v>
      </c>
      <c r="I51" s="13" t="s">
        <v>151</v>
      </c>
    </row>
    <row r="52" spans="1:9" ht="15.75" x14ac:dyDescent="0.25">
      <c r="A52" s="11"/>
      <c r="H52" s="13" t="s">
        <v>126</v>
      </c>
      <c r="I52" s="13" t="s">
        <v>152</v>
      </c>
    </row>
    <row r="53" spans="1:9" ht="15.75" x14ac:dyDescent="0.25">
      <c r="A53" s="11"/>
      <c r="H53" s="13" t="s">
        <v>155</v>
      </c>
      <c r="I53" s="13" t="s">
        <v>157</v>
      </c>
    </row>
    <row r="54" spans="1:9" ht="15.75" x14ac:dyDescent="0.25">
      <c r="A54" s="11"/>
      <c r="H54" s="13" t="s">
        <v>154</v>
      </c>
      <c r="I54" s="13" t="s">
        <v>158</v>
      </c>
    </row>
    <row r="55" spans="1:9" ht="15.75" x14ac:dyDescent="0.25">
      <c r="A55" s="11"/>
    </row>
    <row r="56" spans="1:9" x14ac:dyDescent="0.25">
      <c r="A56" s="10"/>
      <c r="H56" s="13" t="s">
        <v>156</v>
      </c>
      <c r="I56" s="13" t="s">
        <v>188</v>
      </c>
    </row>
    <row r="57" spans="1:9" x14ac:dyDescent="0.25">
      <c r="A57" s="14"/>
      <c r="H57" s="13" t="s">
        <v>119</v>
      </c>
      <c r="I57" s="13" t="s">
        <v>148</v>
      </c>
    </row>
    <row r="58" spans="1:9" x14ac:dyDescent="0.25">
      <c r="A58" s="10"/>
      <c r="H58" s="13" t="s">
        <v>120</v>
      </c>
      <c r="I58" s="13" t="s">
        <v>122</v>
      </c>
    </row>
    <row r="59" spans="1:9" ht="15.75" x14ac:dyDescent="0.25">
      <c r="A59" s="11"/>
      <c r="H59" s="13" t="s">
        <v>147</v>
      </c>
      <c r="I59" s="13" t="s">
        <v>149</v>
      </c>
    </row>
    <row r="60" spans="1:9" ht="15.75" x14ac:dyDescent="0.25">
      <c r="A60" s="11"/>
    </row>
    <row r="61" spans="1:9" ht="15.75" x14ac:dyDescent="0.25">
      <c r="A61" s="11"/>
      <c r="H61" s="13" t="s">
        <v>123</v>
      </c>
      <c r="I61" s="13" t="s">
        <v>151</v>
      </c>
    </row>
    <row r="62" spans="1:9" ht="15.75" x14ac:dyDescent="0.25">
      <c r="A62" s="11"/>
      <c r="H62" s="13" t="s">
        <v>124</v>
      </c>
      <c r="I62" s="13" t="s">
        <v>126</v>
      </c>
    </row>
    <row r="63" spans="1:9" ht="15.75" x14ac:dyDescent="0.25">
      <c r="A63" s="11"/>
      <c r="H63" s="13" t="s">
        <v>150</v>
      </c>
      <c r="I63" s="13" t="s">
        <v>152</v>
      </c>
    </row>
    <row r="64" spans="1:9" ht="15.75" x14ac:dyDescent="0.25">
      <c r="A64" s="11"/>
      <c r="H64" s="13" t="s">
        <v>153</v>
      </c>
      <c r="I64" s="13" t="s">
        <v>158</v>
      </c>
    </row>
    <row r="65" spans="1:9" ht="15.75" x14ac:dyDescent="0.25">
      <c r="A65" s="11"/>
    </row>
    <row r="66" spans="1:9" ht="15.75" x14ac:dyDescent="0.25">
      <c r="A66" s="11"/>
      <c r="H66" s="13" t="s">
        <v>154</v>
      </c>
      <c r="I66" s="13" t="s">
        <v>156</v>
      </c>
    </row>
    <row r="67" spans="1:9" x14ac:dyDescent="0.25">
      <c r="A67" s="10"/>
      <c r="H67" s="13" t="s">
        <v>157</v>
      </c>
      <c r="I67" s="13" t="s">
        <v>188</v>
      </c>
    </row>
    <row r="68" spans="1:9" x14ac:dyDescent="0.25">
      <c r="A68" s="14"/>
      <c r="H68" s="13" t="s">
        <v>119</v>
      </c>
      <c r="I68" s="13" t="s">
        <v>149</v>
      </c>
    </row>
    <row r="69" spans="1:9" x14ac:dyDescent="0.25">
      <c r="A69" s="10"/>
      <c r="H69" s="13" t="s">
        <v>120</v>
      </c>
      <c r="I69" s="13" t="s">
        <v>121</v>
      </c>
    </row>
    <row r="70" spans="1:9" ht="15.75" x14ac:dyDescent="0.25">
      <c r="A70" s="11"/>
    </row>
    <row r="71" spans="1:9" ht="15.75" x14ac:dyDescent="0.25">
      <c r="A71" s="11"/>
      <c r="H71" s="13" t="s">
        <v>122</v>
      </c>
      <c r="I71" s="13" t="s">
        <v>148</v>
      </c>
    </row>
    <row r="72" spans="1:9" ht="15.75" x14ac:dyDescent="0.25">
      <c r="A72" s="11"/>
      <c r="H72" s="13" t="s">
        <v>123</v>
      </c>
      <c r="I72" s="13" t="s">
        <v>152</v>
      </c>
    </row>
    <row r="73" spans="1:9" ht="15.75" x14ac:dyDescent="0.25">
      <c r="A73" s="11"/>
      <c r="H73" s="13" t="s">
        <v>124</v>
      </c>
      <c r="I73" s="13" t="s">
        <v>125</v>
      </c>
    </row>
    <row r="74" spans="1:9" ht="15.75" x14ac:dyDescent="0.25">
      <c r="A74" s="11"/>
      <c r="H74" s="13" t="s">
        <v>126</v>
      </c>
      <c r="I74" s="13" t="s">
        <v>151</v>
      </c>
    </row>
    <row r="75" spans="1:9" ht="15.75" x14ac:dyDescent="0.25">
      <c r="A75" s="11"/>
    </row>
    <row r="76" spans="1:9" ht="15.75" x14ac:dyDescent="0.25">
      <c r="A76" s="11"/>
      <c r="H76" s="13" t="s">
        <v>153</v>
      </c>
      <c r="I76" s="13" t="s">
        <v>188</v>
      </c>
    </row>
    <row r="77" spans="1:9" ht="15.75" x14ac:dyDescent="0.25">
      <c r="A77" s="11"/>
      <c r="H77" s="13" t="s">
        <v>154</v>
      </c>
      <c r="I77" s="13" t="s">
        <v>155</v>
      </c>
    </row>
    <row r="78" spans="1:9" x14ac:dyDescent="0.25">
      <c r="A78" s="10"/>
      <c r="H78" s="13" t="s">
        <v>156</v>
      </c>
      <c r="I78" s="13" t="s">
        <v>158</v>
      </c>
    </row>
    <row r="79" spans="1:9" x14ac:dyDescent="0.25">
      <c r="A79" s="14"/>
    </row>
    <row r="80" spans="1:9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139"/>
  <sheetViews>
    <sheetView workbookViewId="0">
      <selection activeCell="G1" sqref="G1:I1048576"/>
    </sheetView>
  </sheetViews>
  <sheetFormatPr baseColWidth="10" defaultRowHeight="15" x14ac:dyDescent="0.25"/>
  <cols>
    <col min="1" max="2" width="6.5703125" style="39" customWidth="1"/>
    <col min="7" max="9" width="11.42578125" style="13"/>
  </cols>
  <sheetData>
    <row r="1" spans="2:9" x14ac:dyDescent="0.25">
      <c r="G1" s="13" t="s">
        <v>119</v>
      </c>
      <c r="H1" s="13" t="s">
        <v>120</v>
      </c>
      <c r="I1" s="13" t="s">
        <v>166</v>
      </c>
    </row>
    <row r="2" spans="2:9" x14ac:dyDescent="0.25">
      <c r="B2" s="40"/>
      <c r="C2" s="38"/>
      <c r="D2" s="38"/>
      <c r="G2" s="13" t="s">
        <v>121</v>
      </c>
      <c r="H2" s="13" t="s">
        <v>122</v>
      </c>
      <c r="I2" s="13" t="s">
        <v>166</v>
      </c>
    </row>
    <row r="3" spans="2:9" x14ac:dyDescent="0.25">
      <c r="B3" s="40"/>
      <c r="C3" s="38"/>
      <c r="D3" s="38"/>
      <c r="G3" s="13" t="s">
        <v>147</v>
      </c>
      <c r="H3" s="13" t="s">
        <v>148</v>
      </c>
      <c r="I3" s="13" t="s">
        <v>166</v>
      </c>
    </row>
    <row r="4" spans="2:9" x14ac:dyDescent="0.25">
      <c r="B4" s="40"/>
      <c r="C4" s="38"/>
      <c r="D4" s="38"/>
      <c r="G4" s="13" t="s">
        <v>123</v>
      </c>
      <c r="H4" s="13" t="s">
        <v>124</v>
      </c>
      <c r="I4" s="13" t="s">
        <v>166</v>
      </c>
    </row>
    <row r="5" spans="2:9" x14ac:dyDescent="0.25">
      <c r="B5" s="40"/>
      <c r="C5" s="38"/>
      <c r="D5" s="38"/>
      <c r="G5" s="13" t="s">
        <v>125</v>
      </c>
      <c r="H5" s="13" t="s">
        <v>126</v>
      </c>
      <c r="I5" s="13" t="s">
        <v>166</v>
      </c>
    </row>
    <row r="6" spans="2:9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</row>
    <row r="7" spans="2:9" x14ac:dyDescent="0.25">
      <c r="B7" s="40"/>
      <c r="C7" s="38"/>
      <c r="D7" s="38"/>
      <c r="G7" s="13" t="s">
        <v>153</v>
      </c>
      <c r="H7" s="13" t="s">
        <v>154</v>
      </c>
      <c r="I7" s="13" t="s">
        <v>166</v>
      </c>
    </row>
    <row r="8" spans="2:9" x14ac:dyDescent="0.25">
      <c r="B8" s="40"/>
      <c r="C8" s="38"/>
      <c r="D8" s="38"/>
      <c r="G8" s="13" t="s">
        <v>155</v>
      </c>
      <c r="H8" s="13" t="s">
        <v>156</v>
      </c>
      <c r="I8" s="13" t="s">
        <v>166</v>
      </c>
    </row>
    <row r="9" spans="2:9" x14ac:dyDescent="0.25">
      <c r="B9" s="40"/>
      <c r="C9" s="38"/>
      <c r="D9" s="38"/>
      <c r="G9" s="13" t="s">
        <v>157</v>
      </c>
      <c r="H9" s="13" t="s">
        <v>158</v>
      </c>
      <c r="I9" s="13" t="s">
        <v>166</v>
      </c>
    </row>
    <row r="10" spans="2:9" x14ac:dyDescent="0.25">
      <c r="B10" s="40"/>
      <c r="C10" s="38"/>
      <c r="D10" s="38"/>
    </row>
    <row r="11" spans="2:9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</row>
    <row r="12" spans="2:9" x14ac:dyDescent="0.25">
      <c r="B12" s="40"/>
      <c r="C12" s="38"/>
      <c r="D12" s="38"/>
      <c r="G12" s="13" t="s">
        <v>161</v>
      </c>
      <c r="H12" s="13" t="s">
        <v>162</v>
      </c>
      <c r="I12" s="13" t="s">
        <v>167</v>
      </c>
    </row>
    <row r="13" spans="2:9" x14ac:dyDescent="0.25">
      <c r="B13" s="40"/>
      <c r="C13" s="38"/>
      <c r="D13" s="38"/>
      <c r="G13" s="13" t="s">
        <v>163</v>
      </c>
      <c r="H13" s="13" t="s">
        <v>164</v>
      </c>
      <c r="I13" s="13" t="s">
        <v>167</v>
      </c>
    </row>
    <row r="14" spans="2:9" x14ac:dyDescent="0.25">
      <c r="B14" s="40"/>
      <c r="C14" s="38"/>
      <c r="D14" s="38"/>
      <c r="G14" s="13" t="s">
        <v>170</v>
      </c>
      <c r="H14" s="13" t="s">
        <v>171</v>
      </c>
      <c r="I14" s="13" t="s">
        <v>167</v>
      </c>
    </row>
    <row r="15" spans="2:9" x14ac:dyDescent="0.25">
      <c r="B15" s="40"/>
      <c r="C15" s="38"/>
      <c r="D15" s="38"/>
      <c r="G15" s="13" t="s">
        <v>172</v>
      </c>
      <c r="H15" s="13" t="s">
        <v>173</v>
      </c>
      <c r="I15" s="13" t="s">
        <v>167</v>
      </c>
    </row>
    <row r="16" spans="2:9" x14ac:dyDescent="0.25">
      <c r="B16" s="40"/>
      <c r="C16" s="38"/>
      <c r="D16" s="38"/>
      <c r="G16" s="13" t="s">
        <v>174</v>
      </c>
      <c r="H16" s="13" t="s">
        <v>175</v>
      </c>
      <c r="I16" s="13" t="s">
        <v>167</v>
      </c>
    </row>
    <row r="17" spans="2:9" x14ac:dyDescent="0.25">
      <c r="B17" s="40"/>
      <c r="C17" s="38"/>
      <c r="D17" s="38"/>
      <c r="G17" s="13" t="s">
        <v>176</v>
      </c>
      <c r="H17" s="13" t="s">
        <v>177</v>
      </c>
      <c r="I17" s="13" t="s">
        <v>167</v>
      </c>
    </row>
    <row r="18" spans="2:9" x14ac:dyDescent="0.25">
      <c r="B18" s="40"/>
      <c r="C18" s="38"/>
      <c r="D18" s="38"/>
      <c r="G18" s="13" t="s">
        <v>178</v>
      </c>
      <c r="H18" s="13" t="s">
        <v>179</v>
      </c>
      <c r="I18" s="13" t="s">
        <v>167</v>
      </c>
    </row>
    <row r="19" spans="2:9" x14ac:dyDescent="0.25">
      <c r="B19" s="40"/>
      <c r="C19" s="38"/>
      <c r="D19" s="38"/>
      <c r="G19" s="13" t="s">
        <v>180</v>
      </c>
      <c r="H19" s="13" t="s">
        <v>181</v>
      </c>
      <c r="I19" s="13" t="s">
        <v>167</v>
      </c>
    </row>
    <row r="20" spans="2:9" x14ac:dyDescent="0.25">
      <c r="B20" s="40"/>
      <c r="C20" s="38"/>
      <c r="D20" s="38"/>
    </row>
    <row r="21" spans="2:9" x14ac:dyDescent="0.25">
      <c r="B21" s="40"/>
      <c r="C21" s="38"/>
      <c r="D21" s="38"/>
      <c r="G21" s="13" t="s">
        <v>119</v>
      </c>
      <c r="H21" s="13" t="s">
        <v>121</v>
      </c>
      <c r="I21" s="13" t="s">
        <v>166</v>
      </c>
    </row>
    <row r="22" spans="2:9" x14ac:dyDescent="0.25">
      <c r="B22" s="40"/>
      <c r="C22" s="38"/>
      <c r="D22" s="38"/>
      <c r="G22" s="13" t="s">
        <v>147</v>
      </c>
      <c r="H22" s="13" t="s">
        <v>122</v>
      </c>
      <c r="I22" s="13" t="s">
        <v>166</v>
      </c>
    </row>
    <row r="23" spans="2:9" x14ac:dyDescent="0.25">
      <c r="B23" s="40"/>
      <c r="C23" s="38"/>
      <c r="D23" s="38"/>
      <c r="G23" s="13" t="s">
        <v>148</v>
      </c>
      <c r="H23" s="13" t="s">
        <v>149</v>
      </c>
      <c r="I23" s="13" t="s">
        <v>166</v>
      </c>
    </row>
    <row r="24" spans="2:9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</row>
    <row r="25" spans="2:9" x14ac:dyDescent="0.25">
      <c r="B25" s="40"/>
      <c r="C25" s="38"/>
      <c r="D25" s="38"/>
      <c r="G25" s="13" t="s">
        <v>150</v>
      </c>
      <c r="H25" s="13" t="s">
        <v>126</v>
      </c>
      <c r="I25" s="13" t="s">
        <v>166</v>
      </c>
    </row>
    <row r="26" spans="2:9" x14ac:dyDescent="0.25">
      <c r="B26" s="40"/>
      <c r="C26" s="38"/>
      <c r="D26" s="38"/>
      <c r="G26" s="13" t="s">
        <v>151</v>
      </c>
      <c r="H26" s="13" t="s">
        <v>152</v>
      </c>
      <c r="I26" s="13" t="s">
        <v>166</v>
      </c>
    </row>
    <row r="27" spans="2:9" x14ac:dyDescent="0.25">
      <c r="B27" s="40"/>
      <c r="C27" s="38"/>
      <c r="D27" s="38"/>
      <c r="G27" s="13" t="s">
        <v>153</v>
      </c>
      <c r="H27" s="13" t="s">
        <v>155</v>
      </c>
      <c r="I27" s="13" t="s">
        <v>166</v>
      </c>
    </row>
    <row r="28" spans="2:9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</row>
    <row r="29" spans="2:9" x14ac:dyDescent="0.25">
      <c r="B29" s="40"/>
      <c r="C29" s="38"/>
      <c r="G29" s="13" t="s">
        <v>156</v>
      </c>
      <c r="H29" s="13" t="s">
        <v>158</v>
      </c>
      <c r="I29" s="13" t="s">
        <v>166</v>
      </c>
    </row>
    <row r="31" spans="2:9" x14ac:dyDescent="0.25">
      <c r="G31" s="13" t="s">
        <v>159</v>
      </c>
      <c r="H31" s="13" t="s">
        <v>161</v>
      </c>
      <c r="I31" s="13" t="s">
        <v>167</v>
      </c>
    </row>
    <row r="32" spans="2:9" x14ac:dyDescent="0.25">
      <c r="G32" s="13" t="s">
        <v>163</v>
      </c>
      <c r="H32" s="13" t="s">
        <v>162</v>
      </c>
      <c r="I32" s="13" t="s">
        <v>167</v>
      </c>
    </row>
    <row r="33" spans="7:9" x14ac:dyDescent="0.25">
      <c r="G33" s="13" t="s">
        <v>164</v>
      </c>
      <c r="H33" s="13" t="s">
        <v>165</v>
      </c>
      <c r="I33" s="13" t="s">
        <v>167</v>
      </c>
    </row>
    <row r="34" spans="7:9" x14ac:dyDescent="0.25">
      <c r="G34" s="13" t="s">
        <v>170</v>
      </c>
      <c r="H34" s="13" t="s">
        <v>172</v>
      </c>
      <c r="I34" s="13" t="s">
        <v>167</v>
      </c>
    </row>
    <row r="35" spans="7:9" x14ac:dyDescent="0.25">
      <c r="G35" s="13" t="s">
        <v>174</v>
      </c>
      <c r="H35" s="13" t="s">
        <v>173</v>
      </c>
      <c r="I35" s="13" t="s">
        <v>167</v>
      </c>
    </row>
    <row r="36" spans="7:9" x14ac:dyDescent="0.25">
      <c r="G36" s="13" t="s">
        <v>175</v>
      </c>
      <c r="H36" s="13" t="s">
        <v>182</v>
      </c>
      <c r="I36" s="13" t="s">
        <v>167</v>
      </c>
    </row>
    <row r="37" spans="7:9" x14ac:dyDescent="0.25">
      <c r="G37" s="13" t="s">
        <v>176</v>
      </c>
      <c r="H37" s="13" t="s">
        <v>178</v>
      </c>
      <c r="I37" s="13" t="s">
        <v>167</v>
      </c>
    </row>
    <row r="38" spans="7:9" x14ac:dyDescent="0.25">
      <c r="G38" s="13" t="s">
        <v>177</v>
      </c>
      <c r="H38" s="13" t="s">
        <v>180</v>
      </c>
      <c r="I38" s="13" t="s">
        <v>167</v>
      </c>
    </row>
    <row r="39" spans="7:9" x14ac:dyDescent="0.25">
      <c r="G39" s="13" t="s">
        <v>179</v>
      </c>
      <c r="H39" s="13" t="s">
        <v>181</v>
      </c>
      <c r="I39" s="13" t="s">
        <v>167</v>
      </c>
    </row>
    <row r="41" spans="7:9" x14ac:dyDescent="0.25">
      <c r="G41" s="13" t="s">
        <v>119</v>
      </c>
      <c r="H41" s="13" t="s">
        <v>122</v>
      </c>
      <c r="I41" s="13" t="s">
        <v>166</v>
      </c>
    </row>
    <row r="42" spans="7:9" x14ac:dyDescent="0.25">
      <c r="G42" s="13" t="s">
        <v>120</v>
      </c>
      <c r="H42" s="13" t="s">
        <v>147</v>
      </c>
      <c r="I42" s="13" t="s">
        <v>166</v>
      </c>
    </row>
    <row r="43" spans="7:9" x14ac:dyDescent="0.25">
      <c r="G43" s="13" t="s">
        <v>149</v>
      </c>
      <c r="H43" s="13" t="s">
        <v>121</v>
      </c>
      <c r="I43" s="13" t="s">
        <v>166</v>
      </c>
    </row>
    <row r="44" spans="7:9" x14ac:dyDescent="0.25">
      <c r="G44" s="13" t="s">
        <v>123</v>
      </c>
      <c r="H44" s="13" t="s">
        <v>126</v>
      </c>
      <c r="I44" s="13" t="s">
        <v>166</v>
      </c>
    </row>
    <row r="45" spans="7:9" x14ac:dyDescent="0.25">
      <c r="G45" s="13" t="s">
        <v>124</v>
      </c>
      <c r="H45" s="13" t="s">
        <v>150</v>
      </c>
      <c r="I45" s="13" t="s">
        <v>166</v>
      </c>
    </row>
    <row r="46" spans="7:9" x14ac:dyDescent="0.25">
      <c r="G46" s="13" t="s">
        <v>152</v>
      </c>
      <c r="H46" s="13" t="s">
        <v>125</v>
      </c>
      <c r="I46" s="13" t="s">
        <v>166</v>
      </c>
    </row>
    <row r="47" spans="7:9" x14ac:dyDescent="0.25">
      <c r="G47" s="13" t="s">
        <v>153</v>
      </c>
      <c r="H47" s="13" t="s">
        <v>158</v>
      </c>
      <c r="I47" s="13" t="s">
        <v>166</v>
      </c>
    </row>
    <row r="48" spans="7:9" x14ac:dyDescent="0.25">
      <c r="G48" s="13" t="s">
        <v>154</v>
      </c>
      <c r="H48" s="13" t="s">
        <v>155</v>
      </c>
      <c r="I48" s="13" t="s">
        <v>166</v>
      </c>
    </row>
    <row r="49" spans="7:9" x14ac:dyDescent="0.25">
      <c r="G49" s="13" t="s">
        <v>156</v>
      </c>
      <c r="H49" s="13" t="s">
        <v>157</v>
      </c>
      <c r="I49" s="13" t="s">
        <v>166</v>
      </c>
    </row>
    <row r="51" spans="7:9" x14ac:dyDescent="0.25">
      <c r="G51" s="13" t="s">
        <v>159</v>
      </c>
      <c r="H51" s="13" t="s">
        <v>162</v>
      </c>
      <c r="I51" s="13" t="s">
        <v>167</v>
      </c>
    </row>
    <row r="52" spans="7:9" x14ac:dyDescent="0.25">
      <c r="G52" s="13" t="s">
        <v>160</v>
      </c>
      <c r="H52" s="13" t="s">
        <v>163</v>
      </c>
      <c r="I52" s="13" t="s">
        <v>167</v>
      </c>
    </row>
    <row r="53" spans="7:9" x14ac:dyDescent="0.25">
      <c r="G53" s="13" t="s">
        <v>165</v>
      </c>
      <c r="H53" s="13" t="s">
        <v>161</v>
      </c>
      <c r="I53" s="13" t="s">
        <v>167</v>
      </c>
    </row>
    <row r="54" spans="7:9" x14ac:dyDescent="0.25">
      <c r="G54" s="13" t="s">
        <v>170</v>
      </c>
      <c r="H54" s="13" t="s">
        <v>173</v>
      </c>
      <c r="I54" s="13" t="s">
        <v>167</v>
      </c>
    </row>
    <row r="55" spans="7:9" x14ac:dyDescent="0.25">
      <c r="G55" s="13" t="s">
        <v>171</v>
      </c>
      <c r="H55" s="13" t="s">
        <v>174</v>
      </c>
      <c r="I55" s="13" t="s">
        <v>167</v>
      </c>
    </row>
    <row r="56" spans="7:9" x14ac:dyDescent="0.25">
      <c r="G56" s="13" t="s">
        <v>182</v>
      </c>
      <c r="H56" s="13" t="s">
        <v>172</v>
      </c>
      <c r="I56" s="13" t="s">
        <v>167</v>
      </c>
    </row>
    <row r="57" spans="7:9" x14ac:dyDescent="0.25">
      <c r="G57" s="13" t="s">
        <v>176</v>
      </c>
      <c r="H57" s="13" t="s">
        <v>181</v>
      </c>
      <c r="I57" s="13" t="s">
        <v>167</v>
      </c>
    </row>
    <row r="58" spans="7:9" x14ac:dyDescent="0.25">
      <c r="G58" s="13" t="s">
        <v>177</v>
      </c>
      <c r="H58" s="13" t="s">
        <v>178</v>
      </c>
      <c r="I58" s="13" t="s">
        <v>167</v>
      </c>
    </row>
    <row r="59" spans="7:9" x14ac:dyDescent="0.25">
      <c r="G59" s="13" t="s">
        <v>179</v>
      </c>
      <c r="H59" s="13" t="s">
        <v>180</v>
      </c>
      <c r="I59" s="13" t="s">
        <v>167</v>
      </c>
    </row>
    <row r="61" spans="7:9" x14ac:dyDescent="0.25">
      <c r="G61" s="13" t="s">
        <v>119</v>
      </c>
      <c r="H61" s="13" t="s">
        <v>147</v>
      </c>
      <c r="I61" s="13" t="s">
        <v>166</v>
      </c>
    </row>
    <row r="62" spans="7:9" x14ac:dyDescent="0.25">
      <c r="G62" s="13" t="s">
        <v>148</v>
      </c>
      <c r="H62" s="13" t="s">
        <v>121</v>
      </c>
      <c r="I62" s="13" t="s">
        <v>166</v>
      </c>
    </row>
    <row r="63" spans="7:9" x14ac:dyDescent="0.25">
      <c r="G63" s="13" t="s">
        <v>120</v>
      </c>
      <c r="H63" s="13" t="s">
        <v>149</v>
      </c>
      <c r="I63" s="13" t="s">
        <v>166</v>
      </c>
    </row>
    <row r="64" spans="7:9" x14ac:dyDescent="0.25">
      <c r="G64" s="13" t="s">
        <v>123</v>
      </c>
      <c r="H64" s="13" t="s">
        <v>150</v>
      </c>
      <c r="I64" s="13" t="s">
        <v>166</v>
      </c>
    </row>
    <row r="65" spans="7:9" x14ac:dyDescent="0.25">
      <c r="G65" s="13" t="s">
        <v>151</v>
      </c>
      <c r="H65" s="13" t="s">
        <v>125</v>
      </c>
      <c r="I65" s="13" t="s">
        <v>166</v>
      </c>
    </row>
    <row r="66" spans="7:9" x14ac:dyDescent="0.25">
      <c r="G66" s="13" t="s">
        <v>124</v>
      </c>
      <c r="H66" s="13" t="s">
        <v>152</v>
      </c>
      <c r="I66" s="13" t="s">
        <v>166</v>
      </c>
    </row>
    <row r="67" spans="7:9" x14ac:dyDescent="0.25">
      <c r="G67" s="13" t="s">
        <v>153</v>
      </c>
      <c r="H67" s="13" t="s">
        <v>156</v>
      </c>
      <c r="I67" s="13" t="s">
        <v>166</v>
      </c>
    </row>
    <row r="68" spans="7:9" x14ac:dyDescent="0.25">
      <c r="G68" s="13" t="s">
        <v>154</v>
      </c>
      <c r="H68" s="13" t="s">
        <v>158</v>
      </c>
      <c r="I68" s="13" t="s">
        <v>166</v>
      </c>
    </row>
    <row r="69" spans="7:9" x14ac:dyDescent="0.25">
      <c r="G69" s="13" t="s">
        <v>155</v>
      </c>
      <c r="H69" s="13" t="s">
        <v>157</v>
      </c>
      <c r="I69" s="13" t="s">
        <v>166</v>
      </c>
    </row>
    <row r="71" spans="7:9" x14ac:dyDescent="0.25">
      <c r="G71" s="13" t="s">
        <v>159</v>
      </c>
      <c r="H71" s="13" t="s">
        <v>163</v>
      </c>
      <c r="I71" s="13" t="s">
        <v>167</v>
      </c>
    </row>
    <row r="72" spans="7:9" x14ac:dyDescent="0.25">
      <c r="G72" s="13" t="s">
        <v>164</v>
      </c>
      <c r="H72" s="13" t="s">
        <v>161</v>
      </c>
      <c r="I72" s="13" t="s">
        <v>167</v>
      </c>
    </row>
    <row r="73" spans="7:9" x14ac:dyDescent="0.25">
      <c r="G73" s="13" t="s">
        <v>160</v>
      </c>
      <c r="H73" s="13" t="s">
        <v>165</v>
      </c>
      <c r="I73" s="13" t="s">
        <v>167</v>
      </c>
    </row>
    <row r="74" spans="7:9" x14ac:dyDescent="0.25">
      <c r="G74" s="13" t="s">
        <v>170</v>
      </c>
      <c r="H74" s="13" t="s">
        <v>174</v>
      </c>
      <c r="I74" s="13" t="s">
        <v>167</v>
      </c>
    </row>
    <row r="75" spans="7:9" x14ac:dyDescent="0.25">
      <c r="G75" s="13" t="s">
        <v>175</v>
      </c>
      <c r="H75" s="13" t="s">
        <v>172</v>
      </c>
      <c r="I75" s="13" t="s">
        <v>167</v>
      </c>
    </row>
    <row r="76" spans="7:9" x14ac:dyDescent="0.25">
      <c r="G76" s="13" t="s">
        <v>171</v>
      </c>
      <c r="H76" s="13" t="s">
        <v>182</v>
      </c>
      <c r="I76" s="13" t="s">
        <v>167</v>
      </c>
    </row>
    <row r="77" spans="7:9" x14ac:dyDescent="0.25">
      <c r="G77" s="13" t="s">
        <v>176</v>
      </c>
      <c r="H77" s="13" t="s">
        <v>179</v>
      </c>
      <c r="I77" s="13" t="s">
        <v>167</v>
      </c>
    </row>
    <row r="78" spans="7:9" x14ac:dyDescent="0.25">
      <c r="G78" s="13" t="s">
        <v>177</v>
      </c>
      <c r="H78" s="13" t="s">
        <v>181</v>
      </c>
      <c r="I78" s="13" t="s">
        <v>167</v>
      </c>
    </row>
    <row r="79" spans="7:9" x14ac:dyDescent="0.25">
      <c r="G79" s="13" t="s">
        <v>178</v>
      </c>
      <c r="H79" s="13" t="s">
        <v>180</v>
      </c>
      <c r="I79" s="13" t="s">
        <v>167</v>
      </c>
    </row>
    <row r="81" spans="7:9" x14ac:dyDescent="0.25">
      <c r="G81" s="13" t="s">
        <v>121</v>
      </c>
      <c r="H81" s="13" t="s">
        <v>147</v>
      </c>
      <c r="I81" s="13" t="s">
        <v>166</v>
      </c>
    </row>
    <row r="82" spans="7:9" x14ac:dyDescent="0.25">
      <c r="G82" s="13" t="s">
        <v>120</v>
      </c>
      <c r="H82" s="13" t="s">
        <v>148</v>
      </c>
      <c r="I82" s="13" t="s">
        <v>166</v>
      </c>
    </row>
    <row r="83" spans="7:9" x14ac:dyDescent="0.25">
      <c r="G83" s="13" t="s">
        <v>122</v>
      </c>
      <c r="H83" s="13" t="s">
        <v>149</v>
      </c>
      <c r="I83" s="13" t="s">
        <v>166</v>
      </c>
    </row>
    <row r="84" spans="7:9" x14ac:dyDescent="0.25">
      <c r="G84" s="13" t="s">
        <v>125</v>
      </c>
      <c r="H84" s="13" t="s">
        <v>150</v>
      </c>
      <c r="I84" s="13" t="s">
        <v>166</v>
      </c>
    </row>
    <row r="85" spans="7:9" x14ac:dyDescent="0.25">
      <c r="G85" s="13" t="s">
        <v>124</v>
      </c>
      <c r="H85" s="13" t="s">
        <v>151</v>
      </c>
      <c r="I85" s="13" t="s">
        <v>166</v>
      </c>
    </row>
    <row r="86" spans="7:9" x14ac:dyDescent="0.25">
      <c r="G86" s="13" t="s">
        <v>126</v>
      </c>
      <c r="H86" s="13" t="s">
        <v>152</v>
      </c>
      <c r="I86" s="13" t="s">
        <v>166</v>
      </c>
    </row>
    <row r="87" spans="7:9" x14ac:dyDescent="0.25">
      <c r="G87" s="13" t="s">
        <v>153</v>
      </c>
      <c r="H87" s="13" t="s">
        <v>157</v>
      </c>
      <c r="I87" s="13" t="s">
        <v>166</v>
      </c>
    </row>
    <row r="88" spans="7:9" x14ac:dyDescent="0.25">
      <c r="G88" s="13" t="s">
        <v>154</v>
      </c>
      <c r="H88" s="13" t="s">
        <v>156</v>
      </c>
      <c r="I88" s="13" t="s">
        <v>166</v>
      </c>
    </row>
    <row r="89" spans="7:9" x14ac:dyDescent="0.25">
      <c r="G89" s="13" t="s">
        <v>155</v>
      </c>
      <c r="H89" s="13" t="s">
        <v>158</v>
      </c>
      <c r="I89" s="13" t="s">
        <v>166</v>
      </c>
    </row>
    <row r="91" spans="7:9" x14ac:dyDescent="0.25">
      <c r="G91" s="13" t="s">
        <v>161</v>
      </c>
      <c r="H91" s="13" t="s">
        <v>163</v>
      </c>
      <c r="I91" s="13" t="s">
        <v>167</v>
      </c>
    </row>
    <row r="92" spans="7:9" x14ac:dyDescent="0.25">
      <c r="G92" s="13" t="s">
        <v>160</v>
      </c>
      <c r="H92" s="13" t="s">
        <v>164</v>
      </c>
      <c r="I92" s="13" t="s">
        <v>167</v>
      </c>
    </row>
    <row r="93" spans="7:9" x14ac:dyDescent="0.25">
      <c r="G93" s="13" t="s">
        <v>162</v>
      </c>
      <c r="H93" s="13" t="s">
        <v>165</v>
      </c>
      <c r="I93" s="13" t="s">
        <v>167</v>
      </c>
    </row>
    <row r="94" spans="7:9" x14ac:dyDescent="0.25">
      <c r="G94" s="13" t="s">
        <v>172</v>
      </c>
      <c r="H94" s="13" t="s">
        <v>174</v>
      </c>
      <c r="I94" s="13" t="s">
        <v>167</v>
      </c>
    </row>
    <row r="95" spans="7:9" x14ac:dyDescent="0.25">
      <c r="G95" s="13" t="s">
        <v>171</v>
      </c>
      <c r="H95" s="13" t="s">
        <v>175</v>
      </c>
      <c r="I95" s="13" t="s">
        <v>167</v>
      </c>
    </row>
    <row r="96" spans="7:9" x14ac:dyDescent="0.25">
      <c r="G96" s="13" t="s">
        <v>173</v>
      </c>
      <c r="H96" s="13" t="s">
        <v>182</v>
      </c>
      <c r="I96" s="13" t="s">
        <v>167</v>
      </c>
    </row>
    <row r="97" spans="7:9" x14ac:dyDescent="0.25">
      <c r="G97" s="13" t="s">
        <v>176</v>
      </c>
      <c r="H97" s="13" t="s">
        <v>180</v>
      </c>
      <c r="I97" s="13" t="s">
        <v>167</v>
      </c>
    </row>
    <row r="98" spans="7:9" x14ac:dyDescent="0.25">
      <c r="G98" s="13" t="s">
        <v>177</v>
      </c>
      <c r="H98" s="13" t="s">
        <v>179</v>
      </c>
      <c r="I98" s="13" t="s">
        <v>167</v>
      </c>
    </row>
    <row r="99" spans="7:9" x14ac:dyDescent="0.25">
      <c r="G99" s="13" t="s">
        <v>178</v>
      </c>
      <c r="H99" s="13" t="s">
        <v>181</v>
      </c>
      <c r="I99" s="13" t="s">
        <v>167</v>
      </c>
    </row>
    <row r="101" spans="7:9" x14ac:dyDescent="0.25">
      <c r="G101" s="13" t="s">
        <v>119</v>
      </c>
      <c r="H101" s="13" t="s">
        <v>148</v>
      </c>
      <c r="I101" s="13" t="s">
        <v>166</v>
      </c>
    </row>
    <row r="102" spans="7:9" x14ac:dyDescent="0.25">
      <c r="G102" s="13" t="s">
        <v>120</v>
      </c>
      <c r="H102" s="13" t="s">
        <v>122</v>
      </c>
      <c r="I102" s="13" t="s">
        <v>166</v>
      </c>
    </row>
    <row r="103" spans="7:9" x14ac:dyDescent="0.25">
      <c r="G103" s="13" t="s">
        <v>147</v>
      </c>
      <c r="H103" s="13" t="s">
        <v>149</v>
      </c>
      <c r="I103" s="13" t="s">
        <v>166</v>
      </c>
    </row>
    <row r="104" spans="7:9" x14ac:dyDescent="0.25">
      <c r="G104" s="13" t="s">
        <v>123</v>
      </c>
      <c r="H104" s="13" t="s">
        <v>151</v>
      </c>
      <c r="I104" s="13" t="s">
        <v>166</v>
      </c>
    </row>
    <row r="105" spans="7:9" x14ac:dyDescent="0.25">
      <c r="G105" s="13" t="s">
        <v>124</v>
      </c>
      <c r="H105" s="13" t="s">
        <v>126</v>
      </c>
      <c r="I105" s="13" t="s">
        <v>166</v>
      </c>
    </row>
    <row r="106" spans="7:9" x14ac:dyDescent="0.25">
      <c r="G106" s="13" t="s">
        <v>150</v>
      </c>
      <c r="H106" s="13" t="s">
        <v>152</v>
      </c>
      <c r="I106" s="13" t="s">
        <v>166</v>
      </c>
    </row>
    <row r="107" spans="7:9" x14ac:dyDescent="0.25">
      <c r="G107" s="13" t="s">
        <v>159</v>
      </c>
      <c r="H107" s="13" t="s">
        <v>164</v>
      </c>
      <c r="I107" s="13" t="s">
        <v>167</v>
      </c>
    </row>
    <row r="108" spans="7:9" x14ac:dyDescent="0.25">
      <c r="G108" s="13" t="s">
        <v>160</v>
      </c>
      <c r="H108" s="13" t="s">
        <v>162</v>
      </c>
      <c r="I108" s="13" t="s">
        <v>167</v>
      </c>
    </row>
    <row r="109" spans="7:9" x14ac:dyDescent="0.25">
      <c r="G109" s="13" t="s">
        <v>163</v>
      </c>
      <c r="H109" s="13" t="s">
        <v>165</v>
      </c>
      <c r="I109" s="13" t="s">
        <v>167</v>
      </c>
    </row>
    <row r="111" spans="7:9" x14ac:dyDescent="0.25">
      <c r="G111" s="13" t="s">
        <v>170</v>
      </c>
      <c r="H111" s="13" t="s">
        <v>182</v>
      </c>
      <c r="I111" s="13" t="s">
        <v>167</v>
      </c>
    </row>
    <row r="112" spans="7:9" x14ac:dyDescent="0.25">
      <c r="G112" s="13" t="s">
        <v>171</v>
      </c>
      <c r="H112" s="13" t="s">
        <v>172</v>
      </c>
      <c r="I112" s="13" t="s">
        <v>167</v>
      </c>
    </row>
    <row r="113" spans="7:9" x14ac:dyDescent="0.25">
      <c r="G113" s="13" t="s">
        <v>173</v>
      </c>
      <c r="H113" s="13" t="s">
        <v>175</v>
      </c>
      <c r="I113" s="13" t="s">
        <v>167</v>
      </c>
    </row>
    <row r="114" spans="7:9" x14ac:dyDescent="0.25">
      <c r="G114" s="13" t="s">
        <v>183</v>
      </c>
      <c r="H114" s="13" t="s">
        <v>183</v>
      </c>
    </row>
    <row r="115" spans="7:9" x14ac:dyDescent="0.25">
      <c r="G115" s="13" t="s">
        <v>183</v>
      </c>
      <c r="H115" s="13" t="s">
        <v>183</v>
      </c>
    </row>
    <row r="116" spans="7:9" x14ac:dyDescent="0.25">
      <c r="G116" s="13" t="s">
        <v>183</v>
      </c>
      <c r="H116" s="13" t="s">
        <v>183</v>
      </c>
    </row>
    <row r="117" spans="7:9" x14ac:dyDescent="0.25">
      <c r="G117" s="13" t="s">
        <v>183</v>
      </c>
      <c r="H117" s="13" t="s">
        <v>183</v>
      </c>
    </row>
    <row r="118" spans="7:9" x14ac:dyDescent="0.25">
      <c r="G118" s="13" t="s">
        <v>183</v>
      </c>
      <c r="H118" s="13" t="s">
        <v>183</v>
      </c>
    </row>
    <row r="119" spans="7:9" x14ac:dyDescent="0.25">
      <c r="G119" s="13" t="s">
        <v>183</v>
      </c>
      <c r="H119" s="13" t="s">
        <v>183</v>
      </c>
    </row>
    <row r="121" spans="7:9" x14ac:dyDescent="0.25">
      <c r="G121" s="13" t="s">
        <v>119</v>
      </c>
      <c r="H121" s="13" t="s">
        <v>149</v>
      </c>
      <c r="I121" s="13" t="s">
        <v>166</v>
      </c>
    </row>
    <row r="122" spans="7:9" x14ac:dyDescent="0.25">
      <c r="G122" s="13" t="s">
        <v>120</v>
      </c>
      <c r="H122" s="13" t="s">
        <v>121</v>
      </c>
      <c r="I122" s="13" t="s">
        <v>166</v>
      </c>
    </row>
    <row r="123" spans="7:9" x14ac:dyDescent="0.25">
      <c r="G123" s="13" t="s">
        <v>122</v>
      </c>
      <c r="H123" s="13" t="s">
        <v>148</v>
      </c>
      <c r="I123" s="13" t="s">
        <v>166</v>
      </c>
    </row>
    <row r="124" spans="7:9" x14ac:dyDescent="0.25">
      <c r="G124" s="13" t="s">
        <v>123</v>
      </c>
      <c r="H124" s="13" t="s">
        <v>152</v>
      </c>
      <c r="I124" s="13" t="s">
        <v>166</v>
      </c>
    </row>
    <row r="125" spans="7:9" x14ac:dyDescent="0.25">
      <c r="G125" s="13" t="s">
        <v>124</v>
      </c>
      <c r="H125" s="13" t="s">
        <v>125</v>
      </c>
      <c r="I125" s="13" t="s">
        <v>166</v>
      </c>
    </row>
    <row r="126" spans="7:9" x14ac:dyDescent="0.25">
      <c r="G126" s="13" t="s">
        <v>126</v>
      </c>
      <c r="H126" s="13" t="s">
        <v>151</v>
      </c>
      <c r="I126" s="13" t="s">
        <v>166</v>
      </c>
    </row>
    <row r="127" spans="7:9" x14ac:dyDescent="0.25">
      <c r="G127" s="13" t="s">
        <v>159</v>
      </c>
      <c r="H127" s="13" t="s">
        <v>165</v>
      </c>
      <c r="I127" s="13" t="s">
        <v>167</v>
      </c>
    </row>
    <row r="128" spans="7:9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170</v>
      </c>
      <c r="H131" s="13" t="s">
        <v>175</v>
      </c>
      <c r="I131" s="13" t="s">
        <v>167</v>
      </c>
    </row>
    <row r="132" spans="7:9" x14ac:dyDescent="0.25">
      <c r="G132" s="13" t="s">
        <v>171</v>
      </c>
      <c r="H132" s="13" t="s">
        <v>173</v>
      </c>
      <c r="I132" s="13" t="s">
        <v>167</v>
      </c>
    </row>
    <row r="133" spans="7:9" x14ac:dyDescent="0.25">
      <c r="G133" s="13" t="s">
        <v>174</v>
      </c>
      <c r="H133" s="13" t="s">
        <v>182</v>
      </c>
      <c r="I133" s="13" t="s">
        <v>167</v>
      </c>
    </row>
    <row r="134" spans="7:9" x14ac:dyDescent="0.25">
      <c r="G134" s="13" t="s">
        <v>183</v>
      </c>
      <c r="H134" s="13" t="s">
        <v>183</v>
      </c>
    </row>
    <row r="135" spans="7:9" x14ac:dyDescent="0.25">
      <c r="G135" s="13" t="s">
        <v>183</v>
      </c>
      <c r="H135" s="13" t="s">
        <v>183</v>
      </c>
    </row>
    <row r="136" spans="7:9" x14ac:dyDescent="0.25">
      <c r="G136" s="13" t="s">
        <v>183</v>
      </c>
      <c r="H136" s="13" t="s">
        <v>183</v>
      </c>
    </row>
    <row r="137" spans="7:9" x14ac:dyDescent="0.25">
      <c r="G137" s="13" t="s">
        <v>183</v>
      </c>
      <c r="H137" s="13" t="s">
        <v>183</v>
      </c>
    </row>
    <row r="138" spans="7:9" x14ac:dyDescent="0.25">
      <c r="G138" s="13" t="s">
        <v>183</v>
      </c>
      <c r="H138" s="13" t="s">
        <v>183</v>
      </c>
    </row>
    <row r="139" spans="7:9" x14ac:dyDescent="0.25">
      <c r="G139" s="13" t="s">
        <v>183</v>
      </c>
      <c r="H139" s="13" t="s">
        <v>183</v>
      </c>
    </row>
  </sheetData>
  <sheetProtection selectLockedCells="1"/>
  <dataValidations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56" t="s">
        <v>58</v>
      </c>
      <c r="C2" s="157"/>
      <c r="D2" s="157"/>
      <c r="E2" s="157"/>
      <c r="F2" s="157"/>
      <c r="G2" s="157"/>
      <c r="H2" s="157"/>
      <c r="I2" s="158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55" t="s">
        <v>70</v>
      </c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55" t="s">
        <v>78</v>
      </c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55" t="s">
        <v>81</v>
      </c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55" t="s">
        <v>82</v>
      </c>
      <c r="C51" s="155"/>
      <c r="D51" s="155"/>
      <c r="E51" s="155"/>
      <c r="F51" s="155"/>
      <c r="G51" s="155"/>
      <c r="H51" s="155"/>
      <c r="I51" s="155"/>
      <c r="J51" s="155"/>
      <c r="K51" s="155"/>
      <c r="L51" s="155"/>
      <c r="M51" s="155"/>
      <c r="N51" s="155"/>
      <c r="O51" s="155"/>
      <c r="P51" s="155"/>
      <c r="Q51" s="155"/>
      <c r="R51" s="155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55" t="s">
        <v>83</v>
      </c>
      <c r="C63" s="155"/>
      <c r="D63" s="155"/>
      <c r="E63" s="155"/>
      <c r="F63" s="155"/>
      <c r="G63" s="155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55" t="s">
        <v>86</v>
      </c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5"/>
      <c r="O76" s="155"/>
      <c r="P76" s="155"/>
      <c r="Q76" s="155"/>
      <c r="R76" s="155"/>
      <c r="S76" s="155"/>
      <c r="T76" s="155"/>
      <c r="U76" s="155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55" t="s">
        <v>87</v>
      </c>
      <c r="C88" s="155"/>
      <c r="D88" s="155"/>
      <c r="E88" s="155"/>
      <c r="F88" s="155"/>
      <c r="G88" s="155"/>
      <c r="H88" s="155"/>
      <c r="I88" s="155"/>
      <c r="J88" s="155"/>
      <c r="K88" s="155"/>
      <c r="L88" s="155"/>
      <c r="M88" s="155"/>
      <c r="N88" s="155"/>
      <c r="O88" s="155"/>
      <c r="P88" s="155"/>
      <c r="Q88" s="155"/>
      <c r="R88" s="155"/>
    </row>
    <row r="89" spans="1:21" x14ac:dyDescent="0.25">
      <c r="A89" s="2"/>
      <c r="B89" s="159"/>
      <c r="C89" s="159"/>
      <c r="D89" s="159"/>
      <c r="E89" s="159"/>
      <c r="F89" s="159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55" t="s">
        <v>92</v>
      </c>
      <c r="C103" s="155"/>
      <c r="D103" s="155"/>
      <c r="E103" s="155"/>
      <c r="F103" s="155"/>
      <c r="G103" s="155"/>
      <c r="H103" s="155"/>
      <c r="I103" s="155"/>
      <c r="J103" s="155"/>
      <c r="K103" s="155"/>
      <c r="L103" s="155"/>
      <c r="M103" s="155"/>
      <c r="N103" s="155"/>
      <c r="O103" s="155"/>
      <c r="P103" s="155"/>
      <c r="Q103" s="155"/>
      <c r="R103" s="155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56" t="s">
        <v>93</v>
      </c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/>
      <c r="P117" s="158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56" t="s">
        <v>97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8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55" t="s">
        <v>99</v>
      </c>
      <c r="C146" s="155"/>
      <c r="D146" s="155"/>
      <c r="E146" s="155"/>
      <c r="F146" s="155"/>
      <c r="G146" s="155"/>
      <c r="H146" s="155"/>
      <c r="I146" s="155"/>
      <c r="J146" s="155"/>
      <c r="K146" s="155"/>
      <c r="L146" s="155"/>
      <c r="M146" s="155"/>
      <c r="N146" s="155"/>
      <c r="O146" s="155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55" t="s">
        <v>100</v>
      </c>
      <c r="C162" s="155"/>
      <c r="D162" s="155"/>
      <c r="E162" s="155"/>
      <c r="F162" s="155"/>
      <c r="G162" s="155"/>
      <c r="H162" s="155"/>
      <c r="I162" s="155"/>
      <c r="J162" s="155"/>
      <c r="K162" s="155"/>
      <c r="L162" s="155"/>
      <c r="M162" s="155"/>
      <c r="N162" s="155"/>
      <c r="O162" s="155"/>
      <c r="P162" s="155"/>
      <c r="Q162" s="155"/>
      <c r="R162" s="155"/>
      <c r="S162" s="155"/>
      <c r="T162" s="155"/>
      <c r="U162" s="155"/>
      <c r="V162" s="155"/>
      <c r="W162" s="155"/>
      <c r="X162" s="155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55" t="s">
        <v>103</v>
      </c>
      <c r="C177" s="155"/>
      <c r="D177" s="155"/>
      <c r="E177" s="155"/>
      <c r="F177" s="155"/>
      <c r="G177" s="155"/>
      <c r="H177" s="155"/>
      <c r="I177" s="155"/>
      <c r="J177" s="155"/>
      <c r="K177" s="155"/>
      <c r="L177" s="155"/>
      <c r="M177" s="155"/>
      <c r="N177" s="155"/>
      <c r="O177" s="155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55" t="s">
        <v>105</v>
      </c>
      <c r="C194" s="155"/>
      <c r="D194" s="155"/>
      <c r="E194" s="155"/>
      <c r="F194" s="155"/>
      <c r="G194" s="155"/>
      <c r="H194" s="155"/>
      <c r="I194" s="155"/>
      <c r="J194" s="155"/>
      <c r="K194" s="155"/>
      <c r="L194" s="155"/>
      <c r="M194" s="155"/>
      <c r="N194" s="155"/>
      <c r="O194" s="155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55" t="s">
        <v>106</v>
      </c>
      <c r="C210" s="155"/>
      <c r="D210" s="155"/>
      <c r="E210" s="155"/>
      <c r="F210" s="155"/>
      <c r="G210" s="155"/>
      <c r="H210" s="155"/>
      <c r="I210" s="155"/>
      <c r="J210" s="155"/>
      <c r="K210" s="155"/>
      <c r="L210" s="155"/>
      <c r="M210" s="155"/>
      <c r="N210" s="155"/>
      <c r="O210" s="155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56" t="s">
        <v>107</v>
      </c>
      <c r="C228" s="157"/>
      <c r="D228" s="157"/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8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55" t="s">
        <v>108</v>
      </c>
      <c r="C246" s="155"/>
      <c r="D246" s="155"/>
      <c r="E246" s="155"/>
      <c r="F246" s="155"/>
      <c r="G246" s="155"/>
      <c r="H246" s="155"/>
      <c r="I246" s="155"/>
      <c r="J246" s="155"/>
      <c r="K246" s="155"/>
      <c r="L246" s="155"/>
      <c r="M246" s="155"/>
      <c r="N246" s="155"/>
      <c r="O246" s="155"/>
      <c r="P246" s="155"/>
      <c r="Q246" s="155"/>
      <c r="R246" s="155"/>
      <c r="S246" s="155"/>
      <c r="T246" s="155"/>
      <c r="U246" s="155"/>
      <c r="V246" s="155"/>
      <c r="W246" s="155"/>
      <c r="X246" s="155"/>
      <c r="Y246" s="155"/>
      <c r="Z246" s="155"/>
      <c r="AA246" s="155"/>
      <c r="AB246" s="155"/>
      <c r="AC246" s="155"/>
      <c r="AD246" s="155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55" t="s">
        <v>110</v>
      </c>
      <c r="C261" s="155"/>
      <c r="D261" s="155"/>
      <c r="E261" s="155"/>
      <c r="F261" s="155"/>
      <c r="G261" s="155"/>
      <c r="H261" s="155"/>
      <c r="I261" s="155"/>
      <c r="J261" s="155"/>
      <c r="K261" s="155"/>
      <c r="L261" s="155"/>
      <c r="M261" s="155"/>
      <c r="N261" s="155"/>
      <c r="O261" s="155"/>
      <c r="P261" s="155"/>
      <c r="Q261" s="155"/>
      <c r="R261" s="155"/>
      <c r="S261" s="155"/>
      <c r="T261" s="155"/>
      <c r="U261" s="155"/>
      <c r="V261" s="155"/>
      <c r="W261" s="155"/>
      <c r="X261" s="155"/>
      <c r="Y261" s="155"/>
      <c r="Z261" s="155"/>
      <c r="AA261" s="155"/>
      <c r="AB261" s="155"/>
      <c r="AC261" s="155"/>
      <c r="AD261" s="155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55" t="s">
        <v>111</v>
      </c>
      <c r="C277" s="155"/>
      <c r="D277" s="155"/>
      <c r="E277" s="155"/>
      <c r="F277" s="155"/>
      <c r="G277" s="155"/>
      <c r="H277" s="155"/>
      <c r="I277" s="155"/>
      <c r="J277" s="155"/>
      <c r="K277" s="155"/>
      <c r="L277" s="155"/>
      <c r="M277" s="155"/>
      <c r="N277" s="155"/>
      <c r="O277" s="155"/>
      <c r="P277" s="155"/>
      <c r="Q277" s="155"/>
      <c r="R277" s="155"/>
      <c r="S277" s="155"/>
      <c r="T277" s="155"/>
      <c r="U277" s="155"/>
      <c r="V277" s="155"/>
      <c r="W277" s="155"/>
      <c r="X277" s="155"/>
      <c r="Y277" s="155"/>
      <c r="Z277" s="155"/>
      <c r="AA277" s="155"/>
      <c r="AB277" s="155"/>
      <c r="AC277" s="155"/>
      <c r="AD277" s="155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55" t="s">
        <v>112</v>
      </c>
      <c r="C294" s="155"/>
      <c r="D294" s="155"/>
      <c r="E294" s="155"/>
      <c r="F294" s="155"/>
      <c r="G294" s="155"/>
      <c r="H294" s="155"/>
      <c r="I294" s="155"/>
      <c r="J294" s="155"/>
      <c r="K294" s="155"/>
      <c r="L294" s="155"/>
      <c r="M294" s="155"/>
      <c r="N294" s="155"/>
      <c r="O294" s="155"/>
      <c r="P294" s="155"/>
      <c r="Q294" s="155"/>
      <c r="R294" s="155"/>
      <c r="S294" s="155"/>
      <c r="T294" s="155"/>
      <c r="U294" s="155"/>
      <c r="V294" s="155"/>
      <c r="W294" s="155"/>
      <c r="X294" s="155"/>
      <c r="Y294" s="155"/>
      <c r="Z294" s="155"/>
      <c r="AA294" s="155"/>
      <c r="AB294" s="155"/>
      <c r="AC294" s="155"/>
      <c r="AD294" s="155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55" t="s">
        <v>113</v>
      </c>
      <c r="C311" s="155"/>
      <c r="D311" s="155"/>
      <c r="E311" s="155"/>
      <c r="F311" s="155"/>
      <c r="G311" s="155"/>
      <c r="H311" s="155"/>
      <c r="I311" s="155"/>
      <c r="J311" s="155"/>
      <c r="K311" s="155"/>
      <c r="L311" s="155"/>
      <c r="M311" s="155"/>
      <c r="N311" s="155"/>
      <c r="O311" s="155"/>
      <c r="P311" s="155"/>
      <c r="Q311" s="155"/>
      <c r="R311" s="155"/>
      <c r="S311" s="155"/>
      <c r="T311" s="155"/>
      <c r="U311" s="155"/>
      <c r="V311" s="155"/>
      <c r="W311" s="155"/>
      <c r="X311" s="155"/>
      <c r="Y311" s="155"/>
      <c r="Z311" s="155"/>
      <c r="AA311" s="155"/>
      <c r="AB311" s="155"/>
      <c r="AC311" s="155"/>
      <c r="AD311" s="155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55" t="s">
        <v>114</v>
      </c>
      <c r="C329" s="155"/>
      <c r="D329" s="155"/>
      <c r="E329" s="155"/>
      <c r="F329" s="155"/>
      <c r="G329" s="155"/>
      <c r="H329" s="155"/>
      <c r="I329" s="155"/>
      <c r="J329" s="155"/>
      <c r="K329" s="155"/>
      <c r="L329" s="155"/>
      <c r="M329" s="155"/>
      <c r="N329" s="155"/>
      <c r="O329" s="155"/>
      <c r="P329" s="155"/>
      <c r="Q329" s="155"/>
      <c r="R329" s="155"/>
      <c r="S329" s="155"/>
      <c r="T329" s="155"/>
      <c r="U329" s="155"/>
      <c r="V329" s="155"/>
      <c r="W329" s="155"/>
      <c r="X329" s="155"/>
      <c r="Y329" s="155"/>
      <c r="Z329" s="155"/>
      <c r="AA329" s="155"/>
      <c r="AB329" s="155"/>
      <c r="AC329" s="155"/>
      <c r="AD329" s="155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55" t="s">
        <v>115</v>
      </c>
      <c r="C346" s="155"/>
      <c r="D346" s="155"/>
      <c r="E346" s="155"/>
      <c r="F346" s="155"/>
      <c r="G346" s="155"/>
      <c r="H346" s="155"/>
      <c r="I346" s="155"/>
      <c r="J346" s="155"/>
      <c r="K346" s="155"/>
      <c r="L346" s="155"/>
      <c r="M346" s="155"/>
      <c r="N346" s="155"/>
      <c r="O346" s="155"/>
      <c r="P346" s="155"/>
      <c r="Q346" s="155"/>
      <c r="R346" s="155"/>
      <c r="S346" s="155"/>
      <c r="T346" s="155"/>
      <c r="U346" s="155"/>
      <c r="V346" s="155"/>
      <c r="W346" s="155"/>
      <c r="X346" s="155"/>
      <c r="Y346" s="155"/>
      <c r="Z346" s="155"/>
      <c r="AA346" s="155"/>
      <c r="AB346" s="155"/>
      <c r="AC346" s="155"/>
      <c r="AD346" s="155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55" t="s">
        <v>117</v>
      </c>
      <c r="C365" s="155"/>
      <c r="D365" s="155"/>
      <c r="E365" s="155"/>
      <c r="F365" s="155"/>
      <c r="G365" s="155"/>
      <c r="H365" s="155"/>
      <c r="I365" s="155"/>
      <c r="J365" s="155"/>
      <c r="K365" s="155"/>
      <c r="L365" s="155"/>
      <c r="M365" s="155"/>
      <c r="N365" s="155"/>
      <c r="O365" s="155"/>
      <c r="P365" s="155"/>
      <c r="Q365" s="155"/>
      <c r="R365" s="155"/>
      <c r="S365" s="155"/>
      <c r="T365" s="155"/>
      <c r="U365" s="155"/>
      <c r="V365" s="155"/>
      <c r="W365" s="155"/>
      <c r="X365" s="155"/>
      <c r="Y365" s="155"/>
      <c r="Z365" s="155"/>
      <c r="AA365" s="155"/>
      <c r="AB365" s="155"/>
      <c r="AC365" s="155"/>
      <c r="AD365" s="155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201" t="s">
        <v>131</v>
      </c>
      <c r="B1" s="176"/>
      <c r="C1" s="176"/>
      <c r="D1" s="161"/>
      <c r="E1" s="161"/>
      <c r="F1" s="176"/>
      <c r="G1" s="176"/>
      <c r="H1" s="202"/>
      <c r="I1" s="203" t="s">
        <v>132</v>
      </c>
      <c r="J1" s="204"/>
      <c r="K1" s="205" t="s">
        <v>145</v>
      </c>
      <c r="L1" s="206"/>
      <c r="M1" s="160" t="s">
        <v>133</v>
      </c>
      <c r="N1" s="207"/>
      <c r="O1" s="160">
        <v>4</v>
      </c>
      <c r="P1" s="207"/>
    </row>
    <row r="2" spans="1:23" ht="15" customHeight="1" thickTop="1" x14ac:dyDescent="0.25">
      <c r="A2" s="160" t="s">
        <v>134</v>
      </c>
      <c r="B2" s="161"/>
      <c r="C2" s="161"/>
      <c r="D2" s="163" t="s">
        <v>135</v>
      </c>
      <c r="E2" s="164"/>
      <c r="F2" s="161" t="s">
        <v>136</v>
      </c>
      <c r="G2" s="161"/>
      <c r="H2" s="161"/>
      <c r="I2" s="169" t="s">
        <v>137</v>
      </c>
      <c r="J2" s="170"/>
      <c r="K2" s="170"/>
      <c r="L2" s="170"/>
      <c r="M2" s="170"/>
      <c r="N2" s="170"/>
      <c r="O2" s="170"/>
      <c r="P2" s="171"/>
      <c r="W2" t="s">
        <v>138</v>
      </c>
    </row>
    <row r="3" spans="1:23" ht="15" customHeight="1" thickBot="1" x14ac:dyDescent="0.3">
      <c r="A3" s="162"/>
      <c r="B3" s="159"/>
      <c r="C3" s="159"/>
      <c r="D3" s="165"/>
      <c r="E3" s="166"/>
      <c r="F3" s="159"/>
      <c r="G3" s="159"/>
      <c r="H3" s="159"/>
      <c r="I3" s="172"/>
      <c r="J3" s="173"/>
      <c r="K3" s="173"/>
      <c r="L3" s="173"/>
      <c r="M3" s="173"/>
      <c r="N3" s="173"/>
      <c r="O3" s="173"/>
      <c r="P3" s="174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65"/>
      <c r="E4" s="166"/>
      <c r="F4" s="4">
        <v>1</v>
      </c>
      <c r="G4" s="66">
        <v>31</v>
      </c>
      <c r="H4" s="67">
        <v>61</v>
      </c>
      <c r="I4" s="175" t="s">
        <v>139</v>
      </c>
      <c r="J4" s="176"/>
      <c r="K4" s="176"/>
      <c r="L4" s="176"/>
      <c r="M4" s="176"/>
      <c r="N4" s="176"/>
      <c r="O4" s="176"/>
      <c r="P4" s="177"/>
    </row>
    <row r="5" spans="1:23" x14ac:dyDescent="0.25">
      <c r="A5" s="68">
        <v>2</v>
      </c>
      <c r="B5" s="60">
        <v>32</v>
      </c>
      <c r="C5" s="69">
        <v>62</v>
      </c>
      <c r="D5" s="165"/>
      <c r="E5" s="166"/>
      <c r="F5" s="68">
        <v>2</v>
      </c>
      <c r="G5" s="60">
        <v>32</v>
      </c>
      <c r="H5" s="70">
        <v>62</v>
      </c>
      <c r="I5" s="209" t="s">
        <v>125</v>
      </c>
      <c r="J5" s="210"/>
      <c r="K5" s="210"/>
      <c r="L5" s="210"/>
      <c r="M5" s="210"/>
      <c r="N5" s="210"/>
      <c r="O5" s="210"/>
      <c r="P5" s="211"/>
    </row>
    <row r="6" spans="1:23" x14ac:dyDescent="0.25">
      <c r="A6" s="68">
        <v>3</v>
      </c>
      <c r="B6" s="60">
        <v>33</v>
      </c>
      <c r="C6" s="69">
        <v>63</v>
      </c>
      <c r="D6" s="165"/>
      <c r="E6" s="166"/>
      <c r="F6" s="68">
        <v>3</v>
      </c>
      <c r="G6" s="60">
        <v>33</v>
      </c>
      <c r="H6" s="70">
        <v>63</v>
      </c>
      <c r="I6" s="196"/>
      <c r="J6" s="197"/>
      <c r="K6" s="197"/>
      <c r="L6" s="197"/>
      <c r="M6" s="197"/>
      <c r="N6" s="197"/>
      <c r="O6" s="197"/>
      <c r="P6" s="198"/>
      <c r="R6" s="215" t="s">
        <v>140</v>
      </c>
      <c r="S6" s="159" t="s">
        <v>141</v>
      </c>
      <c r="T6" s="159"/>
      <c r="U6" s="159"/>
      <c r="V6" s="159"/>
      <c r="W6" s="159"/>
    </row>
    <row r="7" spans="1:23" ht="15" customHeight="1" x14ac:dyDescent="0.25">
      <c r="A7" s="68">
        <v>4</v>
      </c>
      <c r="B7" s="60">
        <v>34</v>
      </c>
      <c r="C7" s="69">
        <v>64</v>
      </c>
      <c r="D7" s="165"/>
      <c r="E7" s="166"/>
      <c r="F7" s="68">
        <v>4</v>
      </c>
      <c r="G7" s="60">
        <v>34</v>
      </c>
      <c r="H7" s="70">
        <v>64</v>
      </c>
      <c r="I7" s="196"/>
      <c r="J7" s="197"/>
      <c r="K7" s="197"/>
      <c r="L7" s="197"/>
      <c r="M7" s="197"/>
      <c r="N7" s="197"/>
      <c r="O7" s="197"/>
      <c r="P7" s="198"/>
      <c r="R7" s="215"/>
      <c r="S7" s="208">
        <v>1</v>
      </c>
      <c r="T7" s="208"/>
      <c r="U7" s="208"/>
      <c r="V7" s="208"/>
      <c r="W7" s="208"/>
    </row>
    <row r="8" spans="1:23" x14ac:dyDescent="0.25">
      <c r="A8" s="68">
        <v>5</v>
      </c>
      <c r="B8" s="60">
        <v>35</v>
      </c>
      <c r="C8" s="69">
        <v>65</v>
      </c>
      <c r="D8" s="165"/>
      <c r="E8" s="166"/>
      <c r="F8" s="68">
        <v>5</v>
      </c>
      <c r="G8" s="60">
        <v>35</v>
      </c>
      <c r="H8" s="70">
        <v>65</v>
      </c>
      <c r="I8" s="196"/>
      <c r="J8" s="197"/>
      <c r="K8" s="197"/>
      <c r="L8" s="197"/>
      <c r="M8" s="197"/>
      <c r="N8" s="197"/>
      <c r="O8" s="197"/>
      <c r="P8" s="198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165"/>
      <c r="E9" s="166"/>
      <c r="F9" s="68">
        <v>6</v>
      </c>
      <c r="G9" s="60">
        <v>36</v>
      </c>
      <c r="H9" s="70">
        <v>66</v>
      </c>
      <c r="I9" s="196"/>
      <c r="J9" s="197"/>
      <c r="K9" s="197"/>
      <c r="L9" s="197"/>
      <c r="M9" s="197"/>
      <c r="N9" s="197"/>
      <c r="O9" s="197"/>
      <c r="P9" s="198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165"/>
      <c r="E10" s="166"/>
      <c r="F10" s="68">
        <v>7</v>
      </c>
      <c r="G10" s="60">
        <v>37</v>
      </c>
      <c r="H10" s="70">
        <v>67</v>
      </c>
      <c r="I10" s="196"/>
      <c r="J10" s="197"/>
      <c r="K10" s="197"/>
      <c r="L10" s="197"/>
      <c r="M10" s="197"/>
      <c r="N10" s="197"/>
      <c r="O10" s="197"/>
      <c r="P10" s="198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165"/>
      <c r="E11" s="166"/>
      <c r="F11" s="68">
        <v>8</v>
      </c>
      <c r="G11" s="60">
        <v>38</v>
      </c>
      <c r="H11" s="70">
        <v>68</v>
      </c>
      <c r="I11" s="212"/>
      <c r="J11" s="213"/>
      <c r="K11" s="213"/>
      <c r="L11" s="213"/>
      <c r="M11" s="213"/>
      <c r="N11" s="213"/>
      <c r="O11" s="213"/>
      <c r="P11" s="214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165"/>
      <c r="E12" s="166"/>
      <c r="F12" s="68">
        <v>9</v>
      </c>
      <c r="G12" s="60">
        <v>39</v>
      </c>
      <c r="H12" s="70">
        <v>69</v>
      </c>
      <c r="I12" s="216"/>
      <c r="J12" s="217"/>
      <c r="K12" s="217"/>
      <c r="L12" s="217"/>
      <c r="M12" s="217"/>
      <c r="N12" s="217"/>
      <c r="O12" s="217"/>
      <c r="P12" s="218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65"/>
      <c r="E13" s="166"/>
      <c r="F13" s="68">
        <v>10</v>
      </c>
      <c r="G13" s="60">
        <v>40</v>
      </c>
      <c r="H13" s="70">
        <v>70</v>
      </c>
      <c r="I13" s="219"/>
      <c r="J13" s="159"/>
      <c r="K13" s="159"/>
      <c r="L13" s="159"/>
      <c r="M13" s="159"/>
      <c r="N13" s="159"/>
      <c r="O13" s="159"/>
      <c r="P13" s="220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65"/>
      <c r="E14" s="166"/>
      <c r="F14" s="68">
        <v>11</v>
      </c>
      <c r="G14" s="60">
        <v>41</v>
      </c>
      <c r="H14" s="70">
        <v>71</v>
      </c>
      <c r="I14" s="219"/>
      <c r="J14" s="159"/>
      <c r="K14" s="159"/>
      <c r="L14" s="159"/>
      <c r="M14" s="159"/>
      <c r="N14" s="159"/>
      <c r="O14" s="159"/>
      <c r="P14" s="220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65"/>
      <c r="E15" s="166"/>
      <c r="F15" s="68">
        <v>12</v>
      </c>
      <c r="G15" s="60">
        <v>42</v>
      </c>
      <c r="H15" s="70">
        <v>72</v>
      </c>
      <c r="I15" s="219"/>
      <c r="J15" s="159"/>
      <c r="K15" s="159"/>
      <c r="L15" s="159"/>
      <c r="M15" s="159"/>
      <c r="N15" s="159"/>
      <c r="O15" s="159"/>
      <c r="P15" s="220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65"/>
      <c r="E16" s="166"/>
      <c r="F16" s="68">
        <v>13</v>
      </c>
      <c r="G16" s="60">
        <v>43</v>
      </c>
      <c r="H16" s="70">
        <v>73</v>
      </c>
      <c r="I16" s="219"/>
      <c r="J16" s="159"/>
      <c r="K16" s="159"/>
      <c r="L16" s="159"/>
      <c r="M16" s="159"/>
      <c r="N16" s="159"/>
      <c r="O16" s="159"/>
      <c r="P16" s="220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65"/>
      <c r="E17" s="166"/>
      <c r="F17" s="68">
        <v>14</v>
      </c>
      <c r="G17" s="60">
        <v>44</v>
      </c>
      <c r="H17" s="70">
        <v>74</v>
      </c>
      <c r="I17" s="219"/>
      <c r="J17" s="159"/>
      <c r="K17" s="159"/>
      <c r="L17" s="159"/>
      <c r="M17" s="159"/>
      <c r="N17" s="159"/>
      <c r="O17" s="159"/>
      <c r="P17" s="220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65"/>
      <c r="E18" s="166"/>
      <c r="F18" s="68">
        <v>15</v>
      </c>
      <c r="G18" s="60">
        <v>45</v>
      </c>
      <c r="H18" s="70">
        <v>75</v>
      </c>
      <c r="I18" s="181" t="s">
        <v>142</v>
      </c>
      <c r="J18" s="182"/>
      <c r="K18" s="182"/>
      <c r="L18" s="182"/>
      <c r="M18" s="182"/>
      <c r="N18" s="182"/>
      <c r="O18" s="182"/>
      <c r="P18" s="183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65"/>
      <c r="E19" s="166"/>
      <c r="F19" s="68">
        <v>16</v>
      </c>
      <c r="G19" s="60">
        <v>46</v>
      </c>
      <c r="H19" s="70">
        <v>76</v>
      </c>
      <c r="I19" s="184"/>
      <c r="J19" s="185"/>
      <c r="K19" s="185"/>
      <c r="L19" s="185"/>
      <c r="M19" s="185"/>
      <c r="N19" s="185"/>
      <c r="O19" s="185"/>
      <c r="P19" s="186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65"/>
      <c r="E20" s="166"/>
      <c r="F20" s="68">
        <v>17</v>
      </c>
      <c r="G20" s="60">
        <v>47</v>
      </c>
      <c r="H20" s="70">
        <v>77</v>
      </c>
      <c r="I20" s="187"/>
      <c r="J20" s="188"/>
      <c r="K20" s="188"/>
      <c r="L20" s="188"/>
      <c r="M20" s="188"/>
      <c r="N20" s="188"/>
      <c r="O20" s="188"/>
      <c r="P20" s="189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65"/>
      <c r="E21" s="166"/>
      <c r="F21" s="68">
        <v>18</v>
      </c>
      <c r="G21" s="60">
        <v>48</v>
      </c>
      <c r="H21" s="70">
        <v>78</v>
      </c>
      <c r="I21" s="187"/>
      <c r="J21" s="188"/>
      <c r="K21" s="188"/>
      <c r="L21" s="188"/>
      <c r="M21" s="188"/>
      <c r="N21" s="188"/>
      <c r="O21" s="188"/>
      <c r="P21" s="189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65"/>
      <c r="E22" s="166"/>
      <c r="F22" s="68">
        <v>19</v>
      </c>
      <c r="G22" s="60">
        <v>49</v>
      </c>
      <c r="H22" s="70">
        <v>79</v>
      </c>
      <c r="I22" s="187"/>
      <c r="J22" s="188"/>
      <c r="K22" s="188"/>
      <c r="L22" s="188"/>
      <c r="M22" s="188"/>
      <c r="N22" s="188"/>
      <c r="O22" s="188"/>
      <c r="P22" s="189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65"/>
      <c r="E23" s="166"/>
      <c r="F23" s="68">
        <v>20</v>
      </c>
      <c r="G23" s="60">
        <v>50</v>
      </c>
      <c r="H23" s="70">
        <v>80</v>
      </c>
      <c r="I23" s="187"/>
      <c r="J23" s="188"/>
      <c r="K23" s="188"/>
      <c r="L23" s="188"/>
      <c r="M23" s="188"/>
      <c r="N23" s="188"/>
      <c r="O23" s="188"/>
      <c r="P23" s="189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65"/>
      <c r="E24" s="166"/>
      <c r="F24" s="68">
        <v>21</v>
      </c>
      <c r="G24" s="60">
        <v>51</v>
      </c>
      <c r="H24" s="70">
        <v>81</v>
      </c>
      <c r="I24" s="187"/>
      <c r="J24" s="188"/>
      <c r="K24" s="188"/>
      <c r="L24" s="188"/>
      <c r="M24" s="188"/>
      <c r="N24" s="188"/>
      <c r="O24" s="188"/>
      <c r="P24" s="189"/>
    </row>
    <row r="25" spans="1:36" ht="15" customHeight="1" x14ac:dyDescent="0.25">
      <c r="A25" s="68">
        <v>22</v>
      </c>
      <c r="B25" s="60">
        <v>52</v>
      </c>
      <c r="C25" s="69">
        <v>82</v>
      </c>
      <c r="D25" s="165"/>
      <c r="E25" s="166"/>
      <c r="F25" s="68">
        <v>22</v>
      </c>
      <c r="G25" s="60">
        <v>52</v>
      </c>
      <c r="H25" s="70">
        <v>82</v>
      </c>
      <c r="I25" s="190"/>
      <c r="J25" s="191"/>
      <c r="K25" s="191"/>
      <c r="L25" s="191"/>
      <c r="M25" s="191"/>
      <c r="N25" s="191"/>
      <c r="O25" s="191"/>
      <c r="P25" s="192"/>
    </row>
    <row r="26" spans="1:36" ht="15" customHeight="1" x14ac:dyDescent="0.25">
      <c r="A26" s="68">
        <v>23</v>
      </c>
      <c r="B26" s="60">
        <v>53</v>
      </c>
      <c r="C26" s="69">
        <v>83</v>
      </c>
      <c r="D26" s="165"/>
      <c r="E26" s="166"/>
      <c r="F26" s="68">
        <v>23</v>
      </c>
      <c r="G26" s="60">
        <v>53</v>
      </c>
      <c r="H26" s="70">
        <v>83</v>
      </c>
      <c r="I26" s="193" t="s">
        <v>126</v>
      </c>
      <c r="J26" s="194"/>
      <c r="K26" s="194"/>
      <c r="L26" s="194"/>
      <c r="M26" s="194"/>
      <c r="N26" s="194"/>
      <c r="O26" s="194"/>
      <c r="P26" s="195"/>
    </row>
    <row r="27" spans="1:36" ht="15" customHeight="1" x14ac:dyDescent="0.25">
      <c r="A27" s="68">
        <v>24</v>
      </c>
      <c r="B27" s="60">
        <v>54</v>
      </c>
      <c r="C27" s="69">
        <v>84</v>
      </c>
      <c r="D27" s="165"/>
      <c r="E27" s="166"/>
      <c r="F27" s="68">
        <v>24</v>
      </c>
      <c r="G27" s="60">
        <v>54</v>
      </c>
      <c r="H27" s="70">
        <v>84</v>
      </c>
      <c r="I27" s="196"/>
      <c r="J27" s="197"/>
      <c r="K27" s="197"/>
      <c r="L27" s="197"/>
      <c r="M27" s="197"/>
      <c r="N27" s="197"/>
      <c r="O27" s="197"/>
      <c r="P27" s="198"/>
    </row>
    <row r="28" spans="1:36" ht="15" customHeight="1" x14ac:dyDescent="0.25">
      <c r="A28" s="68">
        <v>25</v>
      </c>
      <c r="B28" s="60">
        <v>55</v>
      </c>
      <c r="C28" s="69">
        <v>85</v>
      </c>
      <c r="D28" s="165"/>
      <c r="E28" s="166"/>
      <c r="F28" s="68">
        <v>25</v>
      </c>
      <c r="G28" s="60">
        <v>55</v>
      </c>
      <c r="H28" s="70">
        <v>85</v>
      </c>
      <c r="I28" s="196"/>
      <c r="J28" s="197"/>
      <c r="K28" s="197"/>
      <c r="L28" s="197"/>
      <c r="M28" s="197"/>
      <c r="N28" s="197"/>
      <c r="O28" s="197"/>
      <c r="P28" s="198"/>
    </row>
    <row r="29" spans="1:36" ht="15" customHeight="1" x14ac:dyDescent="0.25">
      <c r="A29" s="68">
        <v>26</v>
      </c>
      <c r="B29" s="60">
        <v>56</v>
      </c>
      <c r="C29" s="69">
        <v>86</v>
      </c>
      <c r="D29" s="165"/>
      <c r="E29" s="166"/>
      <c r="F29" s="68">
        <v>26</v>
      </c>
      <c r="G29" s="60">
        <v>56</v>
      </c>
      <c r="H29" s="70">
        <v>86</v>
      </c>
      <c r="I29" s="196"/>
      <c r="J29" s="197"/>
      <c r="K29" s="197"/>
      <c r="L29" s="197"/>
      <c r="M29" s="197"/>
      <c r="N29" s="197"/>
      <c r="O29" s="197"/>
      <c r="P29" s="198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65"/>
      <c r="E30" s="166"/>
      <c r="F30" s="68">
        <v>27</v>
      </c>
      <c r="G30" s="60">
        <v>57</v>
      </c>
      <c r="H30" s="70">
        <v>87</v>
      </c>
      <c r="I30" s="196"/>
      <c r="J30" s="197"/>
      <c r="K30" s="197"/>
      <c r="L30" s="197"/>
      <c r="M30" s="197"/>
      <c r="N30" s="197"/>
      <c r="O30" s="197"/>
      <c r="P30" s="198"/>
    </row>
    <row r="31" spans="1:36" ht="15" customHeight="1" x14ac:dyDescent="0.25">
      <c r="A31" s="68">
        <v>28</v>
      </c>
      <c r="B31" s="60">
        <v>58</v>
      </c>
      <c r="C31" s="69">
        <v>88</v>
      </c>
      <c r="D31" s="165"/>
      <c r="E31" s="166"/>
      <c r="F31" s="68">
        <v>28</v>
      </c>
      <c r="G31" s="60">
        <v>58</v>
      </c>
      <c r="H31" s="70">
        <v>88</v>
      </c>
      <c r="I31" s="196"/>
      <c r="J31" s="197"/>
      <c r="K31" s="197"/>
      <c r="L31" s="197"/>
      <c r="M31" s="197"/>
      <c r="N31" s="197"/>
      <c r="O31" s="197"/>
      <c r="P31" s="198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65"/>
      <c r="E32" s="166"/>
      <c r="F32" s="68">
        <v>29</v>
      </c>
      <c r="G32" s="60">
        <v>59</v>
      </c>
      <c r="H32" s="70">
        <v>89</v>
      </c>
      <c r="I32" s="199"/>
      <c r="J32" s="127"/>
      <c r="K32" s="127"/>
      <c r="L32" s="127"/>
      <c r="M32" s="127"/>
      <c r="N32" s="127"/>
      <c r="O32" s="127"/>
      <c r="P32" s="200"/>
    </row>
    <row r="33" spans="1:16" ht="15.75" thickBot="1" x14ac:dyDescent="0.3">
      <c r="A33" s="74">
        <v>30</v>
      </c>
      <c r="B33" s="75">
        <v>60</v>
      </c>
      <c r="C33" s="76">
        <v>90</v>
      </c>
      <c r="D33" s="167"/>
      <c r="E33" s="168"/>
      <c r="F33" s="74">
        <v>30</v>
      </c>
      <c r="G33" s="75">
        <v>60</v>
      </c>
      <c r="H33" s="77">
        <v>90</v>
      </c>
      <c r="I33" s="178" t="s">
        <v>144</v>
      </c>
      <c r="J33" s="179"/>
      <c r="K33" s="179"/>
      <c r="L33" s="179"/>
      <c r="M33" s="179"/>
      <c r="N33" s="179"/>
      <c r="O33" s="179"/>
      <c r="P33" s="180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413" priority="13">
      <formula>$C8&lt;$E8</formula>
    </cfRule>
    <cfRule type="expression" dxfId="412" priority="14">
      <formula>$C8&gt;$E8</formula>
    </cfRule>
  </conditionalFormatting>
  <conditionalFormatting sqref="V8:V13 V15">
    <cfRule type="expression" dxfId="411" priority="11">
      <formula>$C8&gt;$E8</formula>
    </cfRule>
    <cfRule type="expression" dxfId="410" priority="12">
      <formula>$C8&lt;$E8</formula>
    </cfRule>
  </conditionalFormatting>
  <conditionalFormatting sqref="T14">
    <cfRule type="expression" dxfId="409" priority="9">
      <formula>$C14&lt;$E14</formula>
    </cfRule>
    <cfRule type="expression" dxfId="408" priority="10">
      <formula>$C14&gt;$E14</formula>
    </cfRule>
  </conditionalFormatting>
  <conditionalFormatting sqref="V14">
    <cfRule type="expression" dxfId="407" priority="7">
      <formula>$C14&gt;$E14</formula>
    </cfRule>
    <cfRule type="expression" dxfId="406" priority="8">
      <formula>$C14&lt;$E14</formula>
    </cfRule>
  </conditionalFormatting>
  <conditionalFormatting sqref="T22">
    <cfRule type="expression" dxfId="405" priority="5">
      <formula>$C22&lt;$E22</formula>
    </cfRule>
    <cfRule type="expression" dxfId="404" priority="6">
      <formula>$C22&gt;$E22</formula>
    </cfRule>
  </conditionalFormatting>
  <conditionalFormatting sqref="V16:V21 V23">
    <cfRule type="expression" dxfId="403" priority="3">
      <formula>$C16&lt;$E16</formula>
    </cfRule>
    <cfRule type="expression" dxfId="402" priority="4">
      <formula>$C16&gt;$E16</formula>
    </cfRule>
  </conditionalFormatting>
  <conditionalFormatting sqref="V22">
    <cfRule type="expression" dxfId="401" priority="1">
      <formula>$C22&lt;$E22</formula>
    </cfRule>
    <cfRule type="expression" dxfId="40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4127F-3A82-44AE-8235-D5F3F5909DFD}">
  <sheetPr codeName="Feuil13"/>
  <dimension ref="B1:C24"/>
  <sheetViews>
    <sheetView workbookViewId="0"/>
  </sheetViews>
  <sheetFormatPr baseColWidth="10" defaultRowHeight="15" x14ac:dyDescent="0.25"/>
  <cols>
    <col min="1" max="2" width="11.42578125" style="79"/>
    <col min="3" max="3" width="75.7109375" style="79" customWidth="1"/>
    <col min="4" max="16384" width="11.42578125" style="79"/>
  </cols>
  <sheetData>
    <row r="1" spans="2:3" ht="15.75" thickBot="1" x14ac:dyDescent="0.3"/>
    <row r="2" spans="2:3" ht="15.75" x14ac:dyDescent="0.25">
      <c r="B2" s="221" t="s">
        <v>185</v>
      </c>
      <c r="C2" s="80" t="s">
        <v>119</v>
      </c>
    </row>
    <row r="3" spans="2:3" ht="15.75" x14ac:dyDescent="0.25">
      <c r="B3" s="222"/>
      <c r="C3" s="81" t="s">
        <v>120</v>
      </c>
    </row>
    <row r="4" spans="2:3" ht="15.75" x14ac:dyDescent="0.25">
      <c r="B4" s="222"/>
      <c r="C4" s="81" t="s">
        <v>121</v>
      </c>
    </row>
    <row r="5" spans="2:3" ht="15.75" x14ac:dyDescent="0.25">
      <c r="B5" s="222"/>
      <c r="C5" s="81" t="s">
        <v>122</v>
      </c>
    </row>
    <row r="6" spans="2:3" ht="15.75" x14ac:dyDescent="0.25">
      <c r="B6" s="222"/>
      <c r="C6" s="81" t="s">
        <v>147</v>
      </c>
    </row>
    <row r="7" spans="2:3" ht="15.75" x14ac:dyDescent="0.25">
      <c r="B7" s="222"/>
      <c r="C7" s="81" t="s">
        <v>148</v>
      </c>
    </row>
    <row r="8" spans="2:3" ht="16.5" thickBot="1" x14ac:dyDescent="0.3">
      <c r="B8" s="223"/>
      <c r="C8" s="82" t="s">
        <v>149</v>
      </c>
    </row>
    <row r="9" spans="2:3" ht="15.75" thickBot="1" x14ac:dyDescent="0.3"/>
    <row r="10" spans="2:3" ht="15.75" x14ac:dyDescent="0.25">
      <c r="B10" s="224" t="s">
        <v>186</v>
      </c>
      <c r="C10" s="83" t="s">
        <v>123</v>
      </c>
    </row>
    <row r="11" spans="2:3" ht="15.75" x14ac:dyDescent="0.25">
      <c r="B11" s="225"/>
      <c r="C11" s="84" t="s">
        <v>124</v>
      </c>
    </row>
    <row r="12" spans="2:3" ht="15.75" x14ac:dyDescent="0.25">
      <c r="B12" s="225"/>
      <c r="C12" s="84" t="s">
        <v>125</v>
      </c>
    </row>
    <row r="13" spans="2:3" ht="15.75" x14ac:dyDescent="0.25">
      <c r="B13" s="225"/>
      <c r="C13" s="84" t="s">
        <v>126</v>
      </c>
    </row>
    <row r="14" spans="2:3" ht="15.75" x14ac:dyDescent="0.25">
      <c r="B14" s="225"/>
      <c r="C14" s="84" t="s">
        <v>150</v>
      </c>
    </row>
    <row r="15" spans="2:3" ht="15.75" x14ac:dyDescent="0.25">
      <c r="B15" s="225"/>
      <c r="C15" s="84" t="s">
        <v>151</v>
      </c>
    </row>
    <row r="16" spans="2:3" ht="16.5" thickBot="1" x14ac:dyDescent="0.3">
      <c r="B16" s="226"/>
      <c r="C16" s="85" t="s">
        <v>152</v>
      </c>
    </row>
    <row r="17" spans="2:3" ht="15.75" thickBot="1" x14ac:dyDescent="0.3"/>
    <row r="18" spans="2:3" ht="15.75" x14ac:dyDescent="0.25">
      <c r="B18" s="227" t="s">
        <v>187</v>
      </c>
      <c r="C18" s="86" t="s">
        <v>153</v>
      </c>
    </row>
    <row r="19" spans="2:3" ht="15.75" x14ac:dyDescent="0.25">
      <c r="B19" s="228"/>
      <c r="C19" s="87" t="s">
        <v>154</v>
      </c>
    </row>
    <row r="20" spans="2:3" ht="15.75" x14ac:dyDescent="0.25">
      <c r="B20" s="228"/>
      <c r="C20" s="87" t="s">
        <v>155</v>
      </c>
    </row>
    <row r="21" spans="2:3" ht="15.75" x14ac:dyDescent="0.25">
      <c r="B21" s="228"/>
      <c r="C21" s="87" t="s">
        <v>156</v>
      </c>
    </row>
    <row r="22" spans="2:3" ht="15.75" x14ac:dyDescent="0.25">
      <c r="B22" s="228"/>
      <c r="C22" s="87" t="s">
        <v>157</v>
      </c>
    </row>
    <row r="23" spans="2:3" ht="15.75" x14ac:dyDescent="0.25">
      <c r="B23" s="228"/>
      <c r="C23" s="87" t="s">
        <v>158</v>
      </c>
    </row>
    <row r="24" spans="2:3" ht="16.5" thickBot="1" x14ac:dyDescent="0.3">
      <c r="B24" s="229"/>
      <c r="C24" s="88" t="s">
        <v>188</v>
      </c>
    </row>
  </sheetData>
  <mergeCells count="3">
    <mergeCell ref="B2:B8"/>
    <mergeCell ref="B10:B16"/>
    <mergeCell ref="B18:B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C4PPinscript">
              <controlPr defaultSize="0" print="0" autoFill="0" autoPict="0" macro="[0]!'copyimage &quot;B2:C24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633DD-E229-4234-821E-14573CCB1F34}">
  <sheetPr codeName="Feuil14"/>
  <dimension ref="A1:AA311"/>
  <sheetViews>
    <sheetView topLeftCell="B1" workbookViewId="0"/>
  </sheetViews>
  <sheetFormatPr baseColWidth="10" defaultRowHeight="15" x14ac:dyDescent="0.25"/>
  <cols>
    <col min="1" max="1" width="0" style="79" hidden="1" customWidth="1"/>
    <col min="2" max="2" width="43.5703125" style="79" customWidth="1"/>
    <col min="3" max="3" width="6" style="97" customWidth="1"/>
    <col min="4" max="4" width="16.7109375" style="79" customWidth="1"/>
    <col min="5" max="5" width="6" style="97" customWidth="1"/>
    <col min="6" max="6" width="43.5703125" style="79" customWidth="1"/>
    <col min="7" max="7" width="6" style="79" hidden="1" customWidth="1"/>
    <col min="8" max="16384" width="11.42578125" style="79"/>
  </cols>
  <sheetData>
    <row r="1" spans="1:27" x14ac:dyDescent="0.25">
      <c r="A1" s="89">
        <v>4</v>
      </c>
      <c r="B1" s="89"/>
      <c r="C1" s="95" t="str">
        <f>CHAR(160)</f>
        <v> </v>
      </c>
      <c r="D1" s="90">
        <v>0.39583333333333331</v>
      </c>
      <c r="E1" s="95" t="str">
        <f>CHAR(160)</f>
        <v> </v>
      </c>
      <c r="F1" s="89"/>
      <c r="G1" s="89"/>
      <c r="X1" s="79" t="str">
        <f ca="1">INDIRECT("B"&amp;1) &amp; CHAR(10) &amp; "vs" &amp; CHAR(10) &amp; INDIRECT("F"&amp;1)</f>
        <v xml:space="preserve">
vs
</v>
      </c>
      <c r="Y1" s="79" t="b">
        <f t="shared" ref="Y1:Y32" ca="1" si="0">$S$10=X1</f>
        <v>0</v>
      </c>
      <c r="Z1" s="79" t="b">
        <f t="shared" ref="Z1:Z32" ca="1" si="1">$S$20=X1</f>
        <v>0</v>
      </c>
      <c r="AA1" s="79" t="b">
        <f t="shared" ref="AA1:AA32" ca="1" si="2">$S$30=X1</f>
        <v>0</v>
      </c>
    </row>
    <row r="2" spans="1:27" x14ac:dyDescent="0.25">
      <c r="A2" s="92" t="s">
        <v>119</v>
      </c>
      <c r="B2" s="92" t="str">
        <f>INSCRITS!C2</f>
        <v>1A</v>
      </c>
      <c r="C2" s="96"/>
      <c r="D2" s="91" t="s">
        <v>127</v>
      </c>
      <c r="E2" s="96"/>
      <c r="F2" s="92" t="str">
        <f>INSCRITS!C3</f>
        <v>2A</v>
      </c>
      <c r="G2" s="92" t="s">
        <v>120</v>
      </c>
      <c r="S2" s="79">
        <f>MATCH(TRUE,INDEX(ISBLANK(C:C), 0,0),0)</f>
        <v>2</v>
      </c>
      <c r="U2" s="79">
        <f>MATCH(TRUE,INDEX(ISBLANK(E:E), 0,0),0)</f>
        <v>2</v>
      </c>
      <c r="X2" s="79" t="str">
        <f ca="1">INDIRECT("B"&amp;2) &amp; CHAR(10) &amp; "vs" &amp; CHAR(10) &amp; INDIRECT("F"&amp;2)</f>
        <v>1A
vs
2A</v>
      </c>
      <c r="Y2" s="79" t="b">
        <f t="shared" ca="1" si="0"/>
        <v>1</v>
      </c>
      <c r="Z2" s="79" t="b">
        <f t="shared" ca="1" si="1"/>
        <v>0</v>
      </c>
      <c r="AA2" s="79" t="b">
        <f t="shared" ca="1" si="2"/>
        <v>0</v>
      </c>
    </row>
    <row r="3" spans="1:27" x14ac:dyDescent="0.25">
      <c r="A3" s="92" t="s">
        <v>121</v>
      </c>
      <c r="B3" s="92" t="str">
        <f>INSCRITS!C4</f>
        <v>3A</v>
      </c>
      <c r="C3" s="96"/>
      <c r="D3" s="91" t="s">
        <v>128</v>
      </c>
      <c r="E3" s="96"/>
      <c r="F3" s="92" t="str">
        <f>INSCRITS!C5</f>
        <v>4A</v>
      </c>
      <c r="G3" s="92" t="s">
        <v>122</v>
      </c>
      <c r="S3" s="79">
        <f>IF(MOD(S$2-(1+ROUNDDOWN(S$2/$A$1,0)),$A$1)=0,S$2+1,S$2)</f>
        <v>2</v>
      </c>
      <c r="U3" s="79">
        <f>IF(MOD(U$2-(1+ROUNDDOWN(U$2/$A$1,0)),$A$1)=0,U$2+1,U$2)</f>
        <v>2</v>
      </c>
      <c r="X3" s="79" t="str">
        <f ca="1">INDIRECT("B"&amp;3) &amp; CHAR(10) &amp; "vs" &amp; CHAR(10) &amp; INDIRECT("F"&amp;3)</f>
        <v>3A
vs
4A</v>
      </c>
      <c r="Y3" s="79" t="b">
        <f t="shared" ca="1" si="0"/>
        <v>0</v>
      </c>
      <c r="Z3" s="79" t="b">
        <f t="shared" ca="1" si="1"/>
        <v>1</v>
      </c>
      <c r="AA3" s="79" t="b">
        <f t="shared" ca="1" si="2"/>
        <v>0</v>
      </c>
    </row>
    <row r="4" spans="1:27" x14ac:dyDescent="0.25">
      <c r="A4" s="92" t="s">
        <v>147</v>
      </c>
      <c r="B4" s="92" t="str">
        <f>INSCRITS!C6</f>
        <v>5A</v>
      </c>
      <c r="C4" s="96"/>
      <c r="D4" s="91" t="s">
        <v>129</v>
      </c>
      <c r="E4" s="96"/>
      <c r="F4" s="92" t="str">
        <f>INSCRITS!C7</f>
        <v>6A</v>
      </c>
      <c r="G4" s="92" t="s">
        <v>148</v>
      </c>
      <c r="S4" s="79">
        <f>IF(MOD(S$3+1-(1+ROUNDDOWN(S$3/$A$1,0)),$A$1)=0,S$3+2,S$3+1)</f>
        <v>3</v>
      </c>
      <c r="U4" s="79">
        <f>IF(MOD(U$3+1-(1+ROUNDDOWN(U$3/$A$1,0)),$A$1)=0,U$3+2,U$3+1)</f>
        <v>3</v>
      </c>
      <c r="X4" s="79" t="str">
        <f ca="1">INDIRECT("B"&amp;4) &amp; CHAR(10) &amp; "vs" &amp; CHAR(10) &amp; INDIRECT("F"&amp;4)</f>
        <v>5A
vs
6A</v>
      </c>
      <c r="Y4" s="79" t="b">
        <f t="shared" ca="1" si="0"/>
        <v>0</v>
      </c>
      <c r="Z4" s="79" t="b">
        <f t="shared" ca="1" si="1"/>
        <v>0</v>
      </c>
      <c r="AA4" s="79" t="b">
        <f t="shared" ca="1" si="2"/>
        <v>1</v>
      </c>
    </row>
    <row r="5" spans="1:27" x14ac:dyDescent="0.25">
      <c r="A5" s="93" t="s">
        <v>123</v>
      </c>
      <c r="B5" s="93" t="str">
        <f>INSCRITS!C10</f>
        <v>1B</v>
      </c>
      <c r="C5" s="96"/>
      <c r="D5" s="91" t="s">
        <v>130</v>
      </c>
      <c r="E5" s="96"/>
      <c r="F5" s="93" t="str">
        <f>INSCRITS!C11</f>
        <v>2B</v>
      </c>
      <c r="G5" s="93" t="s">
        <v>124</v>
      </c>
      <c r="S5" s="79">
        <f>IF(MOD(S$4+1-(1+ROUNDDOWN(S$4/$A$1,0)),$A$1)=0,S$4+2,S$4+1)</f>
        <v>4</v>
      </c>
      <c r="U5" s="79">
        <f>IF(MOD(U$4+1-(1+ROUNDDOWN(U$4/$A$1,0)),$A$1)=0,U$4+2,U$4+1)</f>
        <v>4</v>
      </c>
      <c r="X5" s="79" t="str">
        <f ca="1">INDIRECT("B"&amp;5) &amp; CHAR(10) &amp; "vs" &amp; CHAR(10) &amp; INDIRECT("F"&amp;5)</f>
        <v>1B
vs
2B</v>
      </c>
      <c r="Y5" s="79" t="b">
        <f t="shared" ca="1" si="0"/>
        <v>0</v>
      </c>
      <c r="Z5" s="79" t="b">
        <f t="shared" ca="1" si="1"/>
        <v>0</v>
      </c>
      <c r="AA5" s="79" t="b">
        <f t="shared" ca="1" si="2"/>
        <v>0</v>
      </c>
    </row>
    <row r="6" spans="1:27" x14ac:dyDescent="0.25">
      <c r="A6" s="89"/>
      <c r="B6" s="89"/>
      <c r="C6" s="95" t="str">
        <f>CHAR(160)</f>
        <v> </v>
      </c>
      <c r="D6" s="90">
        <f>0.395833333333333 + "00:09:00"</f>
        <v>0.40208333333333296</v>
      </c>
      <c r="E6" s="95" t="str">
        <f>CHAR(160)</f>
        <v> </v>
      </c>
      <c r="F6" s="89"/>
      <c r="G6" s="89"/>
      <c r="X6" s="79" t="str">
        <f ca="1">INDIRECT("B"&amp;6) &amp; CHAR(10) &amp; "vs" &amp; CHAR(10) &amp; INDIRECT("F"&amp;6)</f>
        <v xml:space="preserve">
vs
</v>
      </c>
      <c r="Y6" s="79" t="b">
        <f t="shared" ca="1" si="0"/>
        <v>0</v>
      </c>
      <c r="Z6" s="79" t="b">
        <f t="shared" ca="1" si="1"/>
        <v>0</v>
      </c>
      <c r="AA6" s="79" t="b">
        <f t="shared" ca="1" si="2"/>
        <v>0</v>
      </c>
    </row>
    <row r="7" spans="1:27" x14ac:dyDescent="0.25">
      <c r="A7" s="93" t="s">
        <v>125</v>
      </c>
      <c r="B7" s="93" t="str">
        <f>INSCRITS!C12</f>
        <v>3B</v>
      </c>
      <c r="C7" s="96"/>
      <c r="D7" s="91" t="s">
        <v>127</v>
      </c>
      <c r="E7" s="96"/>
      <c r="F7" s="93" t="str">
        <f>INSCRITS!C13</f>
        <v>4B</v>
      </c>
      <c r="G7" s="93" t="s">
        <v>126</v>
      </c>
      <c r="S7" s="230" t="s">
        <v>189</v>
      </c>
      <c r="T7" s="230"/>
      <c r="U7" s="230"/>
      <c r="V7" s="230"/>
      <c r="W7" s="230"/>
      <c r="X7" s="79" t="str">
        <f ca="1">INDIRECT("B"&amp;7) &amp; CHAR(10) &amp; "vs" &amp; CHAR(10) &amp; INDIRECT("F"&amp;7)</f>
        <v>3B
vs
4B</v>
      </c>
      <c r="Y7" s="79" t="b">
        <f t="shared" ca="1" si="0"/>
        <v>0</v>
      </c>
      <c r="Z7" s="79" t="b">
        <f t="shared" ca="1" si="1"/>
        <v>0</v>
      </c>
      <c r="AA7" s="79" t="b">
        <f t="shared" ca="1" si="2"/>
        <v>0</v>
      </c>
    </row>
    <row r="8" spans="1:27" x14ac:dyDescent="0.25">
      <c r="A8" s="93" t="s">
        <v>150</v>
      </c>
      <c r="B8" s="93" t="str">
        <f>INSCRITS!C14</f>
        <v>5B</v>
      </c>
      <c r="C8" s="96"/>
      <c r="D8" s="91" t="s">
        <v>128</v>
      </c>
      <c r="E8" s="96"/>
      <c r="F8" s="93" t="str">
        <f>INSCRITS!C15</f>
        <v>6B</v>
      </c>
      <c r="G8" s="93" t="s">
        <v>151</v>
      </c>
      <c r="S8" s="230"/>
      <c r="T8" s="230"/>
      <c r="U8" s="230"/>
      <c r="V8" s="230"/>
      <c r="W8" s="230"/>
      <c r="X8" s="79" t="str">
        <f ca="1">INDIRECT("B"&amp;8) &amp; CHAR(10) &amp; "vs" &amp; CHAR(10) &amp; INDIRECT("F"&amp;8)</f>
        <v>5B
vs
6B</v>
      </c>
      <c r="Y8" s="79" t="b">
        <f t="shared" ca="1" si="0"/>
        <v>0</v>
      </c>
      <c r="Z8" s="79" t="b">
        <f t="shared" ca="1" si="1"/>
        <v>0</v>
      </c>
      <c r="AA8" s="79" t="b">
        <f t="shared" ca="1" si="2"/>
        <v>0</v>
      </c>
    </row>
    <row r="9" spans="1:27" x14ac:dyDescent="0.25">
      <c r="A9" s="94" t="s">
        <v>153</v>
      </c>
      <c r="B9" s="94" t="str">
        <f>INSCRITS!C18</f>
        <v>1C</v>
      </c>
      <c r="C9" s="96"/>
      <c r="D9" s="91" t="s">
        <v>129</v>
      </c>
      <c r="E9" s="96"/>
      <c r="F9" s="94" t="str">
        <f>INSCRITS!C19</f>
        <v>2C</v>
      </c>
      <c r="G9" s="94" t="s">
        <v>154</v>
      </c>
      <c r="S9" s="230"/>
      <c r="T9" s="230"/>
      <c r="U9" s="230"/>
      <c r="V9" s="230"/>
      <c r="W9" s="230"/>
      <c r="X9" s="79" t="str">
        <f ca="1">INDIRECT("B"&amp;9) &amp; CHAR(10) &amp; "vs" &amp; CHAR(10) &amp; INDIRECT("F"&amp;9)</f>
        <v>1C
vs
2C</v>
      </c>
      <c r="Y9" s="79" t="b">
        <f t="shared" ca="1" si="0"/>
        <v>0</v>
      </c>
      <c r="Z9" s="79" t="b">
        <f t="shared" ca="1" si="1"/>
        <v>0</v>
      </c>
      <c r="AA9" s="79" t="b">
        <f t="shared" ca="1" si="2"/>
        <v>0</v>
      </c>
    </row>
    <row r="10" spans="1:27" x14ac:dyDescent="0.25">
      <c r="A10" s="94" t="s">
        <v>155</v>
      </c>
      <c r="B10" s="94" t="str">
        <f>INSCRITS!C20</f>
        <v>3C</v>
      </c>
      <c r="C10" s="96"/>
      <c r="D10" s="91" t="s">
        <v>130</v>
      </c>
      <c r="E10" s="96"/>
      <c r="F10" s="94" t="str">
        <f>INSCRITS!C21</f>
        <v>4C</v>
      </c>
      <c r="G10" s="94" t="s">
        <v>156</v>
      </c>
      <c r="S10" s="231" t="str">
        <f ca="1">IF(S$3=U$3,INDIRECT("B"&amp;S$3) &amp; CHAR(10) &amp; "vs" &amp; CHAR(10) &amp; INDIRECT("F"&amp;S$3),"ERREUR DE SAISSIE")</f>
        <v>1A
vs
2A</v>
      </c>
      <c r="T10" s="231"/>
      <c r="U10" s="231"/>
      <c r="V10" s="231"/>
      <c r="W10" s="231"/>
      <c r="X10" s="79" t="str">
        <f ca="1">INDIRECT("B"&amp;10) &amp; CHAR(10) &amp; "vs" &amp; CHAR(10) &amp; INDIRECT("F"&amp;10)</f>
        <v>3C
vs
4C</v>
      </c>
      <c r="Y10" s="79" t="b">
        <f t="shared" ca="1" si="0"/>
        <v>0</v>
      </c>
      <c r="Z10" s="79" t="b">
        <f t="shared" ca="1" si="1"/>
        <v>0</v>
      </c>
      <c r="AA10" s="79" t="b">
        <f t="shared" ca="1" si="2"/>
        <v>0</v>
      </c>
    </row>
    <row r="11" spans="1:27" x14ac:dyDescent="0.25">
      <c r="A11" s="89"/>
      <c r="B11" s="89"/>
      <c r="C11" s="95" t="str">
        <f>CHAR(160)</f>
        <v> </v>
      </c>
      <c r="D11" s="90">
        <f>0.402083333333333 + "00:09:00"</f>
        <v>0.40833333333333299</v>
      </c>
      <c r="E11" s="95" t="str">
        <f>CHAR(160)</f>
        <v> </v>
      </c>
      <c r="F11" s="89"/>
      <c r="G11" s="89"/>
      <c r="S11" s="231"/>
      <c r="T11" s="231"/>
      <c r="U11" s="231"/>
      <c r="V11" s="231"/>
      <c r="W11" s="231"/>
      <c r="X11" s="79" t="str">
        <f ca="1">INDIRECT("B"&amp;11) &amp; CHAR(10) &amp; "vs" &amp; CHAR(10) &amp; INDIRECT("F"&amp;11)</f>
        <v xml:space="preserve">
vs
</v>
      </c>
      <c r="Y11" s="79" t="b">
        <f t="shared" ca="1" si="0"/>
        <v>0</v>
      </c>
      <c r="Z11" s="79" t="b">
        <f t="shared" ca="1" si="1"/>
        <v>0</v>
      </c>
      <c r="AA11" s="79" t="b">
        <f t="shared" ca="1" si="2"/>
        <v>0</v>
      </c>
    </row>
    <row r="12" spans="1:27" x14ac:dyDescent="0.25">
      <c r="A12" s="94" t="s">
        <v>157</v>
      </c>
      <c r="B12" s="94" t="str">
        <f>INSCRITS!C22</f>
        <v>5C</v>
      </c>
      <c r="C12" s="96"/>
      <c r="D12" s="91" t="s">
        <v>127</v>
      </c>
      <c r="E12" s="96"/>
      <c r="F12" s="94" t="str">
        <f>INSCRITS!C23</f>
        <v>6C</v>
      </c>
      <c r="G12" s="94" t="s">
        <v>158</v>
      </c>
      <c r="S12" s="231"/>
      <c r="T12" s="231"/>
      <c r="U12" s="231"/>
      <c r="V12" s="231"/>
      <c r="W12" s="231"/>
      <c r="X12" s="79" t="str">
        <f ca="1">INDIRECT("B"&amp;12) &amp; CHAR(10) &amp; "vs" &amp; CHAR(10) &amp; INDIRECT("F"&amp;12)</f>
        <v>5C
vs
6C</v>
      </c>
      <c r="Y12" s="79" t="b">
        <f t="shared" ca="1" si="0"/>
        <v>0</v>
      </c>
      <c r="Z12" s="79" t="b">
        <f t="shared" ca="1" si="1"/>
        <v>0</v>
      </c>
      <c r="AA12" s="79" t="b">
        <f t="shared" ca="1" si="2"/>
        <v>0</v>
      </c>
    </row>
    <row r="13" spans="1:27" x14ac:dyDescent="0.25">
      <c r="A13" s="92" t="s">
        <v>119</v>
      </c>
      <c r="B13" s="92" t="str">
        <f>INSCRITS!C2</f>
        <v>1A</v>
      </c>
      <c r="C13" s="96"/>
      <c r="D13" s="91" t="s">
        <v>128</v>
      </c>
      <c r="E13" s="96"/>
      <c r="F13" s="92" t="str">
        <f>INSCRITS!C4</f>
        <v>3A</v>
      </c>
      <c r="G13" s="92" t="s">
        <v>121</v>
      </c>
      <c r="S13" s="231"/>
      <c r="T13" s="231"/>
      <c r="U13" s="231"/>
      <c r="V13" s="231"/>
      <c r="W13" s="231"/>
      <c r="X13" s="79" t="str">
        <f ca="1">INDIRECT("B"&amp;13) &amp; CHAR(10) &amp; "vs" &amp; CHAR(10) &amp; INDIRECT("F"&amp;13)</f>
        <v>1A
vs
3A</v>
      </c>
      <c r="Y13" s="79" t="b">
        <f t="shared" ca="1" si="0"/>
        <v>0</v>
      </c>
      <c r="Z13" s="79" t="b">
        <f t="shared" ca="1" si="1"/>
        <v>0</v>
      </c>
      <c r="AA13" s="79" t="b">
        <f t="shared" ca="1" si="2"/>
        <v>0</v>
      </c>
    </row>
    <row r="14" spans="1:27" x14ac:dyDescent="0.25">
      <c r="A14" s="92" t="s">
        <v>147</v>
      </c>
      <c r="B14" s="92" t="str">
        <f>INSCRITS!C6</f>
        <v>5A</v>
      </c>
      <c r="C14" s="96"/>
      <c r="D14" s="91" t="s">
        <v>129</v>
      </c>
      <c r="E14" s="96"/>
      <c r="F14" s="92" t="str">
        <f>INSCRITS!C5</f>
        <v>4A</v>
      </c>
      <c r="G14" s="92" t="s">
        <v>122</v>
      </c>
      <c r="S14" s="231"/>
      <c r="T14" s="231"/>
      <c r="U14" s="231"/>
      <c r="V14" s="231"/>
      <c r="W14" s="231"/>
      <c r="X14" s="79" t="str">
        <f ca="1">INDIRECT("B"&amp;14) &amp; CHAR(10) &amp; "vs" &amp; CHAR(10) &amp; INDIRECT("F"&amp;14)</f>
        <v>5A
vs
4A</v>
      </c>
      <c r="Y14" s="79" t="b">
        <f t="shared" ca="1" si="0"/>
        <v>0</v>
      </c>
      <c r="Z14" s="79" t="b">
        <f t="shared" ca="1" si="1"/>
        <v>0</v>
      </c>
      <c r="AA14" s="79" t="b">
        <f t="shared" ca="1" si="2"/>
        <v>0</v>
      </c>
    </row>
    <row r="15" spans="1:27" x14ac:dyDescent="0.25">
      <c r="A15" s="92" t="s">
        <v>148</v>
      </c>
      <c r="B15" s="92" t="str">
        <f>INSCRITS!C7</f>
        <v>6A</v>
      </c>
      <c r="C15" s="96"/>
      <c r="D15" s="91" t="s">
        <v>130</v>
      </c>
      <c r="E15" s="96"/>
      <c r="F15" s="92" t="str">
        <f>INSCRITS!C8</f>
        <v>7A</v>
      </c>
      <c r="G15" s="92" t="s">
        <v>149</v>
      </c>
      <c r="S15" s="231"/>
      <c r="T15" s="231"/>
      <c r="U15" s="231"/>
      <c r="V15" s="231"/>
      <c r="W15" s="231"/>
      <c r="X15" s="79" t="str">
        <f ca="1">INDIRECT("B"&amp;15) &amp; CHAR(10) &amp; "vs" &amp; CHAR(10) &amp; INDIRECT("F"&amp;15)</f>
        <v>6A
vs
7A</v>
      </c>
      <c r="Y15" s="79" t="b">
        <f t="shared" ca="1" si="0"/>
        <v>0</v>
      </c>
      <c r="Z15" s="79" t="b">
        <f t="shared" ca="1" si="1"/>
        <v>0</v>
      </c>
      <c r="AA15" s="79" t="b">
        <f t="shared" ca="1" si="2"/>
        <v>0</v>
      </c>
    </row>
    <row r="16" spans="1:27" x14ac:dyDescent="0.25">
      <c r="A16" s="89"/>
      <c r="B16" s="89"/>
      <c r="C16" s="95" t="str">
        <f>CHAR(160)</f>
        <v> </v>
      </c>
      <c r="D16" s="90">
        <f>0.408333333333333 + "00:09:00"</f>
        <v>0.41458333333333297</v>
      </c>
      <c r="E16" s="95" t="str">
        <f>CHAR(160)</f>
        <v> </v>
      </c>
      <c r="F16" s="89"/>
      <c r="G16" s="89"/>
      <c r="X16" s="79" t="str">
        <f ca="1">INDIRECT("B"&amp;16) &amp; CHAR(10) &amp; "vs" &amp; CHAR(10) &amp; INDIRECT("F"&amp;16)</f>
        <v xml:space="preserve">
vs
</v>
      </c>
      <c r="Y16" s="79" t="b">
        <f t="shared" ca="1" si="0"/>
        <v>0</v>
      </c>
      <c r="Z16" s="79" t="b">
        <f t="shared" ca="1" si="1"/>
        <v>0</v>
      </c>
      <c r="AA16" s="79" t="b">
        <f t="shared" ca="1" si="2"/>
        <v>0</v>
      </c>
    </row>
    <row r="17" spans="1:27" x14ac:dyDescent="0.25">
      <c r="A17" s="93" t="s">
        <v>123</v>
      </c>
      <c r="B17" s="93" t="str">
        <f>INSCRITS!C10</f>
        <v>1B</v>
      </c>
      <c r="C17" s="96"/>
      <c r="D17" s="91" t="s">
        <v>127</v>
      </c>
      <c r="E17" s="96"/>
      <c r="F17" s="93" t="str">
        <f>INSCRITS!C12</f>
        <v>3B</v>
      </c>
      <c r="G17" s="93" t="s">
        <v>125</v>
      </c>
      <c r="S17" s="230" t="s">
        <v>190</v>
      </c>
      <c r="T17" s="230"/>
      <c r="U17" s="230"/>
      <c r="V17" s="230"/>
      <c r="W17" s="230"/>
      <c r="X17" s="79" t="str">
        <f ca="1">INDIRECT("B"&amp;17) &amp; CHAR(10) &amp; "vs" &amp; CHAR(10) &amp; INDIRECT("F"&amp;17)</f>
        <v>1B
vs
3B</v>
      </c>
      <c r="Y17" s="79" t="b">
        <f t="shared" ca="1" si="0"/>
        <v>0</v>
      </c>
      <c r="Z17" s="79" t="b">
        <f t="shared" ca="1" si="1"/>
        <v>0</v>
      </c>
      <c r="AA17" s="79" t="b">
        <f t="shared" ca="1" si="2"/>
        <v>0</v>
      </c>
    </row>
    <row r="18" spans="1:27" x14ac:dyDescent="0.25">
      <c r="A18" s="93" t="s">
        <v>150</v>
      </c>
      <c r="B18" s="93" t="str">
        <f>INSCRITS!C14</f>
        <v>5B</v>
      </c>
      <c r="C18" s="96"/>
      <c r="D18" s="91" t="s">
        <v>128</v>
      </c>
      <c r="E18" s="96"/>
      <c r="F18" s="93" t="str">
        <f>INSCRITS!C13</f>
        <v>4B</v>
      </c>
      <c r="G18" s="93" t="s">
        <v>126</v>
      </c>
      <c r="S18" s="230"/>
      <c r="T18" s="230"/>
      <c r="U18" s="230"/>
      <c r="V18" s="230"/>
      <c r="W18" s="230"/>
      <c r="X18" s="79" t="str">
        <f ca="1">INDIRECT("B"&amp;18) &amp; CHAR(10) &amp; "vs" &amp; CHAR(10) &amp; INDIRECT("F"&amp;18)</f>
        <v>5B
vs
4B</v>
      </c>
      <c r="Y18" s="79" t="b">
        <f t="shared" ca="1" si="0"/>
        <v>0</v>
      </c>
      <c r="Z18" s="79" t="b">
        <f t="shared" ca="1" si="1"/>
        <v>0</v>
      </c>
      <c r="AA18" s="79" t="b">
        <f t="shared" ca="1" si="2"/>
        <v>0</v>
      </c>
    </row>
    <row r="19" spans="1:27" x14ac:dyDescent="0.25">
      <c r="A19" s="93" t="s">
        <v>151</v>
      </c>
      <c r="B19" s="93" t="str">
        <f>INSCRITS!C15</f>
        <v>6B</v>
      </c>
      <c r="C19" s="96"/>
      <c r="D19" s="91" t="s">
        <v>129</v>
      </c>
      <c r="E19" s="96"/>
      <c r="F19" s="93" t="str">
        <f>INSCRITS!C16</f>
        <v>7B</v>
      </c>
      <c r="G19" s="93" t="s">
        <v>152</v>
      </c>
      <c r="S19" s="230"/>
      <c r="T19" s="230"/>
      <c r="U19" s="230"/>
      <c r="V19" s="230"/>
      <c r="W19" s="230"/>
      <c r="X19" s="79" t="str">
        <f ca="1">INDIRECT("B"&amp;19) &amp; CHAR(10) &amp; "vs" &amp; CHAR(10) &amp; INDIRECT("F"&amp;19)</f>
        <v>6B
vs
7B</v>
      </c>
      <c r="Y19" s="79" t="b">
        <f t="shared" ca="1" si="0"/>
        <v>0</v>
      </c>
      <c r="Z19" s="79" t="b">
        <f t="shared" ca="1" si="1"/>
        <v>0</v>
      </c>
      <c r="AA19" s="79" t="b">
        <f t="shared" ca="1" si="2"/>
        <v>0</v>
      </c>
    </row>
    <row r="20" spans="1:27" x14ac:dyDescent="0.25">
      <c r="A20" s="94" t="s">
        <v>153</v>
      </c>
      <c r="B20" s="94" t="str">
        <f>INSCRITS!C18</f>
        <v>1C</v>
      </c>
      <c r="C20" s="96"/>
      <c r="D20" s="91" t="s">
        <v>130</v>
      </c>
      <c r="E20" s="96"/>
      <c r="F20" s="94" t="str">
        <f>INSCRITS!C20</f>
        <v>3C</v>
      </c>
      <c r="G20" s="94" t="s">
        <v>155</v>
      </c>
      <c r="S20" s="231" t="str">
        <f ca="1">IF(S$4=U$4,INDIRECT("B"&amp;S$4) &amp; CHAR(10) &amp; "vs" &amp; CHAR(10) &amp; INDIRECT("F"&amp;S$4),"ERREUR DE SAISSIE")</f>
        <v>3A
vs
4A</v>
      </c>
      <c r="T20" s="231"/>
      <c r="U20" s="231"/>
      <c r="V20" s="231"/>
      <c r="W20" s="231"/>
      <c r="X20" s="79" t="str">
        <f ca="1">INDIRECT("B"&amp;20) &amp; CHAR(10) &amp; "vs" &amp; CHAR(10) &amp; INDIRECT("F"&amp;20)</f>
        <v>1C
vs
3C</v>
      </c>
      <c r="Y20" s="79" t="b">
        <f t="shared" ca="1" si="0"/>
        <v>0</v>
      </c>
      <c r="Z20" s="79" t="b">
        <f t="shared" ca="1" si="1"/>
        <v>0</v>
      </c>
      <c r="AA20" s="79" t="b">
        <f t="shared" ca="1" si="2"/>
        <v>0</v>
      </c>
    </row>
    <row r="21" spans="1:27" x14ac:dyDescent="0.25">
      <c r="A21" s="89"/>
      <c r="B21" s="89"/>
      <c r="C21" s="95" t="str">
        <f>CHAR(160)</f>
        <v> </v>
      </c>
      <c r="D21" s="90">
        <f>0.414583333333333 + "00:09:00"</f>
        <v>0.420833333333333</v>
      </c>
      <c r="E21" s="95" t="str">
        <f>CHAR(160)</f>
        <v> </v>
      </c>
      <c r="F21" s="89"/>
      <c r="G21" s="89"/>
      <c r="S21" s="231"/>
      <c r="T21" s="231"/>
      <c r="U21" s="231"/>
      <c r="V21" s="231"/>
      <c r="W21" s="231"/>
      <c r="X21" s="79" t="str">
        <f ca="1">INDIRECT("B"&amp;21) &amp; CHAR(10) &amp; "vs" &amp; CHAR(10) &amp; INDIRECT("F"&amp;21)</f>
        <v xml:space="preserve">
vs
</v>
      </c>
      <c r="Y21" s="79" t="b">
        <f t="shared" ca="1" si="0"/>
        <v>0</v>
      </c>
      <c r="Z21" s="79" t="b">
        <f t="shared" ca="1" si="1"/>
        <v>0</v>
      </c>
      <c r="AA21" s="79" t="b">
        <f t="shared" ca="1" si="2"/>
        <v>0</v>
      </c>
    </row>
    <row r="22" spans="1:27" x14ac:dyDescent="0.25">
      <c r="A22" s="94" t="s">
        <v>157</v>
      </c>
      <c r="B22" s="94" t="str">
        <f>INSCRITS!C22</f>
        <v>5C</v>
      </c>
      <c r="C22" s="96"/>
      <c r="D22" s="91" t="s">
        <v>127</v>
      </c>
      <c r="E22" s="96"/>
      <c r="F22" s="94" t="str">
        <f>INSCRITS!C21</f>
        <v>4C</v>
      </c>
      <c r="G22" s="94" t="s">
        <v>156</v>
      </c>
      <c r="S22" s="231"/>
      <c r="T22" s="231"/>
      <c r="U22" s="231"/>
      <c r="V22" s="231"/>
      <c r="W22" s="231"/>
      <c r="X22" s="79" t="str">
        <f ca="1">INDIRECT("B"&amp;22) &amp; CHAR(10) &amp; "vs" &amp; CHAR(10) &amp; INDIRECT("F"&amp;22)</f>
        <v>5C
vs
4C</v>
      </c>
      <c r="Y22" s="79" t="b">
        <f t="shared" ca="1" si="0"/>
        <v>0</v>
      </c>
      <c r="Z22" s="79" t="b">
        <f t="shared" ca="1" si="1"/>
        <v>0</v>
      </c>
      <c r="AA22" s="79" t="b">
        <f t="shared" ca="1" si="2"/>
        <v>0</v>
      </c>
    </row>
    <row r="23" spans="1:27" x14ac:dyDescent="0.25">
      <c r="A23" s="94" t="s">
        <v>158</v>
      </c>
      <c r="B23" s="94" t="str">
        <f>INSCRITS!C23</f>
        <v>6C</v>
      </c>
      <c r="C23" s="96"/>
      <c r="D23" s="91" t="s">
        <v>128</v>
      </c>
      <c r="E23" s="96"/>
      <c r="F23" s="94" t="str">
        <f>INSCRITS!C24</f>
        <v>7C</v>
      </c>
      <c r="G23" s="94" t="s">
        <v>188</v>
      </c>
      <c r="S23" s="231"/>
      <c r="T23" s="231"/>
      <c r="U23" s="231"/>
      <c r="V23" s="231"/>
      <c r="W23" s="231"/>
      <c r="X23" s="79" t="str">
        <f ca="1">INDIRECT("B"&amp;23) &amp; CHAR(10) &amp; "vs" &amp; CHAR(10) &amp; INDIRECT("F"&amp;23)</f>
        <v>6C
vs
7C</v>
      </c>
      <c r="Y23" s="79" t="b">
        <f t="shared" ca="1" si="0"/>
        <v>0</v>
      </c>
      <c r="Z23" s="79" t="b">
        <f t="shared" ca="1" si="1"/>
        <v>0</v>
      </c>
      <c r="AA23" s="79" t="b">
        <f t="shared" ca="1" si="2"/>
        <v>0</v>
      </c>
    </row>
    <row r="24" spans="1:27" x14ac:dyDescent="0.25">
      <c r="A24" s="92" t="s">
        <v>119</v>
      </c>
      <c r="B24" s="92" t="str">
        <f>INSCRITS!C2</f>
        <v>1A</v>
      </c>
      <c r="C24" s="96"/>
      <c r="D24" s="91" t="s">
        <v>129</v>
      </c>
      <c r="E24" s="96"/>
      <c r="F24" s="92" t="str">
        <f>INSCRITS!C5</f>
        <v>4A</v>
      </c>
      <c r="G24" s="92" t="s">
        <v>122</v>
      </c>
      <c r="S24" s="231"/>
      <c r="T24" s="231"/>
      <c r="U24" s="231"/>
      <c r="V24" s="231"/>
      <c r="W24" s="231"/>
      <c r="X24" s="79" t="str">
        <f ca="1">INDIRECT("B"&amp;24) &amp; CHAR(10) &amp; "vs" &amp; CHAR(10) &amp; INDIRECT("F"&amp;24)</f>
        <v>1A
vs
4A</v>
      </c>
      <c r="Y24" s="79" t="b">
        <f t="shared" ca="1" si="0"/>
        <v>0</v>
      </c>
      <c r="Z24" s="79" t="b">
        <f t="shared" ca="1" si="1"/>
        <v>0</v>
      </c>
      <c r="AA24" s="79" t="b">
        <f t="shared" ca="1" si="2"/>
        <v>0</v>
      </c>
    </row>
    <row r="25" spans="1:27" x14ac:dyDescent="0.25">
      <c r="A25" s="92" t="s">
        <v>120</v>
      </c>
      <c r="B25" s="92" t="str">
        <f>INSCRITS!C3</f>
        <v>2A</v>
      </c>
      <c r="C25" s="96"/>
      <c r="D25" s="91" t="s">
        <v>130</v>
      </c>
      <c r="E25" s="96"/>
      <c r="F25" s="92" t="str">
        <f>INSCRITS!C6</f>
        <v>5A</v>
      </c>
      <c r="G25" s="92" t="s">
        <v>147</v>
      </c>
      <c r="S25" s="231"/>
      <c r="T25" s="231"/>
      <c r="U25" s="231"/>
      <c r="V25" s="231"/>
      <c r="W25" s="231"/>
      <c r="X25" s="79" t="str">
        <f ca="1">INDIRECT("B"&amp;25) &amp; CHAR(10) &amp; "vs" &amp; CHAR(10) &amp; INDIRECT("F"&amp;25)</f>
        <v>2A
vs
5A</v>
      </c>
      <c r="Y25" s="79" t="b">
        <f t="shared" ca="1" si="0"/>
        <v>0</v>
      </c>
      <c r="Z25" s="79" t="b">
        <f t="shared" ca="1" si="1"/>
        <v>0</v>
      </c>
      <c r="AA25" s="79" t="b">
        <f t="shared" ca="1" si="2"/>
        <v>0</v>
      </c>
    </row>
    <row r="26" spans="1:27" x14ac:dyDescent="0.25">
      <c r="A26" s="89"/>
      <c r="B26" s="89"/>
      <c r="C26" s="95" t="str">
        <f>CHAR(160)</f>
        <v> </v>
      </c>
      <c r="D26" s="90">
        <f>0.420833333333333 + "00:09:00"</f>
        <v>0.42708333333333298</v>
      </c>
      <c r="E26" s="95" t="str">
        <f>CHAR(160)</f>
        <v> </v>
      </c>
      <c r="F26" s="89"/>
      <c r="G26" s="89"/>
      <c r="X26" s="79" t="str">
        <f ca="1">INDIRECT("B"&amp;26) &amp; CHAR(10) &amp; "vs" &amp; CHAR(10) &amp; INDIRECT("F"&amp;26)</f>
        <v xml:space="preserve">
vs
</v>
      </c>
      <c r="Y26" s="79" t="b">
        <f t="shared" ca="1" si="0"/>
        <v>0</v>
      </c>
      <c r="Z26" s="79" t="b">
        <f t="shared" ca="1" si="1"/>
        <v>0</v>
      </c>
      <c r="AA26" s="79" t="b">
        <f t="shared" ca="1" si="2"/>
        <v>0</v>
      </c>
    </row>
    <row r="27" spans="1:27" x14ac:dyDescent="0.25">
      <c r="A27" s="92" t="s">
        <v>149</v>
      </c>
      <c r="B27" s="92" t="str">
        <f>INSCRITS!C8</f>
        <v>7A</v>
      </c>
      <c r="C27" s="96"/>
      <c r="D27" s="91" t="s">
        <v>127</v>
      </c>
      <c r="E27" s="96"/>
      <c r="F27" s="92" t="str">
        <f>INSCRITS!C4</f>
        <v>3A</v>
      </c>
      <c r="G27" s="92" t="s">
        <v>121</v>
      </c>
      <c r="S27" s="230" t="s">
        <v>190</v>
      </c>
      <c r="T27" s="230"/>
      <c r="U27" s="230"/>
      <c r="V27" s="230"/>
      <c r="W27" s="230"/>
      <c r="X27" s="79" t="str">
        <f ca="1">INDIRECT("B"&amp;27) &amp; CHAR(10) &amp; "vs" &amp; CHAR(10) &amp; INDIRECT("F"&amp;27)</f>
        <v>7A
vs
3A</v>
      </c>
      <c r="Y27" s="79" t="b">
        <f t="shared" ca="1" si="0"/>
        <v>0</v>
      </c>
      <c r="Z27" s="79" t="b">
        <f t="shared" ca="1" si="1"/>
        <v>0</v>
      </c>
      <c r="AA27" s="79" t="b">
        <f t="shared" ca="1" si="2"/>
        <v>0</v>
      </c>
    </row>
    <row r="28" spans="1:27" x14ac:dyDescent="0.25">
      <c r="A28" s="93" t="s">
        <v>123</v>
      </c>
      <c r="B28" s="93" t="str">
        <f>INSCRITS!C10</f>
        <v>1B</v>
      </c>
      <c r="C28" s="96"/>
      <c r="D28" s="91" t="s">
        <v>128</v>
      </c>
      <c r="E28" s="96"/>
      <c r="F28" s="93" t="str">
        <f>INSCRITS!C13</f>
        <v>4B</v>
      </c>
      <c r="G28" s="93" t="s">
        <v>126</v>
      </c>
      <c r="S28" s="230"/>
      <c r="T28" s="230"/>
      <c r="U28" s="230"/>
      <c r="V28" s="230"/>
      <c r="W28" s="230"/>
      <c r="X28" s="79" t="str">
        <f ca="1">INDIRECT("B"&amp;28) &amp; CHAR(10) &amp; "vs" &amp; CHAR(10) &amp; INDIRECT("F"&amp;28)</f>
        <v>1B
vs
4B</v>
      </c>
      <c r="Y28" s="79" t="b">
        <f t="shared" ca="1" si="0"/>
        <v>0</v>
      </c>
      <c r="Z28" s="79" t="b">
        <f t="shared" ca="1" si="1"/>
        <v>0</v>
      </c>
      <c r="AA28" s="79" t="b">
        <f t="shared" ca="1" si="2"/>
        <v>0</v>
      </c>
    </row>
    <row r="29" spans="1:27" x14ac:dyDescent="0.25">
      <c r="A29" s="93" t="s">
        <v>124</v>
      </c>
      <c r="B29" s="93" t="str">
        <f>INSCRITS!C11</f>
        <v>2B</v>
      </c>
      <c r="C29" s="96"/>
      <c r="D29" s="91" t="s">
        <v>129</v>
      </c>
      <c r="E29" s="96"/>
      <c r="F29" s="93" t="str">
        <f>INSCRITS!C14</f>
        <v>5B</v>
      </c>
      <c r="G29" s="93" t="s">
        <v>150</v>
      </c>
      <c r="S29" s="230"/>
      <c r="T29" s="230"/>
      <c r="U29" s="230"/>
      <c r="V29" s="230"/>
      <c r="W29" s="230"/>
      <c r="X29" s="79" t="str">
        <f ca="1">INDIRECT("B"&amp;29) &amp; CHAR(10) &amp; "vs" &amp; CHAR(10) &amp; INDIRECT("F"&amp;29)</f>
        <v>2B
vs
5B</v>
      </c>
      <c r="Y29" s="79" t="b">
        <f t="shared" ca="1" si="0"/>
        <v>0</v>
      </c>
      <c r="Z29" s="79" t="b">
        <f t="shared" ca="1" si="1"/>
        <v>0</v>
      </c>
      <c r="AA29" s="79" t="b">
        <f t="shared" ca="1" si="2"/>
        <v>0</v>
      </c>
    </row>
    <row r="30" spans="1:27" x14ac:dyDescent="0.25">
      <c r="A30" s="93" t="s">
        <v>152</v>
      </c>
      <c r="B30" s="93" t="str">
        <f>INSCRITS!C16</f>
        <v>7B</v>
      </c>
      <c r="C30" s="96"/>
      <c r="D30" s="91" t="s">
        <v>130</v>
      </c>
      <c r="E30" s="96"/>
      <c r="F30" s="93" t="str">
        <f>INSCRITS!C12</f>
        <v>3B</v>
      </c>
      <c r="G30" s="93" t="s">
        <v>125</v>
      </c>
      <c r="S30" s="231" t="str">
        <f ca="1">IF(S$5=U$5,INDIRECT("B"&amp;S$5) &amp; CHAR(10) &amp; "vs" &amp; CHAR(10) &amp; INDIRECT("F"&amp;S$5),"ERREUR DE SAISSIE")</f>
        <v>5A
vs
6A</v>
      </c>
      <c r="T30" s="231"/>
      <c r="U30" s="231"/>
      <c r="V30" s="231"/>
      <c r="W30" s="231"/>
      <c r="X30" s="79" t="str">
        <f ca="1">INDIRECT("B"&amp;30) &amp; CHAR(10) &amp; "vs" &amp; CHAR(10) &amp; INDIRECT("F"&amp;30)</f>
        <v>7B
vs
3B</v>
      </c>
      <c r="Y30" s="79" t="b">
        <f t="shared" ca="1" si="0"/>
        <v>0</v>
      </c>
      <c r="Z30" s="79" t="b">
        <f t="shared" ca="1" si="1"/>
        <v>0</v>
      </c>
      <c r="AA30" s="79" t="b">
        <f t="shared" ca="1" si="2"/>
        <v>0</v>
      </c>
    </row>
    <row r="31" spans="1:27" x14ac:dyDescent="0.25">
      <c r="A31" s="89"/>
      <c r="B31" s="89"/>
      <c r="C31" s="95" t="str">
        <f>CHAR(160)</f>
        <v> </v>
      </c>
      <c r="D31" s="90">
        <f>0.427083333333333 + "00:09:00"</f>
        <v>0.43333333333333296</v>
      </c>
      <c r="E31" s="95" t="str">
        <f>CHAR(160)</f>
        <v> </v>
      </c>
      <c r="F31" s="89"/>
      <c r="G31" s="89"/>
      <c r="S31" s="231"/>
      <c r="T31" s="231"/>
      <c r="U31" s="231"/>
      <c r="V31" s="231"/>
      <c r="W31" s="231"/>
      <c r="X31" s="79" t="str">
        <f ca="1">INDIRECT("B"&amp;31) &amp; CHAR(10) &amp; "vs" &amp; CHAR(10) &amp; INDIRECT("F"&amp;31)</f>
        <v xml:space="preserve">
vs
</v>
      </c>
      <c r="Y31" s="79" t="b">
        <f t="shared" ca="1" si="0"/>
        <v>0</v>
      </c>
      <c r="Z31" s="79" t="b">
        <f t="shared" ca="1" si="1"/>
        <v>0</v>
      </c>
      <c r="AA31" s="79" t="b">
        <f t="shared" ca="1" si="2"/>
        <v>0</v>
      </c>
    </row>
    <row r="32" spans="1:27" x14ac:dyDescent="0.25">
      <c r="A32" s="94" t="s">
        <v>153</v>
      </c>
      <c r="B32" s="94" t="str">
        <f>INSCRITS!C18</f>
        <v>1C</v>
      </c>
      <c r="C32" s="96"/>
      <c r="D32" s="91" t="s">
        <v>127</v>
      </c>
      <c r="E32" s="96"/>
      <c r="F32" s="94" t="str">
        <f>INSCRITS!C21</f>
        <v>4C</v>
      </c>
      <c r="G32" s="94" t="s">
        <v>156</v>
      </c>
      <c r="S32" s="231"/>
      <c r="T32" s="231"/>
      <c r="U32" s="231"/>
      <c r="V32" s="231"/>
      <c r="W32" s="231"/>
      <c r="X32" s="79" t="str">
        <f ca="1">INDIRECT("B"&amp;32) &amp; CHAR(10) &amp; "vs" &amp; CHAR(10) &amp; INDIRECT("F"&amp;32)</f>
        <v>1C
vs
4C</v>
      </c>
      <c r="Y32" s="79" t="b">
        <f t="shared" ca="1" si="0"/>
        <v>0</v>
      </c>
      <c r="Z32" s="79" t="b">
        <f t="shared" ca="1" si="1"/>
        <v>0</v>
      </c>
      <c r="AA32" s="79" t="b">
        <f t="shared" ca="1" si="2"/>
        <v>0</v>
      </c>
    </row>
    <row r="33" spans="1:27" x14ac:dyDescent="0.25">
      <c r="A33" s="94" t="s">
        <v>154</v>
      </c>
      <c r="B33" s="94" t="str">
        <f>INSCRITS!C19</f>
        <v>2C</v>
      </c>
      <c r="C33" s="96"/>
      <c r="D33" s="91" t="s">
        <v>128</v>
      </c>
      <c r="E33" s="96"/>
      <c r="F33" s="94" t="str">
        <f>INSCRITS!C22</f>
        <v>5C</v>
      </c>
      <c r="G33" s="94" t="s">
        <v>157</v>
      </c>
      <c r="S33" s="231"/>
      <c r="T33" s="231"/>
      <c r="U33" s="231"/>
      <c r="V33" s="231"/>
      <c r="W33" s="231"/>
      <c r="X33" s="79" t="str">
        <f ca="1">INDIRECT("B"&amp;33) &amp; CHAR(10) &amp; "vs" &amp; CHAR(10) &amp; INDIRECT("F"&amp;33)</f>
        <v>2C
vs
5C</v>
      </c>
      <c r="Y33" s="79" t="b">
        <f t="shared" ref="Y33:Y64" ca="1" si="3">$S$10=X33</f>
        <v>0</v>
      </c>
      <c r="Z33" s="79" t="b">
        <f t="shared" ref="Z33:Z64" ca="1" si="4">$S$20=X33</f>
        <v>0</v>
      </c>
      <c r="AA33" s="79" t="b">
        <f t="shared" ref="AA33:AA64" ca="1" si="5">$S$30=X33</f>
        <v>0</v>
      </c>
    </row>
    <row r="34" spans="1:27" x14ac:dyDescent="0.25">
      <c r="A34" s="94" t="s">
        <v>188</v>
      </c>
      <c r="B34" s="94" t="str">
        <f>INSCRITS!C24</f>
        <v>7C</v>
      </c>
      <c r="C34" s="96"/>
      <c r="D34" s="91" t="s">
        <v>129</v>
      </c>
      <c r="E34" s="96"/>
      <c r="F34" s="94" t="str">
        <f>INSCRITS!C20</f>
        <v>3C</v>
      </c>
      <c r="G34" s="94" t="s">
        <v>155</v>
      </c>
      <c r="S34" s="231"/>
      <c r="T34" s="231"/>
      <c r="U34" s="231"/>
      <c r="V34" s="231"/>
      <c r="W34" s="231"/>
      <c r="X34" s="79" t="str">
        <f ca="1">INDIRECT("B"&amp;34) &amp; CHAR(10) &amp; "vs" &amp; CHAR(10) &amp; INDIRECT("F"&amp;34)</f>
        <v>7C
vs
3C</v>
      </c>
      <c r="Y34" s="79" t="b">
        <f t="shared" ca="1" si="3"/>
        <v>0</v>
      </c>
      <c r="Z34" s="79" t="b">
        <f t="shared" ca="1" si="4"/>
        <v>0</v>
      </c>
      <c r="AA34" s="79" t="b">
        <f t="shared" ca="1" si="5"/>
        <v>0</v>
      </c>
    </row>
    <row r="35" spans="1:27" x14ac:dyDescent="0.25">
      <c r="A35" s="92" t="s">
        <v>119</v>
      </c>
      <c r="B35" s="92" t="str">
        <f>INSCRITS!C2</f>
        <v>1A</v>
      </c>
      <c r="C35" s="96"/>
      <c r="D35" s="91" t="s">
        <v>130</v>
      </c>
      <c r="E35" s="96"/>
      <c r="F35" s="92" t="str">
        <f>INSCRITS!C6</f>
        <v>5A</v>
      </c>
      <c r="G35" s="92" t="s">
        <v>147</v>
      </c>
      <c r="S35" s="231"/>
      <c r="T35" s="231"/>
      <c r="U35" s="231"/>
      <c r="V35" s="231"/>
      <c r="W35" s="231"/>
      <c r="X35" s="79" t="str">
        <f ca="1">INDIRECT("B"&amp;35) &amp; CHAR(10) &amp; "vs" &amp; CHAR(10) &amp; INDIRECT("F"&amp;35)</f>
        <v>1A
vs
5A</v>
      </c>
      <c r="Y35" s="79" t="b">
        <f t="shared" ca="1" si="3"/>
        <v>0</v>
      </c>
      <c r="Z35" s="79" t="b">
        <f t="shared" ca="1" si="4"/>
        <v>0</v>
      </c>
      <c r="AA35" s="79" t="b">
        <f t="shared" ca="1" si="5"/>
        <v>0</v>
      </c>
    </row>
    <row r="36" spans="1:27" x14ac:dyDescent="0.25">
      <c r="A36" s="89"/>
      <c r="B36" s="89"/>
      <c r="C36" s="95" t="str">
        <f>CHAR(160)</f>
        <v> </v>
      </c>
      <c r="D36" s="90">
        <f>0.433333333333333 + "00:09:00"</f>
        <v>0.43958333333333299</v>
      </c>
      <c r="E36" s="95" t="str">
        <f>CHAR(160)</f>
        <v> </v>
      </c>
      <c r="F36" s="89"/>
      <c r="G36" s="89"/>
      <c r="X36" s="79" t="str">
        <f ca="1">INDIRECT("B"&amp;36) &amp; CHAR(10) &amp; "vs" &amp; CHAR(10) &amp; INDIRECT("F"&amp;36)</f>
        <v xml:space="preserve">
vs
</v>
      </c>
      <c r="Y36" s="79" t="b">
        <f t="shared" ca="1" si="3"/>
        <v>0</v>
      </c>
      <c r="Z36" s="79" t="b">
        <f t="shared" ca="1" si="4"/>
        <v>0</v>
      </c>
      <c r="AA36" s="79" t="b">
        <f t="shared" ca="1" si="5"/>
        <v>0</v>
      </c>
    </row>
    <row r="37" spans="1:27" x14ac:dyDescent="0.25">
      <c r="A37" s="92" t="s">
        <v>148</v>
      </c>
      <c r="B37" s="92" t="str">
        <f>INSCRITS!C7</f>
        <v>6A</v>
      </c>
      <c r="C37" s="96"/>
      <c r="D37" s="91" t="s">
        <v>127</v>
      </c>
      <c r="E37" s="96"/>
      <c r="F37" s="92" t="str">
        <f>INSCRITS!C4</f>
        <v>3A</v>
      </c>
      <c r="G37" s="92" t="s">
        <v>121</v>
      </c>
      <c r="X37" s="79" t="str">
        <f ca="1">INDIRECT("B"&amp;37) &amp; CHAR(10) &amp; "vs" &amp; CHAR(10) &amp; INDIRECT("F"&amp;37)</f>
        <v>6A
vs
3A</v>
      </c>
      <c r="Y37" s="79" t="b">
        <f t="shared" ca="1" si="3"/>
        <v>0</v>
      </c>
      <c r="Z37" s="79" t="b">
        <f t="shared" ca="1" si="4"/>
        <v>0</v>
      </c>
      <c r="AA37" s="79" t="b">
        <f t="shared" ca="1" si="5"/>
        <v>0</v>
      </c>
    </row>
    <row r="38" spans="1:27" x14ac:dyDescent="0.25">
      <c r="A38" s="92" t="s">
        <v>120</v>
      </c>
      <c r="B38" s="92" t="str">
        <f>INSCRITS!C3</f>
        <v>2A</v>
      </c>
      <c r="C38" s="96"/>
      <c r="D38" s="91" t="s">
        <v>128</v>
      </c>
      <c r="E38" s="96"/>
      <c r="F38" s="92" t="str">
        <f>INSCRITS!C8</f>
        <v>7A</v>
      </c>
      <c r="G38" s="92" t="s">
        <v>149</v>
      </c>
      <c r="X38" s="79" t="str">
        <f ca="1">INDIRECT("B"&amp;38) &amp; CHAR(10) &amp; "vs" &amp; CHAR(10) &amp; INDIRECT("F"&amp;38)</f>
        <v>2A
vs
7A</v>
      </c>
      <c r="Y38" s="79" t="b">
        <f t="shared" ca="1" si="3"/>
        <v>0</v>
      </c>
      <c r="Z38" s="79" t="b">
        <f t="shared" ca="1" si="4"/>
        <v>0</v>
      </c>
      <c r="AA38" s="79" t="b">
        <f t="shared" ca="1" si="5"/>
        <v>0</v>
      </c>
    </row>
    <row r="39" spans="1:27" x14ac:dyDescent="0.25">
      <c r="A39" s="93" t="s">
        <v>123</v>
      </c>
      <c r="B39" s="93" t="str">
        <f>INSCRITS!C10</f>
        <v>1B</v>
      </c>
      <c r="C39" s="96"/>
      <c r="D39" s="91" t="s">
        <v>129</v>
      </c>
      <c r="E39" s="96"/>
      <c r="F39" s="93" t="str">
        <f>INSCRITS!C14</f>
        <v>5B</v>
      </c>
      <c r="G39" s="93" t="s">
        <v>150</v>
      </c>
      <c r="X39" s="79" t="str">
        <f ca="1">INDIRECT("B"&amp;39) &amp; CHAR(10) &amp; "vs" &amp; CHAR(10) &amp; INDIRECT("F"&amp;39)</f>
        <v>1B
vs
5B</v>
      </c>
      <c r="Y39" s="79" t="b">
        <f t="shared" ca="1" si="3"/>
        <v>0</v>
      </c>
      <c r="Z39" s="79" t="b">
        <f t="shared" ca="1" si="4"/>
        <v>0</v>
      </c>
      <c r="AA39" s="79" t="b">
        <f t="shared" ca="1" si="5"/>
        <v>0</v>
      </c>
    </row>
    <row r="40" spans="1:27" x14ac:dyDescent="0.25">
      <c r="A40" s="93" t="s">
        <v>151</v>
      </c>
      <c r="B40" s="93" t="str">
        <f>INSCRITS!C15</f>
        <v>6B</v>
      </c>
      <c r="C40" s="96"/>
      <c r="D40" s="91" t="s">
        <v>130</v>
      </c>
      <c r="E40" s="96"/>
      <c r="F40" s="93" t="str">
        <f>INSCRITS!C12</f>
        <v>3B</v>
      </c>
      <c r="G40" s="93" t="s">
        <v>125</v>
      </c>
      <c r="X40" s="79" t="str">
        <f ca="1">INDIRECT("B"&amp;40) &amp; CHAR(10) &amp; "vs" &amp; CHAR(10) &amp; INDIRECT("F"&amp;40)</f>
        <v>6B
vs
3B</v>
      </c>
      <c r="Y40" s="79" t="b">
        <f t="shared" ca="1" si="3"/>
        <v>0</v>
      </c>
      <c r="Z40" s="79" t="b">
        <f t="shared" ca="1" si="4"/>
        <v>0</v>
      </c>
      <c r="AA40" s="79" t="b">
        <f t="shared" ca="1" si="5"/>
        <v>0</v>
      </c>
    </row>
    <row r="41" spans="1:27" x14ac:dyDescent="0.25">
      <c r="A41" s="89"/>
      <c r="B41" s="89"/>
      <c r="C41" s="95" t="str">
        <f>CHAR(160)</f>
        <v> </v>
      </c>
      <c r="D41" s="90">
        <f>0.439583333333333 + "00:09:00"</f>
        <v>0.44583333333333297</v>
      </c>
      <c r="E41" s="95" t="str">
        <f>CHAR(160)</f>
        <v> </v>
      </c>
      <c r="F41" s="89"/>
      <c r="G41" s="89"/>
      <c r="X41" s="79" t="str">
        <f ca="1">INDIRECT("B"&amp;41) &amp; CHAR(10) &amp; "vs" &amp; CHAR(10) &amp; INDIRECT("F"&amp;41)</f>
        <v xml:space="preserve">
vs
</v>
      </c>
      <c r="Y41" s="79" t="b">
        <f t="shared" ca="1" si="3"/>
        <v>0</v>
      </c>
      <c r="Z41" s="79" t="b">
        <f t="shared" ca="1" si="4"/>
        <v>0</v>
      </c>
      <c r="AA41" s="79" t="b">
        <f t="shared" ca="1" si="5"/>
        <v>0</v>
      </c>
    </row>
    <row r="42" spans="1:27" x14ac:dyDescent="0.25">
      <c r="A42" s="93" t="s">
        <v>124</v>
      </c>
      <c r="B42" s="93" t="str">
        <f>INSCRITS!C11</f>
        <v>2B</v>
      </c>
      <c r="C42" s="96"/>
      <c r="D42" s="91" t="s">
        <v>127</v>
      </c>
      <c r="E42" s="96"/>
      <c r="F42" s="93" t="str">
        <f>INSCRITS!C16</f>
        <v>7B</v>
      </c>
      <c r="G42" s="93" t="s">
        <v>152</v>
      </c>
      <c r="X42" s="79" t="str">
        <f ca="1">INDIRECT("B"&amp;42) &amp; CHAR(10) &amp; "vs" &amp; CHAR(10) &amp; INDIRECT("F"&amp;42)</f>
        <v>2B
vs
7B</v>
      </c>
      <c r="Y42" s="79" t="b">
        <f t="shared" ca="1" si="3"/>
        <v>0</v>
      </c>
      <c r="Z42" s="79" t="b">
        <f t="shared" ca="1" si="4"/>
        <v>0</v>
      </c>
      <c r="AA42" s="79" t="b">
        <f t="shared" ca="1" si="5"/>
        <v>0</v>
      </c>
    </row>
    <row r="43" spans="1:27" x14ac:dyDescent="0.25">
      <c r="A43" s="94" t="s">
        <v>153</v>
      </c>
      <c r="B43" s="94" t="str">
        <f>INSCRITS!C18</f>
        <v>1C</v>
      </c>
      <c r="C43" s="96"/>
      <c r="D43" s="91" t="s">
        <v>128</v>
      </c>
      <c r="E43" s="96"/>
      <c r="F43" s="94" t="str">
        <f>INSCRITS!C22</f>
        <v>5C</v>
      </c>
      <c r="G43" s="94" t="s">
        <v>157</v>
      </c>
      <c r="X43" s="79" t="str">
        <f ca="1">INDIRECT("B"&amp;43) &amp; CHAR(10) &amp; "vs" &amp; CHAR(10) &amp; INDIRECT("F"&amp;43)</f>
        <v>1C
vs
5C</v>
      </c>
      <c r="Y43" s="79" t="b">
        <f t="shared" ca="1" si="3"/>
        <v>0</v>
      </c>
      <c r="Z43" s="79" t="b">
        <f t="shared" ca="1" si="4"/>
        <v>0</v>
      </c>
      <c r="AA43" s="79" t="b">
        <f t="shared" ca="1" si="5"/>
        <v>0</v>
      </c>
    </row>
    <row r="44" spans="1:27" x14ac:dyDescent="0.25">
      <c r="A44" s="94" t="s">
        <v>158</v>
      </c>
      <c r="B44" s="94" t="str">
        <f>INSCRITS!C23</f>
        <v>6C</v>
      </c>
      <c r="C44" s="96"/>
      <c r="D44" s="91" t="s">
        <v>129</v>
      </c>
      <c r="E44" s="96"/>
      <c r="F44" s="94" t="str">
        <f>INSCRITS!C20</f>
        <v>3C</v>
      </c>
      <c r="G44" s="94" t="s">
        <v>155</v>
      </c>
      <c r="X44" s="79" t="str">
        <f ca="1">INDIRECT("B"&amp;44) &amp; CHAR(10) &amp; "vs" &amp; CHAR(10) &amp; INDIRECT("F"&amp;44)</f>
        <v>6C
vs
3C</v>
      </c>
      <c r="Y44" s="79" t="b">
        <f t="shared" ca="1" si="3"/>
        <v>0</v>
      </c>
      <c r="Z44" s="79" t="b">
        <f t="shared" ca="1" si="4"/>
        <v>0</v>
      </c>
      <c r="AA44" s="79" t="b">
        <f t="shared" ca="1" si="5"/>
        <v>0</v>
      </c>
    </row>
    <row r="45" spans="1:27" x14ac:dyDescent="0.25">
      <c r="A45" s="94" t="s">
        <v>154</v>
      </c>
      <c r="B45" s="94" t="str">
        <f>INSCRITS!C19</f>
        <v>2C</v>
      </c>
      <c r="C45" s="96"/>
      <c r="D45" s="91" t="s">
        <v>130</v>
      </c>
      <c r="E45" s="96"/>
      <c r="F45" s="94" t="str">
        <f>INSCRITS!C24</f>
        <v>7C</v>
      </c>
      <c r="G45" s="94" t="s">
        <v>188</v>
      </c>
      <c r="X45" s="79" t="str">
        <f ca="1">INDIRECT("B"&amp;45) &amp; CHAR(10) &amp; "vs" &amp; CHAR(10) &amp; INDIRECT("F"&amp;45)</f>
        <v>2C
vs
7C</v>
      </c>
      <c r="Y45" s="79" t="b">
        <f t="shared" ca="1" si="3"/>
        <v>0</v>
      </c>
      <c r="Z45" s="79" t="b">
        <f t="shared" ca="1" si="4"/>
        <v>0</v>
      </c>
      <c r="AA45" s="79" t="b">
        <f t="shared" ca="1" si="5"/>
        <v>0</v>
      </c>
    </row>
    <row r="46" spans="1:27" x14ac:dyDescent="0.25">
      <c r="A46" s="89"/>
      <c r="B46" s="89"/>
      <c r="C46" s="95" t="str">
        <f>CHAR(160)</f>
        <v> </v>
      </c>
      <c r="D46" s="90">
        <f>0.445833333333333 + "00:09:00"</f>
        <v>0.452083333333333</v>
      </c>
      <c r="E46" s="95" t="str">
        <f>CHAR(160)</f>
        <v> </v>
      </c>
      <c r="F46" s="89"/>
      <c r="G46" s="89"/>
      <c r="X46" s="79" t="str">
        <f ca="1">INDIRECT("B"&amp;46) &amp; CHAR(10) &amp; "vs" &amp; CHAR(10) &amp; INDIRECT("F"&amp;46)</f>
        <v xml:space="preserve">
vs
</v>
      </c>
      <c r="Y46" s="79" t="b">
        <f t="shared" ca="1" si="3"/>
        <v>0</v>
      </c>
      <c r="Z46" s="79" t="b">
        <f t="shared" ca="1" si="4"/>
        <v>0</v>
      </c>
      <c r="AA46" s="79" t="b">
        <f t="shared" ca="1" si="5"/>
        <v>0</v>
      </c>
    </row>
    <row r="47" spans="1:27" x14ac:dyDescent="0.25">
      <c r="A47" s="92" t="s">
        <v>121</v>
      </c>
      <c r="B47" s="92" t="str">
        <f>INSCRITS!C4</f>
        <v>3A</v>
      </c>
      <c r="C47" s="96"/>
      <c r="D47" s="91" t="s">
        <v>127</v>
      </c>
      <c r="E47" s="96"/>
      <c r="F47" s="92" t="str">
        <f>INSCRITS!C6</f>
        <v>5A</v>
      </c>
      <c r="G47" s="92" t="s">
        <v>147</v>
      </c>
      <c r="X47" s="79" t="str">
        <f ca="1">INDIRECT("B"&amp;47) &amp; CHAR(10) &amp; "vs" &amp; CHAR(10) &amp; INDIRECT("F"&amp;47)</f>
        <v>3A
vs
5A</v>
      </c>
      <c r="Y47" s="79" t="b">
        <f t="shared" ca="1" si="3"/>
        <v>0</v>
      </c>
      <c r="Z47" s="79" t="b">
        <f t="shared" ca="1" si="4"/>
        <v>0</v>
      </c>
      <c r="AA47" s="79" t="b">
        <f t="shared" ca="1" si="5"/>
        <v>0</v>
      </c>
    </row>
    <row r="48" spans="1:27" x14ac:dyDescent="0.25">
      <c r="A48" s="92" t="s">
        <v>120</v>
      </c>
      <c r="B48" s="92" t="str">
        <f>INSCRITS!C3</f>
        <v>2A</v>
      </c>
      <c r="C48" s="96"/>
      <c r="D48" s="91" t="s">
        <v>128</v>
      </c>
      <c r="E48" s="96"/>
      <c r="F48" s="92" t="str">
        <f>INSCRITS!C7</f>
        <v>6A</v>
      </c>
      <c r="G48" s="92" t="s">
        <v>148</v>
      </c>
      <c r="X48" s="79" t="str">
        <f ca="1">INDIRECT("B"&amp;48) &amp; CHAR(10) &amp; "vs" &amp; CHAR(10) &amp; INDIRECT("F"&amp;48)</f>
        <v>2A
vs
6A</v>
      </c>
      <c r="Y48" s="79" t="b">
        <f t="shared" ca="1" si="3"/>
        <v>0</v>
      </c>
      <c r="Z48" s="79" t="b">
        <f t="shared" ca="1" si="4"/>
        <v>0</v>
      </c>
      <c r="AA48" s="79" t="b">
        <f t="shared" ca="1" si="5"/>
        <v>0</v>
      </c>
    </row>
    <row r="49" spans="1:27" x14ac:dyDescent="0.25">
      <c r="A49" s="92" t="s">
        <v>122</v>
      </c>
      <c r="B49" s="92" t="str">
        <f>INSCRITS!C5</f>
        <v>4A</v>
      </c>
      <c r="C49" s="96"/>
      <c r="D49" s="91" t="s">
        <v>129</v>
      </c>
      <c r="E49" s="96"/>
      <c r="F49" s="92" t="str">
        <f>INSCRITS!C8</f>
        <v>7A</v>
      </c>
      <c r="G49" s="92" t="s">
        <v>149</v>
      </c>
      <c r="X49" s="79" t="str">
        <f ca="1">INDIRECT("B"&amp;49) &amp; CHAR(10) &amp; "vs" &amp; CHAR(10) &amp; INDIRECT("F"&amp;49)</f>
        <v>4A
vs
7A</v>
      </c>
      <c r="Y49" s="79" t="b">
        <f t="shared" ca="1" si="3"/>
        <v>0</v>
      </c>
      <c r="Z49" s="79" t="b">
        <f t="shared" ca="1" si="4"/>
        <v>0</v>
      </c>
      <c r="AA49" s="79" t="b">
        <f t="shared" ca="1" si="5"/>
        <v>0</v>
      </c>
    </row>
    <row r="50" spans="1:27" x14ac:dyDescent="0.25">
      <c r="A50" s="93" t="s">
        <v>125</v>
      </c>
      <c r="B50" s="93" t="str">
        <f>INSCRITS!C12</f>
        <v>3B</v>
      </c>
      <c r="C50" s="96"/>
      <c r="D50" s="91" t="s">
        <v>130</v>
      </c>
      <c r="E50" s="96"/>
      <c r="F50" s="93" t="str">
        <f>INSCRITS!C14</f>
        <v>5B</v>
      </c>
      <c r="G50" s="93" t="s">
        <v>150</v>
      </c>
      <c r="X50" s="79" t="str">
        <f ca="1">INDIRECT("B"&amp;50) &amp; CHAR(10) &amp; "vs" &amp; CHAR(10) &amp; INDIRECT("F"&amp;50)</f>
        <v>3B
vs
5B</v>
      </c>
      <c r="Y50" s="79" t="b">
        <f t="shared" ca="1" si="3"/>
        <v>0</v>
      </c>
      <c r="Z50" s="79" t="b">
        <f t="shared" ca="1" si="4"/>
        <v>0</v>
      </c>
      <c r="AA50" s="79" t="b">
        <f t="shared" ca="1" si="5"/>
        <v>0</v>
      </c>
    </row>
    <row r="51" spans="1:27" x14ac:dyDescent="0.25">
      <c r="A51" s="89"/>
      <c r="B51" s="89"/>
      <c r="C51" s="95" t="str">
        <f>CHAR(160)</f>
        <v> </v>
      </c>
      <c r="D51" s="90">
        <f>0.452083333333333 + "00:09:00"</f>
        <v>0.45833333333333298</v>
      </c>
      <c r="E51" s="95" t="str">
        <f>CHAR(160)</f>
        <v> </v>
      </c>
      <c r="F51" s="89"/>
      <c r="G51" s="89"/>
      <c r="X51" s="79" t="str">
        <f ca="1">INDIRECT("B"&amp;51) &amp; CHAR(10) &amp; "vs" &amp; CHAR(10) &amp; INDIRECT("F"&amp;51)</f>
        <v xml:space="preserve">
vs
</v>
      </c>
      <c r="Y51" s="79" t="b">
        <f t="shared" ca="1" si="3"/>
        <v>0</v>
      </c>
      <c r="Z51" s="79" t="b">
        <f t="shared" ca="1" si="4"/>
        <v>0</v>
      </c>
      <c r="AA51" s="79" t="b">
        <f t="shared" ca="1" si="5"/>
        <v>0</v>
      </c>
    </row>
    <row r="52" spans="1:27" x14ac:dyDescent="0.25">
      <c r="A52" s="93" t="s">
        <v>124</v>
      </c>
      <c r="B52" s="93" t="str">
        <f>INSCRITS!C11</f>
        <v>2B</v>
      </c>
      <c r="C52" s="96"/>
      <c r="D52" s="91" t="s">
        <v>127</v>
      </c>
      <c r="E52" s="96"/>
      <c r="F52" s="93" t="str">
        <f>INSCRITS!C15</f>
        <v>6B</v>
      </c>
      <c r="G52" s="93" t="s">
        <v>151</v>
      </c>
      <c r="X52" s="79" t="str">
        <f ca="1">INDIRECT("B"&amp;52) &amp; CHAR(10) &amp; "vs" &amp; CHAR(10) &amp; INDIRECT("F"&amp;52)</f>
        <v>2B
vs
6B</v>
      </c>
      <c r="Y52" s="79" t="b">
        <f t="shared" ca="1" si="3"/>
        <v>0</v>
      </c>
      <c r="Z52" s="79" t="b">
        <f t="shared" ca="1" si="4"/>
        <v>0</v>
      </c>
      <c r="AA52" s="79" t="b">
        <f t="shared" ca="1" si="5"/>
        <v>0</v>
      </c>
    </row>
    <row r="53" spans="1:27" x14ac:dyDescent="0.25">
      <c r="A53" s="93" t="s">
        <v>126</v>
      </c>
      <c r="B53" s="93" t="str">
        <f>INSCRITS!C13</f>
        <v>4B</v>
      </c>
      <c r="C53" s="96"/>
      <c r="D53" s="91" t="s">
        <v>128</v>
      </c>
      <c r="E53" s="96"/>
      <c r="F53" s="93" t="str">
        <f>INSCRITS!C16</f>
        <v>7B</v>
      </c>
      <c r="G53" s="93" t="s">
        <v>152</v>
      </c>
      <c r="X53" s="79" t="str">
        <f ca="1">INDIRECT("B"&amp;53) &amp; CHAR(10) &amp; "vs" &amp; CHAR(10) &amp; INDIRECT("F"&amp;53)</f>
        <v>4B
vs
7B</v>
      </c>
      <c r="Y53" s="79" t="b">
        <f t="shared" ca="1" si="3"/>
        <v>0</v>
      </c>
      <c r="Z53" s="79" t="b">
        <f t="shared" ca="1" si="4"/>
        <v>0</v>
      </c>
      <c r="AA53" s="79" t="b">
        <f t="shared" ca="1" si="5"/>
        <v>0</v>
      </c>
    </row>
    <row r="54" spans="1:27" x14ac:dyDescent="0.25">
      <c r="A54" s="94" t="s">
        <v>155</v>
      </c>
      <c r="B54" s="94" t="str">
        <f>INSCRITS!C20</f>
        <v>3C</v>
      </c>
      <c r="C54" s="96"/>
      <c r="D54" s="91" t="s">
        <v>129</v>
      </c>
      <c r="E54" s="96"/>
      <c r="F54" s="94" t="str">
        <f>INSCRITS!C22</f>
        <v>5C</v>
      </c>
      <c r="G54" s="94" t="s">
        <v>157</v>
      </c>
      <c r="X54" s="79" t="str">
        <f ca="1">INDIRECT("B"&amp;54) &amp; CHAR(10) &amp; "vs" &amp; CHAR(10) &amp; INDIRECT("F"&amp;54)</f>
        <v>3C
vs
5C</v>
      </c>
      <c r="Y54" s="79" t="b">
        <f t="shared" ca="1" si="3"/>
        <v>0</v>
      </c>
      <c r="Z54" s="79" t="b">
        <f t="shared" ca="1" si="4"/>
        <v>0</v>
      </c>
      <c r="AA54" s="79" t="b">
        <f t="shared" ca="1" si="5"/>
        <v>0</v>
      </c>
    </row>
    <row r="55" spans="1:27" x14ac:dyDescent="0.25">
      <c r="A55" s="94" t="s">
        <v>154</v>
      </c>
      <c r="B55" s="94" t="str">
        <f>INSCRITS!C19</f>
        <v>2C</v>
      </c>
      <c r="C55" s="96"/>
      <c r="D55" s="91" t="s">
        <v>130</v>
      </c>
      <c r="E55" s="96"/>
      <c r="F55" s="94" t="str">
        <f>INSCRITS!C23</f>
        <v>6C</v>
      </c>
      <c r="G55" s="94" t="s">
        <v>158</v>
      </c>
      <c r="X55" s="79" t="str">
        <f ca="1">INDIRECT("B"&amp;55) &amp; CHAR(10) &amp; "vs" &amp; CHAR(10) &amp; INDIRECT("F"&amp;55)</f>
        <v>2C
vs
6C</v>
      </c>
      <c r="Y55" s="79" t="b">
        <f t="shared" ca="1" si="3"/>
        <v>0</v>
      </c>
      <c r="Z55" s="79" t="b">
        <f t="shared" ca="1" si="4"/>
        <v>0</v>
      </c>
      <c r="AA55" s="79" t="b">
        <f t="shared" ca="1" si="5"/>
        <v>0</v>
      </c>
    </row>
    <row r="56" spans="1:27" x14ac:dyDescent="0.25">
      <c r="A56" s="89"/>
      <c r="B56" s="89"/>
      <c r="C56" s="95" t="str">
        <f>CHAR(160)</f>
        <v> </v>
      </c>
      <c r="D56" s="90">
        <f>0.458333333333333 + "00:09:00"</f>
        <v>0.46458333333333296</v>
      </c>
      <c r="E56" s="95" t="str">
        <f>CHAR(160)</f>
        <v> </v>
      </c>
      <c r="F56" s="89"/>
      <c r="G56" s="89"/>
      <c r="X56" s="79" t="str">
        <f ca="1">INDIRECT("B"&amp;56) &amp; CHAR(10) &amp; "vs" &amp; CHAR(10) &amp; INDIRECT("F"&amp;56)</f>
        <v xml:space="preserve">
vs
</v>
      </c>
      <c r="Y56" s="79" t="b">
        <f t="shared" ca="1" si="3"/>
        <v>0</v>
      </c>
      <c r="Z56" s="79" t="b">
        <f t="shared" ca="1" si="4"/>
        <v>0</v>
      </c>
      <c r="AA56" s="79" t="b">
        <f t="shared" ca="1" si="5"/>
        <v>0</v>
      </c>
    </row>
    <row r="57" spans="1:27" x14ac:dyDescent="0.25">
      <c r="A57" s="94" t="s">
        <v>156</v>
      </c>
      <c r="B57" s="94" t="str">
        <f>INSCRITS!C21</f>
        <v>4C</v>
      </c>
      <c r="C57" s="96"/>
      <c r="D57" s="91" t="s">
        <v>127</v>
      </c>
      <c r="E57" s="96"/>
      <c r="F57" s="94" t="str">
        <f>INSCRITS!C24</f>
        <v>7C</v>
      </c>
      <c r="G57" s="94" t="s">
        <v>188</v>
      </c>
      <c r="X57" s="79" t="str">
        <f ca="1">INDIRECT("B"&amp;57) &amp; CHAR(10) &amp; "vs" &amp; CHAR(10) &amp; INDIRECT("F"&amp;57)</f>
        <v>4C
vs
7C</v>
      </c>
      <c r="Y57" s="79" t="b">
        <f t="shared" ca="1" si="3"/>
        <v>0</v>
      </c>
      <c r="Z57" s="79" t="b">
        <f t="shared" ca="1" si="4"/>
        <v>0</v>
      </c>
      <c r="AA57" s="79" t="b">
        <f t="shared" ca="1" si="5"/>
        <v>0</v>
      </c>
    </row>
    <row r="58" spans="1:27" x14ac:dyDescent="0.25">
      <c r="A58" s="92" t="s">
        <v>119</v>
      </c>
      <c r="B58" s="92" t="str">
        <f>INSCRITS!C2</f>
        <v>1A</v>
      </c>
      <c r="C58" s="96"/>
      <c r="D58" s="91" t="s">
        <v>128</v>
      </c>
      <c r="E58" s="96"/>
      <c r="F58" s="92" t="str">
        <f>INSCRITS!C7</f>
        <v>6A</v>
      </c>
      <c r="G58" s="92" t="s">
        <v>148</v>
      </c>
      <c r="X58" s="79" t="str">
        <f ca="1">INDIRECT("B"&amp;58) &amp; CHAR(10) &amp; "vs" &amp; CHAR(10) &amp; INDIRECT("F"&amp;58)</f>
        <v>1A
vs
6A</v>
      </c>
      <c r="Y58" s="79" t="b">
        <f t="shared" ca="1" si="3"/>
        <v>0</v>
      </c>
      <c r="Z58" s="79" t="b">
        <f t="shared" ca="1" si="4"/>
        <v>0</v>
      </c>
      <c r="AA58" s="79" t="b">
        <f t="shared" ca="1" si="5"/>
        <v>0</v>
      </c>
    </row>
    <row r="59" spans="1:27" x14ac:dyDescent="0.25">
      <c r="A59" s="92" t="s">
        <v>120</v>
      </c>
      <c r="B59" s="92" t="str">
        <f>INSCRITS!C3</f>
        <v>2A</v>
      </c>
      <c r="C59" s="96"/>
      <c r="D59" s="91" t="s">
        <v>129</v>
      </c>
      <c r="E59" s="96"/>
      <c r="F59" s="92" t="str">
        <f>INSCRITS!C5</f>
        <v>4A</v>
      </c>
      <c r="G59" s="92" t="s">
        <v>122</v>
      </c>
      <c r="X59" s="79" t="str">
        <f ca="1">INDIRECT("B"&amp;59) &amp; CHAR(10) &amp; "vs" &amp; CHAR(10) &amp; INDIRECT("F"&amp;59)</f>
        <v>2A
vs
4A</v>
      </c>
      <c r="Y59" s="79" t="b">
        <f t="shared" ca="1" si="3"/>
        <v>0</v>
      </c>
      <c r="Z59" s="79" t="b">
        <f t="shared" ca="1" si="4"/>
        <v>0</v>
      </c>
      <c r="AA59" s="79" t="b">
        <f t="shared" ca="1" si="5"/>
        <v>0</v>
      </c>
    </row>
    <row r="60" spans="1:27" x14ac:dyDescent="0.25">
      <c r="A60" s="92" t="s">
        <v>147</v>
      </c>
      <c r="B60" s="92" t="str">
        <f>INSCRITS!C6</f>
        <v>5A</v>
      </c>
      <c r="C60" s="96"/>
      <c r="D60" s="91" t="s">
        <v>130</v>
      </c>
      <c r="E60" s="96"/>
      <c r="F60" s="92" t="str">
        <f>INSCRITS!C8</f>
        <v>7A</v>
      </c>
      <c r="G60" s="92" t="s">
        <v>149</v>
      </c>
      <c r="X60" s="79" t="str">
        <f ca="1">INDIRECT("B"&amp;60) &amp; CHAR(10) &amp; "vs" &amp; CHAR(10) &amp; INDIRECT("F"&amp;60)</f>
        <v>5A
vs
7A</v>
      </c>
      <c r="Y60" s="79" t="b">
        <f t="shared" ca="1" si="3"/>
        <v>0</v>
      </c>
      <c r="Z60" s="79" t="b">
        <f t="shared" ca="1" si="4"/>
        <v>0</v>
      </c>
      <c r="AA60" s="79" t="b">
        <f t="shared" ca="1" si="5"/>
        <v>0</v>
      </c>
    </row>
    <row r="61" spans="1:27" x14ac:dyDescent="0.25">
      <c r="A61" s="89"/>
      <c r="B61" s="89"/>
      <c r="C61" s="95" t="str">
        <f>CHAR(160)</f>
        <v> </v>
      </c>
      <c r="D61" s="90">
        <f>0.464583333333333 + "00:09:00"</f>
        <v>0.47083333333333299</v>
      </c>
      <c r="E61" s="95" t="str">
        <f>CHAR(160)</f>
        <v> </v>
      </c>
      <c r="F61" s="89"/>
      <c r="G61" s="89"/>
      <c r="X61" s="79" t="str">
        <f ca="1">INDIRECT("B"&amp;61) &amp; CHAR(10) &amp; "vs" &amp; CHAR(10) &amp; INDIRECT("F"&amp;61)</f>
        <v xml:space="preserve">
vs
</v>
      </c>
      <c r="Y61" s="79" t="b">
        <f t="shared" ca="1" si="3"/>
        <v>0</v>
      </c>
      <c r="Z61" s="79" t="b">
        <f t="shared" ca="1" si="4"/>
        <v>0</v>
      </c>
      <c r="AA61" s="79" t="b">
        <f t="shared" ca="1" si="5"/>
        <v>0</v>
      </c>
    </row>
    <row r="62" spans="1:27" x14ac:dyDescent="0.25">
      <c r="A62" s="93" t="s">
        <v>123</v>
      </c>
      <c r="B62" s="93" t="str">
        <f>INSCRITS!C10</f>
        <v>1B</v>
      </c>
      <c r="C62" s="96"/>
      <c r="D62" s="91" t="s">
        <v>127</v>
      </c>
      <c r="E62" s="96"/>
      <c r="F62" s="93" t="str">
        <f>INSCRITS!C15</f>
        <v>6B</v>
      </c>
      <c r="G62" s="93" t="s">
        <v>151</v>
      </c>
      <c r="X62" s="79" t="str">
        <f ca="1">INDIRECT("B"&amp;62) &amp; CHAR(10) &amp; "vs" &amp; CHAR(10) &amp; INDIRECT("F"&amp;62)</f>
        <v>1B
vs
6B</v>
      </c>
      <c r="Y62" s="79" t="b">
        <f t="shared" ca="1" si="3"/>
        <v>0</v>
      </c>
      <c r="Z62" s="79" t="b">
        <f t="shared" ca="1" si="4"/>
        <v>0</v>
      </c>
      <c r="AA62" s="79" t="b">
        <f t="shared" ca="1" si="5"/>
        <v>0</v>
      </c>
    </row>
    <row r="63" spans="1:27" x14ac:dyDescent="0.25">
      <c r="A63" s="93" t="s">
        <v>124</v>
      </c>
      <c r="B63" s="93" t="str">
        <f>INSCRITS!C11</f>
        <v>2B</v>
      </c>
      <c r="C63" s="96"/>
      <c r="D63" s="91" t="s">
        <v>128</v>
      </c>
      <c r="E63" s="96"/>
      <c r="F63" s="93" t="str">
        <f>INSCRITS!C13</f>
        <v>4B</v>
      </c>
      <c r="G63" s="93" t="s">
        <v>126</v>
      </c>
      <c r="X63" s="79" t="str">
        <f ca="1">INDIRECT("B"&amp;63) &amp; CHAR(10) &amp; "vs" &amp; CHAR(10) &amp; INDIRECT("F"&amp;63)</f>
        <v>2B
vs
4B</v>
      </c>
      <c r="Y63" s="79" t="b">
        <f t="shared" ca="1" si="3"/>
        <v>0</v>
      </c>
      <c r="Z63" s="79" t="b">
        <f t="shared" ca="1" si="4"/>
        <v>0</v>
      </c>
      <c r="AA63" s="79" t="b">
        <f t="shared" ca="1" si="5"/>
        <v>0</v>
      </c>
    </row>
    <row r="64" spans="1:27" x14ac:dyDescent="0.25">
      <c r="A64" s="93" t="s">
        <v>150</v>
      </c>
      <c r="B64" s="93" t="str">
        <f>INSCRITS!C14</f>
        <v>5B</v>
      </c>
      <c r="C64" s="96"/>
      <c r="D64" s="91" t="s">
        <v>129</v>
      </c>
      <c r="E64" s="96"/>
      <c r="F64" s="93" t="str">
        <f>INSCRITS!C16</f>
        <v>7B</v>
      </c>
      <c r="G64" s="93" t="s">
        <v>152</v>
      </c>
      <c r="X64" s="79" t="str">
        <f ca="1">INDIRECT("B"&amp;64) &amp; CHAR(10) &amp; "vs" &amp; CHAR(10) &amp; INDIRECT("F"&amp;64)</f>
        <v>5B
vs
7B</v>
      </c>
      <c r="Y64" s="79" t="b">
        <f t="shared" ca="1" si="3"/>
        <v>0</v>
      </c>
      <c r="Z64" s="79" t="b">
        <f t="shared" ca="1" si="4"/>
        <v>0</v>
      </c>
      <c r="AA64" s="79" t="b">
        <f t="shared" ca="1" si="5"/>
        <v>0</v>
      </c>
    </row>
    <row r="65" spans="1:27" x14ac:dyDescent="0.25">
      <c r="A65" s="94" t="s">
        <v>153</v>
      </c>
      <c r="B65" s="94" t="str">
        <f>INSCRITS!C18</f>
        <v>1C</v>
      </c>
      <c r="C65" s="96"/>
      <c r="D65" s="91" t="s">
        <v>130</v>
      </c>
      <c r="E65" s="96"/>
      <c r="F65" s="94" t="str">
        <f>INSCRITS!C23</f>
        <v>6C</v>
      </c>
      <c r="G65" s="94" t="s">
        <v>158</v>
      </c>
      <c r="X65" s="79" t="str">
        <f ca="1">INDIRECT("B"&amp;65) &amp; CHAR(10) &amp; "vs" &amp; CHAR(10) &amp; INDIRECT("F"&amp;65)</f>
        <v>1C
vs
6C</v>
      </c>
      <c r="Y65" s="79" t="b">
        <f t="shared" ref="Y65:Y96" ca="1" si="6">$S$10=X65</f>
        <v>0</v>
      </c>
      <c r="Z65" s="79" t="b">
        <f t="shared" ref="Z65:Z96" ca="1" si="7">$S$20=X65</f>
        <v>0</v>
      </c>
      <c r="AA65" s="79" t="b">
        <f t="shared" ref="AA65:AA96" ca="1" si="8">$S$30=X65</f>
        <v>0</v>
      </c>
    </row>
    <row r="66" spans="1:27" x14ac:dyDescent="0.25">
      <c r="A66" s="89"/>
      <c r="B66" s="89"/>
      <c r="C66" s="95" t="str">
        <f>CHAR(160)</f>
        <v> </v>
      </c>
      <c r="D66" s="90">
        <f>0.470833333333333 + "00:09:00"</f>
        <v>0.47708333333333297</v>
      </c>
      <c r="E66" s="95" t="str">
        <f>CHAR(160)</f>
        <v> </v>
      </c>
      <c r="F66" s="89"/>
      <c r="G66" s="89"/>
      <c r="X66" s="79" t="str">
        <f ca="1">INDIRECT("B"&amp;66) &amp; CHAR(10) &amp; "vs" &amp; CHAR(10) &amp; INDIRECT("F"&amp;66)</f>
        <v xml:space="preserve">
vs
</v>
      </c>
      <c r="Y66" s="79" t="b">
        <f t="shared" ca="1" si="6"/>
        <v>0</v>
      </c>
      <c r="Z66" s="79" t="b">
        <f t="shared" ca="1" si="7"/>
        <v>0</v>
      </c>
      <c r="AA66" s="79" t="b">
        <f t="shared" ca="1" si="8"/>
        <v>0</v>
      </c>
    </row>
    <row r="67" spans="1:27" x14ac:dyDescent="0.25">
      <c r="A67" s="94" t="s">
        <v>154</v>
      </c>
      <c r="B67" s="94" t="str">
        <f>INSCRITS!C19</f>
        <v>2C</v>
      </c>
      <c r="C67" s="96"/>
      <c r="D67" s="91" t="s">
        <v>127</v>
      </c>
      <c r="E67" s="96"/>
      <c r="F67" s="94" t="str">
        <f>INSCRITS!C21</f>
        <v>4C</v>
      </c>
      <c r="G67" s="94" t="s">
        <v>156</v>
      </c>
      <c r="X67" s="79" t="str">
        <f ca="1">INDIRECT("B"&amp;67) &amp; CHAR(10) &amp; "vs" &amp; CHAR(10) &amp; INDIRECT("F"&amp;67)</f>
        <v>2C
vs
4C</v>
      </c>
      <c r="Y67" s="79" t="b">
        <f t="shared" ca="1" si="6"/>
        <v>0</v>
      </c>
      <c r="Z67" s="79" t="b">
        <f t="shared" ca="1" si="7"/>
        <v>0</v>
      </c>
      <c r="AA67" s="79" t="b">
        <f t="shared" ca="1" si="8"/>
        <v>0</v>
      </c>
    </row>
    <row r="68" spans="1:27" x14ac:dyDescent="0.25">
      <c r="A68" s="94" t="s">
        <v>157</v>
      </c>
      <c r="B68" s="94" t="str">
        <f>INSCRITS!C22</f>
        <v>5C</v>
      </c>
      <c r="C68" s="96"/>
      <c r="D68" s="91" t="s">
        <v>128</v>
      </c>
      <c r="E68" s="96"/>
      <c r="F68" s="94" t="str">
        <f>INSCRITS!C24</f>
        <v>7C</v>
      </c>
      <c r="G68" s="94" t="s">
        <v>188</v>
      </c>
      <c r="X68" s="79" t="str">
        <f ca="1">INDIRECT("B"&amp;68) &amp; CHAR(10) &amp; "vs" &amp; CHAR(10) &amp; INDIRECT("F"&amp;68)</f>
        <v>5C
vs
7C</v>
      </c>
      <c r="Y68" s="79" t="b">
        <f t="shared" ca="1" si="6"/>
        <v>0</v>
      </c>
      <c r="Z68" s="79" t="b">
        <f t="shared" ca="1" si="7"/>
        <v>0</v>
      </c>
      <c r="AA68" s="79" t="b">
        <f t="shared" ca="1" si="8"/>
        <v>0</v>
      </c>
    </row>
    <row r="69" spans="1:27" x14ac:dyDescent="0.25">
      <c r="A69" s="92" t="s">
        <v>119</v>
      </c>
      <c r="B69" s="92" t="str">
        <f>INSCRITS!C2</f>
        <v>1A</v>
      </c>
      <c r="C69" s="96"/>
      <c r="D69" s="91" t="s">
        <v>129</v>
      </c>
      <c r="E69" s="96"/>
      <c r="F69" s="92" t="str">
        <f>INSCRITS!C8</f>
        <v>7A</v>
      </c>
      <c r="G69" s="92" t="s">
        <v>149</v>
      </c>
      <c r="X69" s="79" t="str">
        <f ca="1">INDIRECT("B"&amp;69) &amp; CHAR(10) &amp; "vs" &amp; CHAR(10) &amp; INDIRECT("F"&amp;69)</f>
        <v>1A
vs
7A</v>
      </c>
      <c r="Y69" s="79" t="b">
        <f t="shared" ca="1" si="6"/>
        <v>0</v>
      </c>
      <c r="Z69" s="79" t="b">
        <f t="shared" ca="1" si="7"/>
        <v>0</v>
      </c>
      <c r="AA69" s="79" t="b">
        <f t="shared" ca="1" si="8"/>
        <v>0</v>
      </c>
    </row>
    <row r="70" spans="1:27" x14ac:dyDescent="0.25">
      <c r="A70" s="92" t="s">
        <v>120</v>
      </c>
      <c r="B70" s="92" t="str">
        <f>INSCRITS!C3</f>
        <v>2A</v>
      </c>
      <c r="C70" s="96"/>
      <c r="D70" s="91" t="s">
        <v>130</v>
      </c>
      <c r="E70" s="96"/>
      <c r="F70" s="92" t="str">
        <f>INSCRITS!C4</f>
        <v>3A</v>
      </c>
      <c r="G70" s="92" t="s">
        <v>121</v>
      </c>
      <c r="X70" s="79" t="str">
        <f ca="1">INDIRECT("B"&amp;70) &amp; CHAR(10) &amp; "vs" &amp; CHAR(10) &amp; INDIRECT("F"&amp;70)</f>
        <v>2A
vs
3A</v>
      </c>
      <c r="Y70" s="79" t="b">
        <f t="shared" ca="1" si="6"/>
        <v>0</v>
      </c>
      <c r="Z70" s="79" t="b">
        <f t="shared" ca="1" si="7"/>
        <v>0</v>
      </c>
      <c r="AA70" s="79" t="b">
        <f t="shared" ca="1" si="8"/>
        <v>0</v>
      </c>
    </row>
    <row r="71" spans="1:27" x14ac:dyDescent="0.25">
      <c r="A71" s="89"/>
      <c r="B71" s="89"/>
      <c r="C71" s="95" t="str">
        <f>CHAR(160)</f>
        <v> </v>
      </c>
      <c r="D71" s="90">
        <f>0.477083333333333 + "00:09:00"</f>
        <v>0.483333333333333</v>
      </c>
      <c r="E71" s="95" t="str">
        <f>CHAR(160)</f>
        <v> </v>
      </c>
      <c r="F71" s="89"/>
      <c r="G71" s="89"/>
      <c r="X71" s="79" t="str">
        <f ca="1">INDIRECT("B"&amp;71) &amp; CHAR(10) &amp; "vs" &amp; CHAR(10) &amp; INDIRECT("F"&amp;71)</f>
        <v xml:space="preserve">
vs
</v>
      </c>
      <c r="Y71" s="79" t="b">
        <f t="shared" ca="1" si="6"/>
        <v>0</v>
      </c>
      <c r="Z71" s="79" t="b">
        <f t="shared" ca="1" si="7"/>
        <v>0</v>
      </c>
      <c r="AA71" s="79" t="b">
        <f t="shared" ca="1" si="8"/>
        <v>0</v>
      </c>
    </row>
    <row r="72" spans="1:27" x14ac:dyDescent="0.25">
      <c r="A72" s="92" t="s">
        <v>122</v>
      </c>
      <c r="B72" s="92" t="str">
        <f>INSCRITS!C5</f>
        <v>4A</v>
      </c>
      <c r="C72" s="96"/>
      <c r="D72" s="91" t="s">
        <v>127</v>
      </c>
      <c r="E72" s="96"/>
      <c r="F72" s="92" t="str">
        <f>INSCRITS!C7</f>
        <v>6A</v>
      </c>
      <c r="G72" s="92" t="s">
        <v>148</v>
      </c>
      <c r="X72" s="79" t="str">
        <f ca="1">INDIRECT("B"&amp;72) &amp; CHAR(10) &amp; "vs" &amp; CHAR(10) &amp; INDIRECT("F"&amp;72)</f>
        <v>4A
vs
6A</v>
      </c>
      <c r="Y72" s="79" t="b">
        <f t="shared" ca="1" si="6"/>
        <v>0</v>
      </c>
      <c r="Z72" s="79" t="b">
        <f t="shared" ca="1" si="7"/>
        <v>0</v>
      </c>
      <c r="AA72" s="79" t="b">
        <f t="shared" ca="1" si="8"/>
        <v>0</v>
      </c>
    </row>
    <row r="73" spans="1:27" x14ac:dyDescent="0.25">
      <c r="A73" s="93" t="s">
        <v>123</v>
      </c>
      <c r="B73" s="93" t="str">
        <f>INSCRITS!C10</f>
        <v>1B</v>
      </c>
      <c r="C73" s="96"/>
      <c r="D73" s="91" t="s">
        <v>128</v>
      </c>
      <c r="E73" s="96"/>
      <c r="F73" s="93" t="str">
        <f>INSCRITS!C16</f>
        <v>7B</v>
      </c>
      <c r="G73" s="93" t="s">
        <v>152</v>
      </c>
      <c r="X73" s="79" t="str">
        <f ca="1">INDIRECT("B"&amp;73) &amp; CHAR(10) &amp; "vs" &amp; CHAR(10) &amp; INDIRECT("F"&amp;73)</f>
        <v>1B
vs
7B</v>
      </c>
      <c r="Y73" s="79" t="b">
        <f t="shared" ca="1" si="6"/>
        <v>0</v>
      </c>
      <c r="Z73" s="79" t="b">
        <f t="shared" ca="1" si="7"/>
        <v>0</v>
      </c>
      <c r="AA73" s="79" t="b">
        <f t="shared" ca="1" si="8"/>
        <v>0</v>
      </c>
    </row>
    <row r="74" spans="1:27" x14ac:dyDescent="0.25">
      <c r="A74" s="93" t="s">
        <v>124</v>
      </c>
      <c r="B74" s="93" t="str">
        <f>INSCRITS!C11</f>
        <v>2B</v>
      </c>
      <c r="C74" s="96"/>
      <c r="D74" s="91" t="s">
        <v>129</v>
      </c>
      <c r="E74" s="96"/>
      <c r="F74" s="93" t="str">
        <f>INSCRITS!C12</f>
        <v>3B</v>
      </c>
      <c r="G74" s="93" t="s">
        <v>125</v>
      </c>
      <c r="X74" s="79" t="str">
        <f ca="1">INDIRECT("B"&amp;74) &amp; CHAR(10) &amp; "vs" &amp; CHAR(10) &amp; INDIRECT("F"&amp;74)</f>
        <v>2B
vs
3B</v>
      </c>
      <c r="Y74" s="79" t="b">
        <f t="shared" ca="1" si="6"/>
        <v>0</v>
      </c>
      <c r="Z74" s="79" t="b">
        <f t="shared" ca="1" si="7"/>
        <v>0</v>
      </c>
      <c r="AA74" s="79" t="b">
        <f t="shared" ca="1" si="8"/>
        <v>0</v>
      </c>
    </row>
    <row r="75" spans="1:27" x14ac:dyDescent="0.25">
      <c r="A75" s="93" t="s">
        <v>126</v>
      </c>
      <c r="B75" s="93" t="str">
        <f>INSCRITS!C13</f>
        <v>4B</v>
      </c>
      <c r="C75" s="96"/>
      <c r="D75" s="91" t="s">
        <v>130</v>
      </c>
      <c r="E75" s="96"/>
      <c r="F75" s="93" t="str">
        <f>INSCRITS!C15</f>
        <v>6B</v>
      </c>
      <c r="G75" s="93" t="s">
        <v>151</v>
      </c>
      <c r="X75" s="79" t="str">
        <f ca="1">INDIRECT("B"&amp;75) &amp; CHAR(10) &amp; "vs" &amp; CHAR(10) &amp; INDIRECT("F"&amp;75)</f>
        <v>4B
vs
6B</v>
      </c>
      <c r="Y75" s="79" t="b">
        <f t="shared" ca="1" si="6"/>
        <v>0</v>
      </c>
      <c r="Z75" s="79" t="b">
        <f t="shared" ca="1" si="7"/>
        <v>0</v>
      </c>
      <c r="AA75" s="79" t="b">
        <f t="shared" ca="1" si="8"/>
        <v>0</v>
      </c>
    </row>
    <row r="76" spans="1:27" x14ac:dyDescent="0.25">
      <c r="A76" s="89"/>
      <c r="B76" s="89"/>
      <c r="C76" s="95" t="str">
        <f>CHAR(160)</f>
        <v> </v>
      </c>
      <c r="D76" s="90">
        <f>0.483333333333333 + "00:09:00"</f>
        <v>0.48958333333333298</v>
      </c>
      <c r="E76" s="95" t="str">
        <f>CHAR(160)</f>
        <v> </v>
      </c>
      <c r="F76" s="89"/>
      <c r="G76" s="89"/>
      <c r="X76" s="79" t="str">
        <f ca="1">INDIRECT("B"&amp;76) &amp; CHAR(10) &amp; "vs" &amp; CHAR(10) &amp; INDIRECT("F"&amp;76)</f>
        <v xml:space="preserve">
vs
</v>
      </c>
      <c r="Y76" s="79" t="b">
        <f t="shared" ca="1" si="6"/>
        <v>0</v>
      </c>
      <c r="Z76" s="79" t="b">
        <f t="shared" ca="1" si="7"/>
        <v>0</v>
      </c>
      <c r="AA76" s="79" t="b">
        <f t="shared" ca="1" si="8"/>
        <v>0</v>
      </c>
    </row>
    <row r="77" spans="1:27" x14ac:dyDescent="0.25">
      <c r="A77" s="94" t="s">
        <v>153</v>
      </c>
      <c r="B77" s="94" t="str">
        <f>INSCRITS!C18</f>
        <v>1C</v>
      </c>
      <c r="C77" s="96"/>
      <c r="D77" s="91" t="s">
        <v>127</v>
      </c>
      <c r="E77" s="96"/>
      <c r="F77" s="94" t="str">
        <f>INSCRITS!C24</f>
        <v>7C</v>
      </c>
      <c r="G77" s="94" t="s">
        <v>188</v>
      </c>
      <c r="X77" s="79" t="str">
        <f ca="1">INDIRECT("B"&amp;77) &amp; CHAR(10) &amp; "vs" &amp; CHAR(10) &amp; INDIRECT("F"&amp;77)</f>
        <v>1C
vs
7C</v>
      </c>
      <c r="Y77" s="79" t="b">
        <f t="shared" ca="1" si="6"/>
        <v>0</v>
      </c>
      <c r="Z77" s="79" t="b">
        <f t="shared" ca="1" si="7"/>
        <v>0</v>
      </c>
      <c r="AA77" s="79" t="b">
        <f t="shared" ca="1" si="8"/>
        <v>0</v>
      </c>
    </row>
    <row r="78" spans="1:27" x14ac:dyDescent="0.25">
      <c r="A78" s="94" t="s">
        <v>154</v>
      </c>
      <c r="B78" s="94" t="str">
        <f>INSCRITS!C19</f>
        <v>2C</v>
      </c>
      <c r="C78" s="96"/>
      <c r="D78" s="91" t="s">
        <v>128</v>
      </c>
      <c r="E78" s="96"/>
      <c r="F78" s="94" t="str">
        <f>INSCRITS!C20</f>
        <v>3C</v>
      </c>
      <c r="G78" s="94" t="s">
        <v>155</v>
      </c>
      <c r="X78" s="79" t="str">
        <f ca="1">INDIRECT("B"&amp;78) &amp; CHAR(10) &amp; "vs" &amp; CHAR(10) &amp; INDIRECT("F"&amp;78)</f>
        <v>2C
vs
3C</v>
      </c>
      <c r="Y78" s="79" t="b">
        <f t="shared" ca="1" si="6"/>
        <v>0</v>
      </c>
      <c r="Z78" s="79" t="b">
        <f t="shared" ca="1" si="7"/>
        <v>0</v>
      </c>
      <c r="AA78" s="79" t="b">
        <f t="shared" ca="1" si="8"/>
        <v>0</v>
      </c>
    </row>
    <row r="79" spans="1:27" x14ac:dyDescent="0.25">
      <c r="A79" s="94" t="s">
        <v>156</v>
      </c>
      <c r="B79" s="94" t="str">
        <f>INSCRITS!C21</f>
        <v>4C</v>
      </c>
      <c r="C79" s="96"/>
      <c r="D79" s="91" t="s">
        <v>129</v>
      </c>
      <c r="E79" s="96"/>
      <c r="F79" s="94" t="str">
        <f>INSCRITS!C23</f>
        <v>6C</v>
      </c>
      <c r="G79" s="94" t="s">
        <v>158</v>
      </c>
      <c r="X79" s="79" t="str">
        <f ca="1">INDIRECT("B"&amp;79) &amp; CHAR(10) &amp; "vs" &amp; CHAR(10) &amp; INDIRECT("F"&amp;79)</f>
        <v>4C
vs
6C</v>
      </c>
      <c r="Y79" s="79" t="b">
        <f t="shared" ca="1" si="6"/>
        <v>0</v>
      </c>
      <c r="Z79" s="79" t="b">
        <f t="shared" ca="1" si="7"/>
        <v>0</v>
      </c>
      <c r="AA79" s="79" t="b">
        <f t="shared" ca="1" si="8"/>
        <v>0</v>
      </c>
    </row>
    <row r="80" spans="1:27" x14ac:dyDescent="0.25">
      <c r="A80" s="91"/>
      <c r="B80" s="91"/>
      <c r="C80" s="96"/>
      <c r="D80" s="91" t="s">
        <v>130</v>
      </c>
      <c r="E80" s="96"/>
      <c r="F80" s="91"/>
      <c r="G80" s="91"/>
      <c r="X80" s="79" t="str">
        <f ca="1">INDIRECT("B"&amp;80) &amp; CHAR(10) &amp; "vs" &amp; CHAR(10) &amp; INDIRECT("F"&amp;80)</f>
        <v xml:space="preserve">
vs
</v>
      </c>
      <c r="Y80" s="79" t="b">
        <f t="shared" ca="1" si="6"/>
        <v>0</v>
      </c>
      <c r="Z80" s="79" t="b">
        <f t="shared" ca="1" si="7"/>
        <v>0</v>
      </c>
      <c r="AA80" s="79" t="b">
        <f t="shared" ca="1" si="8"/>
        <v>0</v>
      </c>
    </row>
    <row r="81" spans="1:27" x14ac:dyDescent="0.25">
      <c r="A81" s="89"/>
      <c r="B81" s="89"/>
      <c r="C81" s="95" t="str">
        <f>CHAR(160)</f>
        <v> </v>
      </c>
      <c r="D81" s="90">
        <f>0.489583333333333 + "00:09:00"</f>
        <v>0.49583333333333296</v>
      </c>
      <c r="E81" s="95" t="str">
        <f>CHAR(160)</f>
        <v> </v>
      </c>
      <c r="F81" s="89"/>
      <c r="G81" s="89"/>
      <c r="X81" s="79" t="str">
        <f ca="1">INDIRECT("B"&amp;81) &amp; CHAR(10) &amp; "vs" &amp; CHAR(10) &amp; INDIRECT("F"&amp;81)</f>
        <v xml:space="preserve">
vs
</v>
      </c>
      <c r="Y81" s="79" t="b">
        <f t="shared" ca="1" si="6"/>
        <v>0</v>
      </c>
      <c r="Z81" s="79" t="b">
        <f t="shared" ca="1" si="7"/>
        <v>0</v>
      </c>
      <c r="AA81" s="79" t="b">
        <f t="shared" ca="1" si="8"/>
        <v>0</v>
      </c>
    </row>
    <row r="82" spans="1:27" x14ac:dyDescent="0.25">
      <c r="X82" s="79" t="str">
        <f ca="1">INDIRECT("B"&amp;82) &amp; CHAR(10) &amp; "vs" &amp; CHAR(10) &amp; INDIRECT("F"&amp;82)</f>
        <v xml:space="preserve">
vs
</v>
      </c>
      <c r="Y82" s="79" t="b">
        <f t="shared" ca="1" si="6"/>
        <v>0</v>
      </c>
      <c r="Z82" s="79" t="b">
        <f t="shared" ca="1" si="7"/>
        <v>0</v>
      </c>
      <c r="AA82" s="79" t="b">
        <f t="shared" ca="1" si="8"/>
        <v>0</v>
      </c>
    </row>
    <row r="83" spans="1:27" x14ac:dyDescent="0.25">
      <c r="X83" s="79" t="str">
        <f ca="1">INDIRECT("B"&amp;83) &amp; CHAR(10) &amp; "vs" &amp; CHAR(10) &amp; INDIRECT("F"&amp;83)</f>
        <v xml:space="preserve">
vs
</v>
      </c>
      <c r="Y83" s="79" t="b">
        <f t="shared" ca="1" si="6"/>
        <v>0</v>
      </c>
      <c r="Z83" s="79" t="b">
        <f t="shared" ca="1" si="7"/>
        <v>0</v>
      </c>
      <c r="AA83" s="79" t="b">
        <f t="shared" ca="1" si="8"/>
        <v>0</v>
      </c>
    </row>
    <row r="84" spans="1:27" x14ac:dyDescent="0.25">
      <c r="X84" s="79" t="str">
        <f ca="1">INDIRECT("B"&amp;84) &amp; CHAR(10) &amp; "vs" &amp; CHAR(10) &amp; INDIRECT("F"&amp;84)</f>
        <v xml:space="preserve">
vs
</v>
      </c>
      <c r="Y84" s="79" t="b">
        <f t="shared" ca="1" si="6"/>
        <v>0</v>
      </c>
      <c r="Z84" s="79" t="b">
        <f t="shared" ca="1" si="7"/>
        <v>0</v>
      </c>
      <c r="AA84" s="79" t="b">
        <f t="shared" ca="1" si="8"/>
        <v>0</v>
      </c>
    </row>
    <row r="85" spans="1:27" x14ac:dyDescent="0.25">
      <c r="X85" s="79" t="str">
        <f ca="1">INDIRECT("B"&amp;85) &amp; CHAR(10) &amp; "vs" &amp; CHAR(10) &amp; INDIRECT("F"&amp;85)</f>
        <v xml:space="preserve">
vs
</v>
      </c>
      <c r="Y85" s="79" t="b">
        <f t="shared" ca="1" si="6"/>
        <v>0</v>
      </c>
      <c r="Z85" s="79" t="b">
        <f t="shared" ca="1" si="7"/>
        <v>0</v>
      </c>
      <c r="AA85" s="79" t="b">
        <f t="shared" ca="1" si="8"/>
        <v>0</v>
      </c>
    </row>
    <row r="86" spans="1:27" x14ac:dyDescent="0.25">
      <c r="D86" s="79">
        <f>0.495833333333333 + "00:09:00"</f>
        <v>0.50208333333333299</v>
      </c>
      <c r="X86" s="79" t="str">
        <f ca="1">INDIRECT("B"&amp;86) &amp; CHAR(10) &amp; "vs" &amp; CHAR(10) &amp; INDIRECT("F"&amp;86)</f>
        <v xml:space="preserve">
vs
</v>
      </c>
      <c r="Y86" s="79" t="b">
        <f t="shared" ca="1" si="6"/>
        <v>0</v>
      </c>
      <c r="Z86" s="79" t="b">
        <f t="shared" ca="1" si="7"/>
        <v>0</v>
      </c>
      <c r="AA86" s="79" t="b">
        <f t="shared" ca="1" si="8"/>
        <v>0</v>
      </c>
    </row>
    <row r="87" spans="1:27" x14ac:dyDescent="0.25">
      <c r="X87" s="79" t="str">
        <f ca="1">INDIRECT("B"&amp;87) &amp; CHAR(10) &amp; "vs" &amp; CHAR(10) &amp; INDIRECT("F"&amp;87)</f>
        <v xml:space="preserve">
vs
</v>
      </c>
      <c r="Y87" s="79" t="b">
        <f t="shared" ca="1" si="6"/>
        <v>0</v>
      </c>
      <c r="Z87" s="79" t="b">
        <f t="shared" ca="1" si="7"/>
        <v>0</v>
      </c>
      <c r="AA87" s="79" t="b">
        <f t="shared" ca="1" si="8"/>
        <v>0</v>
      </c>
    </row>
    <row r="88" spans="1:27" x14ac:dyDescent="0.25">
      <c r="X88" s="79" t="str">
        <f ca="1">INDIRECT("B"&amp;88) &amp; CHAR(10) &amp; "vs" &amp; CHAR(10) &amp; INDIRECT("F"&amp;88)</f>
        <v xml:space="preserve">
vs
</v>
      </c>
      <c r="Y88" s="79" t="b">
        <f t="shared" ca="1" si="6"/>
        <v>0</v>
      </c>
      <c r="Z88" s="79" t="b">
        <f t="shared" ca="1" si="7"/>
        <v>0</v>
      </c>
      <c r="AA88" s="79" t="b">
        <f t="shared" ca="1" si="8"/>
        <v>0</v>
      </c>
    </row>
    <row r="89" spans="1:27" x14ac:dyDescent="0.25">
      <c r="X89" s="79" t="str">
        <f ca="1">INDIRECT("B"&amp;89) &amp; CHAR(10) &amp; "vs" &amp; CHAR(10) &amp; INDIRECT("F"&amp;89)</f>
        <v xml:space="preserve">
vs
</v>
      </c>
      <c r="Y89" s="79" t="b">
        <f t="shared" ca="1" si="6"/>
        <v>0</v>
      </c>
      <c r="Z89" s="79" t="b">
        <f t="shared" ca="1" si="7"/>
        <v>0</v>
      </c>
      <c r="AA89" s="79" t="b">
        <f t="shared" ca="1" si="8"/>
        <v>0</v>
      </c>
    </row>
    <row r="90" spans="1:27" x14ac:dyDescent="0.25">
      <c r="X90" s="79" t="str">
        <f ca="1">INDIRECT("B"&amp;90) &amp; CHAR(10) &amp; "vs" &amp; CHAR(10) &amp; INDIRECT("F"&amp;90)</f>
        <v xml:space="preserve">
vs
</v>
      </c>
      <c r="Y90" s="79" t="b">
        <f t="shared" ca="1" si="6"/>
        <v>0</v>
      </c>
      <c r="Z90" s="79" t="b">
        <f t="shared" ca="1" si="7"/>
        <v>0</v>
      </c>
      <c r="AA90" s="79" t="b">
        <f t="shared" ca="1" si="8"/>
        <v>0</v>
      </c>
    </row>
    <row r="91" spans="1:27" x14ac:dyDescent="0.25">
      <c r="D91" s="79">
        <f>0.502083333333333 + "00:09:00"</f>
        <v>0.50833333333333297</v>
      </c>
      <c r="X91" s="79" t="str">
        <f ca="1">INDIRECT("B"&amp;91) &amp; CHAR(10) &amp; "vs" &amp; CHAR(10) &amp; INDIRECT("F"&amp;91)</f>
        <v xml:space="preserve">
vs
</v>
      </c>
      <c r="Y91" s="79" t="b">
        <f t="shared" ca="1" si="6"/>
        <v>0</v>
      </c>
      <c r="Z91" s="79" t="b">
        <f t="shared" ca="1" si="7"/>
        <v>0</v>
      </c>
      <c r="AA91" s="79" t="b">
        <f t="shared" ca="1" si="8"/>
        <v>0</v>
      </c>
    </row>
    <row r="92" spans="1:27" x14ac:dyDescent="0.25">
      <c r="X92" s="79" t="str">
        <f ca="1">INDIRECT("B"&amp;92) &amp; CHAR(10) &amp; "vs" &amp; CHAR(10) &amp; INDIRECT("F"&amp;92)</f>
        <v xml:space="preserve">
vs
</v>
      </c>
      <c r="Y92" s="79" t="b">
        <f t="shared" ca="1" si="6"/>
        <v>0</v>
      </c>
      <c r="Z92" s="79" t="b">
        <f t="shared" ca="1" si="7"/>
        <v>0</v>
      </c>
      <c r="AA92" s="79" t="b">
        <f t="shared" ca="1" si="8"/>
        <v>0</v>
      </c>
    </row>
    <row r="93" spans="1:27" x14ac:dyDescent="0.25">
      <c r="X93" s="79" t="str">
        <f ca="1">INDIRECT("B"&amp;93) &amp; CHAR(10) &amp; "vs" &amp; CHAR(10) &amp; INDIRECT("F"&amp;93)</f>
        <v xml:space="preserve">
vs
</v>
      </c>
      <c r="Y93" s="79" t="b">
        <f t="shared" ca="1" si="6"/>
        <v>0</v>
      </c>
      <c r="Z93" s="79" t="b">
        <f t="shared" ca="1" si="7"/>
        <v>0</v>
      </c>
      <c r="AA93" s="79" t="b">
        <f t="shared" ca="1" si="8"/>
        <v>0</v>
      </c>
    </row>
    <row r="94" spans="1:27" x14ac:dyDescent="0.25">
      <c r="X94" s="79" t="str">
        <f ca="1">INDIRECT("B"&amp;94) &amp; CHAR(10) &amp; "vs" &amp; CHAR(10) &amp; INDIRECT("F"&amp;94)</f>
        <v xml:space="preserve">
vs
</v>
      </c>
      <c r="Y94" s="79" t="b">
        <f t="shared" ca="1" si="6"/>
        <v>0</v>
      </c>
      <c r="Z94" s="79" t="b">
        <f t="shared" ca="1" si="7"/>
        <v>0</v>
      </c>
      <c r="AA94" s="79" t="b">
        <f t="shared" ca="1" si="8"/>
        <v>0</v>
      </c>
    </row>
    <row r="95" spans="1:27" x14ac:dyDescent="0.25">
      <c r="X95" s="79" t="str">
        <f ca="1">INDIRECT("B"&amp;95) &amp; CHAR(10) &amp; "vs" &amp; CHAR(10) &amp; INDIRECT("F"&amp;95)</f>
        <v xml:space="preserve">
vs
</v>
      </c>
      <c r="Y95" s="79" t="b">
        <f t="shared" ca="1" si="6"/>
        <v>0</v>
      </c>
      <c r="Z95" s="79" t="b">
        <f t="shared" ca="1" si="7"/>
        <v>0</v>
      </c>
      <c r="AA95" s="79" t="b">
        <f t="shared" ca="1" si="8"/>
        <v>0</v>
      </c>
    </row>
    <row r="96" spans="1:27" x14ac:dyDescent="0.25">
      <c r="D96" s="79">
        <f>0.508333333333333 + "00:09:00"</f>
        <v>0.51458333333333295</v>
      </c>
      <c r="X96" s="79" t="str">
        <f ca="1">INDIRECT("B"&amp;96) &amp; CHAR(10) &amp; "vs" &amp; CHAR(10) &amp; INDIRECT("F"&amp;96)</f>
        <v xml:space="preserve">
vs
</v>
      </c>
      <c r="Y96" s="79" t="b">
        <f t="shared" ca="1" si="6"/>
        <v>0</v>
      </c>
      <c r="Z96" s="79" t="b">
        <f t="shared" ca="1" si="7"/>
        <v>0</v>
      </c>
      <c r="AA96" s="79" t="b">
        <f t="shared" ca="1" si="8"/>
        <v>0</v>
      </c>
    </row>
    <row r="97" spans="4:27" x14ac:dyDescent="0.25">
      <c r="X97" s="79" t="str">
        <f ca="1">INDIRECT("B"&amp;97) &amp; CHAR(10) &amp; "vs" &amp; CHAR(10) &amp; INDIRECT("F"&amp;97)</f>
        <v xml:space="preserve">
vs
</v>
      </c>
      <c r="Y97" s="79" t="b">
        <f t="shared" ref="Y97:Y128" ca="1" si="9">$S$10=X97</f>
        <v>0</v>
      </c>
      <c r="Z97" s="79" t="b">
        <f t="shared" ref="Z97:Z128" ca="1" si="10">$S$20=X97</f>
        <v>0</v>
      </c>
      <c r="AA97" s="79" t="b">
        <f t="shared" ref="AA97:AA128" ca="1" si="11">$S$30=X97</f>
        <v>0</v>
      </c>
    </row>
    <row r="98" spans="4:27" x14ac:dyDescent="0.25">
      <c r="X98" s="79" t="str">
        <f ca="1">INDIRECT("B"&amp;98) &amp; CHAR(10) &amp; "vs" &amp; CHAR(10) &amp; INDIRECT("F"&amp;98)</f>
        <v xml:space="preserve">
vs
</v>
      </c>
      <c r="Y98" s="79" t="b">
        <f t="shared" ca="1" si="9"/>
        <v>0</v>
      </c>
      <c r="Z98" s="79" t="b">
        <f t="shared" ca="1" si="10"/>
        <v>0</v>
      </c>
      <c r="AA98" s="79" t="b">
        <f t="shared" ca="1" si="11"/>
        <v>0</v>
      </c>
    </row>
    <row r="99" spans="4:27" x14ac:dyDescent="0.25">
      <c r="X99" s="79" t="str">
        <f ca="1">INDIRECT("B"&amp;99) &amp; CHAR(10) &amp; "vs" &amp; CHAR(10) &amp; INDIRECT("F"&amp;99)</f>
        <v xml:space="preserve">
vs
</v>
      </c>
      <c r="Y99" s="79" t="b">
        <f t="shared" ca="1" si="9"/>
        <v>0</v>
      </c>
      <c r="Z99" s="79" t="b">
        <f t="shared" ca="1" si="10"/>
        <v>0</v>
      </c>
      <c r="AA99" s="79" t="b">
        <f t="shared" ca="1" si="11"/>
        <v>0</v>
      </c>
    </row>
    <row r="100" spans="4:27" x14ac:dyDescent="0.25">
      <c r="X100" s="79" t="str">
        <f ca="1">INDIRECT("B"&amp;100) &amp; CHAR(10) &amp; "vs" &amp; CHAR(10) &amp; INDIRECT("F"&amp;100)</f>
        <v xml:space="preserve">
vs
</v>
      </c>
      <c r="Y100" s="79" t="b">
        <f t="shared" ca="1" si="9"/>
        <v>0</v>
      </c>
      <c r="Z100" s="79" t="b">
        <f t="shared" ca="1" si="10"/>
        <v>0</v>
      </c>
      <c r="AA100" s="79" t="b">
        <f t="shared" ca="1" si="11"/>
        <v>0</v>
      </c>
    </row>
    <row r="101" spans="4:27" x14ac:dyDescent="0.25">
      <c r="D101" s="79">
        <f>0.514583333333333 + "00:09:00"</f>
        <v>0.52083333333333293</v>
      </c>
      <c r="X101" s="79" t="str">
        <f ca="1">INDIRECT("B"&amp;101) &amp; CHAR(10) &amp; "vs" &amp; CHAR(10) &amp; INDIRECT("F"&amp;101)</f>
        <v xml:space="preserve">
vs
</v>
      </c>
      <c r="Y101" s="79" t="b">
        <f t="shared" ca="1" si="9"/>
        <v>0</v>
      </c>
      <c r="Z101" s="79" t="b">
        <f t="shared" ca="1" si="10"/>
        <v>0</v>
      </c>
      <c r="AA101" s="79" t="b">
        <f t="shared" ca="1" si="11"/>
        <v>0</v>
      </c>
    </row>
    <row r="102" spans="4:27" x14ac:dyDescent="0.25">
      <c r="X102" s="79" t="str">
        <f ca="1">INDIRECT("B"&amp;102) &amp; CHAR(10) &amp; "vs" &amp; CHAR(10) &amp; INDIRECT("F"&amp;102)</f>
        <v xml:space="preserve">
vs
</v>
      </c>
      <c r="Y102" s="79" t="b">
        <f t="shared" ca="1" si="9"/>
        <v>0</v>
      </c>
      <c r="Z102" s="79" t="b">
        <f t="shared" ca="1" si="10"/>
        <v>0</v>
      </c>
      <c r="AA102" s="79" t="b">
        <f t="shared" ca="1" si="11"/>
        <v>0</v>
      </c>
    </row>
    <row r="103" spans="4:27" x14ac:dyDescent="0.25">
      <c r="X103" s="79" t="str">
        <f ca="1">INDIRECT("B"&amp;103) &amp; CHAR(10) &amp; "vs" &amp; CHAR(10) &amp; INDIRECT("F"&amp;103)</f>
        <v xml:space="preserve">
vs
</v>
      </c>
      <c r="Y103" s="79" t="b">
        <f t="shared" ca="1" si="9"/>
        <v>0</v>
      </c>
      <c r="Z103" s="79" t="b">
        <f t="shared" ca="1" si="10"/>
        <v>0</v>
      </c>
      <c r="AA103" s="79" t="b">
        <f t="shared" ca="1" si="11"/>
        <v>0</v>
      </c>
    </row>
    <row r="104" spans="4:27" x14ac:dyDescent="0.25">
      <c r="X104" s="79" t="str">
        <f ca="1">INDIRECT("B"&amp;104) &amp; CHAR(10) &amp; "vs" &amp; CHAR(10) &amp; INDIRECT("F"&amp;104)</f>
        <v xml:space="preserve">
vs
</v>
      </c>
      <c r="Y104" s="79" t="b">
        <f t="shared" ca="1" si="9"/>
        <v>0</v>
      </c>
      <c r="Z104" s="79" t="b">
        <f t="shared" ca="1" si="10"/>
        <v>0</v>
      </c>
      <c r="AA104" s="79" t="b">
        <f t="shared" ca="1" si="11"/>
        <v>0</v>
      </c>
    </row>
    <row r="105" spans="4:27" x14ac:dyDescent="0.25">
      <c r="X105" s="79" t="str">
        <f ca="1">INDIRECT("B"&amp;105) &amp; CHAR(10) &amp; "vs" &amp; CHAR(10) &amp; INDIRECT("F"&amp;105)</f>
        <v xml:space="preserve">
vs
</v>
      </c>
      <c r="Y105" s="79" t="b">
        <f t="shared" ca="1" si="9"/>
        <v>0</v>
      </c>
      <c r="Z105" s="79" t="b">
        <f t="shared" ca="1" si="10"/>
        <v>0</v>
      </c>
      <c r="AA105" s="79" t="b">
        <f t="shared" ca="1" si="11"/>
        <v>0</v>
      </c>
    </row>
    <row r="106" spans="4:27" x14ac:dyDescent="0.25">
      <c r="D106" s="79">
        <f>0.520833333333333 + "00:09:00"</f>
        <v>0.52708333333333302</v>
      </c>
      <c r="X106" s="79" t="str">
        <f ca="1">INDIRECT("B"&amp;106) &amp; CHAR(10) &amp; "vs" &amp; CHAR(10) &amp; INDIRECT("F"&amp;106)</f>
        <v xml:space="preserve">
vs
</v>
      </c>
      <c r="Y106" s="79" t="b">
        <f t="shared" ca="1" si="9"/>
        <v>0</v>
      </c>
      <c r="Z106" s="79" t="b">
        <f t="shared" ca="1" si="10"/>
        <v>0</v>
      </c>
      <c r="AA106" s="79" t="b">
        <f t="shared" ca="1" si="11"/>
        <v>0</v>
      </c>
    </row>
    <row r="107" spans="4:27" x14ac:dyDescent="0.25">
      <c r="X107" s="79" t="str">
        <f ca="1">INDIRECT("B"&amp;107) &amp; CHAR(10) &amp; "vs" &amp; CHAR(10) &amp; INDIRECT("F"&amp;107)</f>
        <v xml:space="preserve">
vs
</v>
      </c>
      <c r="Y107" s="79" t="b">
        <f t="shared" ca="1" si="9"/>
        <v>0</v>
      </c>
      <c r="Z107" s="79" t="b">
        <f t="shared" ca="1" si="10"/>
        <v>0</v>
      </c>
      <c r="AA107" s="79" t="b">
        <f t="shared" ca="1" si="11"/>
        <v>0</v>
      </c>
    </row>
    <row r="108" spans="4:27" x14ac:dyDescent="0.25">
      <c r="X108" s="79" t="str">
        <f ca="1">INDIRECT("B"&amp;108) &amp; CHAR(10) &amp; "vs" &amp; CHAR(10) &amp; INDIRECT("F"&amp;108)</f>
        <v xml:space="preserve">
vs
</v>
      </c>
      <c r="Y108" s="79" t="b">
        <f t="shared" ca="1" si="9"/>
        <v>0</v>
      </c>
      <c r="Z108" s="79" t="b">
        <f t="shared" ca="1" si="10"/>
        <v>0</v>
      </c>
      <c r="AA108" s="79" t="b">
        <f t="shared" ca="1" si="11"/>
        <v>0</v>
      </c>
    </row>
    <row r="109" spans="4:27" x14ac:dyDescent="0.25">
      <c r="X109" s="79" t="str">
        <f ca="1">INDIRECT("B"&amp;109) &amp; CHAR(10) &amp; "vs" &amp; CHAR(10) &amp; INDIRECT("F"&amp;109)</f>
        <v xml:space="preserve">
vs
</v>
      </c>
      <c r="Y109" s="79" t="b">
        <f t="shared" ca="1" si="9"/>
        <v>0</v>
      </c>
      <c r="Z109" s="79" t="b">
        <f t="shared" ca="1" si="10"/>
        <v>0</v>
      </c>
      <c r="AA109" s="79" t="b">
        <f t="shared" ca="1" si="11"/>
        <v>0</v>
      </c>
    </row>
    <row r="110" spans="4:27" x14ac:dyDescent="0.25">
      <c r="X110" s="79" t="str">
        <f ca="1">INDIRECT("B"&amp;110) &amp; CHAR(10) &amp; "vs" &amp; CHAR(10) &amp; INDIRECT("F"&amp;110)</f>
        <v xml:space="preserve">
vs
</v>
      </c>
      <c r="Y110" s="79" t="b">
        <f t="shared" ca="1" si="9"/>
        <v>0</v>
      </c>
      <c r="Z110" s="79" t="b">
        <f t="shared" ca="1" si="10"/>
        <v>0</v>
      </c>
      <c r="AA110" s="79" t="b">
        <f t="shared" ca="1" si="11"/>
        <v>0</v>
      </c>
    </row>
    <row r="111" spans="4:27" x14ac:dyDescent="0.25">
      <c r="D111" s="79">
        <f>0.527083333333333 + "00:09:00"</f>
        <v>0.53333333333333299</v>
      </c>
      <c r="X111" s="79" t="str">
        <f ca="1">INDIRECT("B"&amp;111) &amp; CHAR(10) &amp; "vs" &amp; CHAR(10) &amp; INDIRECT("F"&amp;111)</f>
        <v xml:space="preserve">
vs
</v>
      </c>
      <c r="Y111" s="79" t="b">
        <f t="shared" ca="1" si="9"/>
        <v>0</v>
      </c>
      <c r="Z111" s="79" t="b">
        <f t="shared" ca="1" si="10"/>
        <v>0</v>
      </c>
      <c r="AA111" s="79" t="b">
        <f t="shared" ca="1" si="11"/>
        <v>0</v>
      </c>
    </row>
    <row r="112" spans="4:27" x14ac:dyDescent="0.25">
      <c r="X112" s="79" t="str">
        <f ca="1">INDIRECT("B"&amp;112) &amp; CHAR(10) &amp; "vs" &amp; CHAR(10) &amp; INDIRECT("F"&amp;112)</f>
        <v xml:space="preserve">
vs
</v>
      </c>
      <c r="Y112" s="79" t="b">
        <f t="shared" ca="1" si="9"/>
        <v>0</v>
      </c>
      <c r="Z112" s="79" t="b">
        <f t="shared" ca="1" si="10"/>
        <v>0</v>
      </c>
      <c r="AA112" s="79" t="b">
        <f t="shared" ca="1" si="11"/>
        <v>0</v>
      </c>
    </row>
    <row r="113" spans="4:27" x14ac:dyDescent="0.25">
      <c r="X113" s="79" t="str">
        <f ca="1">INDIRECT("B"&amp;113) &amp; CHAR(10) &amp; "vs" &amp; CHAR(10) &amp; INDIRECT("F"&amp;113)</f>
        <v xml:space="preserve">
vs
</v>
      </c>
      <c r="Y113" s="79" t="b">
        <f t="shared" ca="1" si="9"/>
        <v>0</v>
      </c>
      <c r="Z113" s="79" t="b">
        <f t="shared" ca="1" si="10"/>
        <v>0</v>
      </c>
      <c r="AA113" s="79" t="b">
        <f t="shared" ca="1" si="11"/>
        <v>0</v>
      </c>
    </row>
    <row r="114" spans="4:27" x14ac:dyDescent="0.25">
      <c r="X114" s="79" t="str">
        <f ca="1">INDIRECT("B"&amp;114) &amp; CHAR(10) &amp; "vs" &amp; CHAR(10) &amp; INDIRECT("F"&amp;114)</f>
        <v xml:space="preserve">
vs
</v>
      </c>
      <c r="Y114" s="79" t="b">
        <f t="shared" ca="1" si="9"/>
        <v>0</v>
      </c>
      <c r="Z114" s="79" t="b">
        <f t="shared" ca="1" si="10"/>
        <v>0</v>
      </c>
      <c r="AA114" s="79" t="b">
        <f t="shared" ca="1" si="11"/>
        <v>0</v>
      </c>
    </row>
    <row r="115" spans="4:27" x14ac:dyDescent="0.25">
      <c r="X115" s="79" t="str">
        <f ca="1">INDIRECT("B"&amp;115) &amp; CHAR(10) &amp; "vs" &amp; CHAR(10) &amp; INDIRECT("F"&amp;115)</f>
        <v xml:space="preserve">
vs
</v>
      </c>
      <c r="Y115" s="79" t="b">
        <f t="shared" ca="1" si="9"/>
        <v>0</v>
      </c>
      <c r="Z115" s="79" t="b">
        <f t="shared" ca="1" si="10"/>
        <v>0</v>
      </c>
      <c r="AA115" s="79" t="b">
        <f t="shared" ca="1" si="11"/>
        <v>0</v>
      </c>
    </row>
    <row r="116" spans="4:27" x14ac:dyDescent="0.25">
      <c r="D116" s="79">
        <f>0.533333333333333 + "00:09:00"</f>
        <v>0.53958333333333297</v>
      </c>
      <c r="X116" s="79" t="str">
        <f ca="1">INDIRECT("B"&amp;116) &amp; CHAR(10) &amp; "vs" &amp; CHAR(10) &amp; INDIRECT("F"&amp;116)</f>
        <v xml:space="preserve">
vs
</v>
      </c>
      <c r="Y116" s="79" t="b">
        <f t="shared" ca="1" si="9"/>
        <v>0</v>
      </c>
      <c r="Z116" s="79" t="b">
        <f t="shared" ca="1" si="10"/>
        <v>0</v>
      </c>
      <c r="AA116" s="79" t="b">
        <f t="shared" ca="1" si="11"/>
        <v>0</v>
      </c>
    </row>
    <row r="117" spans="4:27" x14ac:dyDescent="0.25">
      <c r="X117" s="79" t="str">
        <f ca="1">INDIRECT("B"&amp;117) &amp; CHAR(10) &amp; "vs" &amp; CHAR(10) &amp; INDIRECT("F"&amp;117)</f>
        <v xml:space="preserve">
vs
</v>
      </c>
      <c r="Y117" s="79" t="b">
        <f t="shared" ca="1" si="9"/>
        <v>0</v>
      </c>
      <c r="Z117" s="79" t="b">
        <f t="shared" ca="1" si="10"/>
        <v>0</v>
      </c>
      <c r="AA117" s="79" t="b">
        <f t="shared" ca="1" si="11"/>
        <v>0</v>
      </c>
    </row>
    <row r="118" spans="4:27" x14ac:dyDescent="0.25">
      <c r="X118" s="79" t="str">
        <f ca="1">INDIRECT("B"&amp;118) &amp; CHAR(10) &amp; "vs" &amp; CHAR(10) &amp; INDIRECT("F"&amp;118)</f>
        <v xml:space="preserve">
vs
</v>
      </c>
      <c r="Y118" s="79" t="b">
        <f t="shared" ca="1" si="9"/>
        <v>0</v>
      </c>
      <c r="Z118" s="79" t="b">
        <f t="shared" ca="1" si="10"/>
        <v>0</v>
      </c>
      <c r="AA118" s="79" t="b">
        <f t="shared" ca="1" si="11"/>
        <v>0</v>
      </c>
    </row>
    <row r="119" spans="4:27" x14ac:dyDescent="0.25">
      <c r="X119" s="79" t="str">
        <f ca="1">INDIRECT("B"&amp;119) &amp; CHAR(10) &amp; "vs" &amp; CHAR(10) &amp; INDIRECT("F"&amp;119)</f>
        <v xml:space="preserve">
vs
</v>
      </c>
      <c r="Y119" s="79" t="b">
        <f t="shared" ca="1" si="9"/>
        <v>0</v>
      </c>
      <c r="Z119" s="79" t="b">
        <f t="shared" ca="1" si="10"/>
        <v>0</v>
      </c>
      <c r="AA119" s="79" t="b">
        <f t="shared" ca="1" si="11"/>
        <v>0</v>
      </c>
    </row>
    <row r="120" spans="4:27" x14ac:dyDescent="0.25">
      <c r="X120" s="79" t="str">
        <f ca="1">INDIRECT("B"&amp;120) &amp; CHAR(10) &amp; "vs" &amp; CHAR(10) &amp; INDIRECT("F"&amp;120)</f>
        <v xml:space="preserve">
vs
</v>
      </c>
      <c r="Y120" s="79" t="b">
        <f t="shared" ca="1" si="9"/>
        <v>0</v>
      </c>
      <c r="Z120" s="79" t="b">
        <f t="shared" ca="1" si="10"/>
        <v>0</v>
      </c>
      <c r="AA120" s="79" t="b">
        <f t="shared" ca="1" si="11"/>
        <v>0</v>
      </c>
    </row>
    <row r="121" spans="4:27" x14ac:dyDescent="0.25">
      <c r="D121" s="79">
        <f>0.539583333333333 + "00:09:00"</f>
        <v>0.54583333333333295</v>
      </c>
      <c r="X121" s="79" t="str">
        <f ca="1">INDIRECT("B"&amp;121) &amp; CHAR(10) &amp; "vs" &amp; CHAR(10) &amp; INDIRECT("F"&amp;121)</f>
        <v xml:space="preserve">
vs
</v>
      </c>
      <c r="Y121" s="79" t="b">
        <f t="shared" ca="1" si="9"/>
        <v>0</v>
      </c>
      <c r="Z121" s="79" t="b">
        <f t="shared" ca="1" si="10"/>
        <v>0</v>
      </c>
      <c r="AA121" s="79" t="b">
        <f t="shared" ca="1" si="11"/>
        <v>0</v>
      </c>
    </row>
    <row r="122" spans="4:27" x14ac:dyDescent="0.25">
      <c r="X122" s="79" t="str">
        <f ca="1">INDIRECT("B"&amp;122) &amp; CHAR(10) &amp; "vs" &amp; CHAR(10) &amp; INDIRECT("F"&amp;122)</f>
        <v xml:space="preserve">
vs
</v>
      </c>
      <c r="Y122" s="79" t="b">
        <f t="shared" ca="1" si="9"/>
        <v>0</v>
      </c>
      <c r="Z122" s="79" t="b">
        <f t="shared" ca="1" si="10"/>
        <v>0</v>
      </c>
      <c r="AA122" s="79" t="b">
        <f t="shared" ca="1" si="11"/>
        <v>0</v>
      </c>
    </row>
    <row r="123" spans="4:27" x14ac:dyDescent="0.25">
      <c r="X123" s="79" t="str">
        <f ca="1">INDIRECT("B"&amp;123) &amp; CHAR(10) &amp; "vs" &amp; CHAR(10) &amp; INDIRECT("F"&amp;123)</f>
        <v xml:space="preserve">
vs
</v>
      </c>
      <c r="Y123" s="79" t="b">
        <f t="shared" ca="1" si="9"/>
        <v>0</v>
      </c>
      <c r="Z123" s="79" t="b">
        <f t="shared" ca="1" si="10"/>
        <v>0</v>
      </c>
      <c r="AA123" s="79" t="b">
        <f t="shared" ca="1" si="11"/>
        <v>0</v>
      </c>
    </row>
    <row r="124" spans="4:27" x14ac:dyDescent="0.25">
      <c r="X124" s="79" t="str">
        <f ca="1">INDIRECT("B"&amp;124) &amp; CHAR(10) &amp; "vs" &amp; CHAR(10) &amp; INDIRECT("F"&amp;124)</f>
        <v xml:space="preserve">
vs
</v>
      </c>
      <c r="Y124" s="79" t="b">
        <f t="shared" ca="1" si="9"/>
        <v>0</v>
      </c>
      <c r="Z124" s="79" t="b">
        <f t="shared" ca="1" si="10"/>
        <v>0</v>
      </c>
      <c r="AA124" s="79" t="b">
        <f t="shared" ca="1" si="11"/>
        <v>0</v>
      </c>
    </row>
    <row r="125" spans="4:27" x14ac:dyDescent="0.25">
      <c r="X125" s="79" t="str">
        <f ca="1">INDIRECT("B"&amp;125) &amp; CHAR(10) &amp; "vs" &amp; CHAR(10) &amp; INDIRECT("F"&amp;125)</f>
        <v xml:space="preserve">
vs
</v>
      </c>
      <c r="Y125" s="79" t="b">
        <f t="shared" ca="1" si="9"/>
        <v>0</v>
      </c>
      <c r="Z125" s="79" t="b">
        <f t="shared" ca="1" si="10"/>
        <v>0</v>
      </c>
      <c r="AA125" s="79" t="b">
        <f t="shared" ca="1" si="11"/>
        <v>0</v>
      </c>
    </row>
    <row r="126" spans="4:27" x14ac:dyDescent="0.25">
      <c r="D126" s="79">
        <f>0.545833333333333 + "00:09:00"</f>
        <v>0.55208333333333293</v>
      </c>
      <c r="X126" s="79" t="str">
        <f ca="1">INDIRECT("B"&amp;126) &amp; CHAR(10) &amp; "vs" &amp; CHAR(10) &amp; INDIRECT("F"&amp;126)</f>
        <v xml:space="preserve">
vs
</v>
      </c>
      <c r="Y126" s="79" t="b">
        <f t="shared" ca="1" si="9"/>
        <v>0</v>
      </c>
      <c r="Z126" s="79" t="b">
        <f t="shared" ca="1" si="10"/>
        <v>0</v>
      </c>
      <c r="AA126" s="79" t="b">
        <f t="shared" ca="1" si="11"/>
        <v>0</v>
      </c>
    </row>
    <row r="127" spans="4:27" x14ac:dyDescent="0.25">
      <c r="X127" s="79" t="str">
        <f ca="1">INDIRECT("B"&amp;127) &amp; CHAR(10) &amp; "vs" &amp; CHAR(10) &amp; INDIRECT("F"&amp;127)</f>
        <v xml:space="preserve">
vs
</v>
      </c>
      <c r="Y127" s="79" t="b">
        <f t="shared" ca="1" si="9"/>
        <v>0</v>
      </c>
      <c r="Z127" s="79" t="b">
        <f t="shared" ca="1" si="10"/>
        <v>0</v>
      </c>
      <c r="AA127" s="79" t="b">
        <f t="shared" ca="1" si="11"/>
        <v>0</v>
      </c>
    </row>
    <row r="128" spans="4:27" x14ac:dyDescent="0.25">
      <c r="X128" s="79" t="str">
        <f ca="1">INDIRECT("B"&amp;128) &amp; CHAR(10) &amp; "vs" &amp; CHAR(10) &amp; INDIRECT("F"&amp;128)</f>
        <v xml:space="preserve">
vs
</v>
      </c>
      <c r="Y128" s="79" t="b">
        <f t="shared" ca="1" si="9"/>
        <v>0</v>
      </c>
      <c r="Z128" s="79" t="b">
        <f t="shared" ca="1" si="10"/>
        <v>0</v>
      </c>
      <c r="AA128" s="79" t="b">
        <f t="shared" ca="1" si="11"/>
        <v>0</v>
      </c>
    </row>
    <row r="129" spans="4:27" x14ac:dyDescent="0.25">
      <c r="X129" s="79" t="str">
        <f ca="1">INDIRECT("B"&amp;129) &amp; CHAR(10) &amp; "vs" &amp; CHAR(10) &amp; INDIRECT("F"&amp;129)</f>
        <v xml:space="preserve">
vs
</v>
      </c>
      <c r="Y129" s="79" t="b">
        <f t="shared" ref="Y129:Y160" ca="1" si="12">$S$10=X129</f>
        <v>0</v>
      </c>
      <c r="Z129" s="79" t="b">
        <f t="shared" ref="Z129:Z160" ca="1" si="13">$S$20=X129</f>
        <v>0</v>
      </c>
      <c r="AA129" s="79" t="b">
        <f t="shared" ref="AA129:AA160" ca="1" si="14">$S$30=X129</f>
        <v>0</v>
      </c>
    </row>
    <row r="130" spans="4:27" x14ac:dyDescent="0.25">
      <c r="X130" s="79" t="str">
        <f ca="1">INDIRECT("B"&amp;130) &amp; CHAR(10) &amp; "vs" &amp; CHAR(10) &amp; INDIRECT("F"&amp;130)</f>
        <v xml:space="preserve">
vs
</v>
      </c>
      <c r="Y130" s="79" t="b">
        <f t="shared" ca="1" si="12"/>
        <v>0</v>
      </c>
      <c r="Z130" s="79" t="b">
        <f t="shared" ca="1" si="13"/>
        <v>0</v>
      </c>
      <c r="AA130" s="79" t="b">
        <f t="shared" ca="1" si="14"/>
        <v>0</v>
      </c>
    </row>
    <row r="131" spans="4:27" x14ac:dyDescent="0.25">
      <c r="D131" s="79">
        <f>0.552083333333333 + "00:09:00"</f>
        <v>0.55833333333333302</v>
      </c>
      <c r="X131" s="79" t="str">
        <f ca="1">INDIRECT("B"&amp;131) &amp; CHAR(10) &amp; "vs" &amp; CHAR(10) &amp; INDIRECT("F"&amp;131)</f>
        <v xml:space="preserve">
vs
</v>
      </c>
      <c r="Y131" s="79" t="b">
        <f t="shared" ca="1" si="12"/>
        <v>0</v>
      </c>
      <c r="Z131" s="79" t="b">
        <f t="shared" ca="1" si="13"/>
        <v>0</v>
      </c>
      <c r="AA131" s="79" t="b">
        <f t="shared" ca="1" si="14"/>
        <v>0</v>
      </c>
    </row>
    <row r="132" spans="4:27" x14ac:dyDescent="0.25">
      <c r="X132" s="79" t="str">
        <f ca="1">INDIRECT("B"&amp;132) &amp; CHAR(10) &amp; "vs" &amp; CHAR(10) &amp; INDIRECT("F"&amp;132)</f>
        <v xml:space="preserve">
vs
</v>
      </c>
      <c r="Y132" s="79" t="b">
        <f t="shared" ca="1" si="12"/>
        <v>0</v>
      </c>
      <c r="Z132" s="79" t="b">
        <f t="shared" ca="1" si="13"/>
        <v>0</v>
      </c>
      <c r="AA132" s="79" t="b">
        <f t="shared" ca="1" si="14"/>
        <v>0</v>
      </c>
    </row>
    <row r="133" spans="4:27" x14ac:dyDescent="0.25">
      <c r="X133" s="79" t="str">
        <f ca="1">INDIRECT("B"&amp;133) &amp; CHAR(10) &amp; "vs" &amp; CHAR(10) &amp; INDIRECT("F"&amp;133)</f>
        <v xml:space="preserve">
vs
</v>
      </c>
      <c r="Y133" s="79" t="b">
        <f t="shared" ca="1" si="12"/>
        <v>0</v>
      </c>
      <c r="Z133" s="79" t="b">
        <f t="shared" ca="1" si="13"/>
        <v>0</v>
      </c>
      <c r="AA133" s="79" t="b">
        <f t="shared" ca="1" si="14"/>
        <v>0</v>
      </c>
    </row>
    <row r="134" spans="4:27" x14ac:dyDescent="0.25">
      <c r="X134" s="79" t="str">
        <f ca="1">INDIRECT("B"&amp;134) &amp; CHAR(10) &amp; "vs" &amp; CHAR(10) &amp; INDIRECT("F"&amp;134)</f>
        <v xml:space="preserve">
vs
</v>
      </c>
      <c r="Y134" s="79" t="b">
        <f t="shared" ca="1" si="12"/>
        <v>0</v>
      </c>
      <c r="Z134" s="79" t="b">
        <f t="shared" ca="1" si="13"/>
        <v>0</v>
      </c>
      <c r="AA134" s="79" t="b">
        <f t="shared" ca="1" si="14"/>
        <v>0</v>
      </c>
    </row>
    <row r="135" spans="4:27" x14ac:dyDescent="0.25">
      <c r="X135" s="79" t="str">
        <f ca="1">INDIRECT("B"&amp;135) &amp; CHAR(10) &amp; "vs" &amp; CHAR(10) &amp; INDIRECT("F"&amp;135)</f>
        <v xml:space="preserve">
vs
</v>
      </c>
      <c r="Y135" s="79" t="b">
        <f t="shared" ca="1" si="12"/>
        <v>0</v>
      </c>
      <c r="Z135" s="79" t="b">
        <f t="shared" ca="1" si="13"/>
        <v>0</v>
      </c>
      <c r="AA135" s="79" t="b">
        <f t="shared" ca="1" si="14"/>
        <v>0</v>
      </c>
    </row>
    <row r="136" spans="4:27" x14ac:dyDescent="0.25">
      <c r="D136" s="79">
        <f>0.558333333333333 + "00:09:00"</f>
        <v>0.56458333333333299</v>
      </c>
      <c r="X136" s="79" t="str">
        <f ca="1">INDIRECT("B"&amp;136) &amp; CHAR(10) &amp; "vs" &amp; CHAR(10) &amp; INDIRECT("F"&amp;136)</f>
        <v xml:space="preserve">
vs
</v>
      </c>
      <c r="Y136" s="79" t="b">
        <f t="shared" ca="1" si="12"/>
        <v>0</v>
      </c>
      <c r="Z136" s="79" t="b">
        <f t="shared" ca="1" si="13"/>
        <v>0</v>
      </c>
      <c r="AA136" s="79" t="b">
        <f t="shared" ca="1" si="14"/>
        <v>0</v>
      </c>
    </row>
    <row r="137" spans="4:27" x14ac:dyDescent="0.25">
      <c r="X137" s="79" t="str">
        <f ca="1">INDIRECT("B"&amp;137) &amp; CHAR(10) &amp; "vs" &amp; CHAR(10) &amp; INDIRECT("F"&amp;137)</f>
        <v xml:space="preserve">
vs
</v>
      </c>
      <c r="Y137" s="79" t="b">
        <f t="shared" ca="1" si="12"/>
        <v>0</v>
      </c>
      <c r="Z137" s="79" t="b">
        <f t="shared" ca="1" si="13"/>
        <v>0</v>
      </c>
      <c r="AA137" s="79" t="b">
        <f t="shared" ca="1" si="14"/>
        <v>0</v>
      </c>
    </row>
    <row r="138" spans="4:27" x14ac:dyDescent="0.25">
      <c r="X138" s="79" t="str">
        <f ca="1">INDIRECT("B"&amp;138) &amp; CHAR(10) &amp; "vs" &amp; CHAR(10) &amp; INDIRECT("F"&amp;138)</f>
        <v xml:space="preserve">
vs
</v>
      </c>
      <c r="Y138" s="79" t="b">
        <f t="shared" ca="1" si="12"/>
        <v>0</v>
      </c>
      <c r="Z138" s="79" t="b">
        <f t="shared" ca="1" si="13"/>
        <v>0</v>
      </c>
      <c r="AA138" s="79" t="b">
        <f t="shared" ca="1" si="14"/>
        <v>0</v>
      </c>
    </row>
    <row r="139" spans="4:27" x14ac:dyDescent="0.25">
      <c r="X139" s="79" t="str">
        <f ca="1">INDIRECT("B"&amp;139) &amp; CHAR(10) &amp; "vs" &amp; CHAR(10) &amp; INDIRECT("F"&amp;139)</f>
        <v xml:space="preserve">
vs
</v>
      </c>
      <c r="Y139" s="79" t="b">
        <f t="shared" ca="1" si="12"/>
        <v>0</v>
      </c>
      <c r="Z139" s="79" t="b">
        <f t="shared" ca="1" si="13"/>
        <v>0</v>
      </c>
      <c r="AA139" s="79" t="b">
        <f t="shared" ca="1" si="14"/>
        <v>0</v>
      </c>
    </row>
    <row r="140" spans="4:27" x14ac:dyDescent="0.25">
      <c r="X140" s="79" t="str">
        <f ca="1">INDIRECT("B"&amp;140) &amp; CHAR(10) &amp; "vs" &amp; CHAR(10) &amp; INDIRECT("F"&amp;140)</f>
        <v xml:space="preserve">
vs
</v>
      </c>
      <c r="Y140" s="79" t="b">
        <f t="shared" ca="1" si="12"/>
        <v>0</v>
      </c>
      <c r="Z140" s="79" t="b">
        <f t="shared" ca="1" si="13"/>
        <v>0</v>
      </c>
      <c r="AA140" s="79" t="b">
        <f t="shared" ca="1" si="14"/>
        <v>0</v>
      </c>
    </row>
    <row r="141" spans="4:27" x14ac:dyDescent="0.25">
      <c r="D141" s="79">
        <f>0.564583333333333 + "00:09:00"</f>
        <v>0.57083333333333297</v>
      </c>
      <c r="X141" s="79" t="str">
        <f ca="1">INDIRECT("B"&amp;141) &amp; CHAR(10) &amp; "vs" &amp; CHAR(10) &amp; INDIRECT("F"&amp;141)</f>
        <v xml:space="preserve">
vs
</v>
      </c>
      <c r="Y141" s="79" t="b">
        <f t="shared" ca="1" si="12"/>
        <v>0</v>
      </c>
      <c r="Z141" s="79" t="b">
        <f t="shared" ca="1" si="13"/>
        <v>0</v>
      </c>
      <c r="AA141" s="79" t="b">
        <f t="shared" ca="1" si="14"/>
        <v>0</v>
      </c>
    </row>
    <row r="142" spans="4:27" x14ac:dyDescent="0.25">
      <c r="X142" s="79" t="str">
        <f ca="1">INDIRECT("B"&amp;142) &amp; CHAR(10) &amp; "vs" &amp; CHAR(10) &amp; INDIRECT("F"&amp;142)</f>
        <v xml:space="preserve">
vs
</v>
      </c>
      <c r="Y142" s="79" t="b">
        <f t="shared" ca="1" si="12"/>
        <v>0</v>
      </c>
      <c r="Z142" s="79" t="b">
        <f t="shared" ca="1" si="13"/>
        <v>0</v>
      </c>
      <c r="AA142" s="79" t="b">
        <f t="shared" ca="1" si="14"/>
        <v>0</v>
      </c>
    </row>
    <row r="143" spans="4:27" x14ac:dyDescent="0.25">
      <c r="X143" s="79" t="str">
        <f ca="1">INDIRECT("B"&amp;143) &amp; CHAR(10) &amp; "vs" &amp; CHAR(10) &amp; INDIRECT("F"&amp;143)</f>
        <v xml:space="preserve">
vs
</v>
      </c>
      <c r="Y143" s="79" t="b">
        <f t="shared" ca="1" si="12"/>
        <v>0</v>
      </c>
      <c r="Z143" s="79" t="b">
        <f t="shared" ca="1" si="13"/>
        <v>0</v>
      </c>
      <c r="AA143" s="79" t="b">
        <f t="shared" ca="1" si="14"/>
        <v>0</v>
      </c>
    </row>
    <row r="144" spans="4:27" x14ac:dyDescent="0.25">
      <c r="X144" s="79" t="str">
        <f ca="1">INDIRECT("B"&amp;144) &amp; CHAR(10) &amp; "vs" &amp; CHAR(10) &amp; INDIRECT("F"&amp;144)</f>
        <v xml:space="preserve">
vs
</v>
      </c>
      <c r="Y144" s="79" t="b">
        <f t="shared" ca="1" si="12"/>
        <v>0</v>
      </c>
      <c r="Z144" s="79" t="b">
        <f t="shared" ca="1" si="13"/>
        <v>0</v>
      </c>
      <c r="AA144" s="79" t="b">
        <f t="shared" ca="1" si="14"/>
        <v>0</v>
      </c>
    </row>
    <row r="145" spans="4:27" x14ac:dyDescent="0.25">
      <c r="X145" s="79" t="str">
        <f ca="1">INDIRECT("B"&amp;145) &amp; CHAR(10) &amp; "vs" &amp; CHAR(10) &amp; INDIRECT("F"&amp;145)</f>
        <v xml:space="preserve">
vs
</v>
      </c>
      <c r="Y145" s="79" t="b">
        <f t="shared" ca="1" si="12"/>
        <v>0</v>
      </c>
      <c r="Z145" s="79" t="b">
        <f t="shared" ca="1" si="13"/>
        <v>0</v>
      </c>
      <c r="AA145" s="79" t="b">
        <f t="shared" ca="1" si="14"/>
        <v>0</v>
      </c>
    </row>
    <row r="146" spans="4:27" x14ac:dyDescent="0.25">
      <c r="D146" s="79">
        <f>0.570833333333333 + "00:09:00"</f>
        <v>0.57708333333333295</v>
      </c>
      <c r="X146" s="79" t="str">
        <f ca="1">INDIRECT("B"&amp;146) &amp; CHAR(10) &amp; "vs" &amp; CHAR(10) &amp; INDIRECT("F"&amp;146)</f>
        <v xml:space="preserve">
vs
</v>
      </c>
      <c r="Y146" s="79" t="b">
        <f t="shared" ca="1" si="12"/>
        <v>0</v>
      </c>
      <c r="Z146" s="79" t="b">
        <f t="shared" ca="1" si="13"/>
        <v>0</v>
      </c>
      <c r="AA146" s="79" t="b">
        <f t="shared" ca="1" si="14"/>
        <v>0</v>
      </c>
    </row>
    <row r="147" spans="4:27" x14ac:dyDescent="0.25">
      <c r="X147" s="79" t="str">
        <f ca="1">INDIRECT("B"&amp;147) &amp; CHAR(10) &amp; "vs" &amp; CHAR(10) &amp; INDIRECT("F"&amp;147)</f>
        <v xml:space="preserve">
vs
</v>
      </c>
      <c r="Y147" s="79" t="b">
        <f t="shared" ca="1" si="12"/>
        <v>0</v>
      </c>
      <c r="Z147" s="79" t="b">
        <f t="shared" ca="1" si="13"/>
        <v>0</v>
      </c>
      <c r="AA147" s="79" t="b">
        <f t="shared" ca="1" si="14"/>
        <v>0</v>
      </c>
    </row>
    <row r="148" spans="4:27" x14ac:dyDescent="0.25">
      <c r="X148" s="79" t="str">
        <f ca="1">INDIRECT("B"&amp;148) &amp; CHAR(10) &amp; "vs" &amp; CHAR(10) &amp; INDIRECT("F"&amp;148)</f>
        <v xml:space="preserve">
vs
</v>
      </c>
      <c r="Y148" s="79" t="b">
        <f t="shared" ca="1" si="12"/>
        <v>0</v>
      </c>
      <c r="Z148" s="79" t="b">
        <f t="shared" ca="1" si="13"/>
        <v>0</v>
      </c>
      <c r="AA148" s="79" t="b">
        <f t="shared" ca="1" si="14"/>
        <v>0</v>
      </c>
    </row>
    <row r="149" spans="4:27" x14ac:dyDescent="0.25">
      <c r="X149" s="79" t="str">
        <f ca="1">INDIRECT("B"&amp;149) &amp; CHAR(10) &amp; "vs" &amp; CHAR(10) &amp; INDIRECT("F"&amp;149)</f>
        <v xml:space="preserve">
vs
</v>
      </c>
      <c r="Y149" s="79" t="b">
        <f t="shared" ca="1" si="12"/>
        <v>0</v>
      </c>
      <c r="Z149" s="79" t="b">
        <f t="shared" ca="1" si="13"/>
        <v>0</v>
      </c>
      <c r="AA149" s="79" t="b">
        <f t="shared" ca="1" si="14"/>
        <v>0</v>
      </c>
    </row>
    <row r="150" spans="4:27" x14ac:dyDescent="0.25">
      <c r="X150" s="79" t="str">
        <f ca="1">INDIRECT("B"&amp;150) &amp; CHAR(10) &amp; "vs" &amp; CHAR(10) &amp; INDIRECT("F"&amp;150)</f>
        <v xml:space="preserve">
vs
</v>
      </c>
      <c r="Y150" s="79" t="b">
        <f t="shared" ca="1" si="12"/>
        <v>0</v>
      </c>
      <c r="Z150" s="79" t="b">
        <f t="shared" ca="1" si="13"/>
        <v>0</v>
      </c>
      <c r="AA150" s="79" t="b">
        <f t="shared" ca="1" si="14"/>
        <v>0</v>
      </c>
    </row>
    <row r="151" spans="4:27" x14ac:dyDescent="0.25">
      <c r="D151" s="79">
        <f>0.577083333333333 + "00:09:00"</f>
        <v>0.58333333333333293</v>
      </c>
      <c r="X151" s="79" t="str">
        <f ca="1">INDIRECT("B"&amp;151) &amp; CHAR(10) &amp; "vs" &amp; CHAR(10) &amp; INDIRECT("F"&amp;151)</f>
        <v xml:space="preserve">
vs
</v>
      </c>
      <c r="Y151" s="79" t="b">
        <f t="shared" ca="1" si="12"/>
        <v>0</v>
      </c>
      <c r="Z151" s="79" t="b">
        <f t="shared" ca="1" si="13"/>
        <v>0</v>
      </c>
      <c r="AA151" s="79" t="b">
        <f t="shared" ca="1" si="14"/>
        <v>0</v>
      </c>
    </row>
    <row r="152" spans="4:27" x14ac:dyDescent="0.25">
      <c r="X152" s="79" t="str">
        <f ca="1">INDIRECT("B"&amp;152) &amp; CHAR(10) &amp; "vs" &amp; CHAR(10) &amp; INDIRECT("F"&amp;152)</f>
        <v xml:space="preserve">
vs
</v>
      </c>
      <c r="Y152" s="79" t="b">
        <f t="shared" ca="1" si="12"/>
        <v>0</v>
      </c>
      <c r="Z152" s="79" t="b">
        <f t="shared" ca="1" si="13"/>
        <v>0</v>
      </c>
      <c r="AA152" s="79" t="b">
        <f t="shared" ca="1" si="14"/>
        <v>0</v>
      </c>
    </row>
    <row r="153" spans="4:27" x14ac:dyDescent="0.25">
      <c r="X153" s="79" t="str">
        <f ca="1">INDIRECT("B"&amp;153) &amp; CHAR(10) &amp; "vs" &amp; CHAR(10) &amp; INDIRECT("F"&amp;153)</f>
        <v xml:space="preserve">
vs
</v>
      </c>
      <c r="Y153" s="79" t="b">
        <f t="shared" ca="1" si="12"/>
        <v>0</v>
      </c>
      <c r="Z153" s="79" t="b">
        <f t="shared" ca="1" si="13"/>
        <v>0</v>
      </c>
      <c r="AA153" s="79" t="b">
        <f t="shared" ca="1" si="14"/>
        <v>0</v>
      </c>
    </row>
    <row r="154" spans="4:27" x14ac:dyDescent="0.25">
      <c r="X154" s="79" t="str">
        <f ca="1">INDIRECT("B"&amp;154) &amp; CHAR(10) &amp; "vs" &amp; CHAR(10) &amp; INDIRECT("F"&amp;154)</f>
        <v xml:space="preserve">
vs
</v>
      </c>
      <c r="Y154" s="79" t="b">
        <f t="shared" ca="1" si="12"/>
        <v>0</v>
      </c>
      <c r="Z154" s="79" t="b">
        <f t="shared" ca="1" si="13"/>
        <v>0</v>
      </c>
      <c r="AA154" s="79" t="b">
        <f t="shared" ca="1" si="14"/>
        <v>0</v>
      </c>
    </row>
    <row r="155" spans="4:27" x14ac:dyDescent="0.25">
      <c r="X155" s="79" t="str">
        <f ca="1">INDIRECT("B"&amp;155) &amp; CHAR(10) &amp; "vs" &amp; CHAR(10) &amp; INDIRECT("F"&amp;155)</f>
        <v xml:space="preserve">
vs
</v>
      </c>
      <c r="Y155" s="79" t="b">
        <f t="shared" ca="1" si="12"/>
        <v>0</v>
      </c>
      <c r="Z155" s="79" t="b">
        <f t="shared" ca="1" si="13"/>
        <v>0</v>
      </c>
      <c r="AA155" s="79" t="b">
        <f t="shared" ca="1" si="14"/>
        <v>0</v>
      </c>
    </row>
    <row r="156" spans="4:27" x14ac:dyDescent="0.25">
      <c r="D156" s="79">
        <f>0.583333333333333 + "00:09:00"</f>
        <v>0.58958333333333302</v>
      </c>
      <c r="X156" s="79" t="str">
        <f ca="1">INDIRECT("B"&amp;156) &amp; CHAR(10) &amp; "vs" &amp; CHAR(10) &amp; INDIRECT("F"&amp;156)</f>
        <v xml:space="preserve">
vs
</v>
      </c>
      <c r="Y156" s="79" t="b">
        <f t="shared" ca="1" si="12"/>
        <v>0</v>
      </c>
      <c r="Z156" s="79" t="b">
        <f t="shared" ca="1" si="13"/>
        <v>0</v>
      </c>
      <c r="AA156" s="79" t="b">
        <f t="shared" ca="1" si="14"/>
        <v>0</v>
      </c>
    </row>
    <row r="157" spans="4:27" x14ac:dyDescent="0.25">
      <c r="X157" s="79" t="str">
        <f ca="1">INDIRECT("B"&amp;157) &amp; CHAR(10) &amp; "vs" &amp; CHAR(10) &amp; INDIRECT("F"&amp;157)</f>
        <v xml:space="preserve">
vs
</v>
      </c>
      <c r="Y157" s="79" t="b">
        <f t="shared" ca="1" si="12"/>
        <v>0</v>
      </c>
      <c r="Z157" s="79" t="b">
        <f t="shared" ca="1" si="13"/>
        <v>0</v>
      </c>
      <c r="AA157" s="79" t="b">
        <f t="shared" ca="1" si="14"/>
        <v>0</v>
      </c>
    </row>
    <row r="158" spans="4:27" x14ac:dyDescent="0.25">
      <c r="X158" s="79" t="str">
        <f ca="1">INDIRECT("B"&amp;158) &amp; CHAR(10) &amp; "vs" &amp; CHAR(10) &amp; INDIRECT("F"&amp;158)</f>
        <v xml:space="preserve">
vs
</v>
      </c>
      <c r="Y158" s="79" t="b">
        <f t="shared" ca="1" si="12"/>
        <v>0</v>
      </c>
      <c r="Z158" s="79" t="b">
        <f t="shared" ca="1" si="13"/>
        <v>0</v>
      </c>
      <c r="AA158" s="79" t="b">
        <f t="shared" ca="1" si="14"/>
        <v>0</v>
      </c>
    </row>
    <row r="159" spans="4:27" x14ac:dyDescent="0.25">
      <c r="X159" s="79" t="str">
        <f ca="1">INDIRECT("B"&amp;159) &amp; CHAR(10) &amp; "vs" &amp; CHAR(10) &amp; INDIRECT("F"&amp;159)</f>
        <v xml:space="preserve">
vs
</v>
      </c>
      <c r="Y159" s="79" t="b">
        <f t="shared" ca="1" si="12"/>
        <v>0</v>
      </c>
      <c r="Z159" s="79" t="b">
        <f t="shared" ca="1" si="13"/>
        <v>0</v>
      </c>
      <c r="AA159" s="79" t="b">
        <f t="shared" ca="1" si="14"/>
        <v>0</v>
      </c>
    </row>
    <row r="160" spans="4:27" x14ac:dyDescent="0.25">
      <c r="X160" s="79" t="str">
        <f ca="1">INDIRECT("B"&amp;160) &amp; CHAR(10) &amp; "vs" &amp; CHAR(10) &amp; INDIRECT("F"&amp;160)</f>
        <v xml:space="preserve">
vs
</v>
      </c>
      <c r="Y160" s="79" t="b">
        <f t="shared" ca="1" si="12"/>
        <v>0</v>
      </c>
      <c r="Z160" s="79" t="b">
        <f t="shared" ca="1" si="13"/>
        <v>0</v>
      </c>
      <c r="AA160" s="79" t="b">
        <f t="shared" ca="1" si="14"/>
        <v>0</v>
      </c>
    </row>
    <row r="161" spans="4:27" x14ac:dyDescent="0.25">
      <c r="D161" s="79">
        <f>0.589583333333333 + "00:09:00"</f>
        <v>0.59583333333333299</v>
      </c>
      <c r="X161" s="79" t="str">
        <f ca="1">INDIRECT("B"&amp;161) &amp; CHAR(10) &amp; "vs" &amp; CHAR(10) &amp; INDIRECT("F"&amp;161)</f>
        <v xml:space="preserve">
vs
</v>
      </c>
      <c r="Y161" s="79" t="b">
        <f t="shared" ref="Y161:Y192" ca="1" si="15">$S$10=X161</f>
        <v>0</v>
      </c>
      <c r="Z161" s="79" t="b">
        <f t="shared" ref="Z161:Z192" ca="1" si="16">$S$20=X161</f>
        <v>0</v>
      </c>
      <c r="AA161" s="79" t="b">
        <f t="shared" ref="AA161:AA192" ca="1" si="17">$S$30=X161</f>
        <v>0</v>
      </c>
    </row>
    <row r="162" spans="4:27" x14ac:dyDescent="0.25">
      <c r="X162" s="79" t="str">
        <f ca="1">INDIRECT("B"&amp;162) &amp; CHAR(10) &amp; "vs" &amp; CHAR(10) &amp; INDIRECT("F"&amp;162)</f>
        <v xml:space="preserve">
vs
</v>
      </c>
      <c r="Y162" s="79" t="b">
        <f t="shared" ca="1" si="15"/>
        <v>0</v>
      </c>
      <c r="Z162" s="79" t="b">
        <f t="shared" ca="1" si="16"/>
        <v>0</v>
      </c>
      <c r="AA162" s="79" t="b">
        <f t="shared" ca="1" si="17"/>
        <v>0</v>
      </c>
    </row>
    <row r="163" spans="4:27" x14ac:dyDescent="0.25">
      <c r="X163" s="79" t="str">
        <f ca="1">INDIRECT("B"&amp;163) &amp; CHAR(10) &amp; "vs" &amp; CHAR(10) &amp; INDIRECT("F"&amp;163)</f>
        <v xml:space="preserve">
vs
</v>
      </c>
      <c r="Y163" s="79" t="b">
        <f t="shared" ca="1" si="15"/>
        <v>0</v>
      </c>
      <c r="Z163" s="79" t="b">
        <f t="shared" ca="1" si="16"/>
        <v>0</v>
      </c>
      <c r="AA163" s="79" t="b">
        <f t="shared" ca="1" si="17"/>
        <v>0</v>
      </c>
    </row>
    <row r="164" spans="4:27" x14ac:dyDescent="0.25">
      <c r="X164" s="79" t="str">
        <f ca="1">INDIRECT("B"&amp;164) &amp; CHAR(10) &amp; "vs" &amp; CHAR(10) &amp; INDIRECT("F"&amp;164)</f>
        <v xml:space="preserve">
vs
</v>
      </c>
      <c r="Y164" s="79" t="b">
        <f t="shared" ca="1" si="15"/>
        <v>0</v>
      </c>
      <c r="Z164" s="79" t="b">
        <f t="shared" ca="1" si="16"/>
        <v>0</v>
      </c>
      <c r="AA164" s="79" t="b">
        <f t="shared" ca="1" si="17"/>
        <v>0</v>
      </c>
    </row>
    <row r="165" spans="4:27" x14ac:dyDescent="0.25">
      <c r="X165" s="79" t="str">
        <f ca="1">INDIRECT("B"&amp;165) &amp; CHAR(10) &amp; "vs" &amp; CHAR(10) &amp; INDIRECT("F"&amp;165)</f>
        <v xml:space="preserve">
vs
</v>
      </c>
      <c r="Y165" s="79" t="b">
        <f t="shared" ca="1" si="15"/>
        <v>0</v>
      </c>
      <c r="Z165" s="79" t="b">
        <f t="shared" ca="1" si="16"/>
        <v>0</v>
      </c>
      <c r="AA165" s="79" t="b">
        <f t="shared" ca="1" si="17"/>
        <v>0</v>
      </c>
    </row>
    <row r="166" spans="4:27" x14ac:dyDescent="0.25">
      <c r="D166" s="79">
        <f>0.595833333333333 + "00:09:00"</f>
        <v>0.60208333333333297</v>
      </c>
      <c r="X166" s="79" t="str">
        <f ca="1">INDIRECT("B"&amp;166) &amp; CHAR(10) &amp; "vs" &amp; CHAR(10) &amp; INDIRECT("F"&amp;166)</f>
        <v xml:space="preserve">
vs
</v>
      </c>
      <c r="Y166" s="79" t="b">
        <f t="shared" ca="1" si="15"/>
        <v>0</v>
      </c>
      <c r="Z166" s="79" t="b">
        <f t="shared" ca="1" si="16"/>
        <v>0</v>
      </c>
      <c r="AA166" s="79" t="b">
        <f t="shared" ca="1" si="17"/>
        <v>0</v>
      </c>
    </row>
    <row r="167" spans="4:27" x14ac:dyDescent="0.25">
      <c r="X167" s="79" t="str">
        <f ca="1">INDIRECT("B"&amp;167) &amp; CHAR(10) &amp; "vs" &amp; CHAR(10) &amp; INDIRECT("F"&amp;167)</f>
        <v xml:space="preserve">
vs
</v>
      </c>
      <c r="Y167" s="79" t="b">
        <f t="shared" ca="1" si="15"/>
        <v>0</v>
      </c>
      <c r="Z167" s="79" t="b">
        <f t="shared" ca="1" si="16"/>
        <v>0</v>
      </c>
      <c r="AA167" s="79" t="b">
        <f t="shared" ca="1" si="17"/>
        <v>0</v>
      </c>
    </row>
    <row r="168" spans="4:27" x14ac:dyDescent="0.25">
      <c r="X168" s="79" t="str">
        <f ca="1">INDIRECT("B"&amp;168) &amp; CHAR(10) &amp; "vs" &amp; CHAR(10) &amp; INDIRECT("F"&amp;168)</f>
        <v xml:space="preserve">
vs
</v>
      </c>
      <c r="Y168" s="79" t="b">
        <f t="shared" ca="1" si="15"/>
        <v>0</v>
      </c>
      <c r="Z168" s="79" t="b">
        <f t="shared" ca="1" si="16"/>
        <v>0</v>
      </c>
      <c r="AA168" s="79" t="b">
        <f t="shared" ca="1" si="17"/>
        <v>0</v>
      </c>
    </row>
    <row r="169" spans="4:27" x14ac:dyDescent="0.25">
      <c r="X169" s="79" t="str">
        <f ca="1">INDIRECT("B"&amp;169) &amp; CHAR(10) &amp; "vs" &amp; CHAR(10) &amp; INDIRECT("F"&amp;169)</f>
        <v xml:space="preserve">
vs
</v>
      </c>
      <c r="Y169" s="79" t="b">
        <f t="shared" ca="1" si="15"/>
        <v>0</v>
      </c>
      <c r="Z169" s="79" t="b">
        <f t="shared" ca="1" si="16"/>
        <v>0</v>
      </c>
      <c r="AA169" s="79" t="b">
        <f t="shared" ca="1" si="17"/>
        <v>0</v>
      </c>
    </row>
    <row r="170" spans="4:27" x14ac:dyDescent="0.25">
      <c r="X170" s="79" t="str">
        <f ca="1">INDIRECT("B"&amp;170) &amp; CHAR(10) &amp; "vs" &amp; CHAR(10) &amp; INDIRECT("F"&amp;170)</f>
        <v xml:space="preserve">
vs
</v>
      </c>
      <c r="Y170" s="79" t="b">
        <f t="shared" ca="1" si="15"/>
        <v>0</v>
      </c>
      <c r="Z170" s="79" t="b">
        <f t="shared" ca="1" si="16"/>
        <v>0</v>
      </c>
      <c r="AA170" s="79" t="b">
        <f t="shared" ca="1" si="17"/>
        <v>0</v>
      </c>
    </row>
    <row r="171" spans="4:27" x14ac:dyDescent="0.25">
      <c r="D171" s="79">
        <f>0.602083333333333 + "00:09:00"</f>
        <v>0.60833333333333295</v>
      </c>
      <c r="X171" s="79" t="str">
        <f ca="1">INDIRECT("B"&amp;171) &amp; CHAR(10) &amp; "vs" &amp; CHAR(10) &amp; INDIRECT("F"&amp;171)</f>
        <v xml:space="preserve">
vs
</v>
      </c>
      <c r="Y171" s="79" t="b">
        <f t="shared" ca="1" si="15"/>
        <v>0</v>
      </c>
      <c r="Z171" s="79" t="b">
        <f t="shared" ca="1" si="16"/>
        <v>0</v>
      </c>
      <c r="AA171" s="79" t="b">
        <f t="shared" ca="1" si="17"/>
        <v>0</v>
      </c>
    </row>
    <row r="172" spans="4:27" x14ac:dyDescent="0.25">
      <c r="X172" s="79" t="str">
        <f ca="1">INDIRECT("B"&amp;172) &amp; CHAR(10) &amp; "vs" &amp; CHAR(10) &amp; INDIRECT("F"&amp;172)</f>
        <v xml:space="preserve">
vs
</v>
      </c>
      <c r="Y172" s="79" t="b">
        <f t="shared" ca="1" si="15"/>
        <v>0</v>
      </c>
      <c r="Z172" s="79" t="b">
        <f t="shared" ca="1" si="16"/>
        <v>0</v>
      </c>
      <c r="AA172" s="79" t="b">
        <f t="shared" ca="1" si="17"/>
        <v>0</v>
      </c>
    </row>
    <row r="173" spans="4:27" x14ac:dyDescent="0.25">
      <c r="X173" s="79" t="str">
        <f ca="1">INDIRECT("B"&amp;173) &amp; CHAR(10) &amp; "vs" &amp; CHAR(10) &amp; INDIRECT("F"&amp;173)</f>
        <v xml:space="preserve">
vs
</v>
      </c>
      <c r="Y173" s="79" t="b">
        <f t="shared" ca="1" si="15"/>
        <v>0</v>
      </c>
      <c r="Z173" s="79" t="b">
        <f t="shared" ca="1" si="16"/>
        <v>0</v>
      </c>
      <c r="AA173" s="79" t="b">
        <f t="shared" ca="1" si="17"/>
        <v>0</v>
      </c>
    </row>
    <row r="174" spans="4:27" x14ac:dyDescent="0.25">
      <c r="X174" s="79" t="str">
        <f ca="1">INDIRECT("B"&amp;174) &amp; CHAR(10) &amp; "vs" &amp; CHAR(10) &amp; INDIRECT("F"&amp;174)</f>
        <v xml:space="preserve">
vs
</v>
      </c>
      <c r="Y174" s="79" t="b">
        <f t="shared" ca="1" si="15"/>
        <v>0</v>
      </c>
      <c r="Z174" s="79" t="b">
        <f t="shared" ca="1" si="16"/>
        <v>0</v>
      </c>
      <c r="AA174" s="79" t="b">
        <f t="shared" ca="1" si="17"/>
        <v>0</v>
      </c>
    </row>
    <row r="175" spans="4:27" x14ac:dyDescent="0.25">
      <c r="X175" s="79" t="str">
        <f ca="1">INDIRECT("B"&amp;175) &amp; CHAR(10) &amp; "vs" &amp; CHAR(10) &amp; INDIRECT("F"&amp;175)</f>
        <v xml:space="preserve">
vs
</v>
      </c>
      <c r="Y175" s="79" t="b">
        <f t="shared" ca="1" si="15"/>
        <v>0</v>
      </c>
      <c r="Z175" s="79" t="b">
        <f t="shared" ca="1" si="16"/>
        <v>0</v>
      </c>
      <c r="AA175" s="79" t="b">
        <f t="shared" ca="1" si="17"/>
        <v>0</v>
      </c>
    </row>
    <row r="176" spans="4:27" x14ac:dyDescent="0.25">
      <c r="D176" s="79">
        <f>0.608333333333333 + "00:09:00"</f>
        <v>0.61458333333333293</v>
      </c>
      <c r="X176" s="79" t="str">
        <f ca="1">INDIRECT("B"&amp;176) &amp; CHAR(10) &amp; "vs" &amp; CHAR(10) &amp; INDIRECT("F"&amp;176)</f>
        <v xml:space="preserve">
vs
</v>
      </c>
      <c r="Y176" s="79" t="b">
        <f t="shared" ca="1" si="15"/>
        <v>0</v>
      </c>
      <c r="Z176" s="79" t="b">
        <f t="shared" ca="1" si="16"/>
        <v>0</v>
      </c>
      <c r="AA176" s="79" t="b">
        <f t="shared" ca="1" si="17"/>
        <v>0</v>
      </c>
    </row>
    <row r="177" spans="4:27" x14ac:dyDescent="0.25">
      <c r="X177" s="79" t="str">
        <f ca="1">INDIRECT("B"&amp;177) &amp; CHAR(10) &amp; "vs" &amp; CHAR(10) &amp; INDIRECT("F"&amp;177)</f>
        <v xml:space="preserve">
vs
</v>
      </c>
      <c r="Y177" s="79" t="b">
        <f t="shared" ca="1" si="15"/>
        <v>0</v>
      </c>
      <c r="Z177" s="79" t="b">
        <f t="shared" ca="1" si="16"/>
        <v>0</v>
      </c>
      <c r="AA177" s="79" t="b">
        <f t="shared" ca="1" si="17"/>
        <v>0</v>
      </c>
    </row>
    <row r="178" spans="4:27" x14ac:dyDescent="0.25">
      <c r="X178" s="79" t="str">
        <f ca="1">INDIRECT("B"&amp;178) &amp; CHAR(10) &amp; "vs" &amp; CHAR(10) &amp; INDIRECT("F"&amp;178)</f>
        <v xml:space="preserve">
vs
</v>
      </c>
      <c r="Y178" s="79" t="b">
        <f t="shared" ca="1" si="15"/>
        <v>0</v>
      </c>
      <c r="Z178" s="79" t="b">
        <f t="shared" ca="1" si="16"/>
        <v>0</v>
      </c>
      <c r="AA178" s="79" t="b">
        <f t="shared" ca="1" si="17"/>
        <v>0</v>
      </c>
    </row>
    <row r="179" spans="4:27" x14ac:dyDescent="0.25">
      <c r="X179" s="79" t="str">
        <f ca="1">INDIRECT("B"&amp;179) &amp; CHAR(10) &amp; "vs" &amp; CHAR(10) &amp; INDIRECT("F"&amp;179)</f>
        <v xml:space="preserve">
vs
</v>
      </c>
      <c r="Y179" s="79" t="b">
        <f t="shared" ca="1" si="15"/>
        <v>0</v>
      </c>
      <c r="Z179" s="79" t="b">
        <f t="shared" ca="1" si="16"/>
        <v>0</v>
      </c>
      <c r="AA179" s="79" t="b">
        <f t="shared" ca="1" si="17"/>
        <v>0</v>
      </c>
    </row>
    <row r="180" spans="4:27" x14ac:dyDescent="0.25">
      <c r="X180" s="79" t="str">
        <f ca="1">INDIRECT("B"&amp;180) &amp; CHAR(10) &amp; "vs" &amp; CHAR(10) &amp; INDIRECT("F"&amp;180)</f>
        <v xml:space="preserve">
vs
</v>
      </c>
      <c r="Y180" s="79" t="b">
        <f t="shared" ca="1" si="15"/>
        <v>0</v>
      </c>
      <c r="Z180" s="79" t="b">
        <f t="shared" ca="1" si="16"/>
        <v>0</v>
      </c>
      <c r="AA180" s="79" t="b">
        <f t="shared" ca="1" si="17"/>
        <v>0</v>
      </c>
    </row>
    <row r="181" spans="4:27" x14ac:dyDescent="0.25">
      <c r="D181" s="79">
        <f>0.614583333333333 + "00:09:00"</f>
        <v>0.62083333333333302</v>
      </c>
      <c r="X181" s="79" t="str">
        <f ca="1">INDIRECT("B"&amp;181) &amp; CHAR(10) &amp; "vs" &amp; CHAR(10) &amp; INDIRECT("F"&amp;181)</f>
        <v xml:space="preserve">
vs
</v>
      </c>
      <c r="Y181" s="79" t="b">
        <f t="shared" ca="1" si="15"/>
        <v>0</v>
      </c>
      <c r="Z181" s="79" t="b">
        <f t="shared" ca="1" si="16"/>
        <v>0</v>
      </c>
      <c r="AA181" s="79" t="b">
        <f t="shared" ca="1" si="17"/>
        <v>0</v>
      </c>
    </row>
    <row r="182" spans="4:27" x14ac:dyDescent="0.25">
      <c r="X182" s="79" t="str">
        <f ca="1">INDIRECT("B"&amp;182) &amp; CHAR(10) &amp; "vs" &amp; CHAR(10) &amp; INDIRECT("F"&amp;182)</f>
        <v xml:space="preserve">
vs
</v>
      </c>
      <c r="Y182" s="79" t="b">
        <f t="shared" ca="1" si="15"/>
        <v>0</v>
      </c>
      <c r="Z182" s="79" t="b">
        <f t="shared" ca="1" si="16"/>
        <v>0</v>
      </c>
      <c r="AA182" s="79" t="b">
        <f t="shared" ca="1" si="17"/>
        <v>0</v>
      </c>
    </row>
    <row r="183" spans="4:27" x14ac:dyDescent="0.25">
      <c r="X183" s="79" t="str">
        <f ca="1">INDIRECT("B"&amp;183) &amp; CHAR(10) &amp; "vs" &amp; CHAR(10) &amp; INDIRECT("F"&amp;183)</f>
        <v xml:space="preserve">
vs
</v>
      </c>
      <c r="Y183" s="79" t="b">
        <f t="shared" ca="1" si="15"/>
        <v>0</v>
      </c>
      <c r="Z183" s="79" t="b">
        <f t="shared" ca="1" si="16"/>
        <v>0</v>
      </c>
      <c r="AA183" s="79" t="b">
        <f t="shared" ca="1" si="17"/>
        <v>0</v>
      </c>
    </row>
    <row r="184" spans="4:27" x14ac:dyDescent="0.25">
      <c r="X184" s="79" t="str">
        <f ca="1">INDIRECT("B"&amp;184) &amp; CHAR(10) &amp; "vs" &amp; CHAR(10) &amp; INDIRECT("F"&amp;184)</f>
        <v xml:space="preserve">
vs
</v>
      </c>
      <c r="Y184" s="79" t="b">
        <f t="shared" ca="1" si="15"/>
        <v>0</v>
      </c>
      <c r="Z184" s="79" t="b">
        <f t="shared" ca="1" si="16"/>
        <v>0</v>
      </c>
      <c r="AA184" s="79" t="b">
        <f t="shared" ca="1" si="17"/>
        <v>0</v>
      </c>
    </row>
    <row r="185" spans="4:27" x14ac:dyDescent="0.25">
      <c r="X185" s="79" t="str">
        <f ca="1">INDIRECT("B"&amp;185) &amp; CHAR(10) &amp; "vs" &amp; CHAR(10) &amp; INDIRECT("F"&amp;185)</f>
        <v xml:space="preserve">
vs
</v>
      </c>
      <c r="Y185" s="79" t="b">
        <f t="shared" ca="1" si="15"/>
        <v>0</v>
      </c>
      <c r="Z185" s="79" t="b">
        <f t="shared" ca="1" si="16"/>
        <v>0</v>
      </c>
      <c r="AA185" s="79" t="b">
        <f t="shared" ca="1" si="17"/>
        <v>0</v>
      </c>
    </row>
    <row r="186" spans="4:27" x14ac:dyDescent="0.25">
      <c r="D186" s="79">
        <f>0.620833333333333 + "00:09:00"</f>
        <v>0.62708333333333299</v>
      </c>
      <c r="X186" s="79" t="str">
        <f ca="1">INDIRECT("B"&amp;186) &amp; CHAR(10) &amp; "vs" &amp; CHAR(10) &amp; INDIRECT("F"&amp;186)</f>
        <v xml:space="preserve">
vs
</v>
      </c>
      <c r="Y186" s="79" t="b">
        <f t="shared" ca="1" si="15"/>
        <v>0</v>
      </c>
      <c r="Z186" s="79" t="b">
        <f t="shared" ca="1" si="16"/>
        <v>0</v>
      </c>
      <c r="AA186" s="79" t="b">
        <f t="shared" ca="1" si="17"/>
        <v>0</v>
      </c>
    </row>
    <row r="187" spans="4:27" x14ac:dyDescent="0.25">
      <c r="X187" s="79" t="str">
        <f ca="1">INDIRECT("B"&amp;187) &amp; CHAR(10) &amp; "vs" &amp; CHAR(10) &amp; INDIRECT("F"&amp;187)</f>
        <v xml:space="preserve">
vs
</v>
      </c>
      <c r="Y187" s="79" t="b">
        <f t="shared" ca="1" si="15"/>
        <v>0</v>
      </c>
      <c r="Z187" s="79" t="b">
        <f t="shared" ca="1" si="16"/>
        <v>0</v>
      </c>
      <c r="AA187" s="79" t="b">
        <f t="shared" ca="1" si="17"/>
        <v>0</v>
      </c>
    </row>
    <row r="188" spans="4:27" x14ac:dyDescent="0.25">
      <c r="X188" s="79" t="str">
        <f ca="1">INDIRECT("B"&amp;188) &amp; CHAR(10) &amp; "vs" &amp; CHAR(10) &amp; INDIRECT("F"&amp;188)</f>
        <v xml:space="preserve">
vs
</v>
      </c>
      <c r="Y188" s="79" t="b">
        <f t="shared" ca="1" si="15"/>
        <v>0</v>
      </c>
      <c r="Z188" s="79" t="b">
        <f t="shared" ca="1" si="16"/>
        <v>0</v>
      </c>
      <c r="AA188" s="79" t="b">
        <f t="shared" ca="1" si="17"/>
        <v>0</v>
      </c>
    </row>
    <row r="189" spans="4:27" x14ac:dyDescent="0.25">
      <c r="X189" s="79" t="str">
        <f ca="1">INDIRECT("B"&amp;189) &amp; CHAR(10) &amp; "vs" &amp; CHAR(10) &amp; INDIRECT("F"&amp;189)</f>
        <v xml:space="preserve">
vs
</v>
      </c>
      <c r="Y189" s="79" t="b">
        <f t="shared" ca="1" si="15"/>
        <v>0</v>
      </c>
      <c r="Z189" s="79" t="b">
        <f t="shared" ca="1" si="16"/>
        <v>0</v>
      </c>
      <c r="AA189" s="79" t="b">
        <f t="shared" ca="1" si="17"/>
        <v>0</v>
      </c>
    </row>
    <row r="190" spans="4:27" x14ac:dyDescent="0.25">
      <c r="X190" s="79" t="str">
        <f ca="1">INDIRECT("B"&amp;190) &amp; CHAR(10) &amp; "vs" &amp; CHAR(10) &amp; INDIRECT("F"&amp;190)</f>
        <v xml:space="preserve">
vs
</v>
      </c>
      <c r="Y190" s="79" t="b">
        <f t="shared" ca="1" si="15"/>
        <v>0</v>
      </c>
      <c r="Z190" s="79" t="b">
        <f t="shared" ca="1" si="16"/>
        <v>0</v>
      </c>
      <c r="AA190" s="79" t="b">
        <f t="shared" ca="1" si="17"/>
        <v>0</v>
      </c>
    </row>
    <row r="191" spans="4:27" x14ac:dyDescent="0.25">
      <c r="D191" s="79">
        <f>0.627083333333333 + "00:09:00"</f>
        <v>0.63333333333333297</v>
      </c>
      <c r="X191" s="79" t="str">
        <f ca="1">INDIRECT("B"&amp;191) &amp; CHAR(10) &amp; "vs" &amp; CHAR(10) &amp; INDIRECT("F"&amp;191)</f>
        <v xml:space="preserve">
vs
</v>
      </c>
      <c r="Y191" s="79" t="b">
        <f t="shared" ca="1" si="15"/>
        <v>0</v>
      </c>
      <c r="Z191" s="79" t="b">
        <f t="shared" ca="1" si="16"/>
        <v>0</v>
      </c>
      <c r="AA191" s="79" t="b">
        <f t="shared" ca="1" si="17"/>
        <v>0</v>
      </c>
    </row>
    <row r="192" spans="4:27" x14ac:dyDescent="0.25">
      <c r="X192" s="79" t="str">
        <f ca="1">INDIRECT("B"&amp;192) &amp; CHAR(10) &amp; "vs" &amp; CHAR(10) &amp; INDIRECT("F"&amp;192)</f>
        <v xml:space="preserve">
vs
</v>
      </c>
      <c r="Y192" s="79" t="b">
        <f t="shared" ca="1" si="15"/>
        <v>0</v>
      </c>
      <c r="Z192" s="79" t="b">
        <f t="shared" ca="1" si="16"/>
        <v>0</v>
      </c>
      <c r="AA192" s="79" t="b">
        <f t="shared" ca="1" si="17"/>
        <v>0</v>
      </c>
    </row>
    <row r="193" spans="4:27" x14ac:dyDescent="0.25">
      <c r="X193" s="79" t="str">
        <f ca="1">INDIRECT("B"&amp;193) &amp; CHAR(10) &amp; "vs" &amp; CHAR(10) &amp; INDIRECT("F"&amp;193)</f>
        <v xml:space="preserve">
vs
</v>
      </c>
      <c r="Y193" s="79" t="b">
        <f t="shared" ref="Y193:Y224" ca="1" si="18">$S$10=X193</f>
        <v>0</v>
      </c>
      <c r="Z193" s="79" t="b">
        <f t="shared" ref="Z193:Z200" ca="1" si="19">$S$20=X193</f>
        <v>0</v>
      </c>
      <c r="AA193" s="79" t="b">
        <f t="shared" ref="AA193:AA200" ca="1" si="20">$S$30=X193</f>
        <v>0</v>
      </c>
    </row>
    <row r="194" spans="4:27" x14ac:dyDescent="0.25">
      <c r="X194" s="79" t="str">
        <f ca="1">INDIRECT("B"&amp;194) &amp; CHAR(10) &amp; "vs" &amp; CHAR(10) &amp; INDIRECT("F"&amp;194)</f>
        <v xml:space="preserve">
vs
</v>
      </c>
      <c r="Y194" s="79" t="b">
        <f t="shared" ca="1" si="18"/>
        <v>0</v>
      </c>
      <c r="Z194" s="79" t="b">
        <f t="shared" ca="1" si="19"/>
        <v>0</v>
      </c>
      <c r="AA194" s="79" t="b">
        <f t="shared" ca="1" si="20"/>
        <v>0</v>
      </c>
    </row>
    <row r="195" spans="4:27" x14ac:dyDescent="0.25">
      <c r="X195" s="79" t="str">
        <f ca="1">INDIRECT("B"&amp;195) &amp; CHAR(10) &amp; "vs" &amp; CHAR(10) &amp; INDIRECT("F"&amp;195)</f>
        <v xml:space="preserve">
vs
</v>
      </c>
      <c r="Y195" s="79" t="b">
        <f t="shared" ca="1" si="18"/>
        <v>0</v>
      </c>
      <c r="Z195" s="79" t="b">
        <f t="shared" ca="1" si="19"/>
        <v>0</v>
      </c>
      <c r="AA195" s="79" t="b">
        <f t="shared" ca="1" si="20"/>
        <v>0</v>
      </c>
    </row>
    <row r="196" spans="4:27" x14ac:dyDescent="0.25">
      <c r="D196" s="79">
        <f>0.633333333333333 + "00:09:00"</f>
        <v>0.63958333333333295</v>
      </c>
      <c r="X196" s="79" t="str">
        <f ca="1">INDIRECT("B"&amp;196) &amp; CHAR(10) &amp; "vs" &amp; CHAR(10) &amp; INDIRECT("F"&amp;196)</f>
        <v xml:space="preserve">
vs
</v>
      </c>
      <c r="Y196" s="79" t="b">
        <f t="shared" ca="1" si="18"/>
        <v>0</v>
      </c>
      <c r="Z196" s="79" t="b">
        <f t="shared" ca="1" si="19"/>
        <v>0</v>
      </c>
      <c r="AA196" s="79" t="b">
        <f t="shared" ca="1" si="20"/>
        <v>0</v>
      </c>
    </row>
    <row r="197" spans="4:27" x14ac:dyDescent="0.25">
      <c r="X197" s="79" t="str">
        <f ca="1">INDIRECT("B"&amp;197) &amp; CHAR(10) &amp; "vs" &amp; CHAR(10) &amp; INDIRECT("F"&amp;197)</f>
        <v xml:space="preserve">
vs
</v>
      </c>
      <c r="Y197" s="79" t="b">
        <f t="shared" ca="1" si="18"/>
        <v>0</v>
      </c>
      <c r="Z197" s="79" t="b">
        <f t="shared" ca="1" si="19"/>
        <v>0</v>
      </c>
      <c r="AA197" s="79" t="b">
        <f t="shared" ca="1" si="20"/>
        <v>0</v>
      </c>
    </row>
    <row r="198" spans="4:27" x14ac:dyDescent="0.25">
      <c r="X198" s="79" t="str">
        <f ca="1">INDIRECT("B"&amp;198) &amp; CHAR(10) &amp; "vs" &amp; CHAR(10) &amp; INDIRECT("F"&amp;198)</f>
        <v xml:space="preserve">
vs
</v>
      </c>
      <c r="Y198" s="79" t="b">
        <f t="shared" ca="1" si="18"/>
        <v>0</v>
      </c>
      <c r="Z198" s="79" t="b">
        <f t="shared" ca="1" si="19"/>
        <v>0</v>
      </c>
      <c r="AA198" s="79" t="b">
        <f t="shared" ca="1" si="20"/>
        <v>0</v>
      </c>
    </row>
    <row r="199" spans="4:27" x14ac:dyDescent="0.25">
      <c r="X199" s="79" t="str">
        <f ca="1">INDIRECT("B"&amp;199) &amp; CHAR(10) &amp; "vs" &amp; CHAR(10) &amp; INDIRECT("F"&amp;199)</f>
        <v xml:space="preserve">
vs
</v>
      </c>
      <c r="Y199" s="79" t="b">
        <f t="shared" ca="1" si="18"/>
        <v>0</v>
      </c>
      <c r="Z199" s="79" t="b">
        <f t="shared" ca="1" si="19"/>
        <v>0</v>
      </c>
      <c r="AA199" s="79" t="b">
        <f t="shared" ca="1" si="20"/>
        <v>0</v>
      </c>
    </row>
    <row r="200" spans="4:27" x14ac:dyDescent="0.25">
      <c r="X200" s="79" t="str">
        <f ca="1">INDIRECT("B"&amp;200) &amp; CHAR(10) &amp; "vs" &amp; CHAR(10) &amp; INDIRECT("F"&amp;200)</f>
        <v xml:space="preserve">
vs
</v>
      </c>
      <c r="Y200" s="79" t="b">
        <f t="shared" ca="1" si="18"/>
        <v>0</v>
      </c>
      <c r="Z200" s="79" t="b">
        <f t="shared" ca="1" si="19"/>
        <v>0</v>
      </c>
      <c r="AA200" s="79" t="b">
        <f t="shared" ca="1" si="20"/>
        <v>0</v>
      </c>
    </row>
    <row r="201" spans="4:27" x14ac:dyDescent="0.25">
      <c r="D201" s="79">
        <f>0.639583333333333 + "00:09:00"</f>
        <v>0.64583333333333293</v>
      </c>
    </row>
    <row r="206" spans="4:27" x14ac:dyDescent="0.25">
      <c r="D206" s="79">
        <f>0.645833333333333 + "00:09:00"</f>
        <v>0.65208333333333302</v>
      </c>
    </row>
    <row r="211" spans="4:4" x14ac:dyDescent="0.25">
      <c r="D211" s="79">
        <f>0.652083333333333 + "00:09:00"</f>
        <v>0.65833333333333299</v>
      </c>
    </row>
    <row r="216" spans="4:4" x14ac:dyDescent="0.25">
      <c r="D216" s="79">
        <f>0.658333333333333 + "00:09:00"</f>
        <v>0.66458333333333297</v>
      </c>
    </row>
    <row r="221" spans="4:4" x14ac:dyDescent="0.25">
      <c r="D221" s="79">
        <f>0.664583333333333 + "00:09:00"</f>
        <v>0.67083333333333295</v>
      </c>
    </row>
    <row r="226" spans="4:4" x14ac:dyDescent="0.25">
      <c r="D226" s="79">
        <f>0.670833333333333 + "00:09:00"</f>
        <v>0.67708333333333293</v>
      </c>
    </row>
    <row r="231" spans="4:4" x14ac:dyDescent="0.25">
      <c r="D231" s="79">
        <f>0.677083333333333 + "00:09:00"</f>
        <v>0.68333333333333302</v>
      </c>
    </row>
    <row r="236" spans="4:4" x14ac:dyDescent="0.25">
      <c r="D236" s="79">
        <f>0.683333333333333 + "00:09:00"</f>
        <v>0.68958333333333299</v>
      </c>
    </row>
    <row r="241" spans="4:4" x14ac:dyDescent="0.25">
      <c r="D241" s="79">
        <f>0.689583333333333 + "00:09:00"</f>
        <v>0.69583333333333297</v>
      </c>
    </row>
    <row r="246" spans="4:4" x14ac:dyDescent="0.25">
      <c r="D246" s="79">
        <f>0.695833333333333 + "00:09:00"</f>
        <v>0.70208333333333295</v>
      </c>
    </row>
    <row r="251" spans="4:4" x14ac:dyDescent="0.25">
      <c r="D251" s="79">
        <f>0.702083333333333 + "00:09:00"</f>
        <v>0.70833333333333293</v>
      </c>
    </row>
    <row r="256" spans="4:4" x14ac:dyDescent="0.25">
      <c r="D256" s="79">
        <f>0.708333333333333 + "00:09:00"</f>
        <v>0.71458333333333302</v>
      </c>
    </row>
    <row r="261" spans="4:4" x14ac:dyDescent="0.25">
      <c r="D261" s="79">
        <f>0.714583333333333 + "00:09:00"</f>
        <v>0.72083333333333299</v>
      </c>
    </row>
    <row r="266" spans="4:4" x14ac:dyDescent="0.25">
      <c r="D266" s="79">
        <f>0.720833333333333 + "00:09:00"</f>
        <v>0.72708333333333297</v>
      </c>
    </row>
    <row r="271" spans="4:4" x14ac:dyDescent="0.25">
      <c r="D271" s="79">
        <f>0.727083333333333 + "00:09:00"</f>
        <v>0.73333333333333295</v>
      </c>
    </row>
    <row r="276" spans="4:4" x14ac:dyDescent="0.25">
      <c r="D276" s="79">
        <f>0.733333333333333 + "00:09:00"</f>
        <v>0.73958333333333293</v>
      </c>
    </row>
    <row r="281" spans="4:4" x14ac:dyDescent="0.25">
      <c r="D281" s="79">
        <f>0.739583333333333 + "00:09:00"</f>
        <v>0.74583333333333302</v>
      </c>
    </row>
    <row r="286" spans="4:4" x14ac:dyDescent="0.25">
      <c r="D286" s="79">
        <f>0.745833333333333 + "00:09:00"</f>
        <v>0.75208333333333299</v>
      </c>
    </row>
    <row r="291" spans="4:4" x14ac:dyDescent="0.25">
      <c r="D291" s="79">
        <f>0.752083333333333 + "00:09:00"</f>
        <v>0.75833333333333297</v>
      </c>
    </row>
    <row r="296" spans="4:4" x14ac:dyDescent="0.25">
      <c r="D296" s="79">
        <f>0.758333333333333 + "00:09:00"</f>
        <v>0.76458333333333295</v>
      </c>
    </row>
    <row r="301" spans="4:4" x14ac:dyDescent="0.25">
      <c r="D301" s="79">
        <f>0.764583333333333 + "00:09:00"</f>
        <v>0.77083333333333293</v>
      </c>
    </row>
    <row r="306" spans="4:4" x14ac:dyDescent="0.25">
      <c r="D306" s="79">
        <f>0.770833333333333 + "00:09:00"</f>
        <v>0.77708333333333302</v>
      </c>
    </row>
    <row r="311" spans="4:4" x14ac:dyDescent="0.25">
      <c r="D311" s="79">
        <f>0.777083333333333 + "00:09:00"</f>
        <v>0.78333333333333299</v>
      </c>
    </row>
  </sheetData>
  <mergeCells count="6">
    <mergeCell ref="S30:W35"/>
    <mergeCell ref="S7:W9"/>
    <mergeCell ref="S10:W15"/>
    <mergeCell ref="S17:W19"/>
    <mergeCell ref="S20:W25"/>
    <mergeCell ref="S27:W29"/>
  </mergeCells>
  <conditionalFormatting sqref="C2">
    <cfRule type="expression" dxfId="399" priority="256">
      <formula>$C2&gt;$E2</formula>
    </cfRule>
    <cfRule type="expression" dxfId="398" priority="255">
      <formula>$C2&lt;$E2</formula>
    </cfRule>
  </conditionalFormatting>
  <conditionalFormatting sqref="E2">
    <cfRule type="expression" dxfId="397" priority="254">
      <formula>$C2&lt;$E2</formula>
    </cfRule>
    <cfRule type="expression" dxfId="396" priority="253">
      <formula>$C2&gt;$E2</formula>
    </cfRule>
  </conditionalFormatting>
  <conditionalFormatting sqref="C3">
    <cfRule type="expression" dxfId="395" priority="252">
      <formula>$C3&gt;$E3</formula>
    </cfRule>
    <cfRule type="expression" dxfId="394" priority="251">
      <formula>$C3&lt;$E3</formula>
    </cfRule>
  </conditionalFormatting>
  <conditionalFormatting sqref="E3">
    <cfRule type="expression" dxfId="393" priority="250">
      <formula>$C3&lt;$E3</formula>
    </cfRule>
    <cfRule type="expression" dxfId="392" priority="249">
      <formula>$C3&gt;$E3</formula>
    </cfRule>
  </conditionalFormatting>
  <conditionalFormatting sqref="C4">
    <cfRule type="expression" dxfId="391" priority="248">
      <formula>$C4&gt;$E4</formula>
    </cfRule>
    <cfRule type="expression" dxfId="390" priority="247">
      <formula>$C4&lt;$E4</formula>
    </cfRule>
  </conditionalFormatting>
  <conditionalFormatting sqref="E4">
    <cfRule type="expression" dxfId="389" priority="246">
      <formula>$C4&lt;$E4</formula>
    </cfRule>
    <cfRule type="expression" dxfId="388" priority="245">
      <formula>$C4&gt;$E4</formula>
    </cfRule>
  </conditionalFormatting>
  <conditionalFormatting sqref="C5">
    <cfRule type="expression" dxfId="387" priority="244">
      <formula>$C5&gt;$E5</formula>
    </cfRule>
    <cfRule type="expression" dxfId="386" priority="243">
      <formula>$C5&lt;$E5</formula>
    </cfRule>
  </conditionalFormatting>
  <conditionalFormatting sqref="E5">
    <cfRule type="expression" dxfId="385" priority="242">
      <formula>$C5&lt;$E5</formula>
    </cfRule>
    <cfRule type="expression" dxfId="384" priority="241">
      <formula>$C5&gt;$E5</formula>
    </cfRule>
  </conditionalFormatting>
  <conditionalFormatting sqref="C7">
    <cfRule type="expression" dxfId="383" priority="240">
      <formula>$C7&gt;$E7</formula>
    </cfRule>
    <cfRule type="expression" dxfId="382" priority="239">
      <formula>$C7&lt;$E7</formula>
    </cfRule>
  </conditionalFormatting>
  <conditionalFormatting sqref="E7">
    <cfRule type="expression" dxfId="381" priority="238">
      <formula>$C7&lt;$E7</formula>
    </cfRule>
    <cfRule type="expression" dxfId="380" priority="237">
      <formula>$C7&gt;$E7</formula>
    </cfRule>
  </conditionalFormatting>
  <conditionalFormatting sqref="C8">
    <cfRule type="expression" dxfId="379" priority="236">
      <formula>$C8&gt;$E8</formula>
    </cfRule>
    <cfRule type="expression" dxfId="378" priority="235">
      <formula>$C8&lt;$E8</formula>
    </cfRule>
  </conditionalFormatting>
  <conditionalFormatting sqref="E8">
    <cfRule type="expression" dxfId="377" priority="234">
      <formula>$C8&lt;$E8</formula>
    </cfRule>
    <cfRule type="expression" dxfId="376" priority="233">
      <formula>$C8&gt;$E8</formula>
    </cfRule>
  </conditionalFormatting>
  <conditionalFormatting sqref="C9">
    <cfRule type="expression" dxfId="375" priority="232">
      <formula>$C9&gt;$E9</formula>
    </cfRule>
    <cfRule type="expression" dxfId="374" priority="231">
      <formula>$C9&lt;$E9</formula>
    </cfRule>
  </conditionalFormatting>
  <conditionalFormatting sqref="E9">
    <cfRule type="expression" dxfId="373" priority="230">
      <formula>$C9&lt;$E9</formula>
    </cfRule>
    <cfRule type="expression" dxfId="372" priority="229">
      <formula>$C9&gt;$E9</formula>
    </cfRule>
  </conditionalFormatting>
  <conditionalFormatting sqref="C10">
    <cfRule type="expression" dxfId="371" priority="228">
      <formula>$C10&gt;$E10</formula>
    </cfRule>
    <cfRule type="expression" dxfId="370" priority="227">
      <formula>$C10&lt;$E10</formula>
    </cfRule>
  </conditionalFormatting>
  <conditionalFormatting sqref="E10">
    <cfRule type="expression" dxfId="369" priority="226">
      <formula>$C10&lt;$E10</formula>
    </cfRule>
    <cfRule type="expression" dxfId="368" priority="225">
      <formula>$C10&gt;$E10</formula>
    </cfRule>
  </conditionalFormatting>
  <conditionalFormatting sqref="C12">
    <cfRule type="expression" dxfId="367" priority="224">
      <formula>$C12&gt;$E12</formula>
    </cfRule>
    <cfRule type="expression" dxfId="366" priority="223">
      <formula>$C12&lt;$E12</formula>
    </cfRule>
  </conditionalFormatting>
  <conditionalFormatting sqref="E12">
    <cfRule type="expression" dxfId="365" priority="222">
      <formula>$C12&lt;$E12</formula>
    </cfRule>
    <cfRule type="expression" dxfId="364" priority="221">
      <formula>$C12&gt;$E12</formula>
    </cfRule>
  </conditionalFormatting>
  <conditionalFormatting sqref="C13">
    <cfRule type="expression" dxfId="363" priority="220">
      <formula>$C13&gt;$E13</formula>
    </cfRule>
    <cfRule type="expression" dxfId="362" priority="219">
      <formula>$C13&lt;$E13</formula>
    </cfRule>
  </conditionalFormatting>
  <conditionalFormatting sqref="E13">
    <cfRule type="expression" dxfId="361" priority="218">
      <formula>$C13&lt;$E13</formula>
    </cfRule>
    <cfRule type="expression" dxfId="360" priority="217">
      <formula>$C13&gt;$E13</formula>
    </cfRule>
  </conditionalFormatting>
  <conditionalFormatting sqref="C14">
    <cfRule type="expression" dxfId="359" priority="216">
      <formula>$C14&gt;$E14</formula>
    </cfRule>
  </conditionalFormatting>
  <conditionalFormatting sqref="C14">
    <cfRule type="expression" dxfId="358" priority="215">
      <formula>$C14&lt;$E14</formula>
    </cfRule>
  </conditionalFormatting>
  <conditionalFormatting sqref="E14">
    <cfRule type="expression" dxfId="357" priority="214">
      <formula>$C14&lt;$E14</formula>
    </cfRule>
  </conditionalFormatting>
  <conditionalFormatting sqref="E14">
    <cfRule type="expression" dxfId="356" priority="213">
      <formula>$C14&gt;$E14</formula>
    </cfRule>
  </conditionalFormatting>
  <conditionalFormatting sqref="C15">
    <cfRule type="expression" dxfId="355" priority="212">
      <formula>$C15&gt;$E15</formula>
    </cfRule>
  </conditionalFormatting>
  <conditionalFormatting sqref="C15">
    <cfRule type="expression" dxfId="354" priority="211">
      <formula>$C15&lt;$E15</formula>
    </cfRule>
  </conditionalFormatting>
  <conditionalFormatting sqref="E15">
    <cfRule type="expression" dxfId="353" priority="210">
      <formula>$C15&lt;$E15</formula>
    </cfRule>
  </conditionalFormatting>
  <conditionalFormatting sqref="E15">
    <cfRule type="expression" dxfId="352" priority="209">
      <formula>$C15&gt;$E15</formula>
    </cfRule>
  </conditionalFormatting>
  <conditionalFormatting sqref="C17">
    <cfRule type="expression" dxfId="351" priority="208">
      <formula>$C17&gt;$E17</formula>
    </cfRule>
  </conditionalFormatting>
  <conditionalFormatting sqref="C17">
    <cfRule type="expression" dxfId="350" priority="207">
      <formula>$C17&lt;$E17</formula>
    </cfRule>
  </conditionalFormatting>
  <conditionalFormatting sqref="E17">
    <cfRule type="expression" dxfId="349" priority="206">
      <formula>$C17&lt;$E17</formula>
    </cfRule>
  </conditionalFormatting>
  <conditionalFormatting sqref="E17">
    <cfRule type="expression" dxfId="348" priority="205">
      <formula>$C17&gt;$E17</formula>
    </cfRule>
  </conditionalFormatting>
  <conditionalFormatting sqref="C18">
    <cfRule type="expression" dxfId="347" priority="204">
      <formula>$C18&gt;$E18</formula>
    </cfRule>
  </conditionalFormatting>
  <conditionalFormatting sqref="C18">
    <cfRule type="expression" dxfId="346" priority="203">
      <formula>$C18&lt;$E18</formula>
    </cfRule>
  </conditionalFormatting>
  <conditionalFormatting sqref="E18">
    <cfRule type="expression" dxfId="345" priority="202">
      <formula>$C18&lt;$E18</formula>
    </cfRule>
  </conditionalFormatting>
  <conditionalFormatting sqref="E18">
    <cfRule type="expression" dxfId="344" priority="201">
      <formula>$C18&gt;$E18</formula>
    </cfRule>
  </conditionalFormatting>
  <conditionalFormatting sqref="C19">
    <cfRule type="expression" dxfId="343" priority="200">
      <formula>$C19&gt;$E19</formula>
    </cfRule>
  </conditionalFormatting>
  <conditionalFormatting sqref="C19">
    <cfRule type="expression" dxfId="342" priority="199">
      <formula>$C19&lt;$E19</formula>
    </cfRule>
  </conditionalFormatting>
  <conditionalFormatting sqref="E19">
    <cfRule type="expression" dxfId="341" priority="198">
      <formula>$C19&lt;$E19</formula>
    </cfRule>
  </conditionalFormatting>
  <conditionalFormatting sqref="E19">
    <cfRule type="expression" dxfId="340" priority="197">
      <formula>$C19&gt;$E19</formula>
    </cfRule>
  </conditionalFormatting>
  <conditionalFormatting sqref="C20">
    <cfRule type="expression" dxfId="339" priority="196">
      <formula>$C20&gt;$E20</formula>
    </cfRule>
  </conditionalFormatting>
  <conditionalFormatting sqref="C20">
    <cfRule type="expression" dxfId="338" priority="195">
      <formula>$C20&lt;$E20</formula>
    </cfRule>
  </conditionalFormatting>
  <conditionalFormatting sqref="E20">
    <cfRule type="expression" dxfId="337" priority="194">
      <formula>$C20&lt;$E20</formula>
    </cfRule>
  </conditionalFormatting>
  <conditionalFormatting sqref="E20">
    <cfRule type="expression" dxfId="336" priority="193">
      <formula>$C20&gt;$E20</formula>
    </cfRule>
  </conditionalFormatting>
  <conditionalFormatting sqref="C22">
    <cfRule type="expression" dxfId="335" priority="192">
      <formula>$C22&gt;$E22</formula>
    </cfRule>
  </conditionalFormatting>
  <conditionalFormatting sqref="C22">
    <cfRule type="expression" dxfId="334" priority="191">
      <formula>$C22&lt;$E22</formula>
    </cfRule>
  </conditionalFormatting>
  <conditionalFormatting sqref="E22">
    <cfRule type="expression" dxfId="333" priority="190">
      <formula>$C22&lt;$E22</formula>
    </cfRule>
  </conditionalFormatting>
  <conditionalFormatting sqref="E22">
    <cfRule type="expression" dxfId="332" priority="189">
      <formula>$C22&gt;$E22</formula>
    </cfRule>
  </conditionalFormatting>
  <conditionalFormatting sqref="C23">
    <cfRule type="expression" dxfId="331" priority="188">
      <formula>$C23&gt;$E23</formula>
    </cfRule>
  </conditionalFormatting>
  <conditionalFormatting sqref="C23">
    <cfRule type="expression" dxfId="330" priority="187">
      <formula>$C23&lt;$E23</formula>
    </cfRule>
  </conditionalFormatting>
  <conditionalFormatting sqref="E23">
    <cfRule type="expression" dxfId="329" priority="186">
      <formula>$C23&lt;$E23</formula>
    </cfRule>
  </conditionalFormatting>
  <conditionalFormatting sqref="E23">
    <cfRule type="expression" dxfId="328" priority="185">
      <formula>$C23&gt;$E23</formula>
    </cfRule>
  </conditionalFormatting>
  <conditionalFormatting sqref="C24">
    <cfRule type="expression" dxfId="327" priority="184">
      <formula>$C24&gt;$E24</formula>
    </cfRule>
  </conditionalFormatting>
  <conditionalFormatting sqref="C24">
    <cfRule type="expression" dxfId="326" priority="183">
      <formula>$C24&lt;$E24</formula>
    </cfRule>
  </conditionalFormatting>
  <conditionalFormatting sqref="E24">
    <cfRule type="expression" dxfId="325" priority="182">
      <formula>$C24&lt;$E24</formula>
    </cfRule>
  </conditionalFormatting>
  <conditionalFormatting sqref="E24">
    <cfRule type="expression" dxfId="324" priority="181">
      <formula>$C24&gt;$E24</formula>
    </cfRule>
  </conditionalFormatting>
  <conditionalFormatting sqref="C25">
    <cfRule type="expression" dxfId="323" priority="180">
      <formula>$C25&gt;$E25</formula>
    </cfRule>
  </conditionalFormatting>
  <conditionalFormatting sqref="C25">
    <cfRule type="expression" dxfId="322" priority="179">
      <formula>$C25&lt;$E25</formula>
    </cfRule>
  </conditionalFormatting>
  <conditionalFormatting sqref="E25">
    <cfRule type="expression" dxfId="321" priority="178">
      <formula>$C25&lt;$E25</formula>
    </cfRule>
  </conditionalFormatting>
  <conditionalFormatting sqref="E25">
    <cfRule type="expression" dxfId="320" priority="177">
      <formula>$C25&gt;$E25</formula>
    </cfRule>
  </conditionalFormatting>
  <conditionalFormatting sqref="C27">
    <cfRule type="expression" dxfId="319" priority="176">
      <formula>$C27&gt;$E27</formula>
    </cfRule>
  </conditionalFormatting>
  <conditionalFormatting sqref="C27">
    <cfRule type="expression" dxfId="318" priority="175">
      <formula>$C27&lt;$E27</formula>
    </cfRule>
  </conditionalFormatting>
  <conditionalFormatting sqref="E27">
    <cfRule type="expression" dxfId="317" priority="174">
      <formula>$C27&lt;$E27</formula>
    </cfRule>
  </conditionalFormatting>
  <conditionalFormatting sqref="E27">
    <cfRule type="expression" dxfId="316" priority="173">
      <formula>$C27&gt;$E27</formula>
    </cfRule>
  </conditionalFormatting>
  <conditionalFormatting sqref="C28">
    <cfRule type="expression" dxfId="315" priority="172">
      <formula>$C28&gt;$E28</formula>
    </cfRule>
  </conditionalFormatting>
  <conditionalFormatting sqref="C28">
    <cfRule type="expression" dxfId="314" priority="171">
      <formula>$C28&lt;$E28</formula>
    </cfRule>
  </conditionalFormatting>
  <conditionalFormatting sqref="E28">
    <cfRule type="expression" dxfId="313" priority="170">
      <formula>$C28&lt;$E28</formula>
    </cfRule>
  </conditionalFormatting>
  <conditionalFormatting sqref="E28">
    <cfRule type="expression" dxfId="312" priority="169">
      <formula>$C28&gt;$E28</formula>
    </cfRule>
  </conditionalFormatting>
  <conditionalFormatting sqref="C29">
    <cfRule type="expression" dxfId="311" priority="168">
      <formula>$C29&gt;$E29</formula>
    </cfRule>
  </conditionalFormatting>
  <conditionalFormatting sqref="C29">
    <cfRule type="expression" dxfId="310" priority="167">
      <formula>$C29&lt;$E29</formula>
    </cfRule>
  </conditionalFormatting>
  <conditionalFormatting sqref="E29">
    <cfRule type="expression" dxfId="309" priority="166">
      <formula>$C29&lt;$E29</formula>
    </cfRule>
  </conditionalFormatting>
  <conditionalFormatting sqref="E29">
    <cfRule type="expression" dxfId="308" priority="165">
      <formula>$C29&gt;$E29</formula>
    </cfRule>
  </conditionalFormatting>
  <conditionalFormatting sqref="C30">
    <cfRule type="expression" dxfId="307" priority="164">
      <formula>$C30&gt;$E30</formula>
    </cfRule>
  </conditionalFormatting>
  <conditionalFormatting sqref="C30">
    <cfRule type="expression" dxfId="306" priority="163">
      <formula>$C30&lt;$E30</formula>
    </cfRule>
  </conditionalFormatting>
  <conditionalFormatting sqref="E30">
    <cfRule type="expression" dxfId="305" priority="162">
      <formula>$C30&lt;$E30</formula>
    </cfRule>
  </conditionalFormatting>
  <conditionalFormatting sqref="E30">
    <cfRule type="expression" dxfId="304" priority="161">
      <formula>$C30&gt;$E30</formula>
    </cfRule>
  </conditionalFormatting>
  <conditionalFormatting sqref="C32">
    <cfRule type="expression" dxfId="303" priority="160">
      <formula>$C32&gt;$E32</formula>
    </cfRule>
  </conditionalFormatting>
  <conditionalFormatting sqref="C32">
    <cfRule type="expression" dxfId="302" priority="159">
      <formula>$C32&lt;$E32</formula>
    </cfRule>
  </conditionalFormatting>
  <conditionalFormatting sqref="E32">
    <cfRule type="expression" dxfId="301" priority="158">
      <formula>$C32&lt;$E32</formula>
    </cfRule>
  </conditionalFormatting>
  <conditionalFormatting sqref="E32">
    <cfRule type="expression" dxfId="300" priority="157">
      <formula>$C32&gt;$E32</formula>
    </cfRule>
  </conditionalFormatting>
  <conditionalFormatting sqref="C33">
    <cfRule type="expression" dxfId="299" priority="156">
      <formula>$C33&gt;$E33</formula>
    </cfRule>
  </conditionalFormatting>
  <conditionalFormatting sqref="C33">
    <cfRule type="expression" dxfId="298" priority="155">
      <formula>$C33&lt;$E33</formula>
    </cfRule>
  </conditionalFormatting>
  <conditionalFormatting sqref="E33">
    <cfRule type="expression" dxfId="297" priority="154">
      <formula>$C33&lt;$E33</formula>
    </cfRule>
  </conditionalFormatting>
  <conditionalFormatting sqref="E33">
    <cfRule type="expression" dxfId="296" priority="153">
      <formula>$C33&gt;$E33</formula>
    </cfRule>
  </conditionalFormatting>
  <conditionalFormatting sqref="C34">
    <cfRule type="expression" dxfId="295" priority="152">
      <formula>$C34&gt;$E34</formula>
    </cfRule>
  </conditionalFormatting>
  <conditionalFormatting sqref="C34">
    <cfRule type="expression" dxfId="294" priority="151">
      <formula>$C34&lt;$E34</formula>
    </cfRule>
  </conditionalFormatting>
  <conditionalFormatting sqref="E34">
    <cfRule type="expression" dxfId="293" priority="150">
      <formula>$C34&lt;$E34</formula>
    </cfRule>
  </conditionalFormatting>
  <conditionalFormatting sqref="E34">
    <cfRule type="expression" dxfId="292" priority="149">
      <formula>$C34&gt;$E34</formula>
    </cfRule>
  </conditionalFormatting>
  <conditionalFormatting sqref="C35">
    <cfRule type="expression" dxfId="291" priority="148">
      <formula>$C35&gt;$E35</formula>
    </cfRule>
  </conditionalFormatting>
  <conditionalFormatting sqref="C35">
    <cfRule type="expression" dxfId="290" priority="147">
      <formula>$C35&lt;$E35</formula>
    </cfRule>
  </conditionalFormatting>
  <conditionalFormatting sqref="E35">
    <cfRule type="expression" dxfId="289" priority="146">
      <formula>$C35&lt;$E35</formula>
    </cfRule>
  </conditionalFormatting>
  <conditionalFormatting sqref="E35">
    <cfRule type="expression" dxfId="288" priority="145">
      <formula>$C35&gt;$E35</formula>
    </cfRule>
  </conditionalFormatting>
  <conditionalFormatting sqref="C37">
    <cfRule type="expression" dxfId="287" priority="144">
      <formula>$C37&gt;$E37</formula>
    </cfRule>
  </conditionalFormatting>
  <conditionalFormatting sqref="C37">
    <cfRule type="expression" dxfId="286" priority="143">
      <formula>$C37&lt;$E37</formula>
    </cfRule>
  </conditionalFormatting>
  <conditionalFormatting sqref="E37">
    <cfRule type="expression" dxfId="285" priority="142">
      <formula>$C37&lt;$E37</formula>
    </cfRule>
  </conditionalFormatting>
  <conditionalFormatting sqref="E37">
    <cfRule type="expression" dxfId="284" priority="141">
      <formula>$C37&gt;$E37</formula>
    </cfRule>
  </conditionalFormatting>
  <conditionalFormatting sqref="C38">
    <cfRule type="expression" dxfId="283" priority="140">
      <formula>$C38&gt;$E38</formula>
    </cfRule>
  </conditionalFormatting>
  <conditionalFormatting sqref="C38">
    <cfRule type="expression" dxfId="282" priority="139">
      <formula>$C38&lt;$E38</formula>
    </cfRule>
  </conditionalFormatting>
  <conditionalFormatting sqref="E38">
    <cfRule type="expression" dxfId="281" priority="138">
      <formula>$C38&lt;$E38</formula>
    </cfRule>
  </conditionalFormatting>
  <conditionalFormatting sqref="E38">
    <cfRule type="expression" dxfId="280" priority="137">
      <formula>$C38&gt;$E38</formula>
    </cfRule>
  </conditionalFormatting>
  <conditionalFormatting sqref="C39">
    <cfRule type="expression" dxfId="279" priority="136">
      <formula>$C39&gt;$E39</formula>
    </cfRule>
  </conditionalFormatting>
  <conditionalFormatting sqref="C39">
    <cfRule type="expression" dxfId="278" priority="135">
      <formula>$C39&lt;$E39</formula>
    </cfRule>
  </conditionalFormatting>
  <conditionalFormatting sqref="E39">
    <cfRule type="expression" dxfId="277" priority="134">
      <formula>$C39&lt;$E39</formula>
    </cfRule>
  </conditionalFormatting>
  <conditionalFormatting sqref="E39">
    <cfRule type="expression" dxfId="276" priority="133">
      <formula>$C39&gt;$E39</formula>
    </cfRule>
  </conditionalFormatting>
  <conditionalFormatting sqref="C40">
    <cfRule type="expression" dxfId="275" priority="132">
      <formula>$C40&gt;$E40</formula>
    </cfRule>
  </conditionalFormatting>
  <conditionalFormatting sqref="C40">
    <cfRule type="expression" dxfId="274" priority="131">
      <formula>$C40&lt;$E40</formula>
    </cfRule>
  </conditionalFormatting>
  <conditionalFormatting sqref="E40">
    <cfRule type="expression" dxfId="273" priority="130">
      <formula>$C40&lt;$E40</formula>
    </cfRule>
  </conditionalFormatting>
  <conditionalFormatting sqref="E40">
    <cfRule type="expression" dxfId="272" priority="129">
      <formula>$C40&gt;$E40</formula>
    </cfRule>
  </conditionalFormatting>
  <conditionalFormatting sqref="C42">
    <cfRule type="expression" dxfId="271" priority="128">
      <formula>$C42&gt;$E42</formula>
    </cfRule>
  </conditionalFormatting>
  <conditionalFormatting sqref="C42">
    <cfRule type="expression" dxfId="270" priority="127">
      <formula>$C42&lt;$E42</formula>
    </cfRule>
  </conditionalFormatting>
  <conditionalFormatting sqref="E42">
    <cfRule type="expression" dxfId="269" priority="126">
      <formula>$C42&lt;$E42</formula>
    </cfRule>
  </conditionalFormatting>
  <conditionalFormatting sqref="E42">
    <cfRule type="expression" dxfId="268" priority="125">
      <formula>$C42&gt;$E42</formula>
    </cfRule>
  </conditionalFormatting>
  <conditionalFormatting sqref="C43">
    <cfRule type="expression" dxfId="267" priority="124">
      <formula>$C43&gt;$E43</formula>
    </cfRule>
  </conditionalFormatting>
  <conditionalFormatting sqref="C43">
    <cfRule type="expression" dxfId="266" priority="123">
      <formula>$C43&lt;$E43</formula>
    </cfRule>
  </conditionalFormatting>
  <conditionalFormatting sqref="E43">
    <cfRule type="expression" dxfId="265" priority="122">
      <formula>$C43&lt;$E43</formula>
    </cfRule>
  </conditionalFormatting>
  <conditionalFormatting sqref="E43">
    <cfRule type="expression" dxfId="264" priority="121">
      <formula>$C43&gt;$E43</formula>
    </cfRule>
  </conditionalFormatting>
  <conditionalFormatting sqref="C44">
    <cfRule type="expression" dxfId="263" priority="120">
      <formula>$C44&gt;$E44</formula>
    </cfRule>
  </conditionalFormatting>
  <conditionalFormatting sqref="C44">
    <cfRule type="expression" dxfId="262" priority="119">
      <formula>$C44&lt;$E44</formula>
    </cfRule>
  </conditionalFormatting>
  <conditionalFormatting sqref="E44">
    <cfRule type="expression" dxfId="261" priority="118">
      <formula>$C44&lt;$E44</formula>
    </cfRule>
  </conditionalFormatting>
  <conditionalFormatting sqref="E44">
    <cfRule type="expression" dxfId="260" priority="117">
      <formula>$C44&gt;$E44</formula>
    </cfRule>
  </conditionalFormatting>
  <conditionalFormatting sqref="C45">
    <cfRule type="expression" dxfId="259" priority="116">
      <formula>$C45&gt;$E45</formula>
    </cfRule>
  </conditionalFormatting>
  <conditionalFormatting sqref="C45">
    <cfRule type="expression" dxfId="258" priority="115">
      <formula>$C45&lt;$E45</formula>
    </cfRule>
  </conditionalFormatting>
  <conditionalFormatting sqref="E45">
    <cfRule type="expression" dxfId="257" priority="114">
      <formula>$C45&lt;$E45</formula>
    </cfRule>
  </conditionalFormatting>
  <conditionalFormatting sqref="E45">
    <cfRule type="expression" dxfId="256" priority="113">
      <formula>$C45&gt;$E45</formula>
    </cfRule>
  </conditionalFormatting>
  <conditionalFormatting sqref="C47">
    <cfRule type="expression" dxfId="255" priority="112">
      <formula>$C47&gt;$E47</formula>
    </cfRule>
  </conditionalFormatting>
  <conditionalFormatting sqref="C47">
    <cfRule type="expression" dxfId="254" priority="111">
      <formula>$C47&lt;$E47</formula>
    </cfRule>
  </conditionalFormatting>
  <conditionalFormatting sqref="E47">
    <cfRule type="expression" dxfId="253" priority="110">
      <formula>$C47&lt;$E47</formula>
    </cfRule>
  </conditionalFormatting>
  <conditionalFormatting sqref="E47">
    <cfRule type="expression" dxfId="252" priority="109">
      <formula>$C47&gt;$E47</formula>
    </cfRule>
  </conditionalFormatting>
  <conditionalFormatting sqref="C48">
    <cfRule type="expression" dxfId="251" priority="108">
      <formula>$C48&gt;$E48</formula>
    </cfRule>
  </conditionalFormatting>
  <conditionalFormatting sqref="C48">
    <cfRule type="expression" dxfId="250" priority="107">
      <formula>$C48&lt;$E48</formula>
    </cfRule>
  </conditionalFormatting>
  <conditionalFormatting sqref="E48">
    <cfRule type="expression" dxfId="249" priority="106">
      <formula>$C48&lt;$E48</formula>
    </cfRule>
  </conditionalFormatting>
  <conditionalFormatting sqref="E48">
    <cfRule type="expression" dxfId="248" priority="105">
      <formula>$C48&gt;$E48</formula>
    </cfRule>
  </conditionalFormatting>
  <conditionalFormatting sqref="C49">
    <cfRule type="expression" dxfId="247" priority="104">
      <formula>$C49&gt;$E49</formula>
    </cfRule>
  </conditionalFormatting>
  <conditionalFormatting sqref="C49">
    <cfRule type="expression" dxfId="246" priority="103">
      <formula>$C49&lt;$E49</formula>
    </cfRule>
  </conditionalFormatting>
  <conditionalFormatting sqref="E49">
    <cfRule type="expression" dxfId="245" priority="102">
      <formula>$C49&lt;$E49</formula>
    </cfRule>
  </conditionalFormatting>
  <conditionalFormatting sqref="E49">
    <cfRule type="expression" dxfId="244" priority="101">
      <formula>$C49&gt;$E49</formula>
    </cfRule>
  </conditionalFormatting>
  <conditionalFormatting sqref="C50">
    <cfRule type="expression" dxfId="243" priority="100">
      <formula>$C50&gt;$E50</formula>
    </cfRule>
  </conditionalFormatting>
  <conditionalFormatting sqref="C50">
    <cfRule type="expression" dxfId="242" priority="99">
      <formula>$C50&lt;$E50</formula>
    </cfRule>
  </conditionalFormatting>
  <conditionalFormatting sqref="E50">
    <cfRule type="expression" dxfId="241" priority="98">
      <formula>$C50&lt;$E50</formula>
    </cfRule>
  </conditionalFormatting>
  <conditionalFormatting sqref="E50">
    <cfRule type="expression" dxfId="240" priority="97">
      <formula>$C50&gt;$E50</formula>
    </cfRule>
  </conditionalFormatting>
  <conditionalFormatting sqref="C52">
    <cfRule type="expression" dxfId="239" priority="96">
      <formula>$C52&gt;$E52</formula>
    </cfRule>
  </conditionalFormatting>
  <conditionalFormatting sqref="C52">
    <cfRule type="expression" dxfId="238" priority="95">
      <formula>$C52&lt;$E52</formula>
    </cfRule>
  </conditionalFormatting>
  <conditionalFormatting sqref="E52">
    <cfRule type="expression" dxfId="237" priority="94">
      <formula>$C52&lt;$E52</formula>
    </cfRule>
  </conditionalFormatting>
  <conditionalFormatting sqref="E52">
    <cfRule type="expression" dxfId="236" priority="93">
      <formula>$C52&gt;$E52</formula>
    </cfRule>
  </conditionalFormatting>
  <conditionalFormatting sqref="C53">
    <cfRule type="expression" dxfId="235" priority="92">
      <formula>$C53&gt;$E53</formula>
    </cfRule>
  </conditionalFormatting>
  <conditionalFormatting sqref="C53">
    <cfRule type="expression" dxfId="234" priority="91">
      <formula>$C53&lt;$E53</formula>
    </cfRule>
  </conditionalFormatting>
  <conditionalFormatting sqref="E53">
    <cfRule type="expression" dxfId="233" priority="90">
      <formula>$C53&lt;$E53</formula>
    </cfRule>
  </conditionalFormatting>
  <conditionalFormatting sqref="E53">
    <cfRule type="expression" dxfId="232" priority="89">
      <formula>$C53&gt;$E53</formula>
    </cfRule>
  </conditionalFormatting>
  <conditionalFormatting sqref="C54">
    <cfRule type="expression" dxfId="231" priority="88">
      <formula>$C54&gt;$E54</formula>
    </cfRule>
  </conditionalFormatting>
  <conditionalFormatting sqref="C54">
    <cfRule type="expression" dxfId="230" priority="87">
      <formula>$C54&lt;$E54</formula>
    </cfRule>
  </conditionalFormatting>
  <conditionalFormatting sqref="E54">
    <cfRule type="expression" dxfId="229" priority="86">
      <formula>$C54&lt;$E54</formula>
    </cfRule>
  </conditionalFormatting>
  <conditionalFormatting sqref="E54">
    <cfRule type="expression" dxfId="228" priority="85">
      <formula>$C54&gt;$E54</formula>
    </cfRule>
  </conditionalFormatting>
  <conditionalFormatting sqref="C55">
    <cfRule type="expression" dxfId="227" priority="84">
      <formula>$C55&gt;$E55</formula>
    </cfRule>
  </conditionalFormatting>
  <conditionalFormatting sqref="C55">
    <cfRule type="expression" dxfId="226" priority="83">
      <formula>$C55&lt;$E55</formula>
    </cfRule>
  </conditionalFormatting>
  <conditionalFormatting sqref="E55">
    <cfRule type="expression" dxfId="225" priority="82">
      <formula>$C55&lt;$E55</formula>
    </cfRule>
  </conditionalFormatting>
  <conditionalFormatting sqref="E55">
    <cfRule type="expression" dxfId="224" priority="81">
      <formula>$C55&gt;$E55</formula>
    </cfRule>
  </conditionalFormatting>
  <conditionalFormatting sqref="C57">
    <cfRule type="expression" dxfId="223" priority="80">
      <formula>$C57&gt;$E57</formula>
    </cfRule>
  </conditionalFormatting>
  <conditionalFormatting sqref="C57">
    <cfRule type="expression" dxfId="222" priority="79">
      <formula>$C57&lt;$E57</formula>
    </cfRule>
  </conditionalFormatting>
  <conditionalFormatting sqref="E57">
    <cfRule type="expression" dxfId="221" priority="78">
      <formula>$C57&lt;$E57</formula>
    </cfRule>
  </conditionalFormatting>
  <conditionalFormatting sqref="E57">
    <cfRule type="expression" dxfId="220" priority="77">
      <formula>$C57&gt;$E57</formula>
    </cfRule>
  </conditionalFormatting>
  <conditionalFormatting sqref="C58">
    <cfRule type="expression" dxfId="219" priority="76">
      <formula>$C58&gt;$E58</formula>
    </cfRule>
  </conditionalFormatting>
  <conditionalFormatting sqref="C58">
    <cfRule type="expression" dxfId="218" priority="75">
      <formula>$C58&lt;$E58</formula>
    </cfRule>
  </conditionalFormatting>
  <conditionalFormatting sqref="E58">
    <cfRule type="expression" dxfId="217" priority="74">
      <formula>$C58&lt;$E58</formula>
    </cfRule>
  </conditionalFormatting>
  <conditionalFormatting sqref="E58">
    <cfRule type="expression" dxfId="216" priority="73">
      <formula>$C58&gt;$E58</formula>
    </cfRule>
  </conditionalFormatting>
  <conditionalFormatting sqref="C59">
    <cfRule type="expression" dxfId="215" priority="72">
      <formula>$C59&gt;$E59</formula>
    </cfRule>
  </conditionalFormatting>
  <conditionalFormatting sqref="C59">
    <cfRule type="expression" dxfId="214" priority="71">
      <formula>$C59&lt;$E59</formula>
    </cfRule>
  </conditionalFormatting>
  <conditionalFormatting sqref="E59">
    <cfRule type="expression" dxfId="213" priority="70">
      <formula>$C59&lt;$E59</formula>
    </cfRule>
  </conditionalFormatting>
  <conditionalFormatting sqref="E59">
    <cfRule type="expression" dxfId="212" priority="69">
      <formula>$C59&gt;$E59</formula>
    </cfRule>
  </conditionalFormatting>
  <conditionalFormatting sqref="C60">
    <cfRule type="expression" dxfId="211" priority="68">
      <formula>$C60&gt;$E60</formula>
    </cfRule>
  </conditionalFormatting>
  <conditionalFormatting sqref="C60">
    <cfRule type="expression" dxfId="210" priority="67">
      <formula>$C60&lt;$E60</formula>
    </cfRule>
  </conditionalFormatting>
  <conditionalFormatting sqref="E60">
    <cfRule type="expression" dxfId="209" priority="66">
      <formula>$C60&lt;$E60</formula>
    </cfRule>
  </conditionalFormatting>
  <conditionalFormatting sqref="E60">
    <cfRule type="expression" dxfId="208" priority="65">
      <formula>$C60&gt;$E60</formula>
    </cfRule>
  </conditionalFormatting>
  <conditionalFormatting sqref="C62">
    <cfRule type="expression" dxfId="207" priority="64">
      <formula>$C62&gt;$E62</formula>
    </cfRule>
  </conditionalFormatting>
  <conditionalFormatting sqref="C62">
    <cfRule type="expression" dxfId="206" priority="63">
      <formula>$C62&lt;$E62</formula>
    </cfRule>
  </conditionalFormatting>
  <conditionalFormatting sqref="E62">
    <cfRule type="expression" dxfId="205" priority="62">
      <formula>$C62&lt;$E62</formula>
    </cfRule>
  </conditionalFormatting>
  <conditionalFormatting sqref="E62">
    <cfRule type="expression" dxfId="204" priority="61">
      <formula>$C62&gt;$E62</formula>
    </cfRule>
  </conditionalFormatting>
  <conditionalFormatting sqref="C63">
    <cfRule type="expression" dxfId="203" priority="60">
      <formula>$C63&gt;$E63</formula>
    </cfRule>
  </conditionalFormatting>
  <conditionalFormatting sqref="C63">
    <cfRule type="expression" dxfId="202" priority="59">
      <formula>$C63&lt;$E63</formula>
    </cfRule>
  </conditionalFormatting>
  <conditionalFormatting sqref="E63">
    <cfRule type="expression" dxfId="201" priority="58">
      <formula>$C63&lt;$E63</formula>
    </cfRule>
  </conditionalFormatting>
  <conditionalFormatting sqref="E63">
    <cfRule type="expression" dxfId="200" priority="57">
      <formula>$C63&gt;$E63</formula>
    </cfRule>
  </conditionalFormatting>
  <conditionalFormatting sqref="C64">
    <cfRule type="expression" dxfId="199" priority="56">
      <formula>$C64&gt;$E64</formula>
    </cfRule>
  </conditionalFormatting>
  <conditionalFormatting sqref="C64">
    <cfRule type="expression" dxfId="198" priority="55">
      <formula>$C64&lt;$E64</formula>
    </cfRule>
  </conditionalFormatting>
  <conditionalFormatting sqref="E64">
    <cfRule type="expression" dxfId="197" priority="54">
      <formula>$C64&lt;$E64</formula>
    </cfRule>
  </conditionalFormatting>
  <conditionalFormatting sqref="E64">
    <cfRule type="expression" dxfId="196" priority="53">
      <formula>$C64&gt;$E64</formula>
    </cfRule>
  </conditionalFormatting>
  <conditionalFormatting sqref="C65">
    <cfRule type="expression" dxfId="195" priority="52">
      <formula>$C65&gt;$E65</formula>
    </cfRule>
  </conditionalFormatting>
  <conditionalFormatting sqref="C65">
    <cfRule type="expression" dxfId="194" priority="51">
      <formula>$C65&lt;$E65</formula>
    </cfRule>
  </conditionalFormatting>
  <conditionalFormatting sqref="E65">
    <cfRule type="expression" dxfId="193" priority="50">
      <formula>$C65&lt;$E65</formula>
    </cfRule>
  </conditionalFormatting>
  <conditionalFormatting sqref="E65">
    <cfRule type="expression" dxfId="192" priority="49">
      <formula>$C65&gt;$E65</formula>
    </cfRule>
  </conditionalFormatting>
  <conditionalFormatting sqref="C67">
    <cfRule type="expression" dxfId="191" priority="48">
      <formula>$C67&gt;$E67</formula>
    </cfRule>
  </conditionalFormatting>
  <conditionalFormatting sqref="C67">
    <cfRule type="expression" dxfId="190" priority="47">
      <formula>$C67&lt;$E67</formula>
    </cfRule>
  </conditionalFormatting>
  <conditionalFormatting sqref="E67">
    <cfRule type="expression" dxfId="189" priority="46">
      <formula>$C67&lt;$E67</formula>
    </cfRule>
  </conditionalFormatting>
  <conditionalFormatting sqref="E67">
    <cfRule type="expression" dxfId="188" priority="45">
      <formula>$C67&gt;$E67</formula>
    </cfRule>
  </conditionalFormatting>
  <conditionalFormatting sqref="C68">
    <cfRule type="expression" dxfId="187" priority="44">
      <formula>$C68&gt;$E68</formula>
    </cfRule>
  </conditionalFormatting>
  <conditionalFormatting sqref="C68">
    <cfRule type="expression" dxfId="186" priority="43">
      <formula>$C68&lt;$E68</formula>
    </cfRule>
  </conditionalFormatting>
  <conditionalFormatting sqref="E68">
    <cfRule type="expression" dxfId="185" priority="42">
      <formula>$C68&lt;$E68</formula>
    </cfRule>
  </conditionalFormatting>
  <conditionalFormatting sqref="E68">
    <cfRule type="expression" dxfId="184" priority="41">
      <formula>$C68&gt;$E68</formula>
    </cfRule>
  </conditionalFormatting>
  <conditionalFormatting sqref="C69">
    <cfRule type="expression" dxfId="183" priority="40">
      <formula>$C69&gt;$E69</formula>
    </cfRule>
  </conditionalFormatting>
  <conditionalFormatting sqref="C69">
    <cfRule type="expression" dxfId="182" priority="39">
      <formula>$C69&lt;$E69</formula>
    </cfRule>
  </conditionalFormatting>
  <conditionalFormatting sqref="E69">
    <cfRule type="expression" dxfId="181" priority="38">
      <formula>$C69&lt;$E69</formula>
    </cfRule>
  </conditionalFormatting>
  <conditionalFormatting sqref="E69">
    <cfRule type="expression" dxfId="180" priority="37">
      <formula>$C69&gt;$E69</formula>
    </cfRule>
  </conditionalFormatting>
  <conditionalFormatting sqref="C70">
    <cfRule type="expression" dxfId="179" priority="36">
      <formula>$C70&gt;$E70</formula>
    </cfRule>
  </conditionalFormatting>
  <conditionalFormatting sqref="C70">
    <cfRule type="expression" dxfId="178" priority="35">
      <formula>$C70&lt;$E70</formula>
    </cfRule>
  </conditionalFormatting>
  <conditionalFormatting sqref="E70">
    <cfRule type="expression" dxfId="177" priority="34">
      <formula>$C70&lt;$E70</formula>
    </cfRule>
  </conditionalFormatting>
  <conditionalFormatting sqref="E70">
    <cfRule type="expression" dxfId="176" priority="33">
      <formula>$C70&gt;$E70</formula>
    </cfRule>
  </conditionalFormatting>
  <conditionalFormatting sqref="C72">
    <cfRule type="expression" dxfId="175" priority="32">
      <formula>$C72&gt;$E72</formula>
    </cfRule>
  </conditionalFormatting>
  <conditionalFormatting sqref="C72">
    <cfRule type="expression" dxfId="174" priority="31">
      <formula>$C72&lt;$E72</formula>
    </cfRule>
  </conditionalFormatting>
  <conditionalFormatting sqref="E72">
    <cfRule type="expression" dxfId="173" priority="30">
      <formula>$C72&lt;$E72</formula>
    </cfRule>
  </conditionalFormatting>
  <conditionalFormatting sqref="E72">
    <cfRule type="expression" dxfId="172" priority="29">
      <formula>$C72&gt;$E72</formula>
    </cfRule>
  </conditionalFormatting>
  <conditionalFormatting sqref="C73">
    <cfRule type="expression" dxfId="171" priority="28">
      <formula>$C73&gt;$E73</formula>
    </cfRule>
  </conditionalFormatting>
  <conditionalFormatting sqref="C73">
    <cfRule type="expression" dxfId="170" priority="27">
      <formula>$C73&lt;$E73</formula>
    </cfRule>
  </conditionalFormatting>
  <conditionalFormatting sqref="E73">
    <cfRule type="expression" dxfId="169" priority="26">
      <formula>$C73&lt;$E73</formula>
    </cfRule>
  </conditionalFormatting>
  <conditionalFormatting sqref="E73">
    <cfRule type="expression" dxfId="168" priority="25">
      <formula>$C73&gt;$E73</formula>
    </cfRule>
  </conditionalFormatting>
  <conditionalFormatting sqref="C74">
    <cfRule type="expression" dxfId="167" priority="24">
      <formula>$C74&gt;$E74</formula>
    </cfRule>
  </conditionalFormatting>
  <conditionalFormatting sqref="C74">
    <cfRule type="expression" dxfId="166" priority="23">
      <formula>$C74&lt;$E74</formula>
    </cfRule>
  </conditionalFormatting>
  <conditionalFormatting sqref="E74">
    <cfRule type="expression" dxfId="165" priority="22">
      <formula>$C74&lt;$E74</formula>
    </cfRule>
  </conditionalFormatting>
  <conditionalFormatting sqref="E74">
    <cfRule type="expression" dxfId="164" priority="21">
      <formula>$C74&gt;$E74</formula>
    </cfRule>
  </conditionalFormatting>
  <conditionalFormatting sqref="C75">
    <cfRule type="expression" dxfId="163" priority="20">
      <formula>$C75&gt;$E75</formula>
    </cfRule>
  </conditionalFormatting>
  <conditionalFormatting sqref="C75">
    <cfRule type="expression" dxfId="162" priority="19">
      <formula>$C75&lt;$E75</formula>
    </cfRule>
  </conditionalFormatting>
  <conditionalFormatting sqref="E75">
    <cfRule type="expression" dxfId="161" priority="18">
      <formula>$C75&lt;$E75</formula>
    </cfRule>
  </conditionalFormatting>
  <conditionalFormatting sqref="E75">
    <cfRule type="expression" dxfId="160" priority="17">
      <formula>$C75&gt;$E75</formula>
    </cfRule>
  </conditionalFormatting>
  <conditionalFormatting sqref="C77">
    <cfRule type="expression" dxfId="159" priority="16">
      <formula>$C77&gt;$E77</formula>
    </cfRule>
  </conditionalFormatting>
  <conditionalFormatting sqref="C77">
    <cfRule type="expression" dxfId="158" priority="15">
      <formula>$C77&lt;$E77</formula>
    </cfRule>
  </conditionalFormatting>
  <conditionalFormatting sqref="E77">
    <cfRule type="expression" dxfId="157" priority="14">
      <formula>$C77&lt;$E77</formula>
    </cfRule>
  </conditionalFormatting>
  <conditionalFormatting sqref="E77">
    <cfRule type="expression" dxfId="156" priority="13">
      <formula>$C77&gt;$E77</formula>
    </cfRule>
  </conditionalFormatting>
  <conditionalFormatting sqref="C78">
    <cfRule type="expression" dxfId="155" priority="12">
      <formula>$C78&gt;$E78</formula>
    </cfRule>
  </conditionalFormatting>
  <conditionalFormatting sqref="C78">
    <cfRule type="expression" dxfId="154" priority="11">
      <formula>$C78&lt;$E78</formula>
    </cfRule>
  </conditionalFormatting>
  <conditionalFormatting sqref="E78">
    <cfRule type="expression" dxfId="153" priority="10">
      <formula>$C78&lt;$E78</formula>
    </cfRule>
  </conditionalFormatting>
  <conditionalFormatting sqref="E78">
    <cfRule type="expression" dxfId="152" priority="9">
      <formula>$C78&gt;$E78</formula>
    </cfRule>
  </conditionalFormatting>
  <conditionalFormatting sqref="C79">
    <cfRule type="expression" dxfId="151" priority="8">
      <formula>$C79&gt;$E79</formula>
    </cfRule>
  </conditionalFormatting>
  <conditionalFormatting sqref="C79">
    <cfRule type="expression" dxfId="150" priority="7">
      <formula>$C79&lt;$E79</formula>
    </cfRule>
  </conditionalFormatting>
  <conditionalFormatting sqref="E79">
    <cfRule type="expression" dxfId="149" priority="6">
      <formula>$C79&lt;$E79</formula>
    </cfRule>
  </conditionalFormatting>
  <conditionalFormatting sqref="E79">
    <cfRule type="expression" dxfId="148" priority="5">
      <formula>$C79&gt;$E79</formula>
    </cfRule>
  </conditionalFormatting>
  <conditionalFormatting sqref="C80">
    <cfRule type="expression" dxfId="147" priority="4">
      <formula>$C80&gt;$E80</formula>
    </cfRule>
  </conditionalFormatting>
  <conditionalFormatting sqref="C80">
    <cfRule type="expression" dxfId="146" priority="3">
      <formula>$C80&lt;$E80</formula>
    </cfRule>
  </conditionalFormatting>
  <conditionalFormatting sqref="E80">
    <cfRule type="expression" dxfId="145" priority="2">
      <formula>$C80&lt;$E80</formula>
    </cfRule>
  </conditionalFormatting>
  <conditionalFormatting sqref="E80">
    <cfRule type="expression" dxfId="144" priority="1">
      <formula>$C80&gt;$E80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80E485A5-B4B5-4315-B236-CDC134C2E161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C4PPMatch">
              <controlPr defaultSize="0" print="0" autoFill="0" autoPict="0" macro="[0]!'copyimage &quot;B1:F8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4IMPMatch">
              <controlPr defaultSize="0" print="0" autoFill="0" autoPict="0" macro="[0]!'copyimprimer &quot;MATCHS&quot;,&quot;B1:F80&quot;'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39EFC-750D-4ACE-808B-BE89EFB1C8E0}">
  <sheetPr codeName="Feuil15"/>
  <dimension ref="A1:N30"/>
  <sheetViews>
    <sheetView workbookViewId="0"/>
  </sheetViews>
  <sheetFormatPr baseColWidth="10" defaultRowHeight="15" x14ac:dyDescent="0.25"/>
  <cols>
    <col min="1" max="2" width="11.42578125" style="79"/>
    <col min="3" max="3" width="0" style="79" hidden="1" customWidth="1"/>
    <col min="4" max="4" width="43.5703125" style="79" customWidth="1"/>
    <col min="5" max="5" width="11.42578125" style="103"/>
    <col min="6" max="6" width="11.42578125" style="79"/>
    <col min="7" max="7" width="0" style="79" hidden="1" customWidth="1"/>
    <col min="8" max="11" width="11.42578125" style="79"/>
    <col min="12" max="12" width="0" style="79" hidden="1" customWidth="1"/>
    <col min="13" max="13" width="6" style="79" customWidth="1"/>
    <col min="14" max="16384" width="11.42578125" style="79"/>
  </cols>
  <sheetData>
    <row r="1" spans="1:14" ht="15.75" thickBot="1" x14ac:dyDescent="0.3"/>
    <row r="2" spans="1:14" ht="30.95" customHeight="1" thickBot="1" x14ac:dyDescent="0.3">
      <c r="C2" s="98" t="s">
        <v>191</v>
      </c>
      <c r="D2" s="98" t="s">
        <v>192</v>
      </c>
      <c r="E2" s="104" t="s">
        <v>193</v>
      </c>
      <c r="F2" s="98" t="s">
        <v>194</v>
      </c>
      <c r="G2" s="98" t="s">
        <v>195</v>
      </c>
      <c r="H2" s="98" t="s">
        <v>196</v>
      </c>
      <c r="I2" s="98" t="s">
        <v>197</v>
      </c>
      <c r="J2" s="98" t="s">
        <v>198</v>
      </c>
      <c r="K2" s="99" t="s">
        <v>199</v>
      </c>
      <c r="L2" s="98" t="s">
        <v>200</v>
      </c>
      <c r="M2" s="99" t="s">
        <v>201</v>
      </c>
    </row>
    <row r="4" spans="1:14" ht="15.75" x14ac:dyDescent="0.25">
      <c r="A4" s="232" t="s">
        <v>185</v>
      </c>
      <c r="B4" s="100">
        <v>1</v>
      </c>
      <c r="C4" s="100" t="s">
        <v>119</v>
      </c>
      <c r="D4" s="100" t="str">
        <f>INSCRITS!C2</f>
        <v>1A</v>
      </c>
      <c r="E4" s="105">
        <f ca="1">SUM(IF(INDIRECT(ADDRESS(2,3,,,"MATCHS"))&gt;INDIRECT(ADDRESS(2,5,,,"MATCHS")),1,0),,IF(INDIRECT(ADDRESS(13,3,,,"MATCHS"))&gt;INDIRECT(ADDRESS(13,5,,,"MATCHS")),1,0),,IF(INDIRECT(ADDRESS(24,3,,,"MATCHS"))&gt;INDIRECT(ADDRESS(24,5,,,"MATCHS")),1,0),,IF(INDIRECT(ADDRESS(35,3,,,"MATCHS"))&gt;INDIRECT(ADDRESS(35,5,,,"MATCHS")),1,0),,,,,IF(INDIRECT(ADDRESS(58,3,,,"MATCHS"))&gt;INDIRECT(ADDRESS(58,5,,,"MATCHS")),1,0),,IF(INDIRECT(ADDRESS(69,3,,,"MATCHS"))&gt;INDIRECT(ADDRESS(69,5,,,"MATCHS")),1,0),,) + 0.01 * K4</f>
        <v>0</v>
      </c>
      <c r="F4" s="100">
        <f ca="1">SUM(IF(INDIRECT(ADDRESS(2,3,,,"MATCHS"))&lt;INDIRECT(ADDRESS(2,5,,,"MATCHS")),1,0),,IF(INDIRECT(ADDRESS(13,3,,,"MATCHS"))&lt;INDIRECT(ADDRESS(13,5,,,"MATCHS")),1,0),,IF(INDIRECT(ADDRESS(24,3,,,"MATCHS"))&lt;INDIRECT(ADDRESS(24,5,,,"MATCHS")),1,0),,IF(INDIRECT(ADDRESS(35,3,,,"MATCHS"))&lt;INDIRECT(ADDRESS(35,5,,,"MATCHS")),1,0),,,,,IF(INDIRECT(ADDRESS(58,3,,,"MATCHS"))&lt;INDIRECT(ADDRESS(58,5,,,"MATCHS")),1,0),,IF(INDIRECT(ADDRESS(69,3,,,"MATCHS"))&lt;INDIRECT(ADDRESS(69,5,,,"MATCHS")),1,0),,)</f>
        <v>0</v>
      </c>
      <c r="G4" s="100"/>
      <c r="H4" s="100">
        <f ca="1">SUM(IF(IFERROR(FIND("--",INDIRECT(ADDRESS(2,3,,,"MATCHS"))),FALSE),RIGHT(INDIRECT(ADDRESS(2,3,,,"MATCHS")), FIND("--",INDIRECT(ADDRESS(2,3,,,"MATCHS")),1)),INDIRECT(ADDRESS(2,3,,,"MATCHS"))),,IF(IFERROR(FIND("--",INDIRECT(ADDRESS(13,3,,,"MATCHS"))),FALSE),RIGHT(INDIRECT(ADDRESS(13,3,,,"MATCHS")), FIND("--",INDIRECT(ADDRESS(13,3,,,"MATCHS")),1)),INDIRECT(ADDRESS(13,3,,,"MATCHS"))),,IF(IFERROR(FIND("--",INDIRECT(ADDRESS(24,3,,,"MATCHS"))),FALSE),RIGHT(INDIRECT(ADDRESS(24,3,,,"MATCHS")), FIND("--",INDIRECT(ADDRESS(24,3,,,"MATCHS")),1)),INDIRECT(ADDRESS(24,3,,,"MATCHS"))),,IF(IFERROR(FIND("--",INDIRECT(ADDRESS(35,3,,,"MATCHS"))),FALSE),RIGHT(INDIRECT(ADDRESS(35,3,,,"MATCHS")), FIND("--",INDIRECT(ADDRESS(35,3,,,"MATCHS")),1)),INDIRECT(ADDRESS(35,3,,,"MATCHS"))),,,,,IF(IFERROR(FIND("--",INDIRECT(ADDRESS(58,3,,,"MATCHS"))),FALSE),RIGHT(INDIRECT(ADDRESS(58,3,,,"MATCHS")), FIND("--",INDIRECT(ADDRESS(58,3,,,"MATCHS")),1)),INDIRECT(ADDRESS(58,3,,,"MATCHS"))),,IF(IFERROR(FIND("--",INDIRECT(ADDRESS(69,3,,,"MATCHS"))),FALSE),RIGHT(INDIRECT(ADDRESS(69,3,,,"MATCHS")), FIND("--",INDIRECT(ADDRESS(69,3,,,"MATCHS")),1)),INDIRECT(ADDRESS(69,3,,,"MATCHS"))),,)</f>
        <v>0</v>
      </c>
      <c r="I4" s="100">
        <f ca="1">SUM(IF(IFERROR(FIND("--",INDIRECT(ADDRESS(2,5,,,"MATCHS"))),FALSE),RIGHT(INDIRECT(ADDRESS(2,5,,,"MATCHS")), FIND("--",INDIRECT(ADDRESS(2,5,,,"MATCHS")),1)),INDIRECT(ADDRESS(2,5,,,"MATCHS"))),,IF(IFERROR(FIND("--",INDIRECT(ADDRESS(13,5,,,"MATCHS"))),FALSE),RIGHT(INDIRECT(ADDRESS(13,5,,,"MATCHS")), FIND("--",INDIRECT(ADDRESS(13,5,,,"MATCHS")),1)),INDIRECT(ADDRESS(13,5,,,"MATCHS"))),,IF(IFERROR(FIND("--",INDIRECT(ADDRESS(24,5,,,"MATCHS"))),FALSE),RIGHT(INDIRECT(ADDRESS(24,5,,,"MATCHS")), FIND("--",INDIRECT(ADDRESS(24,5,,,"MATCHS")),1)),INDIRECT(ADDRESS(24,5,,,"MATCHS"))),,IF(IFERROR(FIND("--",INDIRECT(ADDRESS(35,5,,,"MATCHS"))),FALSE),RIGHT(INDIRECT(ADDRESS(35,5,,,"MATCHS")), FIND("--",INDIRECT(ADDRESS(35,5,,,"MATCHS")),1)),INDIRECT(ADDRESS(35,5,,,"MATCHS"))),,,,,IF(IFERROR(FIND("--",INDIRECT(ADDRESS(58,5,,,"MATCHS"))),FALSE),RIGHT(INDIRECT(ADDRESS(58,5,,,"MATCHS")), FIND("--",INDIRECT(ADDRESS(58,5,,,"MATCHS")),1)),INDIRECT(ADDRESS(58,5,,,"MATCHS"))),,IF(IFERROR(FIND("--",INDIRECT(ADDRESS(69,5,,,"MATCHS"))),FALSE),RIGHT(INDIRECT(ADDRESS(69,5,,,"MATCHS")), FIND("--",INDIRECT(ADDRESS(69,5,,,"MATCHS")),1)),INDIRECT(ADDRESS(69,5,,,"MATCHS"))),,)</f>
        <v>0</v>
      </c>
      <c r="J4" s="100">
        <f t="shared" ref="J4:J10" ca="1" si="0">H4 - I4</f>
        <v>0</v>
      </c>
      <c r="K4" s="100">
        <v>0</v>
      </c>
      <c r="L4" s="100">
        <v>1</v>
      </c>
      <c r="M4" s="100"/>
      <c r="N4" s="97"/>
    </row>
    <row r="5" spans="1:14" ht="15.75" x14ac:dyDescent="0.25">
      <c r="A5" s="232"/>
      <c r="B5" s="100">
        <v>2</v>
      </c>
      <c r="C5" s="100" t="s">
        <v>120</v>
      </c>
      <c r="D5" s="100" t="str">
        <f>INSCRITS!C3</f>
        <v>2A</v>
      </c>
      <c r="E5" s="105">
        <f ca="1">SUM(IF(INDIRECT(ADDRESS(2,5,,,"MATCHS"))&gt;INDIRECT(ADDRESS(2,3,,,"MATCHS")),1,0),,,,IF(INDIRECT(ADDRESS(25,3,,,"MATCHS"))&gt;INDIRECT(ADDRESS(25,5,,,"MATCHS")),1,0),,,IF(INDIRECT(ADDRESS(38,3,,,"MATCHS"))&gt;INDIRECT(ADDRESS(38,5,,,"MATCHS")),1,0),,IF(INDIRECT(ADDRESS(48,3,,,"MATCHS"))&gt;INDIRECT(ADDRESS(48,5,,,"MATCHS")),1,0),,IF(INDIRECT(ADDRESS(59,3,,,"MATCHS"))&gt;INDIRECT(ADDRESS(59,5,,,"MATCHS")),1,0),,IF(INDIRECT(ADDRESS(70,3,,,"MATCHS"))&gt;INDIRECT(ADDRESS(70,5,,,"MATCHS")),1,0),,) + 0.01 * K5</f>
        <v>0</v>
      </c>
      <c r="F5" s="100">
        <f ca="1">SUM(IF(INDIRECT(ADDRESS(2,5,,,"MATCHS"))&lt;INDIRECT(ADDRESS(2,3,,,"MATCHS")),1,0),,,,IF(INDIRECT(ADDRESS(25,3,,,"MATCHS"))&lt;INDIRECT(ADDRESS(25,5,,,"MATCHS")),1,0),,,IF(INDIRECT(ADDRESS(38,3,,,"MATCHS"))&lt;INDIRECT(ADDRESS(38,5,,,"MATCHS")),1,0),,IF(INDIRECT(ADDRESS(48,3,,,"MATCHS"))&lt;INDIRECT(ADDRESS(48,5,,,"MATCHS")),1,0),,IF(INDIRECT(ADDRESS(59,3,,,"MATCHS"))&lt;INDIRECT(ADDRESS(59,5,,,"MATCHS")),1,0),,IF(INDIRECT(ADDRESS(70,3,,,"MATCHS"))&lt;INDIRECT(ADDRESS(70,5,,,"MATCHS")),1,0),,)</f>
        <v>0</v>
      </c>
      <c r="G5" s="100"/>
      <c r="H5" s="100">
        <f ca="1">SUM(IF(IFERROR(FIND("--",INDIRECT(ADDRESS(2,5,,,"MATCHS"))),FALSE),RIGHT(INDIRECT(ADDRESS(2,5,,,"MATCHS")), FIND("--",INDIRECT(ADDRESS(2,5,,,"MATCHS")),1)),INDIRECT(ADDRESS(2,5,,,"MATCHS"))),,,,IF(IFERROR(FIND("--",INDIRECT(ADDRESS(25,3,,,"MATCHS"))),FALSE),RIGHT(INDIRECT(ADDRESS(25,3,,,"MATCHS")), FIND("--",INDIRECT(ADDRESS(25,3,,,"MATCHS")),1)),INDIRECT(ADDRESS(25,3,,,"MATCHS"))),,,IF(IFERROR(FIND("--",INDIRECT(ADDRESS(38,3,,,"MATCHS"))),FALSE),RIGHT(INDIRECT(ADDRESS(38,3,,,"MATCHS")), FIND("--",INDIRECT(ADDRESS(38,3,,,"MATCHS")),1)),INDIRECT(ADDRESS(38,3,,,"MATCHS"))),,IF(IFERROR(FIND("--",INDIRECT(ADDRESS(48,3,,,"MATCHS"))),FALSE),RIGHT(INDIRECT(ADDRESS(48,3,,,"MATCHS")), FIND("--",INDIRECT(ADDRESS(48,3,,,"MATCHS")),1)),INDIRECT(ADDRESS(48,3,,,"MATCHS"))),,IF(IFERROR(FIND("--",INDIRECT(ADDRESS(59,3,,,"MATCHS"))),FALSE),RIGHT(INDIRECT(ADDRESS(59,3,,,"MATCHS")), FIND("--",INDIRECT(ADDRESS(59,3,,,"MATCHS")),1)),INDIRECT(ADDRESS(59,3,,,"MATCHS"))),,IF(IFERROR(FIND("--",INDIRECT(ADDRESS(70,3,,,"MATCHS"))),FALSE),RIGHT(INDIRECT(ADDRESS(70,3,,,"MATCHS")), FIND("--",INDIRECT(ADDRESS(70,3,,,"MATCHS")),1)),INDIRECT(ADDRESS(70,3,,,"MATCHS"))),,)</f>
        <v>0</v>
      </c>
      <c r="I5" s="100">
        <f ca="1">SUM(IF(IFERROR(FIND("--",INDIRECT(ADDRESS(2,3,,,"MATCHS"))),FALSE),RIGHT(INDIRECT(ADDRESS(2,3,,,"MATCHS")), FIND("--",INDIRECT(ADDRESS(2,3,,,"MATCHS")),1)),INDIRECT(ADDRESS(2,3,,,"MATCHS"))),,,,IF(IFERROR(FIND("--",INDIRECT(ADDRESS(25,5,,,"MATCHS"))),FALSE),RIGHT(INDIRECT(ADDRESS(25,5,,,"MATCHS")), FIND("--",INDIRECT(ADDRESS(25,5,,,"MATCHS")),1)),INDIRECT(ADDRESS(25,5,,,"MATCHS"))),,,IF(IFERROR(FIND("--",INDIRECT(ADDRESS(38,5,,,"MATCHS"))),FALSE),RIGHT(INDIRECT(ADDRESS(38,5,,,"MATCHS")), FIND("--",INDIRECT(ADDRESS(38,5,,,"MATCHS")),1)),INDIRECT(ADDRESS(38,5,,,"MATCHS"))),,IF(IFERROR(FIND("--",INDIRECT(ADDRESS(48,5,,,"MATCHS"))),FALSE),RIGHT(INDIRECT(ADDRESS(48,5,,,"MATCHS")), FIND("--",INDIRECT(ADDRESS(48,5,,,"MATCHS")),1)),INDIRECT(ADDRESS(48,5,,,"MATCHS"))),,IF(IFERROR(FIND("--",INDIRECT(ADDRESS(59,5,,,"MATCHS"))),FALSE),RIGHT(INDIRECT(ADDRESS(59,5,,,"MATCHS")), FIND("--",INDIRECT(ADDRESS(59,5,,,"MATCHS")),1)),INDIRECT(ADDRESS(59,5,,,"MATCHS"))),,IF(IFERROR(FIND("--",INDIRECT(ADDRESS(70,5,,,"MATCHS"))),FALSE),RIGHT(INDIRECT(ADDRESS(70,5,,,"MATCHS")), FIND("--",INDIRECT(ADDRESS(70,5,,,"MATCHS")),1)),INDIRECT(ADDRESS(70,5,,,"MATCHS"))),,)</f>
        <v>0</v>
      </c>
      <c r="J5" s="100">
        <f t="shared" ca="1" si="0"/>
        <v>0</v>
      </c>
      <c r="K5" s="100">
        <v>0</v>
      </c>
      <c r="L5" s="100">
        <v>2</v>
      </c>
      <c r="M5" s="100"/>
      <c r="N5" s="97"/>
    </row>
    <row r="6" spans="1:14" ht="15.75" x14ac:dyDescent="0.25">
      <c r="A6" s="232"/>
      <c r="B6" s="100">
        <v>3</v>
      </c>
      <c r="C6" s="100" t="s">
        <v>121</v>
      </c>
      <c r="D6" s="100" t="str">
        <f>INSCRITS!C4</f>
        <v>3A</v>
      </c>
      <c r="E6" s="105">
        <f ca="1">SUM(IF(INDIRECT(ADDRESS(3,3,,,"MATCHS"))&gt;INDIRECT(ADDRESS(3,5,,,"MATCHS")),1,0),,IF(INDIRECT(ADDRESS(13,5,,,"MATCHS"))&gt;INDIRECT(ADDRESS(13,3,,,"MATCHS")),1,0),,,IF(INDIRECT(ADDRESS(27,5,,,"MATCHS"))&gt;INDIRECT(ADDRESS(27,3,,,"MATCHS")),1,0),,IF(INDIRECT(ADDRESS(37,5,,,"MATCHS"))&gt;INDIRECT(ADDRESS(37,3,,,"MATCHS")),1,0),,IF(INDIRECT(ADDRESS(47,3,,,"MATCHS"))&gt;INDIRECT(ADDRESS(47,5,,,"MATCHS")),1,0),,,,IF(INDIRECT(ADDRESS(70,5,,,"MATCHS"))&gt;INDIRECT(ADDRESS(70,3,,,"MATCHS")),1,0),,) + 0.01 * K6</f>
        <v>0</v>
      </c>
      <c r="F6" s="100">
        <f ca="1">SUM(IF(INDIRECT(ADDRESS(3,3,,,"MATCHS"))&lt;INDIRECT(ADDRESS(3,5,,,"MATCHS")),1,0),,IF(INDIRECT(ADDRESS(13,5,,,"MATCHS"))&lt;INDIRECT(ADDRESS(13,3,,,"MATCHS")),1,0),,,IF(INDIRECT(ADDRESS(27,5,,,"MATCHS"))&lt;INDIRECT(ADDRESS(27,3,,,"MATCHS")),1,0),,IF(INDIRECT(ADDRESS(37,5,,,"MATCHS"))&lt;INDIRECT(ADDRESS(37,3,,,"MATCHS")),1,0),,IF(INDIRECT(ADDRESS(47,3,,,"MATCHS"))&lt;INDIRECT(ADDRESS(47,5,,,"MATCHS")),1,0),,,,IF(INDIRECT(ADDRESS(70,5,,,"MATCHS"))&lt;INDIRECT(ADDRESS(70,3,,,"MATCHS")),1,0),,)</f>
        <v>0</v>
      </c>
      <c r="G6" s="100"/>
      <c r="H6" s="100">
        <f ca="1">SUM(IF(IFERROR(FIND("--",INDIRECT(ADDRESS(3,3,,,"MATCHS"))),FALSE),RIGHT(INDIRECT(ADDRESS(3,3,,,"MATCHS")), FIND("--",INDIRECT(ADDRESS(3,3,,,"MATCHS")),1)),INDIRECT(ADDRESS(3,3,,,"MATCHS"))),,IF(IFERROR(FIND("--",INDIRECT(ADDRESS(13,5,,,"MATCHS"))),FALSE),RIGHT(INDIRECT(ADDRESS(13,5,,,"MATCHS")), FIND("--",INDIRECT(ADDRESS(13,5,,,"MATCHS")),1)),INDIRECT(ADDRESS(13,5,,,"MATCHS"))),,,IF(IFERROR(FIND("--",INDIRECT(ADDRESS(27,5,,,"MATCHS"))),FALSE),RIGHT(INDIRECT(ADDRESS(27,5,,,"MATCHS")), FIND("--",INDIRECT(ADDRESS(27,5,,,"MATCHS")),1)),INDIRECT(ADDRESS(27,5,,,"MATCHS"))),,IF(IFERROR(FIND("--",INDIRECT(ADDRESS(37,5,,,"MATCHS"))),FALSE),RIGHT(INDIRECT(ADDRESS(37,5,,,"MATCHS")), FIND("--",INDIRECT(ADDRESS(37,5,,,"MATCHS")),1)),INDIRECT(ADDRESS(37,5,,,"MATCHS"))),,IF(IFERROR(FIND("--",INDIRECT(ADDRESS(47,3,,,"MATCHS"))),FALSE),RIGHT(INDIRECT(ADDRESS(47,3,,,"MATCHS")), FIND("--",INDIRECT(ADDRESS(47,3,,,"MATCHS")),1)),INDIRECT(ADDRESS(47,3,,,"MATCHS"))),,,,IF(IFERROR(FIND("--",INDIRECT(ADDRESS(70,5,,,"MATCHS"))),FALSE),RIGHT(INDIRECT(ADDRESS(70,5,,,"MATCHS")), FIND("--",INDIRECT(ADDRESS(70,5,,,"MATCHS")),1)),INDIRECT(ADDRESS(70,5,,,"MATCHS"))),,)</f>
        <v>0</v>
      </c>
      <c r="I6" s="100">
        <f ca="1">SUM(IF(IFERROR(FIND("--",INDIRECT(ADDRESS(3,5,,,"MATCHS"))),FALSE),RIGHT(INDIRECT(ADDRESS(3,5,,,"MATCHS")), FIND("--",INDIRECT(ADDRESS(3,5,,,"MATCHS")),1)),INDIRECT(ADDRESS(3,5,,,"MATCHS"))),,IF(IFERROR(FIND("--",INDIRECT(ADDRESS(13,3,,,"MATCHS"))),FALSE),RIGHT(INDIRECT(ADDRESS(13,3,,,"MATCHS")), FIND("--",INDIRECT(ADDRESS(13,3,,,"MATCHS")),1)),INDIRECT(ADDRESS(13,3,,,"MATCHS"))),,,IF(IFERROR(FIND("--",INDIRECT(ADDRESS(27,3,,,"MATCHS"))),FALSE),RIGHT(INDIRECT(ADDRESS(27,3,,,"MATCHS")), FIND("--",INDIRECT(ADDRESS(27,3,,,"MATCHS")),1)),INDIRECT(ADDRESS(27,3,,,"MATCHS"))),,IF(IFERROR(FIND("--",INDIRECT(ADDRESS(37,3,,,"MATCHS"))),FALSE),RIGHT(INDIRECT(ADDRESS(37,3,,,"MATCHS")), FIND("--",INDIRECT(ADDRESS(37,3,,,"MATCHS")),1)),INDIRECT(ADDRESS(37,3,,,"MATCHS"))),,IF(IFERROR(FIND("--",INDIRECT(ADDRESS(47,5,,,"MATCHS"))),FALSE),RIGHT(INDIRECT(ADDRESS(47,5,,,"MATCHS")), FIND("--",INDIRECT(ADDRESS(47,5,,,"MATCHS")),1)),INDIRECT(ADDRESS(47,5,,,"MATCHS"))),,,,IF(IFERROR(FIND("--",INDIRECT(ADDRESS(70,3,,,"MATCHS"))),FALSE),RIGHT(INDIRECT(ADDRESS(70,3,,,"MATCHS")), FIND("--",INDIRECT(ADDRESS(70,3,,,"MATCHS")),1)),INDIRECT(ADDRESS(70,3,,,"MATCHS"))),,)</f>
        <v>0</v>
      </c>
      <c r="J6" s="100">
        <f t="shared" ca="1" si="0"/>
        <v>0</v>
      </c>
      <c r="K6" s="100">
        <v>0</v>
      </c>
      <c r="L6" s="100">
        <v>3</v>
      </c>
      <c r="M6" s="100"/>
      <c r="N6" s="97"/>
    </row>
    <row r="7" spans="1:14" ht="15.75" x14ac:dyDescent="0.25">
      <c r="A7" s="232"/>
      <c r="B7" s="100">
        <v>4</v>
      </c>
      <c r="C7" s="100" t="s">
        <v>122</v>
      </c>
      <c r="D7" s="100" t="str">
        <f>INSCRITS!C5</f>
        <v>4A</v>
      </c>
      <c r="E7" s="105">
        <f ca="1">SUM(IF(INDIRECT(ADDRESS(3,5,,,"MATCHS"))&gt;INDIRECT(ADDRESS(3,3,,,"MATCHS")),1,0),,IF(INDIRECT(ADDRESS(14,5,,,"MATCHS"))&gt;INDIRECT(ADDRESS(14,3,,,"MATCHS")),1,0),,IF(INDIRECT(ADDRESS(24,5,,,"MATCHS"))&gt;INDIRECT(ADDRESS(24,3,,,"MATCHS")),1,0),,,,,IF(INDIRECT(ADDRESS(49,3,,,"MATCHS"))&gt;INDIRECT(ADDRESS(49,5,,,"MATCHS")),1,0),,IF(INDIRECT(ADDRESS(59,5,,,"MATCHS"))&gt;INDIRECT(ADDRESS(59,3,,,"MATCHS")),1,0),,,IF(INDIRECT(ADDRESS(72,3,,,"MATCHS"))&gt;INDIRECT(ADDRESS(72,5,,,"MATCHS")),1,0),) + 0.01 * K7</f>
        <v>0</v>
      </c>
      <c r="F7" s="100">
        <f ca="1">SUM(IF(INDIRECT(ADDRESS(3,5,,,"MATCHS"))&lt;INDIRECT(ADDRESS(3,3,,,"MATCHS")),1,0),,IF(INDIRECT(ADDRESS(14,5,,,"MATCHS"))&lt;INDIRECT(ADDRESS(14,3,,,"MATCHS")),1,0),,IF(INDIRECT(ADDRESS(24,5,,,"MATCHS"))&lt;INDIRECT(ADDRESS(24,3,,,"MATCHS")),1,0),,,,,IF(INDIRECT(ADDRESS(49,3,,,"MATCHS"))&lt;INDIRECT(ADDRESS(49,5,,,"MATCHS")),1,0),,IF(INDIRECT(ADDRESS(59,5,,,"MATCHS"))&lt;INDIRECT(ADDRESS(59,3,,,"MATCHS")),1,0),,,IF(INDIRECT(ADDRESS(72,3,,,"MATCHS"))&lt;INDIRECT(ADDRESS(72,5,,,"MATCHS")),1,0),)</f>
        <v>0</v>
      </c>
      <c r="G7" s="100"/>
      <c r="H7" s="100">
        <f ca="1">SUM(IF(IFERROR(FIND("--",INDIRECT(ADDRESS(3,5,,,"MATCHS"))),FALSE),RIGHT(INDIRECT(ADDRESS(3,5,,,"MATCHS")), FIND("--",INDIRECT(ADDRESS(3,5,,,"MATCHS")),1)),INDIRECT(ADDRESS(3,5,,,"MATCHS"))),,IF(IFERROR(FIND("--",INDIRECT(ADDRESS(14,5,,,"MATCHS"))),FALSE),RIGHT(INDIRECT(ADDRESS(14,5,,,"MATCHS")), FIND("--",INDIRECT(ADDRESS(14,5,,,"MATCHS")),1)),INDIRECT(ADDRESS(14,5,,,"MATCHS"))),,IF(IFERROR(FIND("--",INDIRECT(ADDRESS(24,5,,,"MATCHS"))),FALSE),RIGHT(INDIRECT(ADDRESS(24,5,,,"MATCHS")), FIND("--",INDIRECT(ADDRESS(24,5,,,"MATCHS")),1)),INDIRECT(ADDRESS(24,5,,,"MATCHS"))),,,,,IF(IFERROR(FIND("--",INDIRECT(ADDRESS(49,3,,,"MATCHS"))),FALSE),RIGHT(INDIRECT(ADDRESS(49,3,,,"MATCHS")), FIND("--",INDIRECT(ADDRESS(49,3,,,"MATCHS")),1)),INDIRECT(ADDRESS(49,3,,,"MATCHS"))),,IF(IFERROR(FIND("--",INDIRECT(ADDRESS(59,5,,,"MATCHS"))),FALSE),RIGHT(INDIRECT(ADDRESS(59,5,,,"MATCHS")), FIND("--",INDIRECT(ADDRESS(59,5,,,"MATCHS")),1)),INDIRECT(ADDRESS(59,5,,,"MATCHS"))),,,IF(IFERROR(FIND("--",INDIRECT(ADDRESS(72,3,,,"MATCHS"))),FALSE),RIGHT(INDIRECT(ADDRESS(72,3,,,"MATCHS")), FIND("--",INDIRECT(ADDRESS(72,3,,,"MATCHS")),1)),INDIRECT(ADDRESS(72,3,,,"MATCHS"))),)</f>
        <v>0</v>
      </c>
      <c r="I7" s="100">
        <f ca="1">SUM(IF(IFERROR(FIND("--",INDIRECT(ADDRESS(3,3,,,"MATCHS"))),FALSE),RIGHT(INDIRECT(ADDRESS(3,3,,,"MATCHS")), FIND("--",INDIRECT(ADDRESS(3,3,,,"MATCHS")),1)),INDIRECT(ADDRESS(3,3,,,"MATCHS"))),,IF(IFERROR(FIND("--",INDIRECT(ADDRESS(14,3,,,"MATCHS"))),FALSE),RIGHT(INDIRECT(ADDRESS(14,3,,,"MATCHS")), FIND("--",INDIRECT(ADDRESS(14,3,,,"MATCHS")),1)),INDIRECT(ADDRESS(14,3,,,"MATCHS"))),,IF(IFERROR(FIND("--",INDIRECT(ADDRESS(24,3,,,"MATCHS"))),FALSE),RIGHT(INDIRECT(ADDRESS(24,3,,,"MATCHS")), FIND("--",INDIRECT(ADDRESS(24,3,,,"MATCHS")),1)),INDIRECT(ADDRESS(24,3,,,"MATCHS"))),,,,,IF(IFERROR(FIND("--",INDIRECT(ADDRESS(49,5,,,"MATCHS"))),FALSE),RIGHT(INDIRECT(ADDRESS(49,5,,,"MATCHS")), FIND("--",INDIRECT(ADDRESS(49,5,,,"MATCHS")),1)),INDIRECT(ADDRESS(49,5,,,"MATCHS"))),,IF(IFERROR(FIND("--",INDIRECT(ADDRESS(59,3,,,"MATCHS"))),FALSE),RIGHT(INDIRECT(ADDRESS(59,3,,,"MATCHS")), FIND("--",INDIRECT(ADDRESS(59,3,,,"MATCHS")),1)),INDIRECT(ADDRESS(59,3,,,"MATCHS"))),,,IF(IFERROR(FIND("--",INDIRECT(ADDRESS(72,5,,,"MATCHS"))),FALSE),RIGHT(INDIRECT(ADDRESS(72,5,,,"MATCHS")), FIND("--",INDIRECT(ADDRESS(72,5,,,"MATCHS")),1)),INDIRECT(ADDRESS(72,5,,,"MATCHS"))),)</f>
        <v>0</v>
      </c>
      <c r="J7" s="100">
        <f t="shared" ca="1" si="0"/>
        <v>0</v>
      </c>
      <c r="K7" s="100">
        <v>0</v>
      </c>
      <c r="L7" s="100">
        <v>4</v>
      </c>
      <c r="M7" s="100"/>
      <c r="N7" s="97"/>
    </row>
    <row r="8" spans="1:14" ht="15.75" x14ac:dyDescent="0.25">
      <c r="A8" s="232"/>
      <c r="B8" s="100">
        <v>5</v>
      </c>
      <c r="C8" s="100" t="s">
        <v>147</v>
      </c>
      <c r="D8" s="100" t="str">
        <f>INSCRITS!C6</f>
        <v>5A</v>
      </c>
      <c r="E8" s="105">
        <f ca="1">SUM(IF(INDIRECT(ADDRESS(4,3,,,"MATCHS"))&gt;INDIRECT(ADDRESS(4,5,,,"MATCHS")),1,0),,IF(INDIRECT(ADDRESS(14,3,,,"MATCHS"))&gt;INDIRECT(ADDRESS(14,5,,,"MATCHS")),1,0),,IF(INDIRECT(ADDRESS(25,5,,,"MATCHS"))&gt;INDIRECT(ADDRESS(25,3,,,"MATCHS")),1,0),,IF(INDIRECT(ADDRESS(35,5,,,"MATCHS"))&gt;INDIRECT(ADDRESS(35,3,,,"MATCHS")),1,0),,,IF(INDIRECT(ADDRESS(47,5,,,"MATCHS"))&gt;INDIRECT(ADDRESS(47,3,,,"MATCHS")),1,0),,IF(INDIRECT(ADDRESS(60,3,,,"MATCHS"))&gt;INDIRECT(ADDRESS(60,5,,,"MATCHS")),1,0),,,,) + 0.01 * K8</f>
        <v>0</v>
      </c>
      <c r="F8" s="100">
        <f ca="1">SUM(IF(INDIRECT(ADDRESS(4,3,,,"MATCHS"))&lt;INDIRECT(ADDRESS(4,5,,,"MATCHS")),1,0),,IF(INDIRECT(ADDRESS(14,3,,,"MATCHS"))&lt;INDIRECT(ADDRESS(14,5,,,"MATCHS")),1,0),,IF(INDIRECT(ADDRESS(25,5,,,"MATCHS"))&lt;INDIRECT(ADDRESS(25,3,,,"MATCHS")),1,0),,IF(INDIRECT(ADDRESS(35,5,,,"MATCHS"))&lt;INDIRECT(ADDRESS(35,3,,,"MATCHS")),1,0),,,IF(INDIRECT(ADDRESS(47,5,,,"MATCHS"))&lt;INDIRECT(ADDRESS(47,3,,,"MATCHS")),1,0),,IF(INDIRECT(ADDRESS(60,3,,,"MATCHS"))&lt;INDIRECT(ADDRESS(60,5,,,"MATCHS")),1,0),,,,)</f>
        <v>0</v>
      </c>
      <c r="G8" s="100"/>
      <c r="H8" s="100">
        <f ca="1">SUM(IF(IFERROR(FIND("--",INDIRECT(ADDRESS(4,3,,,"MATCHS"))),FALSE),RIGHT(INDIRECT(ADDRESS(4,3,,,"MATCHS")), FIND("--",INDIRECT(ADDRESS(4,3,,,"MATCHS")),1)),INDIRECT(ADDRESS(4,3,,,"MATCHS"))),,IF(IFERROR(FIND("--",INDIRECT(ADDRESS(14,3,,,"MATCHS"))),FALSE),RIGHT(INDIRECT(ADDRESS(14,3,,,"MATCHS")), FIND("--",INDIRECT(ADDRESS(14,3,,,"MATCHS")),1)),INDIRECT(ADDRESS(14,3,,,"MATCHS"))),,IF(IFERROR(FIND("--",INDIRECT(ADDRESS(25,5,,,"MATCHS"))),FALSE),RIGHT(INDIRECT(ADDRESS(25,5,,,"MATCHS")), FIND("--",INDIRECT(ADDRESS(25,5,,,"MATCHS")),1)),INDIRECT(ADDRESS(25,5,,,"MATCHS"))),,IF(IFERROR(FIND("--",INDIRECT(ADDRESS(35,5,,,"MATCHS"))),FALSE),RIGHT(INDIRECT(ADDRESS(35,5,,,"MATCHS")), FIND("--",INDIRECT(ADDRESS(35,5,,,"MATCHS")),1)),INDIRECT(ADDRESS(35,5,,,"MATCHS"))),,,IF(IFERROR(FIND("--",INDIRECT(ADDRESS(47,5,,,"MATCHS"))),FALSE),RIGHT(INDIRECT(ADDRESS(47,5,,,"MATCHS")), FIND("--",INDIRECT(ADDRESS(47,5,,,"MATCHS")),1)),INDIRECT(ADDRESS(47,5,,,"MATCHS"))),,IF(IFERROR(FIND("--",INDIRECT(ADDRESS(60,3,,,"MATCHS"))),FALSE),RIGHT(INDIRECT(ADDRESS(60,3,,,"MATCHS")), FIND("--",INDIRECT(ADDRESS(60,3,,,"MATCHS")),1)),INDIRECT(ADDRESS(60,3,,,"MATCHS"))),,,,)</f>
        <v>0</v>
      </c>
      <c r="I8" s="100">
        <f ca="1">SUM(IF(IFERROR(FIND("--",INDIRECT(ADDRESS(4,5,,,"MATCHS"))),FALSE),RIGHT(INDIRECT(ADDRESS(4,5,,,"MATCHS")), FIND("--",INDIRECT(ADDRESS(4,5,,,"MATCHS")),1)),INDIRECT(ADDRESS(4,5,,,"MATCHS"))),,IF(IFERROR(FIND("--",INDIRECT(ADDRESS(14,5,,,"MATCHS"))),FALSE),RIGHT(INDIRECT(ADDRESS(14,5,,,"MATCHS")), FIND("--",INDIRECT(ADDRESS(14,5,,,"MATCHS")),1)),INDIRECT(ADDRESS(14,5,,,"MATCHS"))),,IF(IFERROR(FIND("--",INDIRECT(ADDRESS(25,3,,,"MATCHS"))),FALSE),RIGHT(INDIRECT(ADDRESS(25,3,,,"MATCHS")), FIND("--",INDIRECT(ADDRESS(25,3,,,"MATCHS")),1)),INDIRECT(ADDRESS(25,3,,,"MATCHS"))),,IF(IFERROR(FIND("--",INDIRECT(ADDRESS(35,3,,,"MATCHS"))),FALSE),RIGHT(INDIRECT(ADDRESS(35,3,,,"MATCHS")), FIND("--",INDIRECT(ADDRESS(35,3,,,"MATCHS")),1)),INDIRECT(ADDRESS(35,3,,,"MATCHS"))),,,IF(IFERROR(FIND("--",INDIRECT(ADDRESS(47,3,,,"MATCHS"))),FALSE),RIGHT(INDIRECT(ADDRESS(47,3,,,"MATCHS")), FIND("--",INDIRECT(ADDRESS(47,3,,,"MATCHS")),1)),INDIRECT(ADDRESS(47,3,,,"MATCHS"))),,IF(IFERROR(FIND("--",INDIRECT(ADDRESS(60,5,,,"MATCHS"))),FALSE),RIGHT(INDIRECT(ADDRESS(60,5,,,"MATCHS")), FIND("--",INDIRECT(ADDRESS(60,5,,,"MATCHS")),1)),INDIRECT(ADDRESS(60,5,,,"MATCHS"))),,,,)</f>
        <v>0</v>
      </c>
      <c r="J8" s="100">
        <f t="shared" ca="1" si="0"/>
        <v>0</v>
      </c>
      <c r="K8" s="100">
        <v>0</v>
      </c>
      <c r="L8" s="100">
        <v>5</v>
      </c>
      <c r="M8" s="100"/>
      <c r="N8" s="97"/>
    </row>
    <row r="9" spans="1:14" ht="15.75" x14ac:dyDescent="0.25">
      <c r="A9" s="232"/>
      <c r="B9" s="100">
        <v>6</v>
      </c>
      <c r="C9" s="100" t="s">
        <v>148</v>
      </c>
      <c r="D9" s="100" t="str">
        <f>INSCRITS!C7</f>
        <v>6A</v>
      </c>
      <c r="E9" s="105">
        <f ca="1">SUM(IF(INDIRECT(ADDRESS(4,5,,,"MATCHS"))&gt;INDIRECT(ADDRESS(4,3,,,"MATCHS")),1,0),,IF(INDIRECT(ADDRESS(15,3,,,"MATCHS"))&gt;INDIRECT(ADDRESS(15,5,,,"MATCHS")),1,0),,,,,IF(INDIRECT(ADDRESS(37,3,,,"MATCHS"))&gt;INDIRECT(ADDRESS(37,5,,,"MATCHS")),1,0),,IF(INDIRECT(ADDRESS(48,5,,,"MATCHS"))&gt;INDIRECT(ADDRESS(48,3,,,"MATCHS")),1,0),,IF(INDIRECT(ADDRESS(58,5,,,"MATCHS"))&gt;INDIRECT(ADDRESS(58,3,,,"MATCHS")),1,0),,,IF(INDIRECT(ADDRESS(72,5,,,"MATCHS"))&gt;INDIRECT(ADDRESS(72,3,,,"MATCHS")),1,0),) + 0.01 * K9</f>
        <v>0</v>
      </c>
      <c r="F9" s="100">
        <f ca="1">SUM(IF(INDIRECT(ADDRESS(4,5,,,"MATCHS"))&lt;INDIRECT(ADDRESS(4,3,,,"MATCHS")),1,0),,IF(INDIRECT(ADDRESS(15,3,,,"MATCHS"))&lt;INDIRECT(ADDRESS(15,5,,,"MATCHS")),1,0),,,,,IF(INDIRECT(ADDRESS(37,3,,,"MATCHS"))&lt;INDIRECT(ADDRESS(37,5,,,"MATCHS")),1,0),,IF(INDIRECT(ADDRESS(48,5,,,"MATCHS"))&lt;INDIRECT(ADDRESS(48,3,,,"MATCHS")),1,0),,IF(INDIRECT(ADDRESS(58,5,,,"MATCHS"))&lt;INDIRECT(ADDRESS(58,3,,,"MATCHS")),1,0),,,IF(INDIRECT(ADDRESS(72,5,,,"MATCHS"))&lt;INDIRECT(ADDRESS(72,3,,,"MATCHS")),1,0),)</f>
        <v>0</v>
      </c>
      <c r="G9" s="100"/>
      <c r="H9" s="100">
        <f ca="1">SUM(IF(IFERROR(FIND("--",INDIRECT(ADDRESS(4,5,,,"MATCHS"))),FALSE),RIGHT(INDIRECT(ADDRESS(4,5,,,"MATCHS")), FIND("--",INDIRECT(ADDRESS(4,5,,,"MATCHS")),1)),INDIRECT(ADDRESS(4,5,,,"MATCHS"))),,IF(IFERROR(FIND("--",INDIRECT(ADDRESS(15,3,,,"MATCHS"))),FALSE),RIGHT(INDIRECT(ADDRESS(15,3,,,"MATCHS")), FIND("--",INDIRECT(ADDRESS(15,3,,,"MATCHS")),1)),INDIRECT(ADDRESS(15,3,,,"MATCHS"))),,,,,IF(IFERROR(FIND("--",INDIRECT(ADDRESS(37,3,,,"MATCHS"))),FALSE),RIGHT(INDIRECT(ADDRESS(37,3,,,"MATCHS")), FIND("--",INDIRECT(ADDRESS(37,3,,,"MATCHS")),1)),INDIRECT(ADDRESS(37,3,,,"MATCHS"))),,IF(IFERROR(FIND("--",INDIRECT(ADDRESS(48,5,,,"MATCHS"))),FALSE),RIGHT(INDIRECT(ADDRESS(48,5,,,"MATCHS")), FIND("--",INDIRECT(ADDRESS(48,5,,,"MATCHS")),1)),INDIRECT(ADDRESS(48,5,,,"MATCHS"))),,IF(IFERROR(FIND("--",INDIRECT(ADDRESS(58,5,,,"MATCHS"))),FALSE),RIGHT(INDIRECT(ADDRESS(58,5,,,"MATCHS")), FIND("--",INDIRECT(ADDRESS(58,5,,,"MATCHS")),1)),INDIRECT(ADDRESS(58,5,,,"MATCHS"))),,,IF(IFERROR(FIND("--",INDIRECT(ADDRESS(72,5,,,"MATCHS"))),FALSE),RIGHT(INDIRECT(ADDRESS(72,5,,,"MATCHS")), FIND("--",INDIRECT(ADDRESS(72,5,,,"MATCHS")),1)),INDIRECT(ADDRESS(72,5,,,"MATCHS"))),)</f>
        <v>0</v>
      </c>
      <c r="I9" s="100">
        <f ca="1">SUM(IF(IFERROR(FIND("--",INDIRECT(ADDRESS(4,3,,,"MATCHS"))),FALSE),RIGHT(INDIRECT(ADDRESS(4,3,,,"MATCHS")), FIND("--",INDIRECT(ADDRESS(4,3,,,"MATCHS")),1)),INDIRECT(ADDRESS(4,3,,,"MATCHS"))),,IF(IFERROR(FIND("--",INDIRECT(ADDRESS(15,5,,,"MATCHS"))),FALSE),RIGHT(INDIRECT(ADDRESS(15,5,,,"MATCHS")), FIND("--",INDIRECT(ADDRESS(15,5,,,"MATCHS")),1)),INDIRECT(ADDRESS(15,5,,,"MATCHS"))),,,,,IF(IFERROR(FIND("--",INDIRECT(ADDRESS(37,5,,,"MATCHS"))),FALSE),RIGHT(INDIRECT(ADDRESS(37,5,,,"MATCHS")), FIND("--",INDIRECT(ADDRESS(37,5,,,"MATCHS")),1)),INDIRECT(ADDRESS(37,5,,,"MATCHS"))),,IF(IFERROR(FIND("--",INDIRECT(ADDRESS(48,3,,,"MATCHS"))),FALSE),RIGHT(INDIRECT(ADDRESS(48,3,,,"MATCHS")), FIND("--",INDIRECT(ADDRESS(48,3,,,"MATCHS")),1)),INDIRECT(ADDRESS(48,3,,,"MATCHS"))),,IF(IFERROR(FIND("--",INDIRECT(ADDRESS(58,3,,,"MATCHS"))),FALSE),RIGHT(INDIRECT(ADDRESS(58,3,,,"MATCHS")), FIND("--",INDIRECT(ADDRESS(58,3,,,"MATCHS")),1)),INDIRECT(ADDRESS(58,3,,,"MATCHS"))),,,IF(IFERROR(FIND("--",INDIRECT(ADDRESS(72,3,,,"MATCHS"))),FALSE),RIGHT(INDIRECT(ADDRESS(72,3,,,"MATCHS")), FIND("--",INDIRECT(ADDRESS(72,3,,,"MATCHS")),1)),INDIRECT(ADDRESS(72,3,,,"MATCHS"))),)</f>
        <v>0</v>
      </c>
      <c r="J9" s="100">
        <f t="shared" ca="1" si="0"/>
        <v>0</v>
      </c>
      <c r="K9" s="100">
        <v>0</v>
      </c>
      <c r="L9" s="100">
        <v>6</v>
      </c>
      <c r="M9" s="100"/>
      <c r="N9" s="97"/>
    </row>
    <row r="10" spans="1:14" ht="15.75" x14ac:dyDescent="0.25">
      <c r="A10" s="232"/>
      <c r="B10" s="100">
        <v>7</v>
      </c>
      <c r="C10" s="100" t="s">
        <v>149</v>
      </c>
      <c r="D10" s="100" t="str">
        <f>INSCRITS!C8</f>
        <v>7A</v>
      </c>
      <c r="E10" s="105">
        <f ca="1">SUM(,,IF(INDIRECT(ADDRESS(15,5,,,"MATCHS"))&gt;INDIRECT(ADDRESS(15,3,,,"MATCHS")),1,0),,,IF(INDIRECT(ADDRESS(27,3,,,"MATCHS"))&gt;INDIRECT(ADDRESS(27,5,,,"MATCHS")),1,0),,IF(INDIRECT(ADDRESS(38,5,,,"MATCHS"))&gt;INDIRECT(ADDRESS(38,3,,,"MATCHS")),1,0),,IF(INDIRECT(ADDRESS(49,5,,,"MATCHS"))&gt;INDIRECT(ADDRESS(49,3,,,"MATCHS")),1,0),,IF(INDIRECT(ADDRESS(60,5,,,"MATCHS"))&gt;INDIRECT(ADDRESS(60,3,,,"MATCHS")),1,0),,IF(INDIRECT(ADDRESS(69,5,,,"MATCHS"))&gt;INDIRECT(ADDRESS(69,3,,,"MATCHS")),1,0),,) + 0.01 * K10</f>
        <v>0</v>
      </c>
      <c r="F10" s="100">
        <f ca="1">SUM(,,IF(INDIRECT(ADDRESS(15,5,,,"MATCHS"))&lt;INDIRECT(ADDRESS(15,3,,,"MATCHS")),1,0),,,IF(INDIRECT(ADDRESS(27,3,,,"MATCHS"))&lt;INDIRECT(ADDRESS(27,5,,,"MATCHS")),1,0),,IF(INDIRECT(ADDRESS(38,5,,,"MATCHS"))&lt;INDIRECT(ADDRESS(38,3,,,"MATCHS")),1,0),,IF(INDIRECT(ADDRESS(49,5,,,"MATCHS"))&lt;INDIRECT(ADDRESS(49,3,,,"MATCHS")),1,0),,IF(INDIRECT(ADDRESS(60,5,,,"MATCHS"))&lt;INDIRECT(ADDRESS(60,3,,,"MATCHS")),1,0),,IF(INDIRECT(ADDRESS(69,5,,,"MATCHS"))&lt;INDIRECT(ADDRESS(69,3,,,"MATCHS")),1,0),,)</f>
        <v>0</v>
      </c>
      <c r="G10" s="100"/>
      <c r="H10" s="100">
        <f ca="1">SUM(,,IF(IFERROR(FIND("--",INDIRECT(ADDRESS(15,5,,,"MATCHS"))),FALSE),RIGHT(INDIRECT(ADDRESS(15,5,,,"MATCHS")), FIND("--",INDIRECT(ADDRESS(15,5,,,"MATCHS")),1)),INDIRECT(ADDRESS(15,5,,,"MATCHS"))),,,IF(IFERROR(FIND("--",INDIRECT(ADDRESS(27,3,,,"MATCHS"))),FALSE),RIGHT(INDIRECT(ADDRESS(27,3,,,"MATCHS")), FIND("--",INDIRECT(ADDRESS(27,3,,,"MATCHS")),1)),INDIRECT(ADDRESS(27,3,,,"MATCHS"))),,IF(IFERROR(FIND("--",INDIRECT(ADDRESS(38,5,,,"MATCHS"))),FALSE),RIGHT(INDIRECT(ADDRESS(38,5,,,"MATCHS")), FIND("--",INDIRECT(ADDRESS(38,5,,,"MATCHS")),1)),INDIRECT(ADDRESS(38,5,,,"MATCHS"))),,IF(IFERROR(FIND("--",INDIRECT(ADDRESS(49,5,,,"MATCHS"))),FALSE),RIGHT(INDIRECT(ADDRESS(49,5,,,"MATCHS")), FIND("--",INDIRECT(ADDRESS(49,5,,,"MATCHS")),1)),INDIRECT(ADDRESS(49,5,,,"MATCHS"))),,IF(IFERROR(FIND("--",INDIRECT(ADDRESS(60,5,,,"MATCHS"))),FALSE),RIGHT(INDIRECT(ADDRESS(60,5,,,"MATCHS")), FIND("--",INDIRECT(ADDRESS(60,5,,,"MATCHS")),1)),INDIRECT(ADDRESS(60,5,,,"MATCHS"))),,IF(IFERROR(FIND("--",INDIRECT(ADDRESS(69,5,,,"MATCHS"))),FALSE),RIGHT(INDIRECT(ADDRESS(69,5,,,"MATCHS")), FIND("--",INDIRECT(ADDRESS(69,5,,,"MATCHS")),1)),INDIRECT(ADDRESS(69,5,,,"MATCHS"))),,)</f>
        <v>0</v>
      </c>
      <c r="I10" s="100">
        <f ca="1">SUM(,,IF(IFERROR(FIND("--",INDIRECT(ADDRESS(15,3,,,"MATCHS"))),FALSE),RIGHT(INDIRECT(ADDRESS(15,3,,,"MATCHS")), FIND("--",INDIRECT(ADDRESS(15,3,,,"MATCHS")),1)),INDIRECT(ADDRESS(15,3,,,"MATCHS"))),,,IF(IFERROR(FIND("--",INDIRECT(ADDRESS(27,5,,,"MATCHS"))),FALSE),RIGHT(INDIRECT(ADDRESS(27,5,,,"MATCHS")), FIND("--",INDIRECT(ADDRESS(27,5,,,"MATCHS")),1)),INDIRECT(ADDRESS(27,5,,,"MATCHS"))),,IF(IFERROR(FIND("--",INDIRECT(ADDRESS(38,3,,,"MATCHS"))),FALSE),RIGHT(INDIRECT(ADDRESS(38,3,,,"MATCHS")), FIND("--",INDIRECT(ADDRESS(38,3,,,"MATCHS")),1)),INDIRECT(ADDRESS(38,3,,,"MATCHS"))),,IF(IFERROR(FIND("--",INDIRECT(ADDRESS(49,3,,,"MATCHS"))),FALSE),RIGHT(INDIRECT(ADDRESS(49,3,,,"MATCHS")), FIND("--",INDIRECT(ADDRESS(49,3,,,"MATCHS")),1)),INDIRECT(ADDRESS(49,3,,,"MATCHS"))),,IF(IFERROR(FIND("--",INDIRECT(ADDRESS(60,3,,,"MATCHS"))),FALSE),RIGHT(INDIRECT(ADDRESS(60,3,,,"MATCHS")), FIND("--",INDIRECT(ADDRESS(60,3,,,"MATCHS")),1)),INDIRECT(ADDRESS(60,3,,,"MATCHS"))),,IF(IFERROR(FIND("--",INDIRECT(ADDRESS(69,3,,,"MATCHS"))),FALSE),RIGHT(INDIRECT(ADDRESS(69,3,,,"MATCHS")), FIND("--",INDIRECT(ADDRESS(69,3,,,"MATCHS")),1)),INDIRECT(ADDRESS(69,3,,,"MATCHS"))),,)</f>
        <v>0</v>
      </c>
      <c r="J10" s="100">
        <f t="shared" ca="1" si="0"/>
        <v>0</v>
      </c>
      <c r="K10" s="100">
        <v>0</v>
      </c>
      <c r="L10" s="100">
        <v>7</v>
      </c>
      <c r="M10" s="100"/>
      <c r="N10" s="97"/>
    </row>
    <row r="11" spans="1:14" ht="15.75" thickBot="1" x14ac:dyDescent="0.3"/>
    <row r="12" spans="1:14" ht="30.95" customHeight="1" thickBot="1" x14ac:dyDescent="0.3">
      <c r="C12" s="98" t="s">
        <v>191</v>
      </c>
      <c r="D12" s="98" t="s">
        <v>192</v>
      </c>
      <c r="E12" s="104" t="s">
        <v>193</v>
      </c>
      <c r="F12" s="98" t="s">
        <v>194</v>
      </c>
      <c r="G12" s="98" t="s">
        <v>195</v>
      </c>
      <c r="H12" s="98" t="s">
        <v>196</v>
      </c>
      <c r="I12" s="98" t="s">
        <v>197</v>
      </c>
      <c r="J12" s="98" t="s">
        <v>198</v>
      </c>
      <c r="K12" s="99" t="s">
        <v>199</v>
      </c>
      <c r="L12" s="98" t="s">
        <v>200</v>
      </c>
      <c r="M12" s="99" t="s">
        <v>201</v>
      </c>
    </row>
    <row r="14" spans="1:14" ht="15.75" x14ac:dyDescent="0.25">
      <c r="A14" s="233" t="s">
        <v>186</v>
      </c>
      <c r="B14" s="101">
        <v>1</v>
      </c>
      <c r="C14" s="101" t="s">
        <v>123</v>
      </c>
      <c r="D14" s="101" t="str">
        <f>INSCRITS!C10</f>
        <v>1B</v>
      </c>
      <c r="E14" s="106">
        <f ca="1">SUM(IF(INDIRECT(ADDRESS(5,3,,,"MATCHS"))&gt;INDIRECT(ADDRESS(5,5,,,"MATCHS")),1,0),,,IF(INDIRECT(ADDRESS(17,3,,,"MATCHS"))&gt;INDIRECT(ADDRESS(17,5,,,"MATCHS")),1,0),,IF(INDIRECT(ADDRESS(28,3,,,"MATCHS"))&gt;INDIRECT(ADDRESS(28,5,,,"MATCHS")),1,0),,IF(INDIRECT(ADDRESS(39,3,,,"MATCHS"))&gt;INDIRECT(ADDRESS(39,5,,,"MATCHS")),1,0),,,,,IF(INDIRECT(ADDRESS(62,3,,,"MATCHS"))&gt;INDIRECT(ADDRESS(62,5,,,"MATCHS")),1,0),,IF(INDIRECT(ADDRESS(73,3,,,"MATCHS"))&gt;INDIRECT(ADDRESS(73,5,,,"MATCHS")),1,0),) + 0.01 * K14</f>
        <v>0</v>
      </c>
      <c r="F14" s="101">
        <f ca="1">SUM(IF(INDIRECT(ADDRESS(5,3,,,"MATCHS"))&lt;INDIRECT(ADDRESS(5,5,,,"MATCHS")),1,0),,,IF(INDIRECT(ADDRESS(17,3,,,"MATCHS"))&lt;INDIRECT(ADDRESS(17,5,,,"MATCHS")),1,0),,IF(INDIRECT(ADDRESS(28,3,,,"MATCHS"))&lt;INDIRECT(ADDRESS(28,5,,,"MATCHS")),1,0),,IF(INDIRECT(ADDRESS(39,3,,,"MATCHS"))&lt;INDIRECT(ADDRESS(39,5,,,"MATCHS")),1,0),,,,,IF(INDIRECT(ADDRESS(62,3,,,"MATCHS"))&lt;INDIRECT(ADDRESS(62,5,,,"MATCHS")),1,0),,IF(INDIRECT(ADDRESS(73,3,,,"MATCHS"))&lt;INDIRECT(ADDRESS(73,5,,,"MATCHS")),1,0),)</f>
        <v>0</v>
      </c>
      <c r="G14" s="101"/>
      <c r="H14" s="101">
        <f ca="1">SUM(IF(IFERROR(FIND("--",INDIRECT(ADDRESS(5,3,,,"MATCHS"))),FALSE),RIGHT(INDIRECT(ADDRESS(5,3,,,"MATCHS")), FIND("--",INDIRECT(ADDRESS(5,3,,,"MATCHS")),1)),INDIRECT(ADDRESS(5,3,,,"MATCHS"))),,,IF(IFERROR(FIND("--",INDIRECT(ADDRESS(17,3,,,"MATCHS"))),FALSE),RIGHT(INDIRECT(ADDRESS(17,3,,,"MATCHS")), FIND("--",INDIRECT(ADDRESS(17,3,,,"MATCHS")),1)),INDIRECT(ADDRESS(17,3,,,"MATCHS"))),,IF(IFERROR(FIND("--",INDIRECT(ADDRESS(28,3,,,"MATCHS"))),FALSE),RIGHT(INDIRECT(ADDRESS(28,3,,,"MATCHS")), FIND("--",INDIRECT(ADDRESS(28,3,,,"MATCHS")),1)),INDIRECT(ADDRESS(28,3,,,"MATCHS"))),,IF(IFERROR(FIND("--",INDIRECT(ADDRESS(39,3,,,"MATCHS"))),FALSE),RIGHT(INDIRECT(ADDRESS(39,3,,,"MATCHS")), FIND("--",INDIRECT(ADDRESS(39,3,,,"MATCHS")),1)),INDIRECT(ADDRESS(39,3,,,"MATCHS"))),,,,,IF(IFERROR(FIND("--",INDIRECT(ADDRESS(62,3,,,"MATCHS"))),FALSE),RIGHT(INDIRECT(ADDRESS(62,3,,,"MATCHS")), FIND("--",INDIRECT(ADDRESS(62,3,,,"MATCHS")),1)),INDIRECT(ADDRESS(62,3,,,"MATCHS"))),,IF(IFERROR(FIND("--",INDIRECT(ADDRESS(73,3,,,"MATCHS"))),FALSE),RIGHT(INDIRECT(ADDRESS(73,3,,,"MATCHS")), FIND("--",INDIRECT(ADDRESS(73,3,,,"MATCHS")),1)),INDIRECT(ADDRESS(73,3,,,"MATCHS"))),)</f>
        <v>0</v>
      </c>
      <c r="I14" s="101">
        <f ca="1">SUM(IF(IFERROR(FIND("--",INDIRECT(ADDRESS(5,5,,,"MATCHS"))),FALSE),RIGHT(INDIRECT(ADDRESS(5,5,,,"MATCHS")), FIND("--",INDIRECT(ADDRESS(5,5,,,"MATCHS")),1)),INDIRECT(ADDRESS(5,5,,,"MATCHS"))),,,IF(IFERROR(FIND("--",INDIRECT(ADDRESS(17,5,,,"MATCHS"))),FALSE),RIGHT(INDIRECT(ADDRESS(17,5,,,"MATCHS")), FIND("--",INDIRECT(ADDRESS(17,5,,,"MATCHS")),1)),INDIRECT(ADDRESS(17,5,,,"MATCHS"))),,IF(IFERROR(FIND("--",INDIRECT(ADDRESS(28,5,,,"MATCHS"))),FALSE),RIGHT(INDIRECT(ADDRESS(28,5,,,"MATCHS")), FIND("--",INDIRECT(ADDRESS(28,5,,,"MATCHS")),1)),INDIRECT(ADDRESS(28,5,,,"MATCHS"))),,IF(IFERROR(FIND("--",INDIRECT(ADDRESS(39,5,,,"MATCHS"))),FALSE),RIGHT(INDIRECT(ADDRESS(39,5,,,"MATCHS")), FIND("--",INDIRECT(ADDRESS(39,5,,,"MATCHS")),1)),INDIRECT(ADDRESS(39,5,,,"MATCHS"))),,,,,IF(IFERROR(FIND("--",INDIRECT(ADDRESS(62,5,,,"MATCHS"))),FALSE),RIGHT(INDIRECT(ADDRESS(62,5,,,"MATCHS")), FIND("--",INDIRECT(ADDRESS(62,5,,,"MATCHS")),1)),INDIRECT(ADDRESS(62,5,,,"MATCHS"))),,IF(IFERROR(FIND("--",INDIRECT(ADDRESS(73,5,,,"MATCHS"))),FALSE),RIGHT(INDIRECT(ADDRESS(73,5,,,"MATCHS")), FIND("--",INDIRECT(ADDRESS(73,5,,,"MATCHS")),1)),INDIRECT(ADDRESS(73,5,,,"MATCHS"))),)</f>
        <v>0</v>
      </c>
      <c r="J14" s="101">
        <f t="shared" ref="J14:J20" ca="1" si="1">H14 - I14</f>
        <v>0</v>
      </c>
      <c r="K14" s="101">
        <v>0</v>
      </c>
      <c r="L14" s="101">
        <v>1</v>
      </c>
      <c r="M14" s="101"/>
      <c r="N14" s="97"/>
    </row>
    <row r="15" spans="1:14" ht="15.75" x14ac:dyDescent="0.25">
      <c r="A15" s="233"/>
      <c r="B15" s="101">
        <v>2</v>
      </c>
      <c r="C15" s="101" t="s">
        <v>124</v>
      </c>
      <c r="D15" s="101" t="str">
        <f>INSCRITS!C11</f>
        <v>2B</v>
      </c>
      <c r="E15" s="106">
        <f ca="1">SUM(IF(INDIRECT(ADDRESS(5,5,,,"MATCHS"))&gt;INDIRECT(ADDRESS(5,3,,,"MATCHS")),1,0),,,,,IF(INDIRECT(ADDRESS(29,3,,,"MATCHS"))&gt;INDIRECT(ADDRESS(29,5,,,"MATCHS")),1,0),,,IF(INDIRECT(ADDRESS(42,3,,,"MATCHS"))&gt;INDIRECT(ADDRESS(42,5,,,"MATCHS")),1,0),,IF(INDIRECT(ADDRESS(52,3,,,"MATCHS"))&gt;INDIRECT(ADDRESS(52,5,,,"MATCHS")),1,0),,IF(INDIRECT(ADDRESS(63,3,,,"MATCHS"))&gt;INDIRECT(ADDRESS(63,5,,,"MATCHS")),1,0),,IF(INDIRECT(ADDRESS(74,3,,,"MATCHS"))&gt;INDIRECT(ADDRESS(74,5,,,"MATCHS")),1,0),) + 0.01 * K15</f>
        <v>0</v>
      </c>
      <c r="F15" s="101">
        <f ca="1">SUM(IF(INDIRECT(ADDRESS(5,5,,,"MATCHS"))&lt;INDIRECT(ADDRESS(5,3,,,"MATCHS")),1,0),,,,,IF(INDIRECT(ADDRESS(29,3,,,"MATCHS"))&lt;INDIRECT(ADDRESS(29,5,,,"MATCHS")),1,0),,,IF(INDIRECT(ADDRESS(42,3,,,"MATCHS"))&lt;INDIRECT(ADDRESS(42,5,,,"MATCHS")),1,0),,IF(INDIRECT(ADDRESS(52,3,,,"MATCHS"))&lt;INDIRECT(ADDRESS(52,5,,,"MATCHS")),1,0),,IF(INDIRECT(ADDRESS(63,3,,,"MATCHS"))&lt;INDIRECT(ADDRESS(63,5,,,"MATCHS")),1,0),,IF(INDIRECT(ADDRESS(74,3,,,"MATCHS"))&lt;INDIRECT(ADDRESS(74,5,,,"MATCHS")),1,0),)</f>
        <v>0</v>
      </c>
      <c r="G15" s="101"/>
      <c r="H15" s="101">
        <f ca="1">SUM(IF(IFERROR(FIND("--",INDIRECT(ADDRESS(5,5,,,"MATCHS"))),FALSE),RIGHT(INDIRECT(ADDRESS(5,5,,,"MATCHS")), FIND("--",INDIRECT(ADDRESS(5,5,,,"MATCHS")),1)),INDIRECT(ADDRESS(5,5,,,"MATCHS"))),,,,,IF(IFERROR(FIND("--",INDIRECT(ADDRESS(29,3,,,"MATCHS"))),FALSE),RIGHT(INDIRECT(ADDRESS(29,3,,,"MATCHS")), FIND("--",INDIRECT(ADDRESS(29,3,,,"MATCHS")),1)),INDIRECT(ADDRESS(29,3,,,"MATCHS"))),,,IF(IFERROR(FIND("--",INDIRECT(ADDRESS(42,3,,,"MATCHS"))),FALSE),RIGHT(INDIRECT(ADDRESS(42,3,,,"MATCHS")), FIND("--",INDIRECT(ADDRESS(42,3,,,"MATCHS")),1)),INDIRECT(ADDRESS(42,3,,,"MATCHS"))),,IF(IFERROR(FIND("--",INDIRECT(ADDRESS(52,3,,,"MATCHS"))),FALSE),RIGHT(INDIRECT(ADDRESS(52,3,,,"MATCHS")), FIND("--",INDIRECT(ADDRESS(52,3,,,"MATCHS")),1)),INDIRECT(ADDRESS(52,3,,,"MATCHS"))),,IF(IFERROR(FIND("--",INDIRECT(ADDRESS(63,3,,,"MATCHS"))),FALSE),RIGHT(INDIRECT(ADDRESS(63,3,,,"MATCHS")), FIND("--",INDIRECT(ADDRESS(63,3,,,"MATCHS")),1)),INDIRECT(ADDRESS(63,3,,,"MATCHS"))),,IF(IFERROR(FIND("--",INDIRECT(ADDRESS(74,3,,,"MATCHS"))),FALSE),RIGHT(INDIRECT(ADDRESS(74,3,,,"MATCHS")), FIND("--",INDIRECT(ADDRESS(74,3,,,"MATCHS")),1)),INDIRECT(ADDRESS(74,3,,,"MATCHS"))),)</f>
        <v>0</v>
      </c>
      <c r="I15" s="101">
        <f ca="1">SUM(IF(IFERROR(FIND("--",INDIRECT(ADDRESS(5,3,,,"MATCHS"))),FALSE),RIGHT(INDIRECT(ADDRESS(5,3,,,"MATCHS")), FIND("--",INDIRECT(ADDRESS(5,3,,,"MATCHS")),1)),INDIRECT(ADDRESS(5,3,,,"MATCHS"))),,,,,IF(IFERROR(FIND("--",INDIRECT(ADDRESS(29,5,,,"MATCHS"))),FALSE),RIGHT(INDIRECT(ADDRESS(29,5,,,"MATCHS")), FIND("--",INDIRECT(ADDRESS(29,5,,,"MATCHS")),1)),INDIRECT(ADDRESS(29,5,,,"MATCHS"))),,,IF(IFERROR(FIND("--",INDIRECT(ADDRESS(42,5,,,"MATCHS"))),FALSE),RIGHT(INDIRECT(ADDRESS(42,5,,,"MATCHS")), FIND("--",INDIRECT(ADDRESS(42,5,,,"MATCHS")),1)),INDIRECT(ADDRESS(42,5,,,"MATCHS"))),,IF(IFERROR(FIND("--",INDIRECT(ADDRESS(52,5,,,"MATCHS"))),FALSE),RIGHT(INDIRECT(ADDRESS(52,5,,,"MATCHS")), FIND("--",INDIRECT(ADDRESS(52,5,,,"MATCHS")),1)),INDIRECT(ADDRESS(52,5,,,"MATCHS"))),,IF(IFERROR(FIND("--",INDIRECT(ADDRESS(63,5,,,"MATCHS"))),FALSE),RIGHT(INDIRECT(ADDRESS(63,5,,,"MATCHS")), FIND("--",INDIRECT(ADDRESS(63,5,,,"MATCHS")),1)),INDIRECT(ADDRESS(63,5,,,"MATCHS"))),,IF(IFERROR(FIND("--",INDIRECT(ADDRESS(74,5,,,"MATCHS"))),FALSE),RIGHT(INDIRECT(ADDRESS(74,5,,,"MATCHS")), FIND("--",INDIRECT(ADDRESS(74,5,,,"MATCHS")),1)),INDIRECT(ADDRESS(74,5,,,"MATCHS"))),)</f>
        <v>0</v>
      </c>
      <c r="J15" s="101">
        <f t="shared" ca="1" si="1"/>
        <v>0</v>
      </c>
      <c r="K15" s="101">
        <v>0</v>
      </c>
      <c r="L15" s="101">
        <v>2</v>
      </c>
      <c r="M15" s="101"/>
      <c r="N15" s="97"/>
    </row>
    <row r="16" spans="1:14" ht="15.75" x14ac:dyDescent="0.25">
      <c r="A16" s="233"/>
      <c r="B16" s="101">
        <v>3</v>
      </c>
      <c r="C16" s="101" t="s">
        <v>125</v>
      </c>
      <c r="D16" s="101" t="str">
        <f>INSCRITS!C12</f>
        <v>3B</v>
      </c>
      <c r="E16" s="106">
        <f ca="1">SUM(,IF(INDIRECT(ADDRESS(7,3,,,"MATCHS"))&gt;INDIRECT(ADDRESS(7,5,,,"MATCHS")),1,0),,IF(INDIRECT(ADDRESS(17,5,,,"MATCHS"))&gt;INDIRECT(ADDRESS(17,3,,,"MATCHS")),1,0),,IF(INDIRECT(ADDRESS(30,5,,,"MATCHS"))&gt;INDIRECT(ADDRESS(30,3,,,"MATCHS")),1,0),,IF(INDIRECT(ADDRESS(40,5,,,"MATCHS"))&gt;INDIRECT(ADDRESS(40,3,,,"MATCHS")),1,0),,IF(INDIRECT(ADDRESS(50,3,,,"MATCHS"))&gt;INDIRECT(ADDRESS(50,5,,,"MATCHS")),1,0),,,,,IF(INDIRECT(ADDRESS(74,5,,,"MATCHS"))&gt;INDIRECT(ADDRESS(74,3,,,"MATCHS")),1,0),) + 0.01 * K16</f>
        <v>0</v>
      </c>
      <c r="F16" s="101">
        <f ca="1">SUM(,IF(INDIRECT(ADDRESS(7,3,,,"MATCHS"))&lt;INDIRECT(ADDRESS(7,5,,,"MATCHS")),1,0),,IF(INDIRECT(ADDRESS(17,5,,,"MATCHS"))&lt;INDIRECT(ADDRESS(17,3,,,"MATCHS")),1,0),,IF(INDIRECT(ADDRESS(30,5,,,"MATCHS"))&lt;INDIRECT(ADDRESS(30,3,,,"MATCHS")),1,0),,IF(INDIRECT(ADDRESS(40,5,,,"MATCHS"))&lt;INDIRECT(ADDRESS(40,3,,,"MATCHS")),1,0),,IF(INDIRECT(ADDRESS(50,3,,,"MATCHS"))&lt;INDIRECT(ADDRESS(50,5,,,"MATCHS")),1,0),,,,,IF(INDIRECT(ADDRESS(74,5,,,"MATCHS"))&lt;INDIRECT(ADDRESS(74,3,,,"MATCHS")),1,0),)</f>
        <v>0</v>
      </c>
      <c r="G16" s="101"/>
      <c r="H16" s="101">
        <f ca="1">SUM(,IF(IFERROR(FIND("--",INDIRECT(ADDRESS(7,3,,,"MATCHS"))),FALSE),RIGHT(INDIRECT(ADDRESS(7,3,,,"MATCHS")), FIND("--",INDIRECT(ADDRESS(7,3,,,"MATCHS")),1)),INDIRECT(ADDRESS(7,3,,,"MATCHS"))),,IF(IFERROR(FIND("--",INDIRECT(ADDRESS(17,5,,,"MATCHS"))),FALSE),RIGHT(INDIRECT(ADDRESS(17,5,,,"MATCHS")), FIND("--",INDIRECT(ADDRESS(17,5,,,"MATCHS")),1)),INDIRECT(ADDRESS(17,5,,,"MATCHS"))),,IF(IFERROR(FIND("--",INDIRECT(ADDRESS(30,5,,,"MATCHS"))),FALSE),RIGHT(INDIRECT(ADDRESS(30,5,,,"MATCHS")), FIND("--",INDIRECT(ADDRESS(30,5,,,"MATCHS")),1)),INDIRECT(ADDRESS(30,5,,,"MATCHS"))),,IF(IFERROR(FIND("--",INDIRECT(ADDRESS(40,5,,,"MATCHS"))),FALSE),RIGHT(INDIRECT(ADDRESS(40,5,,,"MATCHS")), FIND("--",INDIRECT(ADDRESS(40,5,,,"MATCHS")),1)),INDIRECT(ADDRESS(40,5,,,"MATCHS"))),,IF(IFERROR(FIND("--",INDIRECT(ADDRESS(50,3,,,"MATCHS"))),FALSE),RIGHT(INDIRECT(ADDRESS(50,3,,,"MATCHS")), FIND("--",INDIRECT(ADDRESS(50,3,,,"MATCHS")),1)),INDIRECT(ADDRESS(50,3,,,"MATCHS"))),,,,,IF(IFERROR(FIND("--",INDIRECT(ADDRESS(74,5,,,"MATCHS"))),FALSE),RIGHT(INDIRECT(ADDRESS(74,5,,,"MATCHS")), FIND("--",INDIRECT(ADDRESS(74,5,,,"MATCHS")),1)),INDIRECT(ADDRESS(74,5,,,"MATCHS"))),)</f>
        <v>0</v>
      </c>
      <c r="I16" s="101">
        <f ca="1">SUM(,IF(IFERROR(FIND("--",INDIRECT(ADDRESS(7,5,,,"MATCHS"))),FALSE),RIGHT(INDIRECT(ADDRESS(7,5,,,"MATCHS")), FIND("--",INDIRECT(ADDRESS(7,5,,,"MATCHS")),1)),INDIRECT(ADDRESS(7,5,,,"MATCHS"))),,IF(IFERROR(FIND("--",INDIRECT(ADDRESS(17,3,,,"MATCHS"))),FALSE),RIGHT(INDIRECT(ADDRESS(17,3,,,"MATCHS")), FIND("--",INDIRECT(ADDRESS(17,3,,,"MATCHS")),1)),INDIRECT(ADDRESS(17,3,,,"MATCHS"))),,IF(IFERROR(FIND("--",INDIRECT(ADDRESS(30,3,,,"MATCHS"))),FALSE),RIGHT(INDIRECT(ADDRESS(30,3,,,"MATCHS")), FIND("--",INDIRECT(ADDRESS(30,3,,,"MATCHS")),1)),INDIRECT(ADDRESS(30,3,,,"MATCHS"))),,IF(IFERROR(FIND("--",INDIRECT(ADDRESS(40,3,,,"MATCHS"))),FALSE),RIGHT(INDIRECT(ADDRESS(40,3,,,"MATCHS")), FIND("--",INDIRECT(ADDRESS(40,3,,,"MATCHS")),1)),INDIRECT(ADDRESS(40,3,,,"MATCHS"))),,IF(IFERROR(FIND("--",INDIRECT(ADDRESS(50,5,,,"MATCHS"))),FALSE),RIGHT(INDIRECT(ADDRESS(50,5,,,"MATCHS")), FIND("--",INDIRECT(ADDRESS(50,5,,,"MATCHS")),1)),INDIRECT(ADDRESS(50,5,,,"MATCHS"))),,,,,IF(IFERROR(FIND("--",INDIRECT(ADDRESS(74,3,,,"MATCHS"))),FALSE),RIGHT(INDIRECT(ADDRESS(74,3,,,"MATCHS")), FIND("--",INDIRECT(ADDRESS(74,3,,,"MATCHS")),1)),INDIRECT(ADDRESS(74,3,,,"MATCHS"))),)</f>
        <v>0</v>
      </c>
      <c r="J16" s="101">
        <f t="shared" ca="1" si="1"/>
        <v>0</v>
      </c>
      <c r="K16" s="101">
        <v>0</v>
      </c>
      <c r="L16" s="101">
        <v>3</v>
      </c>
      <c r="M16" s="101"/>
      <c r="N16" s="97"/>
    </row>
    <row r="17" spans="1:14" ht="15.75" x14ac:dyDescent="0.25">
      <c r="A17" s="233"/>
      <c r="B17" s="101">
        <v>4</v>
      </c>
      <c r="C17" s="101" t="s">
        <v>126</v>
      </c>
      <c r="D17" s="101" t="str">
        <f>INSCRITS!C13</f>
        <v>4B</v>
      </c>
      <c r="E17" s="106">
        <f ca="1">SUM(,IF(INDIRECT(ADDRESS(7,5,,,"MATCHS"))&gt;INDIRECT(ADDRESS(7,3,,,"MATCHS")),1,0),,IF(INDIRECT(ADDRESS(18,5,,,"MATCHS"))&gt;INDIRECT(ADDRESS(18,3,,,"MATCHS")),1,0),,IF(INDIRECT(ADDRESS(28,5,,,"MATCHS"))&gt;INDIRECT(ADDRESS(28,3,,,"MATCHS")),1,0),,,,,IF(INDIRECT(ADDRESS(53,3,,,"MATCHS"))&gt;INDIRECT(ADDRESS(53,5,,,"MATCHS")),1,0),,IF(INDIRECT(ADDRESS(63,5,,,"MATCHS"))&gt;INDIRECT(ADDRESS(63,3,,,"MATCHS")),1,0),,IF(INDIRECT(ADDRESS(75,3,,,"MATCHS"))&gt;INDIRECT(ADDRESS(75,5,,,"MATCHS")),1,0),) + 0.01 * K17</f>
        <v>0</v>
      </c>
      <c r="F17" s="101">
        <f ca="1">SUM(,IF(INDIRECT(ADDRESS(7,5,,,"MATCHS"))&lt;INDIRECT(ADDRESS(7,3,,,"MATCHS")),1,0),,IF(INDIRECT(ADDRESS(18,5,,,"MATCHS"))&lt;INDIRECT(ADDRESS(18,3,,,"MATCHS")),1,0),,IF(INDIRECT(ADDRESS(28,5,,,"MATCHS"))&lt;INDIRECT(ADDRESS(28,3,,,"MATCHS")),1,0),,,,,IF(INDIRECT(ADDRESS(53,3,,,"MATCHS"))&lt;INDIRECT(ADDRESS(53,5,,,"MATCHS")),1,0),,IF(INDIRECT(ADDRESS(63,5,,,"MATCHS"))&lt;INDIRECT(ADDRESS(63,3,,,"MATCHS")),1,0),,IF(INDIRECT(ADDRESS(75,3,,,"MATCHS"))&lt;INDIRECT(ADDRESS(75,5,,,"MATCHS")),1,0),)</f>
        <v>0</v>
      </c>
      <c r="G17" s="101"/>
      <c r="H17" s="101">
        <f ca="1">SUM(,IF(IFERROR(FIND("--",INDIRECT(ADDRESS(7,5,,,"MATCHS"))),FALSE),RIGHT(INDIRECT(ADDRESS(7,5,,,"MATCHS")), FIND("--",INDIRECT(ADDRESS(7,5,,,"MATCHS")),1)),INDIRECT(ADDRESS(7,5,,,"MATCHS"))),,IF(IFERROR(FIND("--",INDIRECT(ADDRESS(18,5,,,"MATCHS"))),FALSE),RIGHT(INDIRECT(ADDRESS(18,5,,,"MATCHS")), FIND("--",INDIRECT(ADDRESS(18,5,,,"MATCHS")),1)),INDIRECT(ADDRESS(18,5,,,"MATCHS"))),,IF(IFERROR(FIND("--",INDIRECT(ADDRESS(28,5,,,"MATCHS"))),FALSE),RIGHT(INDIRECT(ADDRESS(28,5,,,"MATCHS")), FIND("--",INDIRECT(ADDRESS(28,5,,,"MATCHS")),1)),INDIRECT(ADDRESS(28,5,,,"MATCHS"))),,,,,IF(IFERROR(FIND("--",INDIRECT(ADDRESS(53,3,,,"MATCHS"))),FALSE),RIGHT(INDIRECT(ADDRESS(53,3,,,"MATCHS")), FIND("--",INDIRECT(ADDRESS(53,3,,,"MATCHS")),1)),INDIRECT(ADDRESS(53,3,,,"MATCHS"))),,IF(IFERROR(FIND("--",INDIRECT(ADDRESS(63,5,,,"MATCHS"))),FALSE),RIGHT(INDIRECT(ADDRESS(63,5,,,"MATCHS")), FIND("--",INDIRECT(ADDRESS(63,5,,,"MATCHS")),1)),INDIRECT(ADDRESS(63,5,,,"MATCHS"))),,IF(IFERROR(FIND("--",INDIRECT(ADDRESS(75,3,,,"MATCHS"))),FALSE),RIGHT(INDIRECT(ADDRESS(75,3,,,"MATCHS")), FIND("--",INDIRECT(ADDRESS(75,3,,,"MATCHS")),1)),INDIRECT(ADDRESS(75,3,,,"MATCHS"))),)</f>
        <v>0</v>
      </c>
      <c r="I17" s="101">
        <f ca="1">SUM(,IF(IFERROR(FIND("--",INDIRECT(ADDRESS(7,3,,,"MATCHS"))),FALSE),RIGHT(INDIRECT(ADDRESS(7,3,,,"MATCHS")), FIND("--",INDIRECT(ADDRESS(7,3,,,"MATCHS")),1)),INDIRECT(ADDRESS(7,3,,,"MATCHS"))),,IF(IFERROR(FIND("--",INDIRECT(ADDRESS(18,3,,,"MATCHS"))),FALSE),RIGHT(INDIRECT(ADDRESS(18,3,,,"MATCHS")), FIND("--",INDIRECT(ADDRESS(18,3,,,"MATCHS")),1)),INDIRECT(ADDRESS(18,3,,,"MATCHS"))),,IF(IFERROR(FIND("--",INDIRECT(ADDRESS(28,3,,,"MATCHS"))),FALSE),RIGHT(INDIRECT(ADDRESS(28,3,,,"MATCHS")), FIND("--",INDIRECT(ADDRESS(28,3,,,"MATCHS")),1)),INDIRECT(ADDRESS(28,3,,,"MATCHS"))),,,,,IF(IFERROR(FIND("--",INDIRECT(ADDRESS(53,5,,,"MATCHS"))),FALSE),RIGHT(INDIRECT(ADDRESS(53,5,,,"MATCHS")), FIND("--",INDIRECT(ADDRESS(53,5,,,"MATCHS")),1)),INDIRECT(ADDRESS(53,5,,,"MATCHS"))),,IF(IFERROR(FIND("--",INDIRECT(ADDRESS(63,3,,,"MATCHS"))),FALSE),RIGHT(INDIRECT(ADDRESS(63,3,,,"MATCHS")), FIND("--",INDIRECT(ADDRESS(63,3,,,"MATCHS")),1)),INDIRECT(ADDRESS(63,3,,,"MATCHS"))),,IF(IFERROR(FIND("--",INDIRECT(ADDRESS(75,5,,,"MATCHS"))),FALSE),RIGHT(INDIRECT(ADDRESS(75,5,,,"MATCHS")), FIND("--",INDIRECT(ADDRESS(75,5,,,"MATCHS")),1)),INDIRECT(ADDRESS(75,5,,,"MATCHS"))),)</f>
        <v>0</v>
      </c>
      <c r="J17" s="101">
        <f t="shared" ca="1" si="1"/>
        <v>0</v>
      </c>
      <c r="K17" s="101">
        <v>0</v>
      </c>
      <c r="L17" s="101">
        <v>4</v>
      </c>
      <c r="M17" s="101"/>
      <c r="N17" s="97"/>
    </row>
    <row r="18" spans="1:14" ht="15.75" x14ac:dyDescent="0.25">
      <c r="A18" s="233"/>
      <c r="B18" s="101">
        <v>5</v>
      </c>
      <c r="C18" s="101" t="s">
        <v>150</v>
      </c>
      <c r="D18" s="101" t="str">
        <f>INSCRITS!C14</f>
        <v>5B</v>
      </c>
      <c r="E18" s="106">
        <f ca="1">SUM(,IF(INDIRECT(ADDRESS(8,3,,,"MATCHS"))&gt;INDIRECT(ADDRESS(8,5,,,"MATCHS")),1,0),,IF(INDIRECT(ADDRESS(18,3,,,"MATCHS"))&gt;INDIRECT(ADDRESS(18,5,,,"MATCHS")),1,0),,IF(INDIRECT(ADDRESS(29,5,,,"MATCHS"))&gt;INDIRECT(ADDRESS(29,3,,,"MATCHS")),1,0),,IF(INDIRECT(ADDRESS(39,5,,,"MATCHS"))&gt;INDIRECT(ADDRESS(39,3,,,"MATCHS")),1,0),,IF(INDIRECT(ADDRESS(50,5,,,"MATCHS"))&gt;INDIRECT(ADDRESS(50,3,,,"MATCHS")),1,0),,,IF(INDIRECT(ADDRESS(64,3,,,"MATCHS"))&gt;INDIRECT(ADDRESS(64,5,,,"MATCHS")),1,0),,,) + 0.01 * K18</f>
        <v>0</v>
      </c>
      <c r="F18" s="101">
        <f ca="1">SUM(,IF(INDIRECT(ADDRESS(8,3,,,"MATCHS"))&lt;INDIRECT(ADDRESS(8,5,,,"MATCHS")),1,0),,IF(INDIRECT(ADDRESS(18,3,,,"MATCHS"))&lt;INDIRECT(ADDRESS(18,5,,,"MATCHS")),1,0),,IF(INDIRECT(ADDRESS(29,5,,,"MATCHS"))&lt;INDIRECT(ADDRESS(29,3,,,"MATCHS")),1,0),,IF(INDIRECT(ADDRESS(39,5,,,"MATCHS"))&lt;INDIRECT(ADDRESS(39,3,,,"MATCHS")),1,0),,IF(INDIRECT(ADDRESS(50,5,,,"MATCHS"))&lt;INDIRECT(ADDRESS(50,3,,,"MATCHS")),1,0),,,IF(INDIRECT(ADDRESS(64,3,,,"MATCHS"))&lt;INDIRECT(ADDRESS(64,5,,,"MATCHS")),1,0),,,)</f>
        <v>0</v>
      </c>
      <c r="G18" s="101"/>
      <c r="H18" s="101">
        <f ca="1">SUM(,IF(IFERROR(FIND("--",INDIRECT(ADDRESS(8,3,,,"MATCHS"))),FALSE),RIGHT(INDIRECT(ADDRESS(8,3,,,"MATCHS")), FIND("--",INDIRECT(ADDRESS(8,3,,,"MATCHS")),1)),INDIRECT(ADDRESS(8,3,,,"MATCHS"))),,IF(IFERROR(FIND("--",INDIRECT(ADDRESS(18,3,,,"MATCHS"))),FALSE),RIGHT(INDIRECT(ADDRESS(18,3,,,"MATCHS")), FIND("--",INDIRECT(ADDRESS(18,3,,,"MATCHS")),1)),INDIRECT(ADDRESS(18,3,,,"MATCHS"))),,IF(IFERROR(FIND("--",INDIRECT(ADDRESS(29,5,,,"MATCHS"))),FALSE),RIGHT(INDIRECT(ADDRESS(29,5,,,"MATCHS")), FIND("--",INDIRECT(ADDRESS(29,5,,,"MATCHS")),1)),INDIRECT(ADDRESS(29,5,,,"MATCHS"))),,IF(IFERROR(FIND("--",INDIRECT(ADDRESS(39,5,,,"MATCHS"))),FALSE),RIGHT(INDIRECT(ADDRESS(39,5,,,"MATCHS")), FIND("--",INDIRECT(ADDRESS(39,5,,,"MATCHS")),1)),INDIRECT(ADDRESS(39,5,,,"MATCHS"))),,IF(IFERROR(FIND("--",INDIRECT(ADDRESS(50,5,,,"MATCHS"))),FALSE),RIGHT(INDIRECT(ADDRESS(50,5,,,"MATCHS")), FIND("--",INDIRECT(ADDRESS(50,5,,,"MATCHS")),1)),INDIRECT(ADDRESS(50,5,,,"MATCHS"))),,,IF(IFERROR(FIND("--",INDIRECT(ADDRESS(64,3,,,"MATCHS"))),FALSE),RIGHT(INDIRECT(ADDRESS(64,3,,,"MATCHS")), FIND("--",INDIRECT(ADDRESS(64,3,,,"MATCHS")),1)),INDIRECT(ADDRESS(64,3,,,"MATCHS"))),,,)</f>
        <v>0</v>
      </c>
      <c r="I18" s="101">
        <f ca="1">SUM(,IF(IFERROR(FIND("--",INDIRECT(ADDRESS(8,5,,,"MATCHS"))),FALSE),RIGHT(INDIRECT(ADDRESS(8,5,,,"MATCHS")), FIND("--",INDIRECT(ADDRESS(8,5,,,"MATCHS")),1)),INDIRECT(ADDRESS(8,5,,,"MATCHS"))),,IF(IFERROR(FIND("--",INDIRECT(ADDRESS(18,5,,,"MATCHS"))),FALSE),RIGHT(INDIRECT(ADDRESS(18,5,,,"MATCHS")), FIND("--",INDIRECT(ADDRESS(18,5,,,"MATCHS")),1)),INDIRECT(ADDRESS(18,5,,,"MATCHS"))),,IF(IFERROR(FIND("--",INDIRECT(ADDRESS(29,3,,,"MATCHS"))),FALSE),RIGHT(INDIRECT(ADDRESS(29,3,,,"MATCHS")), FIND("--",INDIRECT(ADDRESS(29,3,,,"MATCHS")),1)),INDIRECT(ADDRESS(29,3,,,"MATCHS"))),,IF(IFERROR(FIND("--",INDIRECT(ADDRESS(39,3,,,"MATCHS"))),FALSE),RIGHT(INDIRECT(ADDRESS(39,3,,,"MATCHS")), FIND("--",INDIRECT(ADDRESS(39,3,,,"MATCHS")),1)),INDIRECT(ADDRESS(39,3,,,"MATCHS"))),,IF(IFERROR(FIND("--",INDIRECT(ADDRESS(50,3,,,"MATCHS"))),FALSE),RIGHT(INDIRECT(ADDRESS(50,3,,,"MATCHS")), FIND("--",INDIRECT(ADDRESS(50,3,,,"MATCHS")),1)),INDIRECT(ADDRESS(50,3,,,"MATCHS"))),,,IF(IFERROR(FIND("--",INDIRECT(ADDRESS(64,5,,,"MATCHS"))),FALSE),RIGHT(INDIRECT(ADDRESS(64,5,,,"MATCHS")), FIND("--",INDIRECT(ADDRESS(64,5,,,"MATCHS")),1)),INDIRECT(ADDRESS(64,5,,,"MATCHS"))),,,)</f>
        <v>0</v>
      </c>
      <c r="J18" s="101">
        <f t="shared" ca="1" si="1"/>
        <v>0</v>
      </c>
      <c r="K18" s="101">
        <v>0</v>
      </c>
      <c r="L18" s="101">
        <v>5</v>
      </c>
      <c r="M18" s="101"/>
      <c r="N18" s="97"/>
    </row>
    <row r="19" spans="1:14" ht="15.75" x14ac:dyDescent="0.25">
      <c r="A19" s="233"/>
      <c r="B19" s="101">
        <v>6</v>
      </c>
      <c r="C19" s="101" t="s">
        <v>151</v>
      </c>
      <c r="D19" s="101" t="str">
        <f>INSCRITS!C15</f>
        <v>6B</v>
      </c>
      <c r="E19" s="106">
        <f ca="1">SUM(,IF(INDIRECT(ADDRESS(8,5,,,"MATCHS"))&gt;INDIRECT(ADDRESS(8,3,,,"MATCHS")),1,0),,IF(INDIRECT(ADDRESS(19,3,,,"MATCHS"))&gt;INDIRECT(ADDRESS(19,5,,,"MATCHS")),1,0),,,,IF(INDIRECT(ADDRESS(40,3,,,"MATCHS"))&gt;INDIRECT(ADDRESS(40,5,,,"MATCHS")),1,0),,,IF(INDIRECT(ADDRESS(52,5,,,"MATCHS"))&gt;INDIRECT(ADDRESS(52,3,,,"MATCHS")),1,0),,IF(INDIRECT(ADDRESS(62,5,,,"MATCHS"))&gt;INDIRECT(ADDRESS(62,3,,,"MATCHS")),1,0),,IF(INDIRECT(ADDRESS(75,5,,,"MATCHS"))&gt;INDIRECT(ADDRESS(75,3,,,"MATCHS")),1,0),) + 0.01 * K19</f>
        <v>0</v>
      </c>
      <c r="F19" s="101">
        <f ca="1">SUM(,IF(INDIRECT(ADDRESS(8,5,,,"MATCHS"))&lt;INDIRECT(ADDRESS(8,3,,,"MATCHS")),1,0),,IF(INDIRECT(ADDRESS(19,3,,,"MATCHS"))&lt;INDIRECT(ADDRESS(19,5,,,"MATCHS")),1,0),,,,IF(INDIRECT(ADDRESS(40,3,,,"MATCHS"))&lt;INDIRECT(ADDRESS(40,5,,,"MATCHS")),1,0),,,IF(INDIRECT(ADDRESS(52,5,,,"MATCHS"))&lt;INDIRECT(ADDRESS(52,3,,,"MATCHS")),1,0),,IF(INDIRECT(ADDRESS(62,5,,,"MATCHS"))&lt;INDIRECT(ADDRESS(62,3,,,"MATCHS")),1,0),,IF(INDIRECT(ADDRESS(75,5,,,"MATCHS"))&lt;INDIRECT(ADDRESS(75,3,,,"MATCHS")),1,0),)</f>
        <v>0</v>
      </c>
      <c r="G19" s="101"/>
      <c r="H19" s="101">
        <f ca="1">SUM(,IF(IFERROR(FIND("--",INDIRECT(ADDRESS(8,5,,,"MATCHS"))),FALSE),RIGHT(INDIRECT(ADDRESS(8,5,,,"MATCHS")), FIND("--",INDIRECT(ADDRESS(8,5,,,"MATCHS")),1)),INDIRECT(ADDRESS(8,5,,,"MATCHS"))),,IF(IFERROR(FIND("--",INDIRECT(ADDRESS(19,3,,,"MATCHS"))),FALSE),RIGHT(INDIRECT(ADDRESS(19,3,,,"MATCHS")), FIND("--",INDIRECT(ADDRESS(19,3,,,"MATCHS")),1)),INDIRECT(ADDRESS(19,3,,,"MATCHS"))),,,,IF(IFERROR(FIND("--",INDIRECT(ADDRESS(40,3,,,"MATCHS"))),FALSE),RIGHT(INDIRECT(ADDRESS(40,3,,,"MATCHS")), FIND("--",INDIRECT(ADDRESS(40,3,,,"MATCHS")),1)),INDIRECT(ADDRESS(40,3,,,"MATCHS"))),,,IF(IFERROR(FIND("--",INDIRECT(ADDRESS(52,5,,,"MATCHS"))),FALSE),RIGHT(INDIRECT(ADDRESS(52,5,,,"MATCHS")), FIND("--",INDIRECT(ADDRESS(52,5,,,"MATCHS")),1)),INDIRECT(ADDRESS(52,5,,,"MATCHS"))),,IF(IFERROR(FIND("--",INDIRECT(ADDRESS(62,5,,,"MATCHS"))),FALSE),RIGHT(INDIRECT(ADDRESS(62,5,,,"MATCHS")), FIND("--",INDIRECT(ADDRESS(62,5,,,"MATCHS")),1)),INDIRECT(ADDRESS(62,5,,,"MATCHS"))),,IF(IFERROR(FIND("--",INDIRECT(ADDRESS(75,5,,,"MATCHS"))),FALSE),RIGHT(INDIRECT(ADDRESS(75,5,,,"MATCHS")), FIND("--",INDIRECT(ADDRESS(75,5,,,"MATCHS")),1)),INDIRECT(ADDRESS(75,5,,,"MATCHS"))),)</f>
        <v>0</v>
      </c>
      <c r="I19" s="101">
        <f ca="1">SUM(,IF(IFERROR(FIND("--",INDIRECT(ADDRESS(8,3,,,"MATCHS"))),FALSE),RIGHT(INDIRECT(ADDRESS(8,3,,,"MATCHS")), FIND("--",INDIRECT(ADDRESS(8,3,,,"MATCHS")),1)),INDIRECT(ADDRESS(8,3,,,"MATCHS"))),,IF(IFERROR(FIND("--",INDIRECT(ADDRESS(19,5,,,"MATCHS"))),FALSE),RIGHT(INDIRECT(ADDRESS(19,5,,,"MATCHS")), FIND("--",INDIRECT(ADDRESS(19,5,,,"MATCHS")),1)),INDIRECT(ADDRESS(19,5,,,"MATCHS"))),,,,IF(IFERROR(FIND("--",INDIRECT(ADDRESS(40,5,,,"MATCHS"))),FALSE),RIGHT(INDIRECT(ADDRESS(40,5,,,"MATCHS")), FIND("--",INDIRECT(ADDRESS(40,5,,,"MATCHS")),1)),INDIRECT(ADDRESS(40,5,,,"MATCHS"))),,,IF(IFERROR(FIND("--",INDIRECT(ADDRESS(52,3,,,"MATCHS"))),FALSE),RIGHT(INDIRECT(ADDRESS(52,3,,,"MATCHS")), FIND("--",INDIRECT(ADDRESS(52,3,,,"MATCHS")),1)),INDIRECT(ADDRESS(52,3,,,"MATCHS"))),,IF(IFERROR(FIND("--",INDIRECT(ADDRESS(62,3,,,"MATCHS"))),FALSE),RIGHT(INDIRECT(ADDRESS(62,3,,,"MATCHS")), FIND("--",INDIRECT(ADDRESS(62,3,,,"MATCHS")),1)),INDIRECT(ADDRESS(62,3,,,"MATCHS"))),,IF(IFERROR(FIND("--",INDIRECT(ADDRESS(75,3,,,"MATCHS"))),FALSE),RIGHT(INDIRECT(ADDRESS(75,3,,,"MATCHS")), FIND("--",INDIRECT(ADDRESS(75,3,,,"MATCHS")),1)),INDIRECT(ADDRESS(75,3,,,"MATCHS"))),)</f>
        <v>0</v>
      </c>
      <c r="J19" s="101">
        <f t="shared" ca="1" si="1"/>
        <v>0</v>
      </c>
      <c r="K19" s="101">
        <v>0</v>
      </c>
      <c r="L19" s="101">
        <v>6</v>
      </c>
      <c r="M19" s="101"/>
      <c r="N19" s="97"/>
    </row>
    <row r="20" spans="1:14" ht="15.75" x14ac:dyDescent="0.25">
      <c r="A20" s="233"/>
      <c r="B20" s="101">
        <v>7</v>
      </c>
      <c r="C20" s="101" t="s">
        <v>152</v>
      </c>
      <c r="D20" s="101" t="str">
        <f>INSCRITS!C16</f>
        <v>7B</v>
      </c>
      <c r="E20" s="106">
        <f ca="1">SUM(,,,IF(INDIRECT(ADDRESS(19,5,,,"MATCHS"))&gt;INDIRECT(ADDRESS(19,3,,,"MATCHS")),1,0),,IF(INDIRECT(ADDRESS(30,3,,,"MATCHS"))&gt;INDIRECT(ADDRESS(30,5,,,"MATCHS")),1,0),,,IF(INDIRECT(ADDRESS(42,5,,,"MATCHS"))&gt;INDIRECT(ADDRESS(42,3,,,"MATCHS")),1,0),,IF(INDIRECT(ADDRESS(53,5,,,"MATCHS"))&gt;INDIRECT(ADDRESS(53,3,,,"MATCHS")),1,0),,IF(INDIRECT(ADDRESS(64,5,,,"MATCHS"))&gt;INDIRECT(ADDRESS(64,3,,,"MATCHS")),1,0),,IF(INDIRECT(ADDRESS(73,5,,,"MATCHS"))&gt;INDIRECT(ADDRESS(73,3,,,"MATCHS")),1,0),) + 0.01 * K20</f>
        <v>0</v>
      </c>
      <c r="F20" s="101">
        <f ca="1">SUM(,,,IF(INDIRECT(ADDRESS(19,5,,,"MATCHS"))&lt;INDIRECT(ADDRESS(19,3,,,"MATCHS")),1,0),,IF(INDIRECT(ADDRESS(30,3,,,"MATCHS"))&lt;INDIRECT(ADDRESS(30,5,,,"MATCHS")),1,0),,,IF(INDIRECT(ADDRESS(42,5,,,"MATCHS"))&lt;INDIRECT(ADDRESS(42,3,,,"MATCHS")),1,0),,IF(INDIRECT(ADDRESS(53,5,,,"MATCHS"))&lt;INDIRECT(ADDRESS(53,3,,,"MATCHS")),1,0),,IF(INDIRECT(ADDRESS(64,5,,,"MATCHS"))&lt;INDIRECT(ADDRESS(64,3,,,"MATCHS")),1,0),,IF(INDIRECT(ADDRESS(73,5,,,"MATCHS"))&lt;INDIRECT(ADDRESS(73,3,,,"MATCHS")),1,0),)</f>
        <v>0</v>
      </c>
      <c r="G20" s="101"/>
      <c r="H20" s="101">
        <f ca="1">SUM(,,,IF(IFERROR(FIND("--",INDIRECT(ADDRESS(19,5,,,"MATCHS"))),FALSE),RIGHT(INDIRECT(ADDRESS(19,5,,,"MATCHS")), FIND("--",INDIRECT(ADDRESS(19,5,,,"MATCHS")),1)),INDIRECT(ADDRESS(19,5,,,"MATCHS"))),,IF(IFERROR(FIND("--",INDIRECT(ADDRESS(30,3,,,"MATCHS"))),FALSE),RIGHT(INDIRECT(ADDRESS(30,3,,,"MATCHS")), FIND("--",INDIRECT(ADDRESS(30,3,,,"MATCHS")),1)),INDIRECT(ADDRESS(30,3,,,"MATCHS"))),,,IF(IFERROR(FIND("--",INDIRECT(ADDRESS(42,5,,,"MATCHS"))),FALSE),RIGHT(INDIRECT(ADDRESS(42,5,,,"MATCHS")), FIND("--",INDIRECT(ADDRESS(42,5,,,"MATCHS")),1)),INDIRECT(ADDRESS(42,5,,,"MATCHS"))),,IF(IFERROR(FIND("--",INDIRECT(ADDRESS(53,5,,,"MATCHS"))),FALSE),RIGHT(INDIRECT(ADDRESS(53,5,,,"MATCHS")), FIND("--",INDIRECT(ADDRESS(53,5,,,"MATCHS")),1)),INDIRECT(ADDRESS(53,5,,,"MATCHS"))),,IF(IFERROR(FIND("--",INDIRECT(ADDRESS(64,5,,,"MATCHS"))),FALSE),RIGHT(INDIRECT(ADDRESS(64,5,,,"MATCHS")), FIND("--",INDIRECT(ADDRESS(64,5,,,"MATCHS")),1)),INDIRECT(ADDRESS(64,5,,,"MATCHS"))),,IF(IFERROR(FIND("--",INDIRECT(ADDRESS(73,5,,,"MATCHS"))),FALSE),RIGHT(INDIRECT(ADDRESS(73,5,,,"MATCHS")), FIND("--",INDIRECT(ADDRESS(73,5,,,"MATCHS")),1)),INDIRECT(ADDRESS(73,5,,,"MATCHS"))),)</f>
        <v>0</v>
      </c>
      <c r="I20" s="101">
        <f ca="1">SUM(,,,IF(IFERROR(FIND("--",INDIRECT(ADDRESS(19,3,,,"MATCHS"))),FALSE),RIGHT(INDIRECT(ADDRESS(19,3,,,"MATCHS")), FIND("--",INDIRECT(ADDRESS(19,3,,,"MATCHS")),1)),INDIRECT(ADDRESS(19,3,,,"MATCHS"))),,IF(IFERROR(FIND("--",INDIRECT(ADDRESS(30,5,,,"MATCHS"))),FALSE),RIGHT(INDIRECT(ADDRESS(30,5,,,"MATCHS")), FIND("--",INDIRECT(ADDRESS(30,5,,,"MATCHS")),1)),INDIRECT(ADDRESS(30,5,,,"MATCHS"))),,,IF(IFERROR(FIND("--",INDIRECT(ADDRESS(42,3,,,"MATCHS"))),FALSE),RIGHT(INDIRECT(ADDRESS(42,3,,,"MATCHS")), FIND("--",INDIRECT(ADDRESS(42,3,,,"MATCHS")),1)),INDIRECT(ADDRESS(42,3,,,"MATCHS"))),,IF(IFERROR(FIND("--",INDIRECT(ADDRESS(53,3,,,"MATCHS"))),FALSE),RIGHT(INDIRECT(ADDRESS(53,3,,,"MATCHS")), FIND("--",INDIRECT(ADDRESS(53,3,,,"MATCHS")),1)),INDIRECT(ADDRESS(53,3,,,"MATCHS"))),,IF(IFERROR(FIND("--",INDIRECT(ADDRESS(64,3,,,"MATCHS"))),FALSE),RIGHT(INDIRECT(ADDRESS(64,3,,,"MATCHS")), FIND("--",INDIRECT(ADDRESS(64,3,,,"MATCHS")),1)),INDIRECT(ADDRESS(64,3,,,"MATCHS"))),,IF(IFERROR(FIND("--",INDIRECT(ADDRESS(73,3,,,"MATCHS"))),FALSE),RIGHT(INDIRECT(ADDRESS(73,3,,,"MATCHS")), FIND("--",INDIRECT(ADDRESS(73,3,,,"MATCHS")),1)),INDIRECT(ADDRESS(73,3,,,"MATCHS"))),)</f>
        <v>0</v>
      </c>
      <c r="J20" s="101">
        <f t="shared" ca="1" si="1"/>
        <v>0</v>
      </c>
      <c r="K20" s="101">
        <v>0</v>
      </c>
      <c r="L20" s="101">
        <v>7</v>
      </c>
      <c r="M20" s="101"/>
      <c r="N20" s="97"/>
    </row>
    <row r="21" spans="1:14" ht="15.75" thickBot="1" x14ac:dyDescent="0.3"/>
    <row r="22" spans="1:14" ht="30.95" customHeight="1" thickBot="1" x14ac:dyDescent="0.3">
      <c r="C22" s="98" t="s">
        <v>191</v>
      </c>
      <c r="D22" s="98" t="s">
        <v>192</v>
      </c>
      <c r="E22" s="104" t="s">
        <v>193</v>
      </c>
      <c r="F22" s="98" t="s">
        <v>194</v>
      </c>
      <c r="G22" s="98" t="s">
        <v>195</v>
      </c>
      <c r="H22" s="98" t="s">
        <v>196</v>
      </c>
      <c r="I22" s="98" t="s">
        <v>197</v>
      </c>
      <c r="J22" s="98" t="s">
        <v>198</v>
      </c>
      <c r="K22" s="99" t="s">
        <v>199</v>
      </c>
      <c r="L22" s="98" t="s">
        <v>200</v>
      </c>
      <c r="M22" s="99" t="s">
        <v>201</v>
      </c>
    </row>
    <row r="24" spans="1:14" ht="15.75" x14ac:dyDescent="0.25">
      <c r="A24" s="234" t="s">
        <v>187</v>
      </c>
      <c r="B24" s="102">
        <v>1</v>
      </c>
      <c r="C24" s="102" t="s">
        <v>153</v>
      </c>
      <c r="D24" s="102" t="str">
        <f>INSCRITS!C18</f>
        <v>1C</v>
      </c>
      <c r="E24" s="107">
        <f ca="1">SUM(,IF(INDIRECT(ADDRESS(9,3,,,"MATCHS"))&gt;INDIRECT(ADDRESS(9,5,,,"MATCHS")),1,0),,IF(INDIRECT(ADDRESS(20,3,,,"MATCHS"))&gt;INDIRECT(ADDRESS(20,5,,,"MATCHS")),1,0),,,IF(INDIRECT(ADDRESS(32,3,,,"MATCHS"))&gt;INDIRECT(ADDRESS(32,5,,,"MATCHS")),1,0),,IF(INDIRECT(ADDRESS(43,3,,,"MATCHS"))&gt;INDIRECT(ADDRESS(43,5,,,"MATCHS")),1,0),,,,IF(INDIRECT(ADDRESS(65,3,,,"MATCHS"))&gt;INDIRECT(ADDRESS(65,5,,,"MATCHS")),1,0),,,IF(INDIRECT(ADDRESS(77,3,,,"MATCHS"))&gt;INDIRECT(ADDRESS(77,5,,,"MATCHS")),1,0)) + 0.01 * K24</f>
        <v>0</v>
      </c>
      <c r="F24" s="102">
        <f ca="1">SUM(,IF(INDIRECT(ADDRESS(9,3,,,"MATCHS"))&lt;INDIRECT(ADDRESS(9,5,,,"MATCHS")),1,0),,IF(INDIRECT(ADDRESS(20,3,,,"MATCHS"))&lt;INDIRECT(ADDRESS(20,5,,,"MATCHS")),1,0),,,IF(INDIRECT(ADDRESS(32,3,,,"MATCHS"))&lt;INDIRECT(ADDRESS(32,5,,,"MATCHS")),1,0),,IF(INDIRECT(ADDRESS(43,3,,,"MATCHS"))&lt;INDIRECT(ADDRESS(43,5,,,"MATCHS")),1,0),,,,IF(INDIRECT(ADDRESS(65,3,,,"MATCHS"))&lt;INDIRECT(ADDRESS(65,5,,,"MATCHS")),1,0),,,IF(INDIRECT(ADDRESS(77,3,,,"MATCHS"))&lt;INDIRECT(ADDRESS(77,5,,,"MATCHS")),1,0))</f>
        <v>0</v>
      </c>
      <c r="G24" s="102"/>
      <c r="H24" s="102">
        <f ca="1">SUM(,IF(IFERROR(FIND("--",INDIRECT(ADDRESS(9,3,,,"MATCHS"))),FALSE),RIGHT(INDIRECT(ADDRESS(9,3,,,"MATCHS")), FIND("--",INDIRECT(ADDRESS(9,3,,,"MATCHS")),1)),INDIRECT(ADDRESS(9,3,,,"MATCHS"))),,IF(IFERROR(FIND("--",INDIRECT(ADDRESS(20,3,,,"MATCHS"))),FALSE),RIGHT(INDIRECT(ADDRESS(20,3,,,"MATCHS")), FIND("--",INDIRECT(ADDRESS(20,3,,,"MATCHS")),1)),INDIRECT(ADDRESS(20,3,,,"MATCHS"))),,,IF(IFERROR(FIND("--",INDIRECT(ADDRESS(32,3,,,"MATCHS"))),FALSE),RIGHT(INDIRECT(ADDRESS(32,3,,,"MATCHS")), FIND("--",INDIRECT(ADDRESS(32,3,,,"MATCHS")),1)),INDIRECT(ADDRESS(32,3,,,"MATCHS"))),,IF(IFERROR(FIND("--",INDIRECT(ADDRESS(43,3,,,"MATCHS"))),FALSE),RIGHT(INDIRECT(ADDRESS(43,3,,,"MATCHS")), FIND("--",INDIRECT(ADDRESS(43,3,,,"MATCHS")),1)),INDIRECT(ADDRESS(43,3,,,"MATCHS"))),,,,IF(IFERROR(FIND("--",INDIRECT(ADDRESS(65,3,,,"MATCHS"))),FALSE),RIGHT(INDIRECT(ADDRESS(65,3,,,"MATCHS")), FIND("--",INDIRECT(ADDRESS(65,3,,,"MATCHS")),1)),INDIRECT(ADDRESS(65,3,,,"MATCHS"))),,,IF(IFERROR(FIND("--",INDIRECT(ADDRESS(77,3,,,"MATCHS"))),FALSE),RIGHT(INDIRECT(ADDRESS(77,3,,,"MATCHS")), FIND("--",INDIRECT(ADDRESS(77,3,,,"MATCHS")),1)),INDIRECT(ADDRESS(77,3,,,"MATCHS"))))</f>
        <v>0</v>
      </c>
      <c r="I24" s="102">
        <f ca="1">SUM(,IF(IFERROR(FIND("--",INDIRECT(ADDRESS(9,5,,,"MATCHS"))),FALSE),RIGHT(INDIRECT(ADDRESS(9,5,,,"MATCHS")), FIND("--",INDIRECT(ADDRESS(9,5,,,"MATCHS")),1)),INDIRECT(ADDRESS(9,5,,,"MATCHS"))),,IF(IFERROR(FIND("--",INDIRECT(ADDRESS(20,5,,,"MATCHS"))),FALSE),RIGHT(INDIRECT(ADDRESS(20,5,,,"MATCHS")), FIND("--",INDIRECT(ADDRESS(20,5,,,"MATCHS")),1)),INDIRECT(ADDRESS(20,5,,,"MATCHS"))),,,IF(IFERROR(FIND("--",INDIRECT(ADDRESS(32,5,,,"MATCHS"))),FALSE),RIGHT(INDIRECT(ADDRESS(32,5,,,"MATCHS")), FIND("--",INDIRECT(ADDRESS(32,5,,,"MATCHS")),1)),INDIRECT(ADDRESS(32,5,,,"MATCHS"))),,IF(IFERROR(FIND("--",INDIRECT(ADDRESS(43,5,,,"MATCHS"))),FALSE),RIGHT(INDIRECT(ADDRESS(43,5,,,"MATCHS")), FIND("--",INDIRECT(ADDRESS(43,5,,,"MATCHS")),1)),INDIRECT(ADDRESS(43,5,,,"MATCHS"))),,,,IF(IFERROR(FIND("--",INDIRECT(ADDRESS(65,5,,,"MATCHS"))),FALSE),RIGHT(INDIRECT(ADDRESS(65,5,,,"MATCHS")), FIND("--",INDIRECT(ADDRESS(65,5,,,"MATCHS")),1)),INDIRECT(ADDRESS(65,5,,,"MATCHS"))),,,IF(IFERROR(FIND("--",INDIRECT(ADDRESS(77,5,,,"MATCHS"))),FALSE),RIGHT(INDIRECT(ADDRESS(77,5,,,"MATCHS")), FIND("--",INDIRECT(ADDRESS(77,5,,,"MATCHS")),1)),INDIRECT(ADDRESS(77,5,,,"MATCHS"))))</f>
        <v>0</v>
      </c>
      <c r="J24" s="102">
        <f t="shared" ref="J24:J30" ca="1" si="2">H24 - I24</f>
        <v>0</v>
      </c>
      <c r="K24" s="102">
        <v>0</v>
      </c>
      <c r="L24" s="102">
        <v>1</v>
      </c>
      <c r="M24" s="102"/>
      <c r="N24" s="97"/>
    </row>
    <row r="25" spans="1:14" ht="15.75" x14ac:dyDescent="0.25">
      <c r="A25" s="234"/>
      <c r="B25" s="102">
        <v>2</v>
      </c>
      <c r="C25" s="102" t="s">
        <v>154</v>
      </c>
      <c r="D25" s="102" t="str">
        <f>INSCRITS!C19</f>
        <v>2C</v>
      </c>
      <c r="E25" s="107">
        <f ca="1">SUM(,IF(INDIRECT(ADDRESS(9,5,,,"MATCHS"))&gt;INDIRECT(ADDRESS(9,3,,,"MATCHS")),1,0),,,,,IF(INDIRECT(ADDRESS(33,3,,,"MATCHS"))&gt;INDIRECT(ADDRESS(33,5,,,"MATCHS")),1,0),,IF(INDIRECT(ADDRESS(45,3,,,"MATCHS"))&gt;INDIRECT(ADDRESS(45,5,,,"MATCHS")),1,0),,IF(INDIRECT(ADDRESS(55,3,,,"MATCHS"))&gt;INDIRECT(ADDRESS(55,5,,,"MATCHS")),1,0),,,IF(INDIRECT(ADDRESS(67,3,,,"MATCHS"))&gt;INDIRECT(ADDRESS(67,5,,,"MATCHS")),1,0),,IF(INDIRECT(ADDRESS(78,3,,,"MATCHS"))&gt;INDIRECT(ADDRESS(78,5,,,"MATCHS")),1,0)) + 0.01 * K25</f>
        <v>0</v>
      </c>
      <c r="F25" s="102">
        <f ca="1">SUM(,IF(INDIRECT(ADDRESS(9,5,,,"MATCHS"))&lt;INDIRECT(ADDRESS(9,3,,,"MATCHS")),1,0),,,,,IF(INDIRECT(ADDRESS(33,3,,,"MATCHS"))&lt;INDIRECT(ADDRESS(33,5,,,"MATCHS")),1,0),,IF(INDIRECT(ADDRESS(45,3,,,"MATCHS"))&lt;INDIRECT(ADDRESS(45,5,,,"MATCHS")),1,0),,IF(INDIRECT(ADDRESS(55,3,,,"MATCHS"))&lt;INDIRECT(ADDRESS(55,5,,,"MATCHS")),1,0),,,IF(INDIRECT(ADDRESS(67,3,,,"MATCHS"))&lt;INDIRECT(ADDRESS(67,5,,,"MATCHS")),1,0),,IF(INDIRECT(ADDRESS(78,3,,,"MATCHS"))&lt;INDIRECT(ADDRESS(78,5,,,"MATCHS")),1,0))</f>
        <v>0</v>
      </c>
      <c r="G25" s="102"/>
      <c r="H25" s="102">
        <f ca="1">SUM(,IF(IFERROR(FIND("--",INDIRECT(ADDRESS(9,5,,,"MATCHS"))),FALSE),RIGHT(INDIRECT(ADDRESS(9,5,,,"MATCHS")), FIND("--",INDIRECT(ADDRESS(9,5,,,"MATCHS")),1)),INDIRECT(ADDRESS(9,5,,,"MATCHS"))),,,,,IF(IFERROR(FIND("--",INDIRECT(ADDRESS(33,3,,,"MATCHS"))),FALSE),RIGHT(INDIRECT(ADDRESS(33,3,,,"MATCHS")), FIND("--",INDIRECT(ADDRESS(33,3,,,"MATCHS")),1)),INDIRECT(ADDRESS(33,3,,,"MATCHS"))),,IF(IFERROR(FIND("--",INDIRECT(ADDRESS(45,3,,,"MATCHS"))),FALSE),RIGHT(INDIRECT(ADDRESS(45,3,,,"MATCHS")), FIND("--",INDIRECT(ADDRESS(45,3,,,"MATCHS")),1)),INDIRECT(ADDRESS(45,3,,,"MATCHS"))),,IF(IFERROR(FIND("--",INDIRECT(ADDRESS(55,3,,,"MATCHS"))),FALSE),RIGHT(INDIRECT(ADDRESS(55,3,,,"MATCHS")), FIND("--",INDIRECT(ADDRESS(55,3,,,"MATCHS")),1)),INDIRECT(ADDRESS(55,3,,,"MATCHS"))),,,IF(IFERROR(FIND("--",INDIRECT(ADDRESS(67,3,,,"MATCHS"))),FALSE),RIGHT(INDIRECT(ADDRESS(67,3,,,"MATCHS")), FIND("--",INDIRECT(ADDRESS(67,3,,,"MATCHS")),1)),INDIRECT(ADDRESS(67,3,,,"MATCHS"))),,IF(IFERROR(FIND("--",INDIRECT(ADDRESS(78,3,,,"MATCHS"))),FALSE),RIGHT(INDIRECT(ADDRESS(78,3,,,"MATCHS")), FIND("--",INDIRECT(ADDRESS(78,3,,,"MATCHS")),1)),INDIRECT(ADDRESS(78,3,,,"MATCHS"))))</f>
        <v>0</v>
      </c>
      <c r="I25" s="102">
        <f ca="1">SUM(,IF(IFERROR(FIND("--",INDIRECT(ADDRESS(9,3,,,"MATCHS"))),FALSE),RIGHT(INDIRECT(ADDRESS(9,3,,,"MATCHS")), FIND("--",INDIRECT(ADDRESS(9,3,,,"MATCHS")),1)),INDIRECT(ADDRESS(9,3,,,"MATCHS"))),,,,,IF(IFERROR(FIND("--",INDIRECT(ADDRESS(33,5,,,"MATCHS"))),FALSE),RIGHT(INDIRECT(ADDRESS(33,5,,,"MATCHS")), FIND("--",INDIRECT(ADDRESS(33,5,,,"MATCHS")),1)),INDIRECT(ADDRESS(33,5,,,"MATCHS"))),,IF(IFERROR(FIND("--",INDIRECT(ADDRESS(45,5,,,"MATCHS"))),FALSE),RIGHT(INDIRECT(ADDRESS(45,5,,,"MATCHS")), FIND("--",INDIRECT(ADDRESS(45,5,,,"MATCHS")),1)),INDIRECT(ADDRESS(45,5,,,"MATCHS"))),,IF(IFERROR(FIND("--",INDIRECT(ADDRESS(55,5,,,"MATCHS"))),FALSE),RIGHT(INDIRECT(ADDRESS(55,5,,,"MATCHS")), FIND("--",INDIRECT(ADDRESS(55,5,,,"MATCHS")),1)),INDIRECT(ADDRESS(55,5,,,"MATCHS"))),,,IF(IFERROR(FIND("--",INDIRECT(ADDRESS(67,5,,,"MATCHS"))),FALSE),RIGHT(INDIRECT(ADDRESS(67,5,,,"MATCHS")), FIND("--",INDIRECT(ADDRESS(67,5,,,"MATCHS")),1)),INDIRECT(ADDRESS(67,5,,,"MATCHS"))),,IF(IFERROR(FIND("--",INDIRECT(ADDRESS(78,5,,,"MATCHS"))),FALSE),RIGHT(INDIRECT(ADDRESS(78,5,,,"MATCHS")), FIND("--",INDIRECT(ADDRESS(78,5,,,"MATCHS")),1)),INDIRECT(ADDRESS(78,5,,,"MATCHS"))))</f>
        <v>0</v>
      </c>
      <c r="J25" s="102">
        <f t="shared" ca="1" si="2"/>
        <v>0</v>
      </c>
      <c r="K25" s="102">
        <v>0</v>
      </c>
      <c r="L25" s="102">
        <v>2</v>
      </c>
      <c r="M25" s="102"/>
      <c r="N25" s="97"/>
    </row>
    <row r="26" spans="1:14" ht="15.75" x14ac:dyDescent="0.25">
      <c r="A26" s="234"/>
      <c r="B26" s="102">
        <v>3</v>
      </c>
      <c r="C26" s="102" t="s">
        <v>155</v>
      </c>
      <c r="D26" s="102" t="str">
        <f>INSCRITS!C20</f>
        <v>3C</v>
      </c>
      <c r="E26" s="107">
        <f ca="1">SUM(,IF(INDIRECT(ADDRESS(10,3,,,"MATCHS"))&gt;INDIRECT(ADDRESS(10,5,,,"MATCHS")),1,0),,IF(INDIRECT(ADDRESS(20,5,,,"MATCHS"))&gt;INDIRECT(ADDRESS(20,3,,,"MATCHS")),1,0),,,IF(INDIRECT(ADDRESS(34,5,,,"MATCHS"))&gt;INDIRECT(ADDRESS(34,3,,,"MATCHS")),1,0),,IF(INDIRECT(ADDRESS(44,5,,,"MATCHS"))&gt;INDIRECT(ADDRESS(44,3,,,"MATCHS")),1,0),,IF(INDIRECT(ADDRESS(54,3,,,"MATCHS"))&gt;INDIRECT(ADDRESS(54,5,,,"MATCHS")),1,0),,,,,IF(INDIRECT(ADDRESS(78,5,,,"MATCHS"))&gt;INDIRECT(ADDRESS(78,3,,,"MATCHS")),1,0)) + 0.01 * K26</f>
        <v>0</v>
      </c>
      <c r="F26" s="102">
        <f ca="1">SUM(,IF(INDIRECT(ADDRESS(10,3,,,"MATCHS"))&lt;INDIRECT(ADDRESS(10,5,,,"MATCHS")),1,0),,IF(INDIRECT(ADDRESS(20,5,,,"MATCHS"))&lt;INDIRECT(ADDRESS(20,3,,,"MATCHS")),1,0),,,IF(INDIRECT(ADDRESS(34,5,,,"MATCHS"))&lt;INDIRECT(ADDRESS(34,3,,,"MATCHS")),1,0),,IF(INDIRECT(ADDRESS(44,5,,,"MATCHS"))&lt;INDIRECT(ADDRESS(44,3,,,"MATCHS")),1,0),,IF(INDIRECT(ADDRESS(54,3,,,"MATCHS"))&lt;INDIRECT(ADDRESS(54,5,,,"MATCHS")),1,0),,,,,IF(INDIRECT(ADDRESS(78,5,,,"MATCHS"))&lt;INDIRECT(ADDRESS(78,3,,,"MATCHS")),1,0))</f>
        <v>0</v>
      </c>
      <c r="G26" s="102"/>
      <c r="H26" s="102">
        <f ca="1">SUM(,IF(IFERROR(FIND("--",INDIRECT(ADDRESS(10,3,,,"MATCHS"))),FALSE),RIGHT(INDIRECT(ADDRESS(10,3,,,"MATCHS")), FIND("--",INDIRECT(ADDRESS(10,3,,,"MATCHS")),1)),INDIRECT(ADDRESS(10,3,,,"MATCHS"))),,IF(IFERROR(FIND("--",INDIRECT(ADDRESS(20,5,,,"MATCHS"))),FALSE),RIGHT(INDIRECT(ADDRESS(20,5,,,"MATCHS")), FIND("--",INDIRECT(ADDRESS(20,5,,,"MATCHS")),1)),INDIRECT(ADDRESS(20,5,,,"MATCHS"))),,,IF(IFERROR(FIND("--",INDIRECT(ADDRESS(34,5,,,"MATCHS"))),FALSE),RIGHT(INDIRECT(ADDRESS(34,5,,,"MATCHS")), FIND("--",INDIRECT(ADDRESS(34,5,,,"MATCHS")),1)),INDIRECT(ADDRESS(34,5,,,"MATCHS"))),,IF(IFERROR(FIND("--",INDIRECT(ADDRESS(44,5,,,"MATCHS"))),FALSE),RIGHT(INDIRECT(ADDRESS(44,5,,,"MATCHS")), FIND("--",INDIRECT(ADDRESS(44,5,,,"MATCHS")),1)),INDIRECT(ADDRESS(44,5,,,"MATCHS"))),,IF(IFERROR(FIND("--",INDIRECT(ADDRESS(54,3,,,"MATCHS"))),FALSE),RIGHT(INDIRECT(ADDRESS(54,3,,,"MATCHS")), FIND("--",INDIRECT(ADDRESS(54,3,,,"MATCHS")),1)),INDIRECT(ADDRESS(54,3,,,"MATCHS"))),,,,,IF(IFERROR(FIND("--",INDIRECT(ADDRESS(78,5,,,"MATCHS"))),FALSE),RIGHT(INDIRECT(ADDRESS(78,5,,,"MATCHS")), FIND("--",INDIRECT(ADDRESS(78,5,,,"MATCHS")),1)),INDIRECT(ADDRESS(78,5,,,"MATCHS"))))</f>
        <v>0</v>
      </c>
      <c r="I26" s="102">
        <f ca="1">SUM(,IF(IFERROR(FIND("--",INDIRECT(ADDRESS(10,5,,,"MATCHS"))),FALSE),RIGHT(INDIRECT(ADDRESS(10,5,,,"MATCHS")), FIND("--",INDIRECT(ADDRESS(10,5,,,"MATCHS")),1)),INDIRECT(ADDRESS(10,5,,,"MATCHS"))),,IF(IFERROR(FIND("--",INDIRECT(ADDRESS(20,3,,,"MATCHS"))),FALSE),RIGHT(INDIRECT(ADDRESS(20,3,,,"MATCHS")), FIND("--",INDIRECT(ADDRESS(20,3,,,"MATCHS")),1)),INDIRECT(ADDRESS(20,3,,,"MATCHS"))),,,IF(IFERROR(FIND("--",INDIRECT(ADDRESS(34,3,,,"MATCHS"))),FALSE),RIGHT(INDIRECT(ADDRESS(34,3,,,"MATCHS")), FIND("--",INDIRECT(ADDRESS(34,3,,,"MATCHS")),1)),INDIRECT(ADDRESS(34,3,,,"MATCHS"))),,IF(IFERROR(FIND("--",INDIRECT(ADDRESS(44,3,,,"MATCHS"))),FALSE),RIGHT(INDIRECT(ADDRESS(44,3,,,"MATCHS")), FIND("--",INDIRECT(ADDRESS(44,3,,,"MATCHS")),1)),INDIRECT(ADDRESS(44,3,,,"MATCHS"))),,IF(IFERROR(FIND("--",INDIRECT(ADDRESS(54,5,,,"MATCHS"))),FALSE),RIGHT(INDIRECT(ADDRESS(54,5,,,"MATCHS")), FIND("--",INDIRECT(ADDRESS(54,5,,,"MATCHS")),1)),INDIRECT(ADDRESS(54,5,,,"MATCHS"))),,,,,IF(IFERROR(FIND("--",INDIRECT(ADDRESS(78,3,,,"MATCHS"))),FALSE),RIGHT(INDIRECT(ADDRESS(78,3,,,"MATCHS")), FIND("--",INDIRECT(ADDRESS(78,3,,,"MATCHS")),1)),INDIRECT(ADDRESS(78,3,,,"MATCHS"))))</f>
        <v>0</v>
      </c>
      <c r="J26" s="102">
        <f t="shared" ca="1" si="2"/>
        <v>0</v>
      </c>
      <c r="K26" s="102">
        <v>0</v>
      </c>
      <c r="L26" s="102">
        <v>3</v>
      </c>
      <c r="M26" s="102"/>
      <c r="N26" s="97"/>
    </row>
    <row r="27" spans="1:14" ht="15.75" x14ac:dyDescent="0.25">
      <c r="A27" s="234"/>
      <c r="B27" s="102">
        <v>4</v>
      </c>
      <c r="C27" s="102" t="s">
        <v>156</v>
      </c>
      <c r="D27" s="102" t="str">
        <f>INSCRITS!C21</f>
        <v>4C</v>
      </c>
      <c r="E27" s="107">
        <f ca="1">SUM(,IF(INDIRECT(ADDRESS(10,5,,,"MATCHS"))&gt;INDIRECT(ADDRESS(10,3,,,"MATCHS")),1,0),,,IF(INDIRECT(ADDRESS(22,5,,,"MATCHS"))&gt;INDIRECT(ADDRESS(22,3,,,"MATCHS")),1,0),,IF(INDIRECT(ADDRESS(32,5,,,"MATCHS"))&gt;INDIRECT(ADDRESS(32,3,,,"MATCHS")),1,0),,,,,IF(INDIRECT(ADDRESS(57,3,,,"MATCHS"))&gt;INDIRECT(ADDRESS(57,5,,,"MATCHS")),1,0),,IF(INDIRECT(ADDRESS(67,5,,,"MATCHS"))&gt;INDIRECT(ADDRESS(67,3,,,"MATCHS")),1,0),,IF(INDIRECT(ADDRESS(79,3,,,"MATCHS"))&gt;INDIRECT(ADDRESS(79,5,,,"MATCHS")),1,0)) + 0.01 * K27</f>
        <v>0</v>
      </c>
      <c r="F27" s="102">
        <f ca="1">SUM(,IF(INDIRECT(ADDRESS(10,5,,,"MATCHS"))&lt;INDIRECT(ADDRESS(10,3,,,"MATCHS")),1,0),,,IF(INDIRECT(ADDRESS(22,5,,,"MATCHS"))&lt;INDIRECT(ADDRESS(22,3,,,"MATCHS")),1,0),,IF(INDIRECT(ADDRESS(32,5,,,"MATCHS"))&lt;INDIRECT(ADDRESS(32,3,,,"MATCHS")),1,0),,,,,IF(INDIRECT(ADDRESS(57,3,,,"MATCHS"))&lt;INDIRECT(ADDRESS(57,5,,,"MATCHS")),1,0),,IF(INDIRECT(ADDRESS(67,5,,,"MATCHS"))&lt;INDIRECT(ADDRESS(67,3,,,"MATCHS")),1,0),,IF(INDIRECT(ADDRESS(79,3,,,"MATCHS"))&lt;INDIRECT(ADDRESS(79,5,,,"MATCHS")),1,0))</f>
        <v>0</v>
      </c>
      <c r="G27" s="102"/>
      <c r="H27" s="102">
        <f ca="1">SUM(,IF(IFERROR(FIND("--",INDIRECT(ADDRESS(10,5,,,"MATCHS"))),FALSE),RIGHT(INDIRECT(ADDRESS(10,5,,,"MATCHS")), FIND("--",INDIRECT(ADDRESS(10,5,,,"MATCHS")),1)),INDIRECT(ADDRESS(10,5,,,"MATCHS"))),,,IF(IFERROR(FIND("--",INDIRECT(ADDRESS(22,5,,,"MATCHS"))),FALSE),RIGHT(INDIRECT(ADDRESS(22,5,,,"MATCHS")), FIND("--",INDIRECT(ADDRESS(22,5,,,"MATCHS")),1)),INDIRECT(ADDRESS(22,5,,,"MATCHS"))),,IF(IFERROR(FIND("--",INDIRECT(ADDRESS(32,5,,,"MATCHS"))),FALSE),RIGHT(INDIRECT(ADDRESS(32,5,,,"MATCHS")), FIND("--",INDIRECT(ADDRESS(32,5,,,"MATCHS")),1)),INDIRECT(ADDRESS(32,5,,,"MATCHS"))),,,,,IF(IFERROR(FIND("--",INDIRECT(ADDRESS(57,3,,,"MATCHS"))),FALSE),RIGHT(INDIRECT(ADDRESS(57,3,,,"MATCHS")), FIND("--",INDIRECT(ADDRESS(57,3,,,"MATCHS")),1)),INDIRECT(ADDRESS(57,3,,,"MATCHS"))),,IF(IFERROR(FIND("--",INDIRECT(ADDRESS(67,5,,,"MATCHS"))),FALSE),RIGHT(INDIRECT(ADDRESS(67,5,,,"MATCHS")), FIND("--",INDIRECT(ADDRESS(67,5,,,"MATCHS")),1)),INDIRECT(ADDRESS(67,5,,,"MATCHS"))),,IF(IFERROR(FIND("--",INDIRECT(ADDRESS(79,3,,,"MATCHS"))),FALSE),RIGHT(INDIRECT(ADDRESS(79,3,,,"MATCHS")), FIND("--",INDIRECT(ADDRESS(79,3,,,"MATCHS")),1)),INDIRECT(ADDRESS(79,3,,,"MATCHS"))))</f>
        <v>0</v>
      </c>
      <c r="I27" s="102">
        <f ca="1">SUM(,IF(IFERROR(FIND("--",INDIRECT(ADDRESS(10,3,,,"MATCHS"))),FALSE),RIGHT(INDIRECT(ADDRESS(10,3,,,"MATCHS")), FIND("--",INDIRECT(ADDRESS(10,3,,,"MATCHS")),1)),INDIRECT(ADDRESS(10,3,,,"MATCHS"))),,,IF(IFERROR(FIND("--",INDIRECT(ADDRESS(22,3,,,"MATCHS"))),FALSE),RIGHT(INDIRECT(ADDRESS(22,3,,,"MATCHS")), FIND("--",INDIRECT(ADDRESS(22,3,,,"MATCHS")),1)),INDIRECT(ADDRESS(22,3,,,"MATCHS"))),,IF(IFERROR(FIND("--",INDIRECT(ADDRESS(32,3,,,"MATCHS"))),FALSE),RIGHT(INDIRECT(ADDRESS(32,3,,,"MATCHS")), FIND("--",INDIRECT(ADDRESS(32,3,,,"MATCHS")),1)),INDIRECT(ADDRESS(32,3,,,"MATCHS"))),,,,,IF(IFERROR(FIND("--",INDIRECT(ADDRESS(57,5,,,"MATCHS"))),FALSE),RIGHT(INDIRECT(ADDRESS(57,5,,,"MATCHS")), FIND("--",INDIRECT(ADDRESS(57,5,,,"MATCHS")),1)),INDIRECT(ADDRESS(57,5,,,"MATCHS"))),,IF(IFERROR(FIND("--",INDIRECT(ADDRESS(67,3,,,"MATCHS"))),FALSE),RIGHT(INDIRECT(ADDRESS(67,3,,,"MATCHS")), FIND("--",INDIRECT(ADDRESS(67,3,,,"MATCHS")),1)),INDIRECT(ADDRESS(67,3,,,"MATCHS"))),,IF(IFERROR(FIND("--",INDIRECT(ADDRESS(79,5,,,"MATCHS"))),FALSE),RIGHT(INDIRECT(ADDRESS(79,5,,,"MATCHS")), FIND("--",INDIRECT(ADDRESS(79,5,,,"MATCHS")),1)),INDIRECT(ADDRESS(79,5,,,"MATCHS"))))</f>
        <v>0</v>
      </c>
      <c r="J27" s="102">
        <f t="shared" ca="1" si="2"/>
        <v>0</v>
      </c>
      <c r="K27" s="102">
        <v>0</v>
      </c>
      <c r="L27" s="102">
        <v>4</v>
      </c>
      <c r="M27" s="102"/>
      <c r="N27" s="97"/>
    </row>
    <row r="28" spans="1:14" ht="15.75" x14ac:dyDescent="0.25">
      <c r="A28" s="234"/>
      <c r="B28" s="102">
        <v>5</v>
      </c>
      <c r="C28" s="102" t="s">
        <v>157</v>
      </c>
      <c r="D28" s="102" t="str">
        <f>INSCRITS!C22</f>
        <v>5C</v>
      </c>
      <c r="E28" s="107">
        <f ca="1">SUM(,,IF(INDIRECT(ADDRESS(12,3,,,"MATCHS"))&gt;INDIRECT(ADDRESS(12,5,,,"MATCHS")),1,0),,IF(INDIRECT(ADDRESS(22,3,,,"MATCHS"))&gt;INDIRECT(ADDRESS(22,5,,,"MATCHS")),1,0),,IF(INDIRECT(ADDRESS(33,5,,,"MATCHS"))&gt;INDIRECT(ADDRESS(33,3,,,"MATCHS")),1,0),,IF(INDIRECT(ADDRESS(43,5,,,"MATCHS"))&gt;INDIRECT(ADDRESS(43,3,,,"MATCHS")),1,0),,IF(INDIRECT(ADDRESS(54,5,,,"MATCHS"))&gt;INDIRECT(ADDRESS(54,3,,,"MATCHS")),1,0),,,IF(INDIRECT(ADDRESS(68,3,,,"MATCHS"))&gt;INDIRECT(ADDRESS(68,5,,,"MATCHS")),1,0),,) + 0.01 * K28</f>
        <v>0</v>
      </c>
      <c r="F28" s="102">
        <f ca="1">SUM(,,IF(INDIRECT(ADDRESS(12,3,,,"MATCHS"))&lt;INDIRECT(ADDRESS(12,5,,,"MATCHS")),1,0),,IF(INDIRECT(ADDRESS(22,3,,,"MATCHS"))&lt;INDIRECT(ADDRESS(22,5,,,"MATCHS")),1,0),,IF(INDIRECT(ADDRESS(33,5,,,"MATCHS"))&lt;INDIRECT(ADDRESS(33,3,,,"MATCHS")),1,0),,IF(INDIRECT(ADDRESS(43,5,,,"MATCHS"))&lt;INDIRECT(ADDRESS(43,3,,,"MATCHS")),1,0),,IF(INDIRECT(ADDRESS(54,5,,,"MATCHS"))&lt;INDIRECT(ADDRESS(54,3,,,"MATCHS")),1,0),,,IF(INDIRECT(ADDRESS(68,3,,,"MATCHS"))&lt;INDIRECT(ADDRESS(68,5,,,"MATCHS")),1,0),,)</f>
        <v>0</v>
      </c>
      <c r="G28" s="102"/>
      <c r="H28" s="102">
        <f ca="1">SUM(,,IF(IFERROR(FIND("--",INDIRECT(ADDRESS(12,3,,,"MATCHS"))),FALSE),RIGHT(INDIRECT(ADDRESS(12,3,,,"MATCHS")), FIND("--",INDIRECT(ADDRESS(12,3,,,"MATCHS")),1)),INDIRECT(ADDRESS(12,3,,,"MATCHS"))),,IF(IFERROR(FIND("--",INDIRECT(ADDRESS(22,3,,,"MATCHS"))),FALSE),RIGHT(INDIRECT(ADDRESS(22,3,,,"MATCHS")), FIND("--",INDIRECT(ADDRESS(22,3,,,"MATCHS")),1)),INDIRECT(ADDRESS(22,3,,,"MATCHS"))),,IF(IFERROR(FIND("--",INDIRECT(ADDRESS(33,5,,,"MATCHS"))),FALSE),RIGHT(INDIRECT(ADDRESS(33,5,,,"MATCHS")), FIND("--",INDIRECT(ADDRESS(33,5,,,"MATCHS")),1)),INDIRECT(ADDRESS(33,5,,,"MATCHS"))),,IF(IFERROR(FIND("--",INDIRECT(ADDRESS(43,5,,,"MATCHS"))),FALSE),RIGHT(INDIRECT(ADDRESS(43,5,,,"MATCHS")), FIND("--",INDIRECT(ADDRESS(43,5,,,"MATCHS")),1)),INDIRECT(ADDRESS(43,5,,,"MATCHS"))),,IF(IFERROR(FIND("--",INDIRECT(ADDRESS(54,5,,,"MATCHS"))),FALSE),RIGHT(INDIRECT(ADDRESS(54,5,,,"MATCHS")), FIND("--",INDIRECT(ADDRESS(54,5,,,"MATCHS")),1)),INDIRECT(ADDRESS(54,5,,,"MATCHS"))),,,IF(IFERROR(FIND("--",INDIRECT(ADDRESS(68,3,,,"MATCHS"))),FALSE),RIGHT(INDIRECT(ADDRESS(68,3,,,"MATCHS")), FIND("--",INDIRECT(ADDRESS(68,3,,,"MATCHS")),1)),INDIRECT(ADDRESS(68,3,,,"MATCHS"))),,)</f>
        <v>0</v>
      </c>
      <c r="I28" s="102">
        <f ca="1">SUM(,,IF(IFERROR(FIND("--",INDIRECT(ADDRESS(12,5,,,"MATCHS"))),FALSE),RIGHT(INDIRECT(ADDRESS(12,5,,,"MATCHS")), FIND("--",INDIRECT(ADDRESS(12,5,,,"MATCHS")),1)),INDIRECT(ADDRESS(12,5,,,"MATCHS"))),,IF(IFERROR(FIND("--",INDIRECT(ADDRESS(22,5,,,"MATCHS"))),FALSE),RIGHT(INDIRECT(ADDRESS(22,5,,,"MATCHS")), FIND("--",INDIRECT(ADDRESS(22,5,,,"MATCHS")),1)),INDIRECT(ADDRESS(22,5,,,"MATCHS"))),,IF(IFERROR(FIND("--",INDIRECT(ADDRESS(33,3,,,"MATCHS"))),FALSE),RIGHT(INDIRECT(ADDRESS(33,3,,,"MATCHS")), FIND("--",INDIRECT(ADDRESS(33,3,,,"MATCHS")),1)),INDIRECT(ADDRESS(33,3,,,"MATCHS"))),,IF(IFERROR(FIND("--",INDIRECT(ADDRESS(43,3,,,"MATCHS"))),FALSE),RIGHT(INDIRECT(ADDRESS(43,3,,,"MATCHS")), FIND("--",INDIRECT(ADDRESS(43,3,,,"MATCHS")),1)),INDIRECT(ADDRESS(43,3,,,"MATCHS"))),,IF(IFERROR(FIND("--",INDIRECT(ADDRESS(54,3,,,"MATCHS"))),FALSE),RIGHT(INDIRECT(ADDRESS(54,3,,,"MATCHS")), FIND("--",INDIRECT(ADDRESS(54,3,,,"MATCHS")),1)),INDIRECT(ADDRESS(54,3,,,"MATCHS"))),,,IF(IFERROR(FIND("--",INDIRECT(ADDRESS(68,5,,,"MATCHS"))),FALSE),RIGHT(INDIRECT(ADDRESS(68,5,,,"MATCHS")), FIND("--",INDIRECT(ADDRESS(68,5,,,"MATCHS")),1)),INDIRECT(ADDRESS(68,5,,,"MATCHS"))),,)</f>
        <v>0</v>
      </c>
      <c r="J28" s="102">
        <f t="shared" ca="1" si="2"/>
        <v>0</v>
      </c>
      <c r="K28" s="102">
        <v>0</v>
      </c>
      <c r="L28" s="102">
        <v>5</v>
      </c>
      <c r="M28" s="102"/>
      <c r="N28" s="97"/>
    </row>
    <row r="29" spans="1:14" ht="15.75" x14ac:dyDescent="0.25">
      <c r="A29" s="234"/>
      <c r="B29" s="102">
        <v>6</v>
      </c>
      <c r="C29" s="102" t="s">
        <v>158</v>
      </c>
      <c r="D29" s="102" t="str">
        <f>INSCRITS!C23</f>
        <v>6C</v>
      </c>
      <c r="E29" s="107">
        <f ca="1">SUM(,,IF(INDIRECT(ADDRESS(12,5,,,"MATCHS"))&gt;INDIRECT(ADDRESS(12,3,,,"MATCHS")),1,0),,IF(INDIRECT(ADDRESS(23,3,,,"MATCHS"))&gt;INDIRECT(ADDRESS(23,5,,,"MATCHS")),1,0),,,,IF(INDIRECT(ADDRESS(44,3,,,"MATCHS"))&gt;INDIRECT(ADDRESS(44,5,,,"MATCHS")),1,0),,IF(INDIRECT(ADDRESS(55,5,,,"MATCHS"))&gt;INDIRECT(ADDRESS(55,3,,,"MATCHS")),1,0),,IF(INDIRECT(ADDRESS(65,5,,,"MATCHS"))&gt;INDIRECT(ADDRESS(65,3,,,"MATCHS")),1,0),,,IF(INDIRECT(ADDRESS(79,5,,,"MATCHS"))&gt;INDIRECT(ADDRESS(79,3,,,"MATCHS")),1,0)) + 0.01 * K29</f>
        <v>0</v>
      </c>
      <c r="F29" s="102">
        <f ca="1">SUM(,,IF(INDIRECT(ADDRESS(12,5,,,"MATCHS"))&lt;INDIRECT(ADDRESS(12,3,,,"MATCHS")),1,0),,IF(INDIRECT(ADDRESS(23,3,,,"MATCHS"))&lt;INDIRECT(ADDRESS(23,5,,,"MATCHS")),1,0),,,,IF(INDIRECT(ADDRESS(44,3,,,"MATCHS"))&lt;INDIRECT(ADDRESS(44,5,,,"MATCHS")),1,0),,IF(INDIRECT(ADDRESS(55,5,,,"MATCHS"))&lt;INDIRECT(ADDRESS(55,3,,,"MATCHS")),1,0),,IF(INDIRECT(ADDRESS(65,5,,,"MATCHS"))&lt;INDIRECT(ADDRESS(65,3,,,"MATCHS")),1,0),,,IF(INDIRECT(ADDRESS(79,5,,,"MATCHS"))&lt;INDIRECT(ADDRESS(79,3,,,"MATCHS")),1,0))</f>
        <v>0</v>
      </c>
      <c r="G29" s="102"/>
      <c r="H29" s="102">
        <f ca="1">SUM(,,IF(IFERROR(FIND("--",INDIRECT(ADDRESS(12,5,,,"MATCHS"))),FALSE),RIGHT(INDIRECT(ADDRESS(12,5,,,"MATCHS")), FIND("--",INDIRECT(ADDRESS(12,5,,,"MATCHS")),1)),INDIRECT(ADDRESS(12,5,,,"MATCHS"))),,IF(IFERROR(FIND("--",INDIRECT(ADDRESS(23,3,,,"MATCHS"))),FALSE),RIGHT(INDIRECT(ADDRESS(23,3,,,"MATCHS")), FIND("--",INDIRECT(ADDRESS(23,3,,,"MATCHS")),1)),INDIRECT(ADDRESS(23,3,,,"MATCHS"))),,,,IF(IFERROR(FIND("--",INDIRECT(ADDRESS(44,3,,,"MATCHS"))),FALSE),RIGHT(INDIRECT(ADDRESS(44,3,,,"MATCHS")), FIND("--",INDIRECT(ADDRESS(44,3,,,"MATCHS")),1)),INDIRECT(ADDRESS(44,3,,,"MATCHS"))),,IF(IFERROR(FIND("--",INDIRECT(ADDRESS(55,5,,,"MATCHS"))),FALSE),RIGHT(INDIRECT(ADDRESS(55,5,,,"MATCHS")), FIND("--",INDIRECT(ADDRESS(55,5,,,"MATCHS")),1)),INDIRECT(ADDRESS(55,5,,,"MATCHS"))),,IF(IFERROR(FIND("--",INDIRECT(ADDRESS(65,5,,,"MATCHS"))),FALSE),RIGHT(INDIRECT(ADDRESS(65,5,,,"MATCHS")), FIND("--",INDIRECT(ADDRESS(65,5,,,"MATCHS")),1)),INDIRECT(ADDRESS(65,5,,,"MATCHS"))),,,IF(IFERROR(FIND("--",INDIRECT(ADDRESS(79,5,,,"MATCHS"))),FALSE),RIGHT(INDIRECT(ADDRESS(79,5,,,"MATCHS")), FIND("--",INDIRECT(ADDRESS(79,5,,,"MATCHS")),1)),INDIRECT(ADDRESS(79,5,,,"MATCHS"))))</f>
        <v>0</v>
      </c>
      <c r="I29" s="102">
        <f ca="1">SUM(,,IF(IFERROR(FIND("--",INDIRECT(ADDRESS(12,3,,,"MATCHS"))),FALSE),RIGHT(INDIRECT(ADDRESS(12,3,,,"MATCHS")), FIND("--",INDIRECT(ADDRESS(12,3,,,"MATCHS")),1)),INDIRECT(ADDRESS(12,3,,,"MATCHS"))),,IF(IFERROR(FIND("--",INDIRECT(ADDRESS(23,5,,,"MATCHS"))),FALSE),RIGHT(INDIRECT(ADDRESS(23,5,,,"MATCHS")), FIND("--",INDIRECT(ADDRESS(23,5,,,"MATCHS")),1)),INDIRECT(ADDRESS(23,5,,,"MATCHS"))),,,,IF(IFERROR(FIND("--",INDIRECT(ADDRESS(44,5,,,"MATCHS"))),FALSE),RIGHT(INDIRECT(ADDRESS(44,5,,,"MATCHS")), FIND("--",INDIRECT(ADDRESS(44,5,,,"MATCHS")),1)),INDIRECT(ADDRESS(44,5,,,"MATCHS"))),,IF(IFERROR(FIND("--",INDIRECT(ADDRESS(55,3,,,"MATCHS"))),FALSE),RIGHT(INDIRECT(ADDRESS(55,3,,,"MATCHS")), FIND("--",INDIRECT(ADDRESS(55,3,,,"MATCHS")),1)),INDIRECT(ADDRESS(55,3,,,"MATCHS"))),,IF(IFERROR(FIND("--",INDIRECT(ADDRESS(65,3,,,"MATCHS"))),FALSE),RIGHT(INDIRECT(ADDRESS(65,3,,,"MATCHS")), FIND("--",INDIRECT(ADDRESS(65,3,,,"MATCHS")),1)),INDIRECT(ADDRESS(65,3,,,"MATCHS"))),,,IF(IFERROR(FIND("--",INDIRECT(ADDRESS(79,3,,,"MATCHS"))),FALSE),RIGHT(INDIRECT(ADDRESS(79,3,,,"MATCHS")), FIND("--",INDIRECT(ADDRESS(79,3,,,"MATCHS")),1)),INDIRECT(ADDRESS(79,3,,,"MATCHS"))))</f>
        <v>0</v>
      </c>
      <c r="J29" s="102">
        <f t="shared" ca="1" si="2"/>
        <v>0</v>
      </c>
      <c r="K29" s="102">
        <v>0</v>
      </c>
      <c r="L29" s="102">
        <v>6</v>
      </c>
      <c r="M29" s="102"/>
      <c r="N29" s="97"/>
    </row>
    <row r="30" spans="1:14" ht="15.75" x14ac:dyDescent="0.25">
      <c r="A30" s="234"/>
      <c r="B30" s="102">
        <v>7</v>
      </c>
      <c r="C30" s="102" t="s">
        <v>188</v>
      </c>
      <c r="D30" s="102" t="str">
        <f>INSCRITS!C24</f>
        <v>7C</v>
      </c>
      <c r="E30" s="107">
        <f ca="1">SUM(,,,,IF(INDIRECT(ADDRESS(23,5,,,"MATCHS"))&gt;INDIRECT(ADDRESS(23,3,,,"MATCHS")),1,0),,IF(INDIRECT(ADDRESS(34,3,,,"MATCHS"))&gt;INDIRECT(ADDRESS(34,5,,,"MATCHS")),1,0),,IF(INDIRECT(ADDRESS(45,5,,,"MATCHS"))&gt;INDIRECT(ADDRESS(45,3,,,"MATCHS")),1,0),,,IF(INDIRECT(ADDRESS(57,5,,,"MATCHS"))&gt;INDIRECT(ADDRESS(57,3,,,"MATCHS")),1,0),,IF(INDIRECT(ADDRESS(68,5,,,"MATCHS"))&gt;INDIRECT(ADDRESS(68,3,,,"MATCHS")),1,0),,IF(INDIRECT(ADDRESS(77,5,,,"MATCHS"))&gt;INDIRECT(ADDRESS(77,3,,,"MATCHS")),1,0)) + 0.01 * K30</f>
        <v>0</v>
      </c>
      <c r="F30" s="102">
        <f ca="1">SUM(,,,,IF(INDIRECT(ADDRESS(23,5,,,"MATCHS"))&lt;INDIRECT(ADDRESS(23,3,,,"MATCHS")),1,0),,IF(INDIRECT(ADDRESS(34,3,,,"MATCHS"))&lt;INDIRECT(ADDRESS(34,5,,,"MATCHS")),1,0),,IF(INDIRECT(ADDRESS(45,5,,,"MATCHS"))&lt;INDIRECT(ADDRESS(45,3,,,"MATCHS")),1,0),,,IF(INDIRECT(ADDRESS(57,5,,,"MATCHS"))&lt;INDIRECT(ADDRESS(57,3,,,"MATCHS")),1,0),,IF(INDIRECT(ADDRESS(68,5,,,"MATCHS"))&lt;INDIRECT(ADDRESS(68,3,,,"MATCHS")),1,0),,IF(INDIRECT(ADDRESS(77,5,,,"MATCHS"))&lt;INDIRECT(ADDRESS(77,3,,,"MATCHS")),1,0))</f>
        <v>0</v>
      </c>
      <c r="G30" s="102"/>
      <c r="H30" s="102">
        <f ca="1">SUM(,,,,IF(IFERROR(FIND("--",INDIRECT(ADDRESS(23,5,,,"MATCHS"))),FALSE),RIGHT(INDIRECT(ADDRESS(23,5,,,"MATCHS")), FIND("--",INDIRECT(ADDRESS(23,5,,,"MATCHS")),1)),INDIRECT(ADDRESS(23,5,,,"MATCHS"))),,IF(IFERROR(FIND("--",INDIRECT(ADDRESS(34,3,,,"MATCHS"))),FALSE),RIGHT(INDIRECT(ADDRESS(34,3,,,"MATCHS")), FIND("--",INDIRECT(ADDRESS(34,3,,,"MATCHS")),1)),INDIRECT(ADDRESS(34,3,,,"MATCHS"))),,IF(IFERROR(FIND("--",INDIRECT(ADDRESS(45,5,,,"MATCHS"))),FALSE),RIGHT(INDIRECT(ADDRESS(45,5,,,"MATCHS")), FIND("--",INDIRECT(ADDRESS(45,5,,,"MATCHS")),1)),INDIRECT(ADDRESS(45,5,,,"MATCHS"))),,,IF(IFERROR(FIND("--",INDIRECT(ADDRESS(57,5,,,"MATCHS"))),FALSE),RIGHT(INDIRECT(ADDRESS(57,5,,,"MATCHS")), FIND("--",INDIRECT(ADDRESS(57,5,,,"MATCHS")),1)),INDIRECT(ADDRESS(57,5,,,"MATCHS"))),,IF(IFERROR(FIND("--",INDIRECT(ADDRESS(68,5,,,"MATCHS"))),FALSE),RIGHT(INDIRECT(ADDRESS(68,5,,,"MATCHS")), FIND("--",INDIRECT(ADDRESS(68,5,,,"MATCHS")),1)),INDIRECT(ADDRESS(68,5,,,"MATCHS"))),,IF(IFERROR(FIND("--",INDIRECT(ADDRESS(77,5,,,"MATCHS"))),FALSE),RIGHT(INDIRECT(ADDRESS(77,5,,,"MATCHS")), FIND("--",INDIRECT(ADDRESS(77,5,,,"MATCHS")),1)),INDIRECT(ADDRESS(77,5,,,"MATCHS"))))</f>
        <v>0</v>
      </c>
      <c r="I30" s="102">
        <f ca="1">SUM(,,,,IF(IFERROR(FIND("--",INDIRECT(ADDRESS(23,3,,,"MATCHS"))),FALSE),RIGHT(INDIRECT(ADDRESS(23,3,,,"MATCHS")), FIND("--",INDIRECT(ADDRESS(23,3,,,"MATCHS")),1)),INDIRECT(ADDRESS(23,3,,,"MATCHS"))),,IF(IFERROR(FIND("--",INDIRECT(ADDRESS(34,5,,,"MATCHS"))),FALSE),RIGHT(INDIRECT(ADDRESS(34,5,,,"MATCHS")), FIND("--",INDIRECT(ADDRESS(34,5,,,"MATCHS")),1)),INDIRECT(ADDRESS(34,5,,,"MATCHS"))),,IF(IFERROR(FIND("--",INDIRECT(ADDRESS(45,3,,,"MATCHS"))),FALSE),RIGHT(INDIRECT(ADDRESS(45,3,,,"MATCHS")), FIND("--",INDIRECT(ADDRESS(45,3,,,"MATCHS")),1)),INDIRECT(ADDRESS(45,3,,,"MATCHS"))),,,IF(IFERROR(FIND("--",INDIRECT(ADDRESS(57,3,,,"MATCHS"))),FALSE),RIGHT(INDIRECT(ADDRESS(57,3,,,"MATCHS")), FIND("--",INDIRECT(ADDRESS(57,3,,,"MATCHS")),1)),INDIRECT(ADDRESS(57,3,,,"MATCHS"))),,IF(IFERROR(FIND("--",INDIRECT(ADDRESS(68,3,,,"MATCHS"))),FALSE),RIGHT(INDIRECT(ADDRESS(68,3,,,"MATCHS")), FIND("--",INDIRECT(ADDRESS(68,3,,,"MATCHS")),1)),INDIRECT(ADDRESS(68,3,,,"MATCHS"))),,IF(IFERROR(FIND("--",INDIRECT(ADDRESS(77,3,,,"MATCHS"))),FALSE),RIGHT(INDIRECT(ADDRESS(77,3,,,"MATCHS")), FIND("--",INDIRECT(ADDRESS(77,3,,,"MATCHS")),1)),INDIRECT(ADDRESS(77,3,,,"MATCHS"))))</f>
        <v>0</v>
      </c>
      <c r="J30" s="102">
        <f t="shared" ca="1" si="2"/>
        <v>0</v>
      </c>
      <c r="K30" s="102">
        <v>0</v>
      </c>
      <c r="L30" s="102">
        <v>7</v>
      </c>
      <c r="M30" s="102"/>
      <c r="N30" s="97"/>
    </row>
  </sheetData>
  <mergeCells count="3">
    <mergeCell ref="A4:A10"/>
    <mergeCell ref="A14:A20"/>
    <mergeCell ref="A24:A30"/>
  </mergeCells>
  <dataValidations count="2">
    <dataValidation type="whole" allowBlank="1" showErrorMessage="1" errorTitle="ATTENTION" error="NOMBRE ENTIER UNIQUEMENT_x000a_COMPRIS ENTRE --&gt; 1 ET 12" sqref="M1:M1048576" xr:uid="{7805CE3E-3B7C-47C8-AA4E-A215AD2C4DB2}">
      <formula1>1</formula1>
      <formula2>12</formula2>
    </dataValidation>
    <dataValidation type="whole" operator="greaterThanOrEqual" allowBlank="1" showErrorMessage="1" errorTitle="ATTENTION" error="NOMBRE ENTIER UNIQUEMENT_x000a_MINIMUM --&gt; 0" sqref="J1:J1048576" xr:uid="{26852BE2-79F2-45DC-B560-5CD267D16786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ValiderOrdrePhaseFinale">
              <controlPr defaultSize="0" print="0" autoFill="0" autoPict="0" macro="[0]!listmatchph14uni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C4PPClassement">
              <controlPr defaultSize="0" print="0" autoFill="0" autoPict="0" macro="[0]!'copyimage &quot;A2:J30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BE4C0-6296-46DC-840B-5979B19B8837}">
  <sheetPr codeName="Feuil16"/>
  <dimension ref="B2:O49"/>
  <sheetViews>
    <sheetView workbookViewId="0"/>
  </sheetViews>
  <sheetFormatPr baseColWidth="10" defaultRowHeight="15" x14ac:dyDescent="0.25"/>
  <cols>
    <col min="1" max="1" width="11.42578125" style="108"/>
    <col min="2" max="2" width="4.28515625" style="113" customWidth="1"/>
    <col min="3" max="3" width="22.85546875" style="108" customWidth="1"/>
    <col min="4" max="4" width="2.85546875" style="108" customWidth="1"/>
    <col min="5" max="5" width="4.28515625" style="113" customWidth="1"/>
    <col min="6" max="6" width="22.85546875" style="108" customWidth="1"/>
    <col min="7" max="7" width="2.85546875" style="108" customWidth="1"/>
    <col min="8" max="8" width="22.85546875" style="108" customWidth="1"/>
    <col min="9" max="9" width="4.28515625" style="113" customWidth="1"/>
    <col min="10" max="10" width="2.85546875" style="108" customWidth="1"/>
    <col min="11" max="11" width="22.85546875" style="108" customWidth="1"/>
    <col min="12" max="12" width="4.28515625" style="113" customWidth="1"/>
    <col min="13" max="13" width="2.85546875" style="108" customWidth="1"/>
    <col min="14" max="14" width="22.85546875" style="108" customWidth="1"/>
    <col min="15" max="15" width="4.28515625" style="113" customWidth="1"/>
    <col min="16" max="16384" width="11.42578125" style="108"/>
  </cols>
  <sheetData>
    <row r="2" spans="2:15" x14ac:dyDescent="0.25">
      <c r="H2" s="108" t="s">
        <v>202</v>
      </c>
    </row>
    <row r="3" spans="2:15" ht="15.75" thickBot="1" x14ac:dyDescent="0.3">
      <c r="H3" s="108" t="s">
        <v>203</v>
      </c>
    </row>
    <row r="4" spans="2:15" x14ac:dyDescent="0.25">
      <c r="H4" s="109"/>
      <c r="I4" s="116"/>
    </row>
    <row r="5" spans="2:15" ht="15.75" thickBot="1" x14ac:dyDescent="0.3">
      <c r="F5" s="108" t="s">
        <v>205</v>
      </c>
      <c r="H5" s="111"/>
      <c r="I5" s="117"/>
      <c r="K5" s="108" t="s">
        <v>203</v>
      </c>
    </row>
    <row r="6" spans="2:15" x14ac:dyDescent="0.25">
      <c r="C6" s="108" t="s">
        <v>205</v>
      </c>
      <c r="E6" s="114"/>
      <c r="F6" s="110" t="str">
        <f>IF(OR(I4="",I5=""),"",IF(I4&lt;I5,H4,H5))</f>
        <v/>
      </c>
      <c r="K6" s="109" t="str">
        <f>IF(OR(I4="",I5=""),"",IF(I4&gt;I5,H4,H5))</f>
        <v/>
      </c>
      <c r="L6" s="116"/>
      <c r="N6" s="108" t="s">
        <v>203</v>
      </c>
    </row>
    <row r="7" spans="2:15" ht="15.75" thickBot="1" x14ac:dyDescent="0.3">
      <c r="C7" s="108" t="s">
        <v>211</v>
      </c>
      <c r="E7" s="115"/>
      <c r="F7" s="112" t="str">
        <f>IF(OR(I8="",I9=""),"",IF(I8&lt;I9,H8,H9))</f>
        <v/>
      </c>
      <c r="H7" s="108" t="s">
        <v>204</v>
      </c>
      <c r="K7" s="111" t="str">
        <f>IF(OR(I8="",I9=""),"",IF(I8&gt;I9,H8,H9))</f>
        <v/>
      </c>
      <c r="L7" s="117"/>
      <c r="N7" s="108" t="s">
        <v>209</v>
      </c>
    </row>
    <row r="8" spans="2:15" x14ac:dyDescent="0.25">
      <c r="B8" s="114"/>
      <c r="C8" s="110" t="str">
        <f>IF(OR(E6="",E7=""),"",IF(E6&gt;E7,F6,F7))</f>
        <v/>
      </c>
      <c r="H8" s="109"/>
      <c r="I8" s="116"/>
      <c r="N8" s="109" t="str">
        <f>IF(OR(L6="",L7=""),"",IF(L6&gt;L7,K6,K7))</f>
        <v/>
      </c>
      <c r="O8" s="116"/>
    </row>
    <row r="9" spans="2:15" ht="15.75" thickBot="1" x14ac:dyDescent="0.3">
      <c r="B9" s="115"/>
      <c r="C9" s="112" t="str">
        <f>IF(OR(E14="",E15=""),"",IF(E14&gt;E15,F14,F15))</f>
        <v/>
      </c>
      <c r="H9" s="111"/>
      <c r="I9" s="117"/>
      <c r="N9" s="111" t="str">
        <f>IF(OR(L14="",L15=""),"",IF(L14&gt;L15,K14,K15))</f>
        <v/>
      </c>
      <c r="O9" s="117"/>
    </row>
    <row r="10" spans="2:15" x14ac:dyDescent="0.25">
      <c r="C10" s="108" t="s">
        <v>206</v>
      </c>
      <c r="N10" s="108" t="s">
        <v>204</v>
      </c>
    </row>
    <row r="11" spans="2:15" ht="15.75" thickBot="1" x14ac:dyDescent="0.3">
      <c r="C11" s="108" t="s">
        <v>212</v>
      </c>
      <c r="H11" s="108" t="s">
        <v>205</v>
      </c>
      <c r="N11" s="108" t="s">
        <v>210</v>
      </c>
    </row>
    <row r="12" spans="2:15" x14ac:dyDescent="0.25">
      <c r="B12" s="114"/>
      <c r="C12" s="110" t="str">
        <f>IF(OR(E6="",E7=""),"",IF(E6&lt;E7,F6,F7))</f>
        <v/>
      </c>
      <c r="H12" s="109"/>
      <c r="I12" s="116"/>
      <c r="N12" s="109" t="str">
        <f>IF(OR(L6="",L7=""),"",IF(L6&lt;L7,K6,K7))</f>
        <v/>
      </c>
      <c r="O12" s="116"/>
    </row>
    <row r="13" spans="2:15" ht="15.75" thickBot="1" x14ac:dyDescent="0.3">
      <c r="B13" s="115"/>
      <c r="C13" s="112" t="str">
        <f>IF(OR(E14="",E15=""),"",IF(E14&lt;E15,F14,F15))</f>
        <v/>
      </c>
      <c r="F13" s="108" t="s">
        <v>206</v>
      </c>
      <c r="H13" s="111"/>
      <c r="I13" s="117"/>
      <c r="K13" s="108" t="s">
        <v>204</v>
      </c>
      <c r="N13" s="111" t="str">
        <f>IF(OR(L14="",L15=""),"",IF(L14&lt;L15,K14,K15))</f>
        <v/>
      </c>
      <c r="O13" s="117"/>
    </row>
    <row r="14" spans="2:15" x14ac:dyDescent="0.25">
      <c r="E14" s="114"/>
      <c r="F14" s="110" t="str">
        <f>IF(OR(I12="",I13=""),"",IF(I12&lt;I13,H12,H13))</f>
        <v/>
      </c>
      <c r="K14" s="109" t="str">
        <f>IF(OR(I12="",I13=""),"",IF(I12&gt;I13,H12,H13))</f>
        <v/>
      </c>
      <c r="L14" s="116"/>
    </row>
    <row r="15" spans="2:15" ht="15.75" thickBot="1" x14ac:dyDescent="0.3">
      <c r="E15" s="115"/>
      <c r="F15" s="112" t="str">
        <f>IF(OR(I16="",I17=""),"",IF(I16&lt;I17,H16,H17))</f>
        <v/>
      </c>
      <c r="H15" s="108" t="s">
        <v>206</v>
      </c>
      <c r="K15" s="111" t="str">
        <f>IF(OR(I16="",I17=""),"",IF(I16&gt;I17,H16,H17))</f>
        <v/>
      </c>
      <c r="L15" s="117"/>
    </row>
    <row r="16" spans="2:15" x14ac:dyDescent="0.25">
      <c r="H16" s="109"/>
      <c r="I16" s="116"/>
    </row>
    <row r="17" spans="2:15" ht="15.75" thickBot="1" x14ac:dyDescent="0.3">
      <c r="H17" s="111"/>
      <c r="I17" s="117"/>
    </row>
    <row r="19" spans="2:15" x14ac:dyDescent="0.25">
      <c r="H19" s="108" t="s">
        <v>207</v>
      </c>
    </row>
    <row r="20" spans="2:15" ht="15.75" thickBot="1" x14ac:dyDescent="0.3">
      <c r="H20" s="108" t="s">
        <v>203</v>
      </c>
    </row>
    <row r="21" spans="2:15" x14ac:dyDescent="0.25">
      <c r="H21" s="109"/>
      <c r="I21" s="116"/>
    </row>
    <row r="22" spans="2:15" ht="15.75" thickBot="1" x14ac:dyDescent="0.3">
      <c r="F22" s="108" t="s">
        <v>205</v>
      </c>
      <c r="H22" s="111"/>
      <c r="I22" s="117"/>
      <c r="K22" s="108" t="s">
        <v>203</v>
      </c>
    </row>
    <row r="23" spans="2:15" x14ac:dyDescent="0.25">
      <c r="C23" s="108" t="s">
        <v>205</v>
      </c>
      <c r="E23" s="114"/>
      <c r="F23" s="110" t="str">
        <f>IF(OR(I21="",I22=""),"",IF(I21&lt;I22,H21,H22))</f>
        <v/>
      </c>
      <c r="K23" s="109" t="str">
        <f>IF(OR(I21="",I22=""),"",IF(I21&gt;I22,H21,H22))</f>
        <v/>
      </c>
      <c r="L23" s="116"/>
      <c r="N23" s="108" t="s">
        <v>203</v>
      </c>
    </row>
    <row r="24" spans="2:15" ht="15.75" thickBot="1" x14ac:dyDescent="0.3">
      <c r="C24" s="108" t="s">
        <v>215</v>
      </c>
      <c r="E24" s="115"/>
      <c r="F24" s="112" t="str">
        <f>IF(OR(I25="",I26=""),"",IF(I25&lt;I26,H25,H26))</f>
        <v/>
      </c>
      <c r="H24" s="108" t="s">
        <v>204</v>
      </c>
      <c r="K24" s="111" t="str">
        <f>IF(OR(I25="",I26=""),"",IF(I25&gt;I26,H25,H26))</f>
        <v/>
      </c>
      <c r="L24" s="117"/>
      <c r="N24" s="108" t="s">
        <v>213</v>
      </c>
    </row>
    <row r="25" spans="2:15" x14ac:dyDescent="0.25">
      <c r="B25" s="114"/>
      <c r="C25" s="110" t="str">
        <f>IF(OR(E23="",E24=""),"",IF(E23&gt;E24,F23,F24))</f>
        <v/>
      </c>
      <c r="H25" s="109"/>
      <c r="I25" s="116"/>
      <c r="N25" s="109" t="str">
        <f>IF(OR(L23="",L24=""),"",IF(L23&gt;L24,K23,K24))</f>
        <v/>
      </c>
      <c r="O25" s="116"/>
    </row>
    <row r="26" spans="2:15" ht="15.75" thickBot="1" x14ac:dyDescent="0.3">
      <c r="B26" s="115"/>
      <c r="C26" s="112" t="str">
        <f>IF(OR(E31="",E32=""),"",IF(E31&gt;E32,F31,F32))</f>
        <v/>
      </c>
      <c r="H26" s="111"/>
      <c r="I26" s="117"/>
      <c r="N26" s="111" t="str">
        <f>IF(OR(L31="",L32=""),"",IF(L31&gt;L32,K31,K32))</f>
        <v/>
      </c>
      <c r="O26" s="117"/>
    </row>
    <row r="27" spans="2:15" x14ac:dyDescent="0.25">
      <c r="C27" s="108" t="s">
        <v>206</v>
      </c>
      <c r="N27" s="108" t="s">
        <v>204</v>
      </c>
    </row>
    <row r="28" spans="2:15" ht="15.75" thickBot="1" x14ac:dyDescent="0.3">
      <c r="C28" s="108" t="s">
        <v>216</v>
      </c>
      <c r="H28" s="108" t="s">
        <v>205</v>
      </c>
      <c r="N28" s="108" t="s">
        <v>214</v>
      </c>
    </row>
    <row r="29" spans="2:15" x14ac:dyDescent="0.25">
      <c r="B29" s="114"/>
      <c r="C29" s="110" t="str">
        <f>IF(OR(E23="",E24=""),"",IF(E23&lt;E24,F23,F24))</f>
        <v/>
      </c>
      <c r="H29" s="109"/>
      <c r="I29" s="116"/>
      <c r="N29" s="109" t="str">
        <f>IF(OR(L23="",L24=""),"",IF(L23&lt;L24,K23,K24))</f>
        <v/>
      </c>
      <c r="O29" s="116"/>
    </row>
    <row r="30" spans="2:15" ht="15.75" thickBot="1" x14ac:dyDescent="0.3">
      <c r="B30" s="115"/>
      <c r="C30" s="112" t="str">
        <f>IF(OR(E31="",E32=""),"",IF(E31&lt;E32,F31,F32))</f>
        <v/>
      </c>
      <c r="F30" s="108" t="s">
        <v>206</v>
      </c>
      <c r="H30" s="111"/>
      <c r="I30" s="117"/>
      <c r="K30" s="108" t="s">
        <v>204</v>
      </c>
      <c r="N30" s="111" t="str">
        <f>IF(OR(L31="",L32=""),"",IF(L31&lt;L32,K31,K32))</f>
        <v/>
      </c>
      <c r="O30" s="117"/>
    </row>
    <row r="31" spans="2:15" x14ac:dyDescent="0.25">
      <c r="E31" s="114"/>
      <c r="F31" s="110" t="str">
        <f>IF(OR(I29="",I30=""),"",IF(I29&lt;I30,H29,H30))</f>
        <v/>
      </c>
      <c r="K31" s="109" t="str">
        <f>IF(OR(I29="",I30=""),"",IF(I29&gt;I30,H29,H30))</f>
        <v/>
      </c>
      <c r="L31" s="116"/>
    </row>
    <row r="32" spans="2:15" ht="15.75" thickBot="1" x14ac:dyDescent="0.3">
      <c r="E32" s="115"/>
      <c r="F32" s="112" t="str">
        <f>IF(OR(I33="",I34=""),"",IF(I33&lt;I34,H33,H34))</f>
        <v/>
      </c>
      <c r="H32" s="108" t="s">
        <v>206</v>
      </c>
      <c r="K32" s="111" t="str">
        <f>IF(OR(I33="",I34=""),"",IF(I33&gt;I34,H33,H34))</f>
        <v/>
      </c>
      <c r="L32" s="117"/>
    </row>
    <row r="33" spans="2:15" x14ac:dyDescent="0.25">
      <c r="H33" s="109"/>
      <c r="I33" s="116"/>
    </row>
    <row r="34" spans="2:15" ht="15.75" thickBot="1" x14ac:dyDescent="0.3">
      <c r="H34" s="111"/>
      <c r="I34" s="117"/>
    </row>
    <row r="36" spans="2:15" x14ac:dyDescent="0.25">
      <c r="H36" s="108" t="s">
        <v>208</v>
      </c>
    </row>
    <row r="37" spans="2:15" ht="15.75" thickBot="1" x14ac:dyDescent="0.3">
      <c r="H37" s="108" t="s">
        <v>203</v>
      </c>
    </row>
    <row r="38" spans="2:15" x14ac:dyDescent="0.25">
      <c r="H38" s="109"/>
      <c r="I38" s="116"/>
    </row>
    <row r="39" spans="2:15" ht="15.75" thickBot="1" x14ac:dyDescent="0.3">
      <c r="F39" s="108" t="s">
        <v>205</v>
      </c>
      <c r="H39" s="111"/>
      <c r="I39" s="117"/>
      <c r="K39" s="108" t="s">
        <v>203</v>
      </c>
    </row>
    <row r="40" spans="2:15" x14ac:dyDescent="0.25">
      <c r="C40" s="108" t="s">
        <v>205</v>
      </c>
      <c r="E40" s="114"/>
      <c r="F40" s="110" t="str">
        <f>IF(OR(I38="",I39=""),"",IF(I38&lt;I39,H38,H39))</f>
        <v/>
      </c>
      <c r="K40" s="109" t="str">
        <f>IF(OR(I38="",I39=""),"",IF(I38&gt;I39,H38,H39))</f>
        <v/>
      </c>
      <c r="L40" s="116"/>
      <c r="N40" s="108" t="s">
        <v>203</v>
      </c>
    </row>
    <row r="41" spans="2:15" ht="15.75" thickBot="1" x14ac:dyDescent="0.3">
      <c r="C41" s="108" t="s">
        <v>219</v>
      </c>
      <c r="E41" s="115"/>
      <c r="F41" s="112" t="str">
        <f>IF(OR(I42="",I43=""),"",IF(I42&lt;I43,H42,H43))</f>
        <v/>
      </c>
      <c r="H41" s="108" t="s">
        <v>204</v>
      </c>
      <c r="K41" s="111" t="str">
        <f>IF(OR(I42="",I43=""),"",IF(I42&gt;I43,H42,H43))</f>
        <v/>
      </c>
      <c r="L41" s="117"/>
      <c r="N41" s="108" t="s">
        <v>217</v>
      </c>
    </row>
    <row r="42" spans="2:15" x14ac:dyDescent="0.25">
      <c r="B42" s="114"/>
      <c r="C42" s="110" t="str">
        <f>IF(OR(E40="",E41=""),"",IF(E40&gt;E41,F40,F41))</f>
        <v/>
      </c>
      <c r="H42" s="109"/>
      <c r="I42" s="116"/>
      <c r="N42" s="109" t="str">
        <f>IF(OR(L40="",L41=""),"",IF(L40&gt;L41,K40,K41))</f>
        <v/>
      </c>
      <c r="O42" s="116"/>
    </row>
    <row r="43" spans="2:15" ht="15.75" thickBot="1" x14ac:dyDescent="0.3">
      <c r="B43" s="115"/>
      <c r="C43" s="112" t="str">
        <f>IF(OR(E40="",E41=""),"",IF(E40&lt;E41,F40,F41))</f>
        <v/>
      </c>
      <c r="H43" s="111"/>
      <c r="I43" s="117"/>
      <c r="N43" s="111" t="str">
        <f>IF(OR(L48="",L49=""),"",IF(L48&gt;L49,K48,K49))</f>
        <v/>
      </c>
      <c r="O43" s="117"/>
    </row>
    <row r="44" spans="2:15" x14ac:dyDescent="0.25">
      <c r="N44" s="108" t="s">
        <v>204</v>
      </c>
    </row>
    <row r="45" spans="2:15" ht="15.75" thickBot="1" x14ac:dyDescent="0.3">
      <c r="H45" s="108" t="s">
        <v>205</v>
      </c>
      <c r="N45" s="108" t="s">
        <v>218</v>
      </c>
    </row>
    <row r="46" spans="2:15" x14ac:dyDescent="0.25">
      <c r="H46" s="109"/>
      <c r="I46" s="116"/>
      <c r="N46" s="109" t="str">
        <f>IF(OR(L40="",L41=""),"",IF(L40&lt;L41,K40,K41))</f>
        <v/>
      </c>
      <c r="O46" s="116"/>
    </row>
    <row r="47" spans="2:15" ht="15.75" thickBot="1" x14ac:dyDescent="0.3">
      <c r="H47" s="111"/>
      <c r="I47" s="117"/>
      <c r="K47" s="108" t="s">
        <v>204</v>
      </c>
      <c r="N47" s="111" t="str">
        <f>IF(OR(L48="",L49=""),"",IF(L48&lt;L49,K48,K49))</f>
        <v/>
      </c>
      <c r="O47" s="117"/>
    </row>
    <row r="48" spans="2:15" x14ac:dyDescent="0.25">
      <c r="K48" s="109" t="str">
        <f>IF(OR(I46="",I47=""),"",IF(I46&gt;I47,H46,H47))</f>
        <v/>
      </c>
      <c r="L48" s="116"/>
    </row>
    <row r="49" spans="11:12" ht="15.75" thickBot="1" x14ac:dyDescent="0.3">
      <c r="K49" s="111" t="str">
        <f>IF(OR(I46="",I47=""),"",IF(I46&lt;I47,H46,H47))</f>
        <v/>
      </c>
      <c r="L49" s="117"/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8DCD9F57-4FB7-4D48-8AC0-E710B44DB6B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4PPph14">
              <controlPr defaultSize="0" print="0" autoFill="0" autoPict="0" macro="[0]!'copyimage &quot;B2:O51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9AE1-0CC4-4ABE-87A9-E8BA2EBC1BBA}">
  <sheetPr codeName="Feuil17"/>
  <dimension ref="A1:AA300"/>
  <sheetViews>
    <sheetView topLeftCell="B1" workbookViewId="0"/>
  </sheetViews>
  <sheetFormatPr baseColWidth="10" defaultRowHeight="15" x14ac:dyDescent="0.25"/>
  <cols>
    <col min="1" max="1" width="0" style="79" hidden="1" customWidth="1"/>
    <col min="2" max="2" width="43.5703125" style="79" customWidth="1"/>
    <col min="3" max="3" width="6" style="97" customWidth="1"/>
    <col min="4" max="4" width="16.7109375" style="79" customWidth="1"/>
    <col min="5" max="5" width="6" style="97" customWidth="1"/>
    <col min="6" max="6" width="43.5703125" style="79" customWidth="1"/>
    <col min="7" max="7" width="6" style="79" hidden="1" customWidth="1"/>
    <col min="8" max="16384" width="11.42578125" style="79"/>
  </cols>
  <sheetData>
    <row r="1" spans="1:27" x14ac:dyDescent="0.25">
      <c r="A1" s="89">
        <v>4</v>
      </c>
      <c r="B1" s="89"/>
      <c r="C1" s="95" t="str">
        <f>CHAR(160)</f>
        <v> </v>
      </c>
      <c r="D1" s="90">
        <f>MATCHS!D76 + "00:09:00"</f>
        <v>0.49583333333333296</v>
      </c>
      <c r="E1" s="95" t="str">
        <f>CHAR(160)</f>
        <v> </v>
      </c>
      <c r="F1" s="89"/>
      <c r="G1" s="89"/>
      <c r="X1" s="79" t="str">
        <f ca="1">INDIRECT("B"&amp;1) &amp; CHAR(10) &amp; "vs" &amp; CHAR(10) &amp; INDIRECT("F"&amp;1)</f>
        <v xml:space="preserve">
vs
</v>
      </c>
      <c r="Y1" s="79" t="b">
        <f t="shared" ref="Y1:Y64" ca="1" si="0">$S$10=X1</f>
        <v>0</v>
      </c>
      <c r="Z1" s="79" t="b">
        <f t="shared" ref="Z1:Z64" ca="1" si="1">$S$20=X1</f>
        <v>0</v>
      </c>
      <c r="AA1" s="79" t="b">
        <f t="shared" ref="AA1:AA64" ca="1" si="2">$S$30=X1</f>
        <v>0</v>
      </c>
    </row>
    <row r="2" spans="1:27" x14ac:dyDescent="0.25">
      <c r="A2" s="92"/>
      <c r="B2" s="92">
        <f>PHASE_FINALE!H4</f>
        <v>0</v>
      </c>
      <c r="C2" s="96" t="str">
        <f>IF(PHASE_FINALE!I4&lt;&gt;"",PHASE_FINALE!I4,"")</f>
        <v/>
      </c>
      <c r="D2" s="91" t="s">
        <v>127</v>
      </c>
      <c r="E2" s="96" t="str">
        <f>IF(PHASE_FINALE!I5&lt;&gt;"",PHASE_FINALE!I5,"")</f>
        <v/>
      </c>
      <c r="F2" s="92">
        <f>PHASE_FINALE!H5</f>
        <v>0</v>
      </c>
      <c r="G2" s="92"/>
      <c r="S2" s="79">
        <f>MATCH(TRUE,INDEX(LEN(C:C)=0, 0,0),0)</f>
        <v>2</v>
      </c>
      <c r="U2" s="79">
        <f>MATCH(TRUE,INDEX(LEN(E:E)=0, 0,0),0)</f>
        <v>2</v>
      </c>
      <c r="X2" s="79" t="str">
        <f ca="1">INDIRECT("B"&amp;2) &amp; CHAR(10) &amp; "vs" &amp; CHAR(10) &amp; INDIRECT("F"&amp;2)</f>
        <v>0
vs
0</v>
      </c>
      <c r="Y2" s="79" t="b">
        <f t="shared" ca="1" si="0"/>
        <v>1</v>
      </c>
      <c r="Z2" s="79" t="b">
        <f t="shared" ca="1" si="1"/>
        <v>1</v>
      </c>
      <c r="AA2" s="79" t="b">
        <f t="shared" ca="1" si="2"/>
        <v>1</v>
      </c>
    </row>
    <row r="3" spans="1:27" x14ac:dyDescent="0.25">
      <c r="A3" s="92"/>
      <c r="B3" s="92">
        <f>PHASE_FINALE!H8</f>
        <v>0</v>
      </c>
      <c r="C3" s="96" t="str">
        <f>IF(PHASE_FINALE!I8&lt;&gt;"",PHASE_FINALE!I8,"")</f>
        <v/>
      </c>
      <c r="D3" s="91" t="s">
        <v>128</v>
      </c>
      <c r="E3" s="96" t="str">
        <f>IF(PHASE_FINALE!I9&lt;&gt;"",PHASE_FINALE!I9,"")</f>
        <v/>
      </c>
      <c r="F3" s="92">
        <f>PHASE_FINALE!H9</f>
        <v>0</v>
      </c>
      <c r="G3" s="92"/>
      <c r="S3" s="79">
        <f>IF(MOD(S$2-(1+ROUNDDOWN(S$2/$A$1,0)),$A$1)=0,S$2+1,S$2)</f>
        <v>2</v>
      </c>
      <c r="U3" s="79">
        <f>IF(MOD(U$2-(1+ROUNDDOWN(U$2/$A$1,0)),$A$1)=0,U$2+1,U$2)</f>
        <v>2</v>
      </c>
      <c r="X3" s="79" t="str">
        <f ca="1">INDIRECT("B"&amp;3) &amp; CHAR(10) &amp; "vs" &amp; CHAR(10) &amp; INDIRECT("F"&amp;3)</f>
        <v>0
vs
0</v>
      </c>
      <c r="Y3" s="79" t="b">
        <f t="shared" ca="1" si="0"/>
        <v>1</v>
      </c>
      <c r="Z3" s="79" t="b">
        <f t="shared" ca="1" si="1"/>
        <v>1</v>
      </c>
      <c r="AA3" s="79" t="b">
        <f t="shared" ca="1" si="2"/>
        <v>1</v>
      </c>
    </row>
    <row r="4" spans="1:27" x14ac:dyDescent="0.25">
      <c r="A4" s="92"/>
      <c r="B4" s="92">
        <f>PHASE_FINALE!H12</f>
        <v>0</v>
      </c>
      <c r="C4" s="96" t="str">
        <f>IF(PHASE_FINALE!I12&lt;&gt;"",PHASE_FINALE!I12,"")</f>
        <v/>
      </c>
      <c r="D4" s="91" t="s">
        <v>129</v>
      </c>
      <c r="E4" s="96" t="str">
        <f>IF(PHASE_FINALE!I13&lt;&gt;"",PHASE_FINALE!I13,"")</f>
        <v/>
      </c>
      <c r="F4" s="92">
        <f>PHASE_FINALE!H13</f>
        <v>0</v>
      </c>
      <c r="G4" s="92"/>
      <c r="S4" s="79">
        <f>IF(MOD(S$3+1-(1+ROUNDDOWN(S$3/$A$1,0)),$A$1)=0,S$3+2,S$3+1)</f>
        <v>3</v>
      </c>
      <c r="U4" s="79">
        <f>IF(MOD(U$3+1-(1+ROUNDDOWN(U$3/$A$1,0)),$A$1)=0,U$3+2,U$3+1)</f>
        <v>3</v>
      </c>
      <c r="X4" s="79" t="str">
        <f ca="1">INDIRECT("B"&amp;4) &amp; CHAR(10) &amp; "vs" &amp; CHAR(10) &amp; INDIRECT("F"&amp;4)</f>
        <v>0
vs
0</v>
      </c>
      <c r="Y4" s="79" t="b">
        <f t="shared" ca="1" si="0"/>
        <v>1</v>
      </c>
      <c r="Z4" s="79" t="b">
        <f t="shared" ca="1" si="1"/>
        <v>1</v>
      </c>
      <c r="AA4" s="79" t="b">
        <f t="shared" ca="1" si="2"/>
        <v>1</v>
      </c>
    </row>
    <row r="5" spans="1:27" x14ac:dyDescent="0.25">
      <c r="A5" s="92"/>
      <c r="B5" s="92">
        <f>PHASE_FINALE!H16</f>
        <v>0</v>
      </c>
      <c r="C5" s="96" t="str">
        <f>IF(PHASE_FINALE!I16&lt;&gt;"",PHASE_FINALE!I16,"")</f>
        <v/>
      </c>
      <c r="D5" s="91" t="s">
        <v>130</v>
      </c>
      <c r="E5" s="96" t="str">
        <f>IF(PHASE_FINALE!I17&lt;&gt;"",PHASE_FINALE!I17,"")</f>
        <v/>
      </c>
      <c r="F5" s="92">
        <f>PHASE_FINALE!H17</f>
        <v>0</v>
      </c>
      <c r="G5" s="92"/>
      <c r="S5" s="79">
        <f>IF(MOD(S$4+1-(1+ROUNDDOWN(S$4/$A$1,0)),$A$1)=0,S$4+2,S$4+1)</f>
        <v>4</v>
      </c>
      <c r="U5" s="79">
        <f>IF(MOD(U$4+1-(1+ROUNDDOWN(U$4/$A$1,0)),$A$1)=0,U$4+2,U$4+1)</f>
        <v>4</v>
      </c>
      <c r="X5" s="79" t="str">
        <f ca="1">INDIRECT("B"&amp;5) &amp; CHAR(10) &amp; "vs" &amp; CHAR(10) &amp; INDIRECT("F"&amp;5)</f>
        <v>0
vs
0</v>
      </c>
      <c r="Y5" s="79" t="b">
        <f t="shared" ca="1" si="0"/>
        <v>1</v>
      </c>
      <c r="Z5" s="79" t="b">
        <f t="shared" ca="1" si="1"/>
        <v>1</v>
      </c>
      <c r="AA5" s="79" t="b">
        <f t="shared" ca="1" si="2"/>
        <v>1</v>
      </c>
    </row>
    <row r="6" spans="1:27" x14ac:dyDescent="0.25">
      <c r="A6" s="89"/>
      <c r="B6" s="89"/>
      <c r="C6" s="95" t="str">
        <f>CHAR(160)</f>
        <v> </v>
      </c>
      <c r="D6" s="90">
        <f>0.495833333333333 + "00:09:00"</f>
        <v>0.50208333333333299</v>
      </c>
      <c r="E6" s="95" t="str">
        <f>CHAR(160)</f>
        <v> </v>
      </c>
      <c r="F6" s="89"/>
      <c r="G6" s="89"/>
      <c r="X6" s="79" t="str">
        <f ca="1">INDIRECT("B"&amp;6) &amp; CHAR(10) &amp; "vs" &amp; CHAR(10) &amp; INDIRECT("F"&amp;6)</f>
        <v xml:space="preserve">
vs
</v>
      </c>
      <c r="Y6" s="79" t="b">
        <f t="shared" ca="1" si="0"/>
        <v>0</v>
      </c>
      <c r="Z6" s="79" t="b">
        <f t="shared" ca="1" si="1"/>
        <v>0</v>
      </c>
      <c r="AA6" s="79" t="b">
        <f t="shared" ca="1" si="2"/>
        <v>0</v>
      </c>
    </row>
    <row r="7" spans="1:27" x14ac:dyDescent="0.25">
      <c r="A7" s="92"/>
      <c r="B7" s="92">
        <f>PHASE_FINALE!H21</f>
        <v>0</v>
      </c>
      <c r="C7" s="96" t="str">
        <f>IF(PHASE_FINALE!I21&lt;&gt;"",PHASE_FINALE!I21,"")</f>
        <v/>
      </c>
      <c r="D7" s="91" t="s">
        <v>127</v>
      </c>
      <c r="E7" s="96" t="str">
        <f>IF(PHASE_FINALE!I22&lt;&gt;"",PHASE_FINALE!I22,"")</f>
        <v/>
      </c>
      <c r="F7" s="92">
        <f>PHASE_FINALE!H22</f>
        <v>0</v>
      </c>
      <c r="G7" s="92"/>
      <c r="S7" s="230" t="s">
        <v>189</v>
      </c>
      <c r="T7" s="230"/>
      <c r="U7" s="230"/>
      <c r="V7" s="230"/>
      <c r="W7" s="230"/>
      <c r="X7" s="79" t="str">
        <f ca="1">INDIRECT("B"&amp;7) &amp; CHAR(10) &amp; "vs" &amp; CHAR(10) &amp; INDIRECT("F"&amp;7)</f>
        <v>0
vs
0</v>
      </c>
      <c r="Y7" s="79" t="b">
        <f t="shared" ca="1" si="0"/>
        <v>1</v>
      </c>
      <c r="Z7" s="79" t="b">
        <f t="shared" ca="1" si="1"/>
        <v>1</v>
      </c>
      <c r="AA7" s="79" t="b">
        <f t="shared" ca="1" si="2"/>
        <v>1</v>
      </c>
    </row>
    <row r="8" spans="1:27" x14ac:dyDescent="0.25">
      <c r="A8" s="92"/>
      <c r="B8" s="92">
        <f>PHASE_FINALE!H25</f>
        <v>0</v>
      </c>
      <c r="C8" s="96" t="str">
        <f>IF(PHASE_FINALE!I25&lt;&gt;"",PHASE_FINALE!I25,"")</f>
        <v/>
      </c>
      <c r="D8" s="91" t="s">
        <v>128</v>
      </c>
      <c r="E8" s="96" t="str">
        <f>IF(PHASE_FINALE!I26&lt;&gt;"",PHASE_FINALE!I26,"")</f>
        <v/>
      </c>
      <c r="F8" s="92">
        <f>PHASE_FINALE!H26</f>
        <v>0</v>
      </c>
      <c r="G8" s="92"/>
      <c r="S8" s="230"/>
      <c r="T8" s="230"/>
      <c r="U8" s="230"/>
      <c r="V8" s="230"/>
      <c r="W8" s="230"/>
      <c r="X8" s="79" t="str">
        <f ca="1">INDIRECT("B"&amp;8) &amp; CHAR(10) &amp; "vs" &amp; CHAR(10) &amp; INDIRECT("F"&amp;8)</f>
        <v>0
vs
0</v>
      </c>
      <c r="Y8" s="79" t="b">
        <f t="shared" ca="1" si="0"/>
        <v>1</v>
      </c>
      <c r="Z8" s="79" t="b">
        <f t="shared" ca="1" si="1"/>
        <v>1</v>
      </c>
      <c r="AA8" s="79" t="b">
        <f t="shared" ca="1" si="2"/>
        <v>1</v>
      </c>
    </row>
    <row r="9" spans="1:27" x14ac:dyDescent="0.25">
      <c r="A9" s="92"/>
      <c r="B9" s="92">
        <f>PHASE_FINALE!H29</f>
        <v>0</v>
      </c>
      <c r="C9" s="96" t="str">
        <f>IF(PHASE_FINALE!I29&lt;&gt;"",PHASE_FINALE!I29,"")</f>
        <v/>
      </c>
      <c r="D9" s="91" t="s">
        <v>129</v>
      </c>
      <c r="E9" s="96" t="str">
        <f>IF(PHASE_FINALE!I30&lt;&gt;"",PHASE_FINALE!I30,"")</f>
        <v/>
      </c>
      <c r="F9" s="92">
        <f>PHASE_FINALE!H30</f>
        <v>0</v>
      </c>
      <c r="G9" s="92"/>
      <c r="S9" s="230"/>
      <c r="T9" s="230"/>
      <c r="U9" s="230"/>
      <c r="V9" s="230"/>
      <c r="W9" s="230"/>
      <c r="X9" s="79" t="str">
        <f ca="1">INDIRECT("B"&amp;9) &amp; CHAR(10) &amp; "vs" &amp; CHAR(10) &amp; INDIRECT("F"&amp;9)</f>
        <v>0
vs
0</v>
      </c>
      <c r="Y9" s="79" t="b">
        <f t="shared" ca="1" si="0"/>
        <v>1</v>
      </c>
      <c r="Z9" s="79" t="b">
        <f t="shared" ca="1" si="1"/>
        <v>1</v>
      </c>
      <c r="AA9" s="79" t="b">
        <f t="shared" ca="1" si="2"/>
        <v>1</v>
      </c>
    </row>
    <row r="10" spans="1:27" x14ac:dyDescent="0.25">
      <c r="A10" s="92"/>
      <c r="B10" s="92">
        <f>PHASE_FINALE!H33</f>
        <v>0</v>
      </c>
      <c r="C10" s="96" t="str">
        <f>IF(PHASE_FINALE!I33&lt;&gt;"",PHASE_FINALE!I33,"")</f>
        <v/>
      </c>
      <c r="D10" s="91" t="s">
        <v>130</v>
      </c>
      <c r="E10" s="96" t="str">
        <f>IF(PHASE_FINALE!I34&lt;&gt;"",PHASE_FINALE!I34,"")</f>
        <v/>
      </c>
      <c r="F10" s="92">
        <f>PHASE_FINALE!H34</f>
        <v>0</v>
      </c>
      <c r="G10" s="92"/>
      <c r="S10" s="231" t="str">
        <f ca="1">IF(S$3=U$3,INDIRECT("B"&amp;S$3) &amp; CHAR(10) &amp; "vs" &amp; CHAR(10) &amp; INDIRECT("F"&amp;S$3),"ERREUR DE SAISSIE")</f>
        <v>0
vs
0</v>
      </c>
      <c r="T10" s="231"/>
      <c r="U10" s="231"/>
      <c r="V10" s="231"/>
      <c r="W10" s="231"/>
      <c r="X10" s="79" t="str">
        <f ca="1">INDIRECT("B"&amp;10) &amp; CHAR(10) &amp; "vs" &amp; CHAR(10) &amp; INDIRECT("F"&amp;10)</f>
        <v>0
vs
0</v>
      </c>
      <c r="Y10" s="79" t="b">
        <f t="shared" ca="1" si="0"/>
        <v>1</v>
      </c>
      <c r="Z10" s="79" t="b">
        <f t="shared" ca="1" si="1"/>
        <v>1</v>
      </c>
      <c r="AA10" s="79" t="b">
        <f t="shared" ca="1" si="2"/>
        <v>1</v>
      </c>
    </row>
    <row r="11" spans="1:27" x14ac:dyDescent="0.25">
      <c r="A11" s="89"/>
      <c r="B11" s="89"/>
      <c r="C11" s="95" t="str">
        <f>CHAR(160)</f>
        <v> </v>
      </c>
      <c r="D11" s="90">
        <f>0.502083333333333 + "00:09:00"</f>
        <v>0.50833333333333297</v>
      </c>
      <c r="E11" s="95" t="str">
        <f>CHAR(160)</f>
        <v> </v>
      </c>
      <c r="F11" s="89"/>
      <c r="G11" s="89"/>
      <c r="S11" s="231"/>
      <c r="T11" s="231"/>
      <c r="U11" s="231"/>
      <c r="V11" s="231"/>
      <c r="W11" s="231"/>
      <c r="X11" s="79" t="str">
        <f ca="1">INDIRECT("B"&amp;11) &amp; CHAR(10) &amp; "vs" &amp; CHAR(10) &amp; INDIRECT("F"&amp;11)</f>
        <v xml:space="preserve">
vs
</v>
      </c>
      <c r="Y11" s="79" t="b">
        <f t="shared" ca="1" si="0"/>
        <v>0</v>
      </c>
      <c r="Z11" s="79" t="b">
        <f t="shared" ca="1" si="1"/>
        <v>0</v>
      </c>
      <c r="AA11" s="79" t="b">
        <f t="shared" ca="1" si="2"/>
        <v>0</v>
      </c>
    </row>
    <row r="12" spans="1:27" x14ac:dyDescent="0.25">
      <c r="A12" s="92"/>
      <c r="B12" s="92">
        <f>PHASE_FINALE!H38</f>
        <v>0</v>
      </c>
      <c r="C12" s="96" t="str">
        <f>IF(PHASE_FINALE!I38&lt;&gt;"",PHASE_FINALE!I38,"")</f>
        <v/>
      </c>
      <c r="D12" s="91" t="s">
        <v>127</v>
      </c>
      <c r="E12" s="96" t="str">
        <f>IF(PHASE_FINALE!I39&lt;&gt;"",PHASE_FINALE!I39,"")</f>
        <v/>
      </c>
      <c r="F12" s="92">
        <f>PHASE_FINALE!H39</f>
        <v>0</v>
      </c>
      <c r="G12" s="92"/>
      <c r="S12" s="231"/>
      <c r="T12" s="231"/>
      <c r="U12" s="231"/>
      <c r="V12" s="231"/>
      <c r="W12" s="231"/>
      <c r="X12" s="79" t="str">
        <f ca="1">INDIRECT("B"&amp;12) &amp; CHAR(10) &amp; "vs" &amp; CHAR(10) &amp; INDIRECT("F"&amp;12)</f>
        <v>0
vs
0</v>
      </c>
      <c r="Y12" s="79" t="b">
        <f t="shared" ca="1" si="0"/>
        <v>1</v>
      </c>
      <c r="Z12" s="79" t="b">
        <f t="shared" ca="1" si="1"/>
        <v>1</v>
      </c>
      <c r="AA12" s="79" t="b">
        <f t="shared" ca="1" si="2"/>
        <v>1</v>
      </c>
    </row>
    <row r="13" spans="1:27" x14ac:dyDescent="0.25">
      <c r="A13" s="92"/>
      <c r="B13" s="92">
        <f>PHASE_FINALE!H42</f>
        <v>0</v>
      </c>
      <c r="C13" s="96" t="str">
        <f>IF(PHASE_FINALE!I42&lt;&gt;"",PHASE_FINALE!I42,"")</f>
        <v/>
      </c>
      <c r="D13" s="91" t="s">
        <v>128</v>
      </c>
      <c r="E13" s="96" t="str">
        <f>IF(PHASE_FINALE!I43&lt;&gt;"",PHASE_FINALE!I43,"")</f>
        <v/>
      </c>
      <c r="F13" s="92">
        <f>PHASE_FINALE!H43</f>
        <v>0</v>
      </c>
      <c r="G13" s="92"/>
      <c r="S13" s="231"/>
      <c r="T13" s="231"/>
      <c r="U13" s="231"/>
      <c r="V13" s="231"/>
      <c r="W13" s="231"/>
      <c r="X13" s="79" t="str">
        <f ca="1">INDIRECT("B"&amp;13) &amp; CHAR(10) &amp; "vs" &amp; CHAR(10) &amp; INDIRECT("F"&amp;13)</f>
        <v>0
vs
0</v>
      </c>
      <c r="Y13" s="79" t="b">
        <f t="shared" ca="1" si="0"/>
        <v>1</v>
      </c>
      <c r="Z13" s="79" t="b">
        <f t="shared" ca="1" si="1"/>
        <v>1</v>
      </c>
      <c r="AA13" s="79" t="b">
        <f t="shared" ca="1" si="2"/>
        <v>1</v>
      </c>
    </row>
    <row r="14" spans="1:27" x14ac:dyDescent="0.25">
      <c r="A14" s="92"/>
      <c r="B14" s="92">
        <f>PHASE_FINALE!H46</f>
        <v>0</v>
      </c>
      <c r="C14" s="96" t="str">
        <f>IF(PHASE_FINALE!I46&lt;&gt;"",PHASE_FINALE!I46,"")</f>
        <v/>
      </c>
      <c r="D14" s="91" t="s">
        <v>129</v>
      </c>
      <c r="E14" s="96" t="str">
        <f>IF(PHASE_FINALE!I47&lt;&gt;"",PHASE_FINALE!I47,"")</f>
        <v/>
      </c>
      <c r="F14" s="92">
        <f>PHASE_FINALE!H47</f>
        <v>0</v>
      </c>
      <c r="G14" s="92"/>
      <c r="S14" s="231"/>
      <c r="T14" s="231"/>
      <c r="U14" s="231"/>
      <c r="V14" s="231"/>
      <c r="W14" s="231"/>
      <c r="X14" s="79" t="str">
        <f ca="1">INDIRECT("B"&amp;14) &amp; CHAR(10) &amp; "vs" &amp; CHAR(10) &amp; INDIRECT("F"&amp;14)</f>
        <v>0
vs
0</v>
      </c>
      <c r="Y14" s="79" t="b">
        <f t="shared" ca="1" si="0"/>
        <v>1</v>
      </c>
      <c r="Z14" s="79" t="b">
        <f t="shared" ca="1" si="1"/>
        <v>1</v>
      </c>
      <c r="AA14" s="79" t="b">
        <f t="shared" ca="1" si="2"/>
        <v>1</v>
      </c>
    </row>
    <row r="15" spans="1:27" x14ac:dyDescent="0.25">
      <c r="A15" s="92"/>
      <c r="B15" s="92" t="s">
        <v>183</v>
      </c>
      <c r="C15" s="96"/>
      <c r="D15" s="91" t="s">
        <v>130</v>
      </c>
      <c r="E15" s="96"/>
      <c r="F15" s="92" t="s">
        <v>183</v>
      </c>
      <c r="G15" s="92"/>
      <c r="S15" s="231"/>
      <c r="T15" s="231"/>
      <c r="U15" s="231"/>
      <c r="V15" s="231"/>
      <c r="W15" s="231"/>
      <c r="X15" s="79" t="str">
        <f ca="1">INDIRECT("B"&amp;15) &amp; CHAR(10) &amp; "vs" &amp; CHAR(10) &amp; INDIRECT("F"&amp;15)</f>
        <v>Libre
vs
Libre</v>
      </c>
      <c r="Y15" s="79" t="b">
        <f t="shared" ca="1" si="0"/>
        <v>0</v>
      </c>
      <c r="Z15" s="79" t="b">
        <f t="shared" ca="1" si="1"/>
        <v>0</v>
      </c>
      <c r="AA15" s="79" t="b">
        <f t="shared" ca="1" si="2"/>
        <v>0</v>
      </c>
    </row>
    <row r="16" spans="1:27" x14ac:dyDescent="0.25">
      <c r="A16" s="89"/>
      <c r="B16" s="89"/>
      <c r="C16" s="95" t="str">
        <f>CHAR(160)</f>
        <v> </v>
      </c>
      <c r="D16" s="90">
        <f>0.508333333333333 + "00:09:00"</f>
        <v>0.51458333333333295</v>
      </c>
      <c r="E16" s="95" t="str">
        <f>CHAR(160)</f>
        <v> </v>
      </c>
      <c r="F16" s="89"/>
      <c r="G16" s="89"/>
      <c r="X16" s="79" t="str">
        <f ca="1">INDIRECT("B"&amp;16) &amp; CHAR(10) &amp; "vs" &amp; CHAR(10) &amp; INDIRECT("F"&amp;16)</f>
        <v xml:space="preserve">
vs
</v>
      </c>
      <c r="Y16" s="79" t="b">
        <f t="shared" ca="1" si="0"/>
        <v>0</v>
      </c>
      <c r="Z16" s="79" t="b">
        <f t="shared" ca="1" si="1"/>
        <v>0</v>
      </c>
      <c r="AA16" s="79" t="b">
        <f t="shared" ca="1" si="2"/>
        <v>0</v>
      </c>
    </row>
    <row r="17" spans="1:27" x14ac:dyDescent="0.25">
      <c r="A17" s="93"/>
      <c r="B17" s="93" t="str">
        <f>PHASE_FINALE!K6</f>
        <v/>
      </c>
      <c r="C17" s="96" t="str">
        <f>IF(PHASE_FINALE!L6&lt;&gt;"",PHASE_FINALE!L6,"")</f>
        <v/>
      </c>
      <c r="D17" s="91" t="s">
        <v>127</v>
      </c>
      <c r="E17" s="96" t="str">
        <f>IF(PHASE_FINALE!L7&lt;&gt;"",PHASE_FINALE!L7,"")</f>
        <v/>
      </c>
      <c r="F17" s="93" t="str">
        <f>PHASE_FINALE!K7</f>
        <v/>
      </c>
      <c r="G17" s="93"/>
      <c r="S17" s="230" t="s">
        <v>190</v>
      </c>
      <c r="T17" s="230"/>
      <c r="U17" s="230"/>
      <c r="V17" s="230"/>
      <c r="W17" s="230"/>
      <c r="X17" s="79" t="str">
        <f ca="1">INDIRECT("B"&amp;17) &amp; CHAR(10) &amp; "vs" &amp; CHAR(10) &amp; INDIRECT("F"&amp;17)</f>
        <v xml:space="preserve">
vs
</v>
      </c>
      <c r="Y17" s="79" t="b">
        <f t="shared" ca="1" si="0"/>
        <v>0</v>
      </c>
      <c r="Z17" s="79" t="b">
        <f t="shared" ca="1" si="1"/>
        <v>0</v>
      </c>
      <c r="AA17" s="79" t="b">
        <f t="shared" ca="1" si="2"/>
        <v>0</v>
      </c>
    </row>
    <row r="18" spans="1:27" x14ac:dyDescent="0.25">
      <c r="A18" s="93"/>
      <c r="B18" s="93" t="str">
        <f>PHASE_FINALE!K14</f>
        <v/>
      </c>
      <c r="C18" s="96" t="str">
        <f>IF(PHASE_FINALE!L14&lt;&gt;"",PHASE_FINALE!L14,"")</f>
        <v/>
      </c>
      <c r="D18" s="91" t="s">
        <v>128</v>
      </c>
      <c r="E18" s="96" t="str">
        <f>IF(PHASE_FINALE!L15&lt;&gt;"",PHASE_FINALE!L15,"")</f>
        <v/>
      </c>
      <c r="F18" s="93" t="str">
        <f>PHASE_FINALE!K15</f>
        <v/>
      </c>
      <c r="G18" s="93"/>
      <c r="S18" s="230"/>
      <c r="T18" s="230"/>
      <c r="U18" s="230"/>
      <c r="V18" s="230"/>
      <c r="W18" s="230"/>
      <c r="X18" s="79" t="str">
        <f ca="1">INDIRECT("B"&amp;18) &amp; CHAR(10) &amp; "vs" &amp; CHAR(10) &amp; INDIRECT("F"&amp;18)</f>
        <v xml:space="preserve">
vs
</v>
      </c>
      <c r="Y18" s="79" t="b">
        <f t="shared" ca="1" si="0"/>
        <v>0</v>
      </c>
      <c r="Z18" s="79" t="b">
        <f t="shared" ca="1" si="1"/>
        <v>0</v>
      </c>
      <c r="AA18" s="79" t="b">
        <f t="shared" ca="1" si="2"/>
        <v>0</v>
      </c>
    </row>
    <row r="19" spans="1:27" x14ac:dyDescent="0.25">
      <c r="A19" s="93"/>
      <c r="B19" s="93" t="str">
        <f>PHASE_FINALE!F6</f>
        <v/>
      </c>
      <c r="C19" s="96" t="str">
        <f>IF(PHASE_FINALE!E6&lt;&gt;"",PHASE_FINALE!E6,"")</f>
        <v/>
      </c>
      <c r="D19" s="91" t="s">
        <v>129</v>
      </c>
      <c r="E19" s="96" t="str">
        <f>IF(PHASE_FINALE!E7&lt;&gt;"",PHASE_FINALE!E7,"")</f>
        <v/>
      </c>
      <c r="F19" s="93" t="str">
        <f>PHASE_FINALE!F7</f>
        <v/>
      </c>
      <c r="G19" s="93"/>
      <c r="S19" s="230"/>
      <c r="T19" s="230"/>
      <c r="U19" s="230"/>
      <c r="V19" s="230"/>
      <c r="W19" s="230"/>
      <c r="X19" s="79" t="str">
        <f ca="1">INDIRECT("B"&amp;19) &amp; CHAR(10) &amp; "vs" &amp; CHAR(10) &amp; INDIRECT("F"&amp;19)</f>
        <v xml:space="preserve">
vs
</v>
      </c>
      <c r="Y19" s="79" t="b">
        <f t="shared" ca="1" si="0"/>
        <v>0</v>
      </c>
      <c r="Z19" s="79" t="b">
        <f t="shared" ca="1" si="1"/>
        <v>0</v>
      </c>
      <c r="AA19" s="79" t="b">
        <f t="shared" ca="1" si="2"/>
        <v>0</v>
      </c>
    </row>
    <row r="20" spans="1:27" x14ac:dyDescent="0.25">
      <c r="A20" s="93"/>
      <c r="B20" s="93" t="str">
        <f>PHASE_FINALE!F14</f>
        <v/>
      </c>
      <c r="C20" s="96" t="str">
        <f>IF(PHASE_FINALE!E14&lt;&gt;"",PHASE_FINALE!E14,"")</f>
        <v/>
      </c>
      <c r="D20" s="91" t="s">
        <v>130</v>
      </c>
      <c r="E20" s="96" t="str">
        <f>IF(PHASE_FINALE!E15&lt;&gt;"",PHASE_FINALE!E15,"")</f>
        <v/>
      </c>
      <c r="F20" s="93" t="str">
        <f>PHASE_FINALE!F15</f>
        <v/>
      </c>
      <c r="G20" s="93"/>
      <c r="S20" s="231" t="str">
        <f ca="1">IF(S$4=U$4,INDIRECT("B"&amp;S$4) &amp; CHAR(10) &amp; "vs" &amp; CHAR(10) &amp; INDIRECT("F"&amp;S$4),"ERREUR DE SAISSIE")</f>
        <v>0
vs
0</v>
      </c>
      <c r="T20" s="231"/>
      <c r="U20" s="231"/>
      <c r="V20" s="231"/>
      <c r="W20" s="231"/>
      <c r="X20" s="79" t="str">
        <f ca="1">INDIRECT("B"&amp;20) &amp; CHAR(10) &amp; "vs" &amp; CHAR(10) &amp; INDIRECT("F"&amp;20)</f>
        <v xml:space="preserve">
vs
</v>
      </c>
      <c r="Y20" s="79" t="b">
        <f t="shared" ca="1" si="0"/>
        <v>0</v>
      </c>
      <c r="Z20" s="79" t="b">
        <f t="shared" ca="1" si="1"/>
        <v>0</v>
      </c>
      <c r="AA20" s="79" t="b">
        <f t="shared" ca="1" si="2"/>
        <v>0</v>
      </c>
    </row>
    <row r="21" spans="1:27" x14ac:dyDescent="0.25">
      <c r="A21" s="89"/>
      <c r="B21" s="89"/>
      <c r="C21" s="95" t="str">
        <f>CHAR(160)</f>
        <v> </v>
      </c>
      <c r="D21" s="90">
        <f>0.514583333333333 + "00:09:00"</f>
        <v>0.52083333333333293</v>
      </c>
      <c r="E21" s="95" t="str">
        <f>CHAR(160)</f>
        <v> </v>
      </c>
      <c r="F21" s="89"/>
      <c r="G21" s="89"/>
      <c r="S21" s="231"/>
      <c r="T21" s="231"/>
      <c r="U21" s="231"/>
      <c r="V21" s="231"/>
      <c r="W21" s="231"/>
      <c r="X21" s="79" t="str">
        <f ca="1">INDIRECT("B"&amp;21) &amp; CHAR(10) &amp; "vs" &amp; CHAR(10) &amp; INDIRECT("F"&amp;21)</f>
        <v xml:space="preserve">
vs
</v>
      </c>
      <c r="Y21" s="79" t="b">
        <f t="shared" ca="1" si="0"/>
        <v>0</v>
      </c>
      <c r="Z21" s="79" t="b">
        <f t="shared" ca="1" si="1"/>
        <v>0</v>
      </c>
      <c r="AA21" s="79" t="b">
        <f t="shared" ca="1" si="2"/>
        <v>0</v>
      </c>
    </row>
    <row r="22" spans="1:27" x14ac:dyDescent="0.25">
      <c r="A22" s="93"/>
      <c r="B22" s="93" t="str">
        <f>PHASE_FINALE!K23</f>
        <v/>
      </c>
      <c r="C22" s="96" t="str">
        <f>IF(PHASE_FINALE!L23&lt;&gt;"",PHASE_FINALE!L23,"")</f>
        <v/>
      </c>
      <c r="D22" s="91" t="s">
        <v>127</v>
      </c>
      <c r="E22" s="96" t="str">
        <f>IF(PHASE_FINALE!L24&lt;&gt;"",PHASE_FINALE!L24,"")</f>
        <v/>
      </c>
      <c r="F22" s="93" t="str">
        <f>PHASE_FINALE!K24</f>
        <v/>
      </c>
      <c r="G22" s="93"/>
      <c r="S22" s="231"/>
      <c r="T22" s="231"/>
      <c r="U22" s="231"/>
      <c r="V22" s="231"/>
      <c r="W22" s="231"/>
      <c r="X22" s="79" t="str">
        <f ca="1">INDIRECT("B"&amp;22) &amp; CHAR(10) &amp; "vs" &amp; CHAR(10) &amp; INDIRECT("F"&amp;22)</f>
        <v xml:space="preserve">
vs
</v>
      </c>
      <c r="Y22" s="79" t="b">
        <f t="shared" ca="1" si="0"/>
        <v>0</v>
      </c>
      <c r="Z22" s="79" t="b">
        <f t="shared" ca="1" si="1"/>
        <v>0</v>
      </c>
      <c r="AA22" s="79" t="b">
        <f t="shared" ca="1" si="2"/>
        <v>0</v>
      </c>
    </row>
    <row r="23" spans="1:27" x14ac:dyDescent="0.25">
      <c r="A23" s="93"/>
      <c r="B23" s="93" t="str">
        <f>PHASE_FINALE!K31</f>
        <v/>
      </c>
      <c r="C23" s="96" t="str">
        <f>IF(PHASE_FINALE!L31&lt;&gt;"",PHASE_FINALE!L31,"")</f>
        <v/>
      </c>
      <c r="D23" s="91" t="s">
        <v>128</v>
      </c>
      <c r="E23" s="96" t="str">
        <f>IF(PHASE_FINALE!L32&lt;&gt;"",PHASE_FINALE!L32,"")</f>
        <v/>
      </c>
      <c r="F23" s="93" t="str">
        <f>PHASE_FINALE!K32</f>
        <v/>
      </c>
      <c r="G23" s="93"/>
      <c r="S23" s="231"/>
      <c r="T23" s="231"/>
      <c r="U23" s="231"/>
      <c r="V23" s="231"/>
      <c r="W23" s="231"/>
      <c r="X23" s="79" t="str">
        <f ca="1">INDIRECT("B"&amp;23) &amp; CHAR(10) &amp; "vs" &amp; CHAR(10) &amp; INDIRECT("F"&amp;23)</f>
        <v xml:space="preserve">
vs
</v>
      </c>
      <c r="Y23" s="79" t="b">
        <f t="shared" ca="1" si="0"/>
        <v>0</v>
      </c>
      <c r="Z23" s="79" t="b">
        <f t="shared" ca="1" si="1"/>
        <v>0</v>
      </c>
      <c r="AA23" s="79" t="b">
        <f t="shared" ca="1" si="2"/>
        <v>0</v>
      </c>
    </row>
    <row r="24" spans="1:27" x14ac:dyDescent="0.25">
      <c r="A24" s="93"/>
      <c r="B24" s="93" t="str">
        <f>PHASE_FINALE!F23</f>
        <v/>
      </c>
      <c r="C24" s="96" t="str">
        <f>IF(PHASE_FINALE!E23&lt;&gt;"",PHASE_FINALE!E23,"")</f>
        <v/>
      </c>
      <c r="D24" s="91" t="s">
        <v>129</v>
      </c>
      <c r="E24" s="96" t="str">
        <f>IF(PHASE_FINALE!E24&lt;&gt;"",PHASE_FINALE!E24,"")</f>
        <v/>
      </c>
      <c r="F24" s="93" t="str">
        <f>PHASE_FINALE!F24</f>
        <v/>
      </c>
      <c r="G24" s="93"/>
      <c r="S24" s="231"/>
      <c r="T24" s="231"/>
      <c r="U24" s="231"/>
      <c r="V24" s="231"/>
      <c r="W24" s="231"/>
      <c r="X24" s="79" t="str">
        <f ca="1">INDIRECT("B"&amp;24) &amp; CHAR(10) &amp; "vs" &amp; CHAR(10) &amp; INDIRECT("F"&amp;24)</f>
        <v xml:space="preserve">
vs
</v>
      </c>
      <c r="Y24" s="79" t="b">
        <f t="shared" ca="1" si="0"/>
        <v>0</v>
      </c>
      <c r="Z24" s="79" t="b">
        <f t="shared" ca="1" si="1"/>
        <v>0</v>
      </c>
      <c r="AA24" s="79" t="b">
        <f t="shared" ca="1" si="2"/>
        <v>0</v>
      </c>
    </row>
    <row r="25" spans="1:27" x14ac:dyDescent="0.25">
      <c r="A25" s="93"/>
      <c r="B25" s="93" t="str">
        <f>PHASE_FINALE!F31</f>
        <v/>
      </c>
      <c r="C25" s="96" t="str">
        <f>IF(PHASE_FINALE!E31&lt;&gt;"",PHASE_FINALE!E31,"")</f>
        <v/>
      </c>
      <c r="D25" s="91" t="s">
        <v>130</v>
      </c>
      <c r="E25" s="96" t="str">
        <f>IF(PHASE_FINALE!E32&lt;&gt;"",PHASE_FINALE!E32,"")</f>
        <v/>
      </c>
      <c r="F25" s="93" t="str">
        <f>PHASE_FINALE!F32</f>
        <v/>
      </c>
      <c r="G25" s="93"/>
      <c r="S25" s="231"/>
      <c r="T25" s="231"/>
      <c r="U25" s="231"/>
      <c r="V25" s="231"/>
      <c r="W25" s="231"/>
      <c r="X25" s="79" t="str">
        <f ca="1">INDIRECT("B"&amp;25) &amp; CHAR(10) &amp; "vs" &amp; CHAR(10) &amp; INDIRECT("F"&amp;25)</f>
        <v xml:space="preserve">
vs
</v>
      </c>
      <c r="Y25" s="79" t="b">
        <f t="shared" ca="1" si="0"/>
        <v>0</v>
      </c>
      <c r="Z25" s="79" t="b">
        <f t="shared" ca="1" si="1"/>
        <v>0</v>
      </c>
      <c r="AA25" s="79" t="b">
        <f t="shared" ca="1" si="2"/>
        <v>0</v>
      </c>
    </row>
    <row r="26" spans="1:27" x14ac:dyDescent="0.25">
      <c r="A26" s="89"/>
      <c r="B26" s="89"/>
      <c r="C26" s="95" t="str">
        <f>CHAR(160)</f>
        <v> </v>
      </c>
      <c r="D26" s="90">
        <f>0.520833333333333 + "00:09:00"</f>
        <v>0.52708333333333302</v>
      </c>
      <c r="E26" s="95" t="str">
        <f>CHAR(160)</f>
        <v> </v>
      </c>
      <c r="F26" s="89"/>
      <c r="G26" s="89"/>
      <c r="X26" s="79" t="str">
        <f ca="1">INDIRECT("B"&amp;26) &amp; CHAR(10) &amp; "vs" &amp; CHAR(10) &amp; INDIRECT("F"&amp;26)</f>
        <v xml:space="preserve">
vs
</v>
      </c>
      <c r="Y26" s="79" t="b">
        <f t="shared" ca="1" si="0"/>
        <v>0</v>
      </c>
      <c r="Z26" s="79" t="b">
        <f t="shared" ca="1" si="1"/>
        <v>0</v>
      </c>
      <c r="AA26" s="79" t="b">
        <f t="shared" ca="1" si="2"/>
        <v>0</v>
      </c>
    </row>
    <row r="27" spans="1:27" x14ac:dyDescent="0.25">
      <c r="A27" s="93"/>
      <c r="B27" s="93" t="str">
        <f>PHASE_FINALE!K40</f>
        <v/>
      </c>
      <c r="C27" s="96" t="str">
        <f>IF(PHASE_FINALE!L40&lt;&gt;"",PHASE_FINALE!L40,"")</f>
        <v/>
      </c>
      <c r="D27" s="91" t="s">
        <v>127</v>
      </c>
      <c r="E27" s="96" t="str">
        <f>IF(PHASE_FINALE!L41&lt;&gt;"",PHASE_FINALE!L41,"")</f>
        <v/>
      </c>
      <c r="F27" s="93" t="str">
        <f>PHASE_FINALE!K41</f>
        <v/>
      </c>
      <c r="G27" s="93"/>
      <c r="S27" s="230" t="s">
        <v>190</v>
      </c>
      <c r="T27" s="230"/>
      <c r="U27" s="230"/>
      <c r="V27" s="230"/>
      <c r="W27" s="230"/>
      <c r="X27" s="79" t="str">
        <f ca="1">INDIRECT("B"&amp;27) &amp; CHAR(10) &amp; "vs" &amp; CHAR(10) &amp; INDIRECT("F"&amp;27)</f>
        <v xml:space="preserve">
vs
</v>
      </c>
      <c r="Y27" s="79" t="b">
        <f t="shared" ca="1" si="0"/>
        <v>0</v>
      </c>
      <c r="Z27" s="79" t="b">
        <f t="shared" ca="1" si="1"/>
        <v>0</v>
      </c>
      <c r="AA27" s="79" t="b">
        <f t="shared" ca="1" si="2"/>
        <v>0</v>
      </c>
    </row>
    <row r="28" spans="1:27" x14ac:dyDescent="0.25">
      <c r="A28" s="93"/>
      <c r="B28" s="93" t="str">
        <f>PHASE_FINALE!K48</f>
        <v/>
      </c>
      <c r="C28" s="96" t="str">
        <f>IF(PHASE_FINALE!L48&lt;&gt;"",PHASE_FINALE!L48,"")</f>
        <v/>
      </c>
      <c r="D28" s="91" t="s">
        <v>128</v>
      </c>
      <c r="E28" s="96" t="str">
        <f>IF(PHASE_FINALE!L49&lt;&gt;"",PHASE_FINALE!L49,"")</f>
        <v/>
      </c>
      <c r="F28" s="93" t="str">
        <f>PHASE_FINALE!K49</f>
        <v/>
      </c>
      <c r="G28" s="93"/>
      <c r="S28" s="230"/>
      <c r="T28" s="230"/>
      <c r="U28" s="230"/>
      <c r="V28" s="230"/>
      <c r="W28" s="230"/>
      <c r="X28" s="79" t="str">
        <f ca="1">INDIRECT("B"&amp;28) &amp; CHAR(10) &amp; "vs" &amp; CHAR(10) &amp; INDIRECT("F"&amp;28)</f>
        <v xml:space="preserve">
vs
</v>
      </c>
      <c r="Y28" s="79" t="b">
        <f t="shared" ca="1" si="0"/>
        <v>0</v>
      </c>
      <c r="Z28" s="79" t="b">
        <f t="shared" ca="1" si="1"/>
        <v>0</v>
      </c>
      <c r="AA28" s="79" t="b">
        <f t="shared" ca="1" si="2"/>
        <v>0</v>
      </c>
    </row>
    <row r="29" spans="1:27" x14ac:dyDescent="0.25">
      <c r="A29" s="93"/>
      <c r="B29" s="93" t="str">
        <f>PHASE_FINALE!F40</f>
        <v/>
      </c>
      <c r="C29" s="96" t="str">
        <f>IF(PHASE_FINALE!E40&lt;&gt;"",PHASE_FINALE!E40,"")</f>
        <v/>
      </c>
      <c r="D29" s="91" t="s">
        <v>129</v>
      </c>
      <c r="E29" s="96" t="str">
        <f>IF(PHASE_FINALE!E41&lt;&gt;"",PHASE_FINALE!E41,"")</f>
        <v/>
      </c>
      <c r="F29" s="93" t="str">
        <f>PHASE_FINALE!F41</f>
        <v/>
      </c>
      <c r="G29" s="93"/>
      <c r="S29" s="230"/>
      <c r="T29" s="230"/>
      <c r="U29" s="230"/>
      <c r="V29" s="230"/>
      <c r="W29" s="230"/>
      <c r="X29" s="79" t="str">
        <f ca="1">INDIRECT("B"&amp;29) &amp; CHAR(10) &amp; "vs" &amp; CHAR(10) &amp; INDIRECT("F"&amp;29)</f>
        <v xml:space="preserve">
vs
</v>
      </c>
      <c r="Y29" s="79" t="b">
        <f t="shared" ca="1" si="0"/>
        <v>0</v>
      </c>
      <c r="Z29" s="79" t="b">
        <f t="shared" ca="1" si="1"/>
        <v>0</v>
      </c>
      <c r="AA29" s="79" t="b">
        <f t="shared" ca="1" si="2"/>
        <v>0</v>
      </c>
    </row>
    <row r="30" spans="1:27" x14ac:dyDescent="0.25">
      <c r="A30" s="93"/>
      <c r="B30" s="93" t="s">
        <v>183</v>
      </c>
      <c r="C30" s="96"/>
      <c r="D30" s="91" t="s">
        <v>130</v>
      </c>
      <c r="E30" s="96"/>
      <c r="F30" s="93" t="s">
        <v>183</v>
      </c>
      <c r="G30" s="93"/>
      <c r="S30" s="231" t="str">
        <f ca="1">IF(S$5=U$5,INDIRECT("B"&amp;S$5) &amp; CHAR(10) &amp; "vs" &amp; CHAR(10) &amp; INDIRECT("F"&amp;S$5),"ERREUR DE SAISSIE")</f>
        <v>0
vs
0</v>
      </c>
      <c r="T30" s="231"/>
      <c r="U30" s="231"/>
      <c r="V30" s="231"/>
      <c r="W30" s="231"/>
      <c r="X30" s="79" t="str">
        <f ca="1">INDIRECT("B"&amp;30) &amp; CHAR(10) &amp; "vs" &amp; CHAR(10) &amp; INDIRECT("F"&amp;30)</f>
        <v>Libre
vs
Libre</v>
      </c>
      <c r="Y30" s="79" t="b">
        <f t="shared" ca="1" si="0"/>
        <v>0</v>
      </c>
      <c r="Z30" s="79" t="b">
        <f t="shared" ca="1" si="1"/>
        <v>0</v>
      </c>
      <c r="AA30" s="79" t="b">
        <f t="shared" ca="1" si="2"/>
        <v>0</v>
      </c>
    </row>
    <row r="31" spans="1:27" x14ac:dyDescent="0.25">
      <c r="A31" s="89"/>
      <c r="B31" s="89"/>
      <c r="C31" s="95" t="str">
        <f>CHAR(160)</f>
        <v> </v>
      </c>
      <c r="D31" s="90">
        <f>0.527083333333333 + "00:09:00"</f>
        <v>0.53333333333333299</v>
      </c>
      <c r="E31" s="95" t="str">
        <f>CHAR(160)</f>
        <v> </v>
      </c>
      <c r="F31" s="89"/>
      <c r="G31" s="89"/>
      <c r="S31" s="231"/>
      <c r="T31" s="231"/>
      <c r="U31" s="231"/>
      <c r="V31" s="231"/>
      <c r="W31" s="231"/>
      <c r="X31" s="79" t="str">
        <f ca="1">INDIRECT("B"&amp;31) &amp; CHAR(10) &amp; "vs" &amp; CHAR(10) &amp; INDIRECT("F"&amp;31)</f>
        <v xml:space="preserve">
vs
</v>
      </c>
      <c r="Y31" s="79" t="b">
        <f t="shared" ca="1" si="0"/>
        <v>0</v>
      </c>
      <c r="Z31" s="79" t="b">
        <f t="shared" ca="1" si="1"/>
        <v>0</v>
      </c>
      <c r="AA31" s="79" t="b">
        <f t="shared" ca="1" si="2"/>
        <v>0</v>
      </c>
    </row>
    <row r="32" spans="1:27" x14ac:dyDescent="0.25">
      <c r="A32" s="94"/>
      <c r="B32" s="94" t="str">
        <f>PHASE_FINALE!N8</f>
        <v/>
      </c>
      <c r="C32" s="96" t="str">
        <f>IF(PHASE_FINALE!O8&lt;&gt;"",PHASE_FINALE!O8,"")</f>
        <v/>
      </c>
      <c r="D32" s="91" t="s">
        <v>127</v>
      </c>
      <c r="E32" s="96" t="str">
        <f>IF(PHASE_FINALE!O9&lt;&gt;"",PHASE_FINALE!O9,"")</f>
        <v/>
      </c>
      <c r="F32" s="94" t="str">
        <f>PHASE_FINALE!N9</f>
        <v/>
      </c>
      <c r="G32" s="94"/>
      <c r="S32" s="231"/>
      <c r="T32" s="231"/>
      <c r="U32" s="231"/>
      <c r="V32" s="231"/>
      <c r="W32" s="231"/>
      <c r="X32" s="79" t="str">
        <f ca="1">INDIRECT("B"&amp;32) &amp; CHAR(10) &amp; "vs" &amp; CHAR(10) &amp; INDIRECT("F"&amp;32)</f>
        <v xml:space="preserve">
vs
</v>
      </c>
      <c r="Y32" s="79" t="b">
        <f t="shared" ca="1" si="0"/>
        <v>0</v>
      </c>
      <c r="Z32" s="79" t="b">
        <f t="shared" ca="1" si="1"/>
        <v>0</v>
      </c>
      <c r="AA32" s="79" t="b">
        <f t="shared" ca="1" si="2"/>
        <v>0</v>
      </c>
    </row>
    <row r="33" spans="1:27" x14ac:dyDescent="0.25">
      <c r="A33" s="94"/>
      <c r="B33" s="94" t="str">
        <f>PHASE_FINALE!N12</f>
        <v/>
      </c>
      <c r="C33" s="96" t="str">
        <f>IF(PHASE_FINALE!O12&lt;&gt;"",PHASE_FINALE!O12,"")</f>
        <v/>
      </c>
      <c r="D33" s="91" t="s">
        <v>128</v>
      </c>
      <c r="E33" s="96" t="str">
        <f>IF(PHASE_FINALE!O13&lt;&gt;"",PHASE_FINALE!O13,"")</f>
        <v/>
      </c>
      <c r="F33" s="94" t="str">
        <f>PHASE_FINALE!N13</f>
        <v/>
      </c>
      <c r="G33" s="94"/>
      <c r="S33" s="231"/>
      <c r="T33" s="231"/>
      <c r="U33" s="231"/>
      <c r="V33" s="231"/>
      <c r="W33" s="231"/>
      <c r="X33" s="79" t="str">
        <f ca="1">INDIRECT("B"&amp;33) &amp; CHAR(10) &amp; "vs" &amp; CHAR(10) &amp; INDIRECT("F"&amp;33)</f>
        <v xml:space="preserve">
vs
</v>
      </c>
      <c r="Y33" s="79" t="b">
        <f t="shared" ca="1" si="0"/>
        <v>0</v>
      </c>
      <c r="Z33" s="79" t="b">
        <f t="shared" ca="1" si="1"/>
        <v>0</v>
      </c>
      <c r="AA33" s="79" t="b">
        <f t="shared" ca="1" si="2"/>
        <v>0</v>
      </c>
    </row>
    <row r="34" spans="1:27" x14ac:dyDescent="0.25">
      <c r="A34" s="94"/>
      <c r="B34" s="94" t="str">
        <f>PHASE_FINALE!C8</f>
        <v/>
      </c>
      <c r="C34" s="96" t="str">
        <f>IF(PHASE_FINALE!B8&lt;&gt;"",PHASE_FINALE!B8,"")</f>
        <v/>
      </c>
      <c r="D34" s="91" t="s">
        <v>129</v>
      </c>
      <c r="E34" s="96" t="str">
        <f>IF(PHASE_FINALE!B9&lt;&gt;"",PHASE_FINALE!B9,"")</f>
        <v/>
      </c>
      <c r="F34" s="94" t="str">
        <f>PHASE_FINALE!C9</f>
        <v/>
      </c>
      <c r="G34" s="94"/>
      <c r="S34" s="231"/>
      <c r="T34" s="231"/>
      <c r="U34" s="231"/>
      <c r="V34" s="231"/>
      <c r="W34" s="231"/>
      <c r="X34" s="79" t="str">
        <f ca="1">INDIRECT("B"&amp;34) &amp; CHAR(10) &amp; "vs" &amp; CHAR(10) &amp; INDIRECT("F"&amp;34)</f>
        <v xml:space="preserve">
vs
</v>
      </c>
      <c r="Y34" s="79" t="b">
        <f t="shared" ca="1" si="0"/>
        <v>0</v>
      </c>
      <c r="Z34" s="79" t="b">
        <f t="shared" ca="1" si="1"/>
        <v>0</v>
      </c>
      <c r="AA34" s="79" t="b">
        <f t="shared" ca="1" si="2"/>
        <v>0</v>
      </c>
    </row>
    <row r="35" spans="1:27" x14ac:dyDescent="0.25">
      <c r="A35" s="94"/>
      <c r="B35" s="94" t="str">
        <f>PHASE_FINALE!C12</f>
        <v/>
      </c>
      <c r="C35" s="96" t="str">
        <f>IF(PHASE_FINALE!B12&lt;&gt;"",PHASE_FINALE!B12,"")</f>
        <v/>
      </c>
      <c r="D35" s="91" t="s">
        <v>130</v>
      </c>
      <c r="E35" s="96" t="str">
        <f>IF(PHASE_FINALE!B13&lt;&gt;"",PHASE_FINALE!B13,"")</f>
        <v/>
      </c>
      <c r="F35" s="94" t="str">
        <f>PHASE_FINALE!C13</f>
        <v/>
      </c>
      <c r="G35" s="94"/>
      <c r="S35" s="231"/>
      <c r="T35" s="231"/>
      <c r="U35" s="231"/>
      <c r="V35" s="231"/>
      <c r="W35" s="231"/>
      <c r="X35" s="79" t="str">
        <f ca="1">INDIRECT("B"&amp;35) &amp; CHAR(10) &amp; "vs" &amp; CHAR(10) &amp; INDIRECT("F"&amp;35)</f>
        <v xml:space="preserve">
vs
</v>
      </c>
      <c r="Y35" s="79" t="b">
        <f t="shared" ca="1" si="0"/>
        <v>0</v>
      </c>
      <c r="Z35" s="79" t="b">
        <f t="shared" ca="1" si="1"/>
        <v>0</v>
      </c>
      <c r="AA35" s="79" t="b">
        <f t="shared" ca="1" si="2"/>
        <v>0</v>
      </c>
    </row>
    <row r="36" spans="1:27" x14ac:dyDescent="0.25">
      <c r="A36" s="89"/>
      <c r="B36" s="89"/>
      <c r="C36" s="95" t="str">
        <f>CHAR(160)</f>
        <v> </v>
      </c>
      <c r="D36" s="90">
        <f>0.533333333333333 + "00:09:00"</f>
        <v>0.53958333333333297</v>
      </c>
      <c r="E36" s="95" t="str">
        <f>CHAR(160)</f>
        <v> </v>
      </c>
      <c r="F36" s="89"/>
      <c r="G36" s="89"/>
      <c r="X36" s="79" t="str">
        <f ca="1">INDIRECT("B"&amp;36) &amp; CHAR(10) &amp; "vs" &amp; CHAR(10) &amp; INDIRECT("F"&amp;36)</f>
        <v xml:space="preserve">
vs
</v>
      </c>
      <c r="Y36" s="79" t="b">
        <f t="shared" ca="1" si="0"/>
        <v>0</v>
      </c>
      <c r="Z36" s="79" t="b">
        <f t="shared" ca="1" si="1"/>
        <v>0</v>
      </c>
      <c r="AA36" s="79" t="b">
        <f t="shared" ca="1" si="2"/>
        <v>0</v>
      </c>
    </row>
    <row r="37" spans="1:27" x14ac:dyDescent="0.25">
      <c r="A37" s="94"/>
      <c r="B37" s="94" t="str">
        <f>PHASE_FINALE!N25</f>
        <v/>
      </c>
      <c r="C37" s="96" t="str">
        <f>IF(PHASE_FINALE!O25&lt;&gt;"",PHASE_FINALE!O25,"")</f>
        <v/>
      </c>
      <c r="D37" s="91" t="s">
        <v>127</v>
      </c>
      <c r="E37" s="96" t="str">
        <f>IF(PHASE_FINALE!O26&lt;&gt;"",PHASE_FINALE!O26,"")</f>
        <v/>
      </c>
      <c r="F37" s="94" t="str">
        <f>PHASE_FINALE!N26</f>
        <v/>
      </c>
      <c r="G37" s="94"/>
      <c r="X37" s="79" t="str">
        <f ca="1">INDIRECT("B"&amp;37) &amp; CHAR(10) &amp; "vs" &amp; CHAR(10) &amp; INDIRECT("F"&amp;37)</f>
        <v xml:space="preserve">
vs
</v>
      </c>
      <c r="Y37" s="79" t="b">
        <f t="shared" ca="1" si="0"/>
        <v>0</v>
      </c>
      <c r="Z37" s="79" t="b">
        <f t="shared" ca="1" si="1"/>
        <v>0</v>
      </c>
      <c r="AA37" s="79" t="b">
        <f t="shared" ca="1" si="2"/>
        <v>0</v>
      </c>
    </row>
    <row r="38" spans="1:27" x14ac:dyDescent="0.25">
      <c r="A38" s="94"/>
      <c r="B38" s="94" t="str">
        <f>PHASE_FINALE!N29</f>
        <v/>
      </c>
      <c r="C38" s="96" t="str">
        <f>IF(PHASE_FINALE!O29&lt;&gt;"",PHASE_FINALE!O29,"")</f>
        <v/>
      </c>
      <c r="D38" s="91" t="s">
        <v>128</v>
      </c>
      <c r="E38" s="96" t="str">
        <f>IF(PHASE_FINALE!O30&lt;&gt;"",PHASE_FINALE!O30,"")</f>
        <v/>
      </c>
      <c r="F38" s="94" t="str">
        <f>PHASE_FINALE!N30</f>
        <v/>
      </c>
      <c r="G38" s="94"/>
      <c r="X38" s="79" t="str">
        <f ca="1">INDIRECT("B"&amp;38) &amp; CHAR(10) &amp; "vs" &amp; CHAR(10) &amp; INDIRECT("F"&amp;38)</f>
        <v xml:space="preserve">
vs
</v>
      </c>
      <c r="Y38" s="79" t="b">
        <f t="shared" ca="1" si="0"/>
        <v>0</v>
      </c>
      <c r="Z38" s="79" t="b">
        <f t="shared" ca="1" si="1"/>
        <v>0</v>
      </c>
      <c r="AA38" s="79" t="b">
        <f t="shared" ca="1" si="2"/>
        <v>0</v>
      </c>
    </row>
    <row r="39" spans="1:27" x14ac:dyDescent="0.25">
      <c r="A39" s="94"/>
      <c r="B39" s="94" t="str">
        <f>PHASE_FINALE!C25</f>
        <v/>
      </c>
      <c r="C39" s="96" t="str">
        <f>IF(PHASE_FINALE!B25&lt;&gt;"",PHASE_FINALE!B25,"")</f>
        <v/>
      </c>
      <c r="D39" s="91" t="s">
        <v>129</v>
      </c>
      <c r="E39" s="96" t="str">
        <f>IF(PHASE_FINALE!B26&lt;&gt;"",PHASE_FINALE!B26,"")</f>
        <v/>
      </c>
      <c r="F39" s="94" t="str">
        <f>PHASE_FINALE!C26</f>
        <v/>
      </c>
      <c r="G39" s="94"/>
      <c r="X39" s="79" t="str">
        <f ca="1">INDIRECT("B"&amp;39) &amp; CHAR(10) &amp; "vs" &amp; CHAR(10) &amp; INDIRECT("F"&amp;39)</f>
        <v xml:space="preserve">
vs
</v>
      </c>
      <c r="Y39" s="79" t="b">
        <f t="shared" ca="1" si="0"/>
        <v>0</v>
      </c>
      <c r="Z39" s="79" t="b">
        <f t="shared" ca="1" si="1"/>
        <v>0</v>
      </c>
      <c r="AA39" s="79" t="b">
        <f t="shared" ca="1" si="2"/>
        <v>0</v>
      </c>
    </row>
    <row r="40" spans="1:27" x14ac:dyDescent="0.25">
      <c r="A40" s="94"/>
      <c r="B40" s="94" t="str">
        <f>PHASE_FINALE!C29</f>
        <v/>
      </c>
      <c r="C40" s="96" t="str">
        <f>IF(PHASE_FINALE!B29&lt;&gt;"",PHASE_FINALE!B29,"")</f>
        <v/>
      </c>
      <c r="D40" s="91" t="s">
        <v>130</v>
      </c>
      <c r="E40" s="96" t="str">
        <f>IF(PHASE_FINALE!B30&lt;&gt;"",PHASE_FINALE!B30,"")</f>
        <v/>
      </c>
      <c r="F40" s="94" t="str">
        <f>PHASE_FINALE!C30</f>
        <v/>
      </c>
      <c r="G40" s="94"/>
      <c r="X40" s="79" t="str">
        <f ca="1">INDIRECT("B"&amp;40) &amp; CHAR(10) &amp; "vs" &amp; CHAR(10) &amp; INDIRECT("F"&amp;40)</f>
        <v xml:space="preserve">
vs
</v>
      </c>
      <c r="Y40" s="79" t="b">
        <f t="shared" ca="1" si="0"/>
        <v>0</v>
      </c>
      <c r="Z40" s="79" t="b">
        <f t="shared" ca="1" si="1"/>
        <v>0</v>
      </c>
      <c r="AA40" s="79" t="b">
        <f t="shared" ca="1" si="2"/>
        <v>0</v>
      </c>
    </row>
    <row r="41" spans="1:27" x14ac:dyDescent="0.25">
      <c r="A41" s="89"/>
      <c r="B41" s="89"/>
      <c r="C41" s="95" t="str">
        <f>CHAR(160)</f>
        <v> </v>
      </c>
      <c r="D41" s="90">
        <f>0.539583333333333 + "00:09:00"</f>
        <v>0.54583333333333295</v>
      </c>
      <c r="E41" s="95" t="str">
        <f>CHAR(160)</f>
        <v> </v>
      </c>
      <c r="F41" s="89"/>
      <c r="G41" s="89"/>
      <c r="X41" s="79" t="str">
        <f ca="1">INDIRECT("B"&amp;41) &amp; CHAR(10) &amp; "vs" &amp; CHAR(10) &amp; INDIRECT("F"&amp;41)</f>
        <v xml:space="preserve">
vs
</v>
      </c>
      <c r="Y41" s="79" t="b">
        <f t="shared" ca="1" si="0"/>
        <v>0</v>
      </c>
      <c r="Z41" s="79" t="b">
        <f t="shared" ca="1" si="1"/>
        <v>0</v>
      </c>
      <c r="AA41" s="79" t="b">
        <f t="shared" ca="1" si="2"/>
        <v>0</v>
      </c>
    </row>
    <row r="42" spans="1:27" x14ac:dyDescent="0.25">
      <c r="A42" s="94"/>
      <c r="B42" s="94" t="str">
        <f>PHASE_FINALE!N42</f>
        <v/>
      </c>
      <c r="C42" s="96" t="str">
        <f>IF(PHASE_FINALE!O42&lt;&gt;"",PHASE_FINALE!O42,"")</f>
        <v/>
      </c>
      <c r="D42" s="91" t="s">
        <v>127</v>
      </c>
      <c r="E42" s="96" t="str">
        <f>IF(PHASE_FINALE!O43&lt;&gt;"",PHASE_FINALE!O43,"")</f>
        <v/>
      </c>
      <c r="F42" s="94" t="str">
        <f>PHASE_FINALE!N43</f>
        <v/>
      </c>
      <c r="G42" s="94"/>
      <c r="X42" s="79" t="str">
        <f ca="1">INDIRECT("B"&amp;42) &amp; CHAR(10) &amp; "vs" &amp; CHAR(10) &amp; INDIRECT("F"&amp;42)</f>
        <v xml:space="preserve">
vs
</v>
      </c>
      <c r="Y42" s="79" t="b">
        <f t="shared" ca="1" si="0"/>
        <v>0</v>
      </c>
      <c r="Z42" s="79" t="b">
        <f t="shared" ca="1" si="1"/>
        <v>0</v>
      </c>
      <c r="AA42" s="79" t="b">
        <f t="shared" ca="1" si="2"/>
        <v>0</v>
      </c>
    </row>
    <row r="43" spans="1:27" x14ac:dyDescent="0.25">
      <c r="A43" s="94"/>
      <c r="B43" s="94" t="str">
        <f>PHASE_FINALE!N46</f>
        <v/>
      </c>
      <c r="C43" s="96" t="str">
        <f>IF(PHASE_FINALE!O46&lt;&gt;"",PHASE_FINALE!O46,"")</f>
        <v/>
      </c>
      <c r="D43" s="91" t="s">
        <v>128</v>
      </c>
      <c r="E43" s="96" t="str">
        <f>IF(PHASE_FINALE!O47&lt;&gt;"",PHASE_FINALE!O47,"")</f>
        <v/>
      </c>
      <c r="F43" s="94" t="str">
        <f>PHASE_FINALE!N47</f>
        <v/>
      </c>
      <c r="G43" s="94"/>
      <c r="X43" s="79" t="str">
        <f ca="1">INDIRECT("B"&amp;43) &amp; CHAR(10) &amp; "vs" &amp; CHAR(10) &amp; INDIRECT("F"&amp;43)</f>
        <v xml:space="preserve">
vs
</v>
      </c>
      <c r="Y43" s="79" t="b">
        <f t="shared" ca="1" si="0"/>
        <v>0</v>
      </c>
      <c r="Z43" s="79" t="b">
        <f t="shared" ca="1" si="1"/>
        <v>0</v>
      </c>
      <c r="AA43" s="79" t="b">
        <f t="shared" ca="1" si="2"/>
        <v>0</v>
      </c>
    </row>
    <row r="44" spans="1:27" x14ac:dyDescent="0.25">
      <c r="A44" s="94"/>
      <c r="B44" s="94" t="str">
        <f>PHASE_FINALE!C42</f>
        <v/>
      </c>
      <c r="C44" s="96" t="str">
        <f>IF(PHASE_FINALE!B42&lt;&gt;"",PHASE_FINALE!B42,"")</f>
        <v/>
      </c>
      <c r="D44" s="91" t="s">
        <v>129</v>
      </c>
      <c r="E44" s="96" t="str">
        <f>IF(PHASE_FINALE!B43&lt;&gt;"",PHASE_FINALE!B43,"")</f>
        <v/>
      </c>
      <c r="F44" s="94" t="str">
        <f>PHASE_FINALE!C43</f>
        <v/>
      </c>
      <c r="G44" s="94"/>
      <c r="X44" s="79" t="str">
        <f ca="1">INDIRECT("B"&amp;44) &amp; CHAR(10) &amp; "vs" &amp; CHAR(10) &amp; INDIRECT("F"&amp;44)</f>
        <v xml:space="preserve">
vs
</v>
      </c>
      <c r="Y44" s="79" t="b">
        <f t="shared" ca="1" si="0"/>
        <v>0</v>
      </c>
      <c r="Z44" s="79" t="b">
        <f t="shared" ca="1" si="1"/>
        <v>0</v>
      </c>
      <c r="AA44" s="79" t="b">
        <f t="shared" ca="1" si="2"/>
        <v>0</v>
      </c>
    </row>
    <row r="45" spans="1:27" x14ac:dyDescent="0.25">
      <c r="A45" s="94"/>
      <c r="B45" s="94" t="s">
        <v>183</v>
      </c>
      <c r="C45" s="96"/>
      <c r="D45" s="91" t="s">
        <v>130</v>
      </c>
      <c r="E45" s="96"/>
      <c r="F45" s="94" t="s">
        <v>183</v>
      </c>
      <c r="G45" s="94"/>
      <c r="X45" s="79" t="str">
        <f ca="1">INDIRECT("B"&amp;45) &amp; CHAR(10) &amp; "vs" &amp; CHAR(10) &amp; INDIRECT("F"&amp;45)</f>
        <v>Libre
vs
Libre</v>
      </c>
      <c r="Y45" s="79" t="b">
        <f t="shared" ca="1" si="0"/>
        <v>0</v>
      </c>
      <c r="Z45" s="79" t="b">
        <f t="shared" ca="1" si="1"/>
        <v>0</v>
      </c>
      <c r="AA45" s="79" t="b">
        <f t="shared" ca="1" si="2"/>
        <v>0</v>
      </c>
    </row>
    <row r="46" spans="1:27" x14ac:dyDescent="0.25">
      <c r="X46" s="79" t="str">
        <f ca="1">INDIRECT("B"&amp;46) &amp; CHAR(10) &amp; "vs" &amp; CHAR(10) &amp; INDIRECT("F"&amp;46)</f>
        <v xml:space="preserve">
vs
</v>
      </c>
      <c r="Y46" s="79" t="b">
        <f t="shared" ca="1" si="0"/>
        <v>0</v>
      </c>
      <c r="Z46" s="79" t="b">
        <f t="shared" ca="1" si="1"/>
        <v>0</v>
      </c>
      <c r="AA46" s="79" t="b">
        <f t="shared" ca="1" si="2"/>
        <v>0</v>
      </c>
    </row>
    <row r="47" spans="1:27" x14ac:dyDescent="0.25">
      <c r="X47" s="79" t="str">
        <f ca="1">INDIRECT("B"&amp;47) &amp; CHAR(10) &amp; "vs" &amp; CHAR(10) &amp; INDIRECT("F"&amp;47)</f>
        <v xml:space="preserve">
vs
</v>
      </c>
      <c r="Y47" s="79" t="b">
        <f t="shared" ca="1" si="0"/>
        <v>0</v>
      </c>
      <c r="Z47" s="79" t="b">
        <f t="shared" ca="1" si="1"/>
        <v>0</v>
      </c>
      <c r="AA47" s="79" t="b">
        <f t="shared" ca="1" si="2"/>
        <v>0</v>
      </c>
    </row>
    <row r="48" spans="1:27" x14ac:dyDescent="0.25">
      <c r="X48" s="79" t="str">
        <f ca="1">INDIRECT("B"&amp;48) &amp; CHAR(10) &amp; "vs" &amp; CHAR(10) &amp; INDIRECT("F"&amp;48)</f>
        <v xml:space="preserve">
vs
</v>
      </c>
      <c r="Y48" s="79" t="b">
        <f t="shared" ca="1" si="0"/>
        <v>0</v>
      </c>
      <c r="Z48" s="79" t="b">
        <f t="shared" ca="1" si="1"/>
        <v>0</v>
      </c>
      <c r="AA48" s="79" t="b">
        <f t="shared" ca="1" si="2"/>
        <v>0</v>
      </c>
    </row>
    <row r="49" spans="24:27" x14ac:dyDescent="0.25">
      <c r="X49" s="79" t="str">
        <f ca="1">INDIRECT("B"&amp;49) &amp; CHAR(10) &amp; "vs" &amp; CHAR(10) &amp; INDIRECT("F"&amp;49)</f>
        <v xml:space="preserve">
vs
</v>
      </c>
      <c r="Y49" s="79" t="b">
        <f t="shared" ca="1" si="0"/>
        <v>0</v>
      </c>
      <c r="Z49" s="79" t="b">
        <f t="shared" ca="1" si="1"/>
        <v>0</v>
      </c>
      <c r="AA49" s="79" t="b">
        <f t="shared" ca="1" si="2"/>
        <v>0</v>
      </c>
    </row>
    <row r="50" spans="24:27" x14ac:dyDescent="0.25">
      <c r="X50" s="79" t="str">
        <f ca="1">INDIRECT("B"&amp;50) &amp; CHAR(10) &amp; "vs" &amp; CHAR(10) &amp; INDIRECT("F"&amp;50)</f>
        <v xml:space="preserve">
vs
</v>
      </c>
      <c r="Y50" s="79" t="b">
        <f t="shared" ca="1" si="0"/>
        <v>0</v>
      </c>
      <c r="Z50" s="79" t="b">
        <f t="shared" ca="1" si="1"/>
        <v>0</v>
      </c>
      <c r="AA50" s="79" t="b">
        <f t="shared" ca="1" si="2"/>
        <v>0</v>
      </c>
    </row>
    <row r="51" spans="24:27" x14ac:dyDescent="0.25">
      <c r="X51" s="79" t="str">
        <f ca="1">INDIRECT("B"&amp;51) &amp; CHAR(10) &amp; "vs" &amp; CHAR(10) &amp; INDIRECT("F"&amp;51)</f>
        <v xml:space="preserve">
vs
</v>
      </c>
      <c r="Y51" s="79" t="b">
        <f t="shared" ca="1" si="0"/>
        <v>0</v>
      </c>
      <c r="Z51" s="79" t="b">
        <f t="shared" ca="1" si="1"/>
        <v>0</v>
      </c>
      <c r="AA51" s="79" t="b">
        <f t="shared" ca="1" si="2"/>
        <v>0</v>
      </c>
    </row>
    <row r="52" spans="24:27" x14ac:dyDescent="0.25">
      <c r="X52" s="79" t="str">
        <f ca="1">INDIRECT("B"&amp;52) &amp; CHAR(10) &amp; "vs" &amp; CHAR(10) &amp; INDIRECT("F"&amp;52)</f>
        <v xml:space="preserve">
vs
</v>
      </c>
      <c r="Y52" s="79" t="b">
        <f t="shared" ca="1" si="0"/>
        <v>0</v>
      </c>
      <c r="Z52" s="79" t="b">
        <f t="shared" ca="1" si="1"/>
        <v>0</v>
      </c>
      <c r="AA52" s="79" t="b">
        <f t="shared" ca="1" si="2"/>
        <v>0</v>
      </c>
    </row>
    <row r="53" spans="24:27" x14ac:dyDescent="0.25">
      <c r="X53" s="79" t="str">
        <f ca="1">INDIRECT("B"&amp;53) &amp; CHAR(10) &amp; "vs" &amp; CHAR(10) &amp; INDIRECT("F"&amp;53)</f>
        <v xml:space="preserve">
vs
</v>
      </c>
      <c r="Y53" s="79" t="b">
        <f t="shared" ca="1" si="0"/>
        <v>0</v>
      </c>
      <c r="Z53" s="79" t="b">
        <f t="shared" ca="1" si="1"/>
        <v>0</v>
      </c>
      <c r="AA53" s="79" t="b">
        <f t="shared" ca="1" si="2"/>
        <v>0</v>
      </c>
    </row>
    <row r="54" spans="24:27" x14ac:dyDescent="0.25">
      <c r="X54" s="79" t="str">
        <f ca="1">INDIRECT("B"&amp;54) &amp; CHAR(10) &amp; "vs" &amp; CHAR(10) &amp; INDIRECT("F"&amp;54)</f>
        <v xml:space="preserve">
vs
</v>
      </c>
      <c r="Y54" s="79" t="b">
        <f t="shared" ca="1" si="0"/>
        <v>0</v>
      </c>
      <c r="Z54" s="79" t="b">
        <f t="shared" ca="1" si="1"/>
        <v>0</v>
      </c>
      <c r="AA54" s="79" t="b">
        <f t="shared" ca="1" si="2"/>
        <v>0</v>
      </c>
    </row>
    <row r="55" spans="24:27" x14ac:dyDescent="0.25">
      <c r="X55" s="79" t="str">
        <f ca="1">INDIRECT("B"&amp;55) &amp; CHAR(10) &amp; "vs" &amp; CHAR(10) &amp; INDIRECT("F"&amp;55)</f>
        <v xml:space="preserve">
vs
</v>
      </c>
      <c r="Y55" s="79" t="b">
        <f t="shared" ca="1" si="0"/>
        <v>0</v>
      </c>
      <c r="Z55" s="79" t="b">
        <f t="shared" ca="1" si="1"/>
        <v>0</v>
      </c>
      <c r="AA55" s="79" t="b">
        <f t="shared" ca="1" si="2"/>
        <v>0</v>
      </c>
    </row>
    <row r="56" spans="24:27" x14ac:dyDescent="0.25">
      <c r="X56" s="79" t="str">
        <f ca="1">INDIRECT("B"&amp;56) &amp; CHAR(10) &amp; "vs" &amp; CHAR(10) &amp; INDIRECT("F"&amp;56)</f>
        <v xml:space="preserve">
vs
</v>
      </c>
      <c r="Y56" s="79" t="b">
        <f t="shared" ca="1" si="0"/>
        <v>0</v>
      </c>
      <c r="Z56" s="79" t="b">
        <f t="shared" ca="1" si="1"/>
        <v>0</v>
      </c>
      <c r="AA56" s="79" t="b">
        <f t="shared" ca="1" si="2"/>
        <v>0</v>
      </c>
    </row>
    <row r="57" spans="24:27" x14ac:dyDescent="0.25">
      <c r="X57" s="79" t="str">
        <f ca="1">INDIRECT("B"&amp;57) &amp; CHAR(10) &amp; "vs" &amp; CHAR(10) &amp; INDIRECT("F"&amp;57)</f>
        <v xml:space="preserve">
vs
</v>
      </c>
      <c r="Y57" s="79" t="b">
        <f t="shared" ca="1" si="0"/>
        <v>0</v>
      </c>
      <c r="Z57" s="79" t="b">
        <f t="shared" ca="1" si="1"/>
        <v>0</v>
      </c>
      <c r="AA57" s="79" t="b">
        <f t="shared" ca="1" si="2"/>
        <v>0</v>
      </c>
    </row>
    <row r="58" spans="24:27" x14ac:dyDescent="0.25">
      <c r="X58" s="79" t="str">
        <f ca="1">INDIRECT("B"&amp;58) &amp; CHAR(10) &amp; "vs" &amp; CHAR(10) &amp; INDIRECT("F"&amp;58)</f>
        <v xml:space="preserve">
vs
</v>
      </c>
      <c r="Y58" s="79" t="b">
        <f t="shared" ca="1" si="0"/>
        <v>0</v>
      </c>
      <c r="Z58" s="79" t="b">
        <f t="shared" ca="1" si="1"/>
        <v>0</v>
      </c>
      <c r="AA58" s="79" t="b">
        <f t="shared" ca="1" si="2"/>
        <v>0</v>
      </c>
    </row>
    <row r="59" spans="24:27" x14ac:dyDescent="0.25">
      <c r="X59" s="79" t="str">
        <f ca="1">INDIRECT("B"&amp;59) &amp; CHAR(10) &amp; "vs" &amp; CHAR(10) &amp; INDIRECT("F"&amp;59)</f>
        <v xml:space="preserve">
vs
</v>
      </c>
      <c r="Y59" s="79" t="b">
        <f t="shared" ca="1" si="0"/>
        <v>0</v>
      </c>
      <c r="Z59" s="79" t="b">
        <f t="shared" ca="1" si="1"/>
        <v>0</v>
      </c>
      <c r="AA59" s="79" t="b">
        <f t="shared" ca="1" si="2"/>
        <v>0</v>
      </c>
    </row>
    <row r="60" spans="24:27" x14ac:dyDescent="0.25">
      <c r="X60" s="79" t="str">
        <f ca="1">INDIRECT("B"&amp;60) &amp; CHAR(10) &amp; "vs" &amp; CHAR(10) &amp; INDIRECT("F"&amp;60)</f>
        <v xml:space="preserve">
vs
</v>
      </c>
      <c r="Y60" s="79" t="b">
        <f t="shared" ca="1" si="0"/>
        <v>0</v>
      </c>
      <c r="Z60" s="79" t="b">
        <f t="shared" ca="1" si="1"/>
        <v>0</v>
      </c>
      <c r="AA60" s="79" t="b">
        <f t="shared" ca="1" si="2"/>
        <v>0</v>
      </c>
    </row>
    <row r="61" spans="24:27" x14ac:dyDescent="0.25">
      <c r="X61" s="79" t="str">
        <f ca="1">INDIRECT("B"&amp;61) &amp; CHAR(10) &amp; "vs" &amp; CHAR(10) &amp; INDIRECT("F"&amp;61)</f>
        <v xml:space="preserve">
vs
</v>
      </c>
      <c r="Y61" s="79" t="b">
        <f t="shared" ca="1" si="0"/>
        <v>0</v>
      </c>
      <c r="Z61" s="79" t="b">
        <f t="shared" ca="1" si="1"/>
        <v>0</v>
      </c>
      <c r="AA61" s="79" t="b">
        <f t="shared" ca="1" si="2"/>
        <v>0</v>
      </c>
    </row>
    <row r="62" spans="24:27" x14ac:dyDescent="0.25">
      <c r="X62" s="79" t="str">
        <f ca="1">INDIRECT("B"&amp;62) &amp; CHAR(10) &amp; "vs" &amp; CHAR(10) &amp; INDIRECT("F"&amp;62)</f>
        <v xml:space="preserve">
vs
</v>
      </c>
      <c r="Y62" s="79" t="b">
        <f t="shared" ca="1" si="0"/>
        <v>0</v>
      </c>
      <c r="Z62" s="79" t="b">
        <f t="shared" ca="1" si="1"/>
        <v>0</v>
      </c>
      <c r="AA62" s="79" t="b">
        <f t="shared" ca="1" si="2"/>
        <v>0</v>
      </c>
    </row>
    <row r="63" spans="24:27" x14ac:dyDescent="0.25">
      <c r="X63" s="79" t="str">
        <f ca="1">INDIRECT("B"&amp;63) &amp; CHAR(10) &amp; "vs" &amp; CHAR(10) &amp; INDIRECT("F"&amp;63)</f>
        <v xml:space="preserve">
vs
</v>
      </c>
      <c r="Y63" s="79" t="b">
        <f t="shared" ca="1" si="0"/>
        <v>0</v>
      </c>
      <c r="Z63" s="79" t="b">
        <f t="shared" ca="1" si="1"/>
        <v>0</v>
      </c>
      <c r="AA63" s="79" t="b">
        <f t="shared" ca="1" si="2"/>
        <v>0</v>
      </c>
    </row>
    <row r="64" spans="24:27" x14ac:dyDescent="0.25">
      <c r="X64" s="79" t="str">
        <f ca="1">INDIRECT("B"&amp;64) &amp; CHAR(10) &amp; "vs" &amp; CHAR(10) &amp; INDIRECT("F"&amp;64)</f>
        <v xml:space="preserve">
vs
</v>
      </c>
      <c r="Y64" s="79" t="b">
        <f t="shared" ca="1" si="0"/>
        <v>0</v>
      </c>
      <c r="Z64" s="79" t="b">
        <f t="shared" ca="1" si="1"/>
        <v>0</v>
      </c>
      <c r="AA64" s="79" t="b">
        <f t="shared" ca="1" si="2"/>
        <v>0</v>
      </c>
    </row>
    <row r="65" spans="24:27" x14ac:dyDescent="0.25">
      <c r="X65" s="79" t="str">
        <f ca="1">INDIRECT("B"&amp;65) &amp; CHAR(10) &amp; "vs" &amp; CHAR(10) &amp; INDIRECT("F"&amp;65)</f>
        <v xml:space="preserve">
vs
</v>
      </c>
      <c r="Y65" s="79" t="b">
        <f t="shared" ref="Y65:Y128" ca="1" si="3">$S$10=X65</f>
        <v>0</v>
      </c>
      <c r="Z65" s="79" t="b">
        <f t="shared" ref="Z65:Z128" ca="1" si="4">$S$20=X65</f>
        <v>0</v>
      </c>
      <c r="AA65" s="79" t="b">
        <f t="shared" ref="AA65:AA128" ca="1" si="5">$S$30=X65</f>
        <v>0</v>
      </c>
    </row>
    <row r="66" spans="24:27" x14ac:dyDescent="0.25">
      <c r="X66" s="79" t="str">
        <f ca="1">INDIRECT("B"&amp;66) &amp; CHAR(10) &amp; "vs" &amp; CHAR(10) &amp; INDIRECT("F"&amp;66)</f>
        <v xml:space="preserve">
vs
</v>
      </c>
      <c r="Y66" s="79" t="b">
        <f t="shared" ca="1" si="3"/>
        <v>0</v>
      </c>
      <c r="Z66" s="79" t="b">
        <f t="shared" ca="1" si="4"/>
        <v>0</v>
      </c>
      <c r="AA66" s="79" t="b">
        <f t="shared" ca="1" si="5"/>
        <v>0</v>
      </c>
    </row>
    <row r="67" spans="24:27" x14ac:dyDescent="0.25">
      <c r="X67" s="79" t="str">
        <f ca="1">INDIRECT("B"&amp;67) &amp; CHAR(10) &amp; "vs" &amp; CHAR(10) &amp; INDIRECT("F"&amp;67)</f>
        <v xml:space="preserve">
vs
</v>
      </c>
      <c r="Y67" s="79" t="b">
        <f t="shared" ca="1" si="3"/>
        <v>0</v>
      </c>
      <c r="Z67" s="79" t="b">
        <f t="shared" ca="1" si="4"/>
        <v>0</v>
      </c>
      <c r="AA67" s="79" t="b">
        <f t="shared" ca="1" si="5"/>
        <v>0</v>
      </c>
    </row>
    <row r="68" spans="24:27" x14ac:dyDescent="0.25">
      <c r="X68" s="79" t="str">
        <f ca="1">INDIRECT("B"&amp;68) &amp; CHAR(10) &amp; "vs" &amp; CHAR(10) &amp; INDIRECT("F"&amp;68)</f>
        <v xml:space="preserve">
vs
</v>
      </c>
      <c r="Y68" s="79" t="b">
        <f t="shared" ca="1" si="3"/>
        <v>0</v>
      </c>
      <c r="Z68" s="79" t="b">
        <f t="shared" ca="1" si="4"/>
        <v>0</v>
      </c>
      <c r="AA68" s="79" t="b">
        <f t="shared" ca="1" si="5"/>
        <v>0</v>
      </c>
    </row>
    <row r="69" spans="24:27" x14ac:dyDescent="0.25">
      <c r="X69" s="79" t="str">
        <f ca="1">INDIRECT("B"&amp;69) &amp; CHAR(10) &amp; "vs" &amp; CHAR(10) &amp; INDIRECT("F"&amp;69)</f>
        <v xml:space="preserve">
vs
</v>
      </c>
      <c r="Y69" s="79" t="b">
        <f t="shared" ca="1" si="3"/>
        <v>0</v>
      </c>
      <c r="Z69" s="79" t="b">
        <f t="shared" ca="1" si="4"/>
        <v>0</v>
      </c>
      <c r="AA69" s="79" t="b">
        <f t="shared" ca="1" si="5"/>
        <v>0</v>
      </c>
    </row>
    <row r="70" spans="24:27" x14ac:dyDescent="0.25">
      <c r="X70" s="79" t="str">
        <f ca="1">INDIRECT("B"&amp;70) &amp; CHAR(10) &amp; "vs" &amp; CHAR(10) &amp; INDIRECT("F"&amp;70)</f>
        <v xml:space="preserve">
vs
</v>
      </c>
      <c r="Y70" s="79" t="b">
        <f t="shared" ca="1" si="3"/>
        <v>0</v>
      </c>
      <c r="Z70" s="79" t="b">
        <f t="shared" ca="1" si="4"/>
        <v>0</v>
      </c>
      <c r="AA70" s="79" t="b">
        <f t="shared" ca="1" si="5"/>
        <v>0</v>
      </c>
    </row>
    <row r="71" spans="24:27" x14ac:dyDescent="0.25">
      <c r="X71" s="79" t="str">
        <f ca="1">INDIRECT("B"&amp;71) &amp; CHAR(10) &amp; "vs" &amp; CHAR(10) &amp; INDIRECT("F"&amp;71)</f>
        <v xml:space="preserve">
vs
</v>
      </c>
      <c r="Y71" s="79" t="b">
        <f t="shared" ca="1" si="3"/>
        <v>0</v>
      </c>
      <c r="Z71" s="79" t="b">
        <f t="shared" ca="1" si="4"/>
        <v>0</v>
      </c>
      <c r="AA71" s="79" t="b">
        <f t="shared" ca="1" si="5"/>
        <v>0</v>
      </c>
    </row>
    <row r="72" spans="24:27" x14ac:dyDescent="0.25">
      <c r="X72" s="79" t="str">
        <f ca="1">INDIRECT("B"&amp;72) &amp; CHAR(10) &amp; "vs" &amp; CHAR(10) &amp; INDIRECT("F"&amp;72)</f>
        <v xml:space="preserve">
vs
</v>
      </c>
      <c r="Y72" s="79" t="b">
        <f t="shared" ca="1" si="3"/>
        <v>0</v>
      </c>
      <c r="Z72" s="79" t="b">
        <f t="shared" ca="1" si="4"/>
        <v>0</v>
      </c>
      <c r="AA72" s="79" t="b">
        <f t="shared" ca="1" si="5"/>
        <v>0</v>
      </c>
    </row>
    <row r="73" spans="24:27" x14ac:dyDescent="0.25">
      <c r="X73" s="79" t="str">
        <f ca="1">INDIRECT("B"&amp;73) &amp; CHAR(10) &amp; "vs" &amp; CHAR(10) &amp; INDIRECT("F"&amp;73)</f>
        <v xml:space="preserve">
vs
</v>
      </c>
      <c r="Y73" s="79" t="b">
        <f t="shared" ca="1" si="3"/>
        <v>0</v>
      </c>
      <c r="Z73" s="79" t="b">
        <f t="shared" ca="1" si="4"/>
        <v>0</v>
      </c>
      <c r="AA73" s="79" t="b">
        <f t="shared" ca="1" si="5"/>
        <v>0</v>
      </c>
    </row>
    <row r="74" spans="24:27" x14ac:dyDescent="0.25">
      <c r="X74" s="79" t="str">
        <f ca="1">INDIRECT("B"&amp;74) &amp; CHAR(10) &amp; "vs" &amp; CHAR(10) &amp; INDIRECT("F"&amp;74)</f>
        <v xml:space="preserve">
vs
</v>
      </c>
      <c r="Y74" s="79" t="b">
        <f t="shared" ca="1" si="3"/>
        <v>0</v>
      </c>
      <c r="Z74" s="79" t="b">
        <f t="shared" ca="1" si="4"/>
        <v>0</v>
      </c>
      <c r="AA74" s="79" t="b">
        <f t="shared" ca="1" si="5"/>
        <v>0</v>
      </c>
    </row>
    <row r="75" spans="24:27" x14ac:dyDescent="0.25">
      <c r="X75" s="79" t="str">
        <f ca="1">INDIRECT("B"&amp;75) &amp; CHAR(10) &amp; "vs" &amp; CHAR(10) &amp; INDIRECT("F"&amp;75)</f>
        <v xml:space="preserve">
vs
</v>
      </c>
      <c r="Y75" s="79" t="b">
        <f t="shared" ca="1" si="3"/>
        <v>0</v>
      </c>
      <c r="Z75" s="79" t="b">
        <f t="shared" ca="1" si="4"/>
        <v>0</v>
      </c>
      <c r="AA75" s="79" t="b">
        <f t="shared" ca="1" si="5"/>
        <v>0</v>
      </c>
    </row>
    <row r="76" spans="24:27" x14ac:dyDescent="0.25">
      <c r="X76" s="79" t="str">
        <f ca="1">INDIRECT("B"&amp;76) &amp; CHAR(10) &amp; "vs" &amp; CHAR(10) &amp; INDIRECT("F"&amp;76)</f>
        <v xml:space="preserve">
vs
</v>
      </c>
      <c r="Y76" s="79" t="b">
        <f t="shared" ca="1" si="3"/>
        <v>0</v>
      </c>
      <c r="Z76" s="79" t="b">
        <f t="shared" ca="1" si="4"/>
        <v>0</v>
      </c>
      <c r="AA76" s="79" t="b">
        <f t="shared" ca="1" si="5"/>
        <v>0</v>
      </c>
    </row>
    <row r="77" spans="24:27" x14ac:dyDescent="0.25">
      <c r="X77" s="79" t="str">
        <f ca="1">INDIRECT("B"&amp;77) &amp; CHAR(10) &amp; "vs" &amp; CHAR(10) &amp; INDIRECT("F"&amp;77)</f>
        <v xml:space="preserve">
vs
</v>
      </c>
      <c r="Y77" s="79" t="b">
        <f t="shared" ca="1" si="3"/>
        <v>0</v>
      </c>
      <c r="Z77" s="79" t="b">
        <f t="shared" ca="1" si="4"/>
        <v>0</v>
      </c>
      <c r="AA77" s="79" t="b">
        <f t="shared" ca="1" si="5"/>
        <v>0</v>
      </c>
    </row>
    <row r="78" spans="24:27" x14ac:dyDescent="0.25">
      <c r="X78" s="79" t="str">
        <f ca="1">INDIRECT("B"&amp;78) &amp; CHAR(10) &amp; "vs" &amp; CHAR(10) &amp; INDIRECT("F"&amp;78)</f>
        <v xml:space="preserve">
vs
</v>
      </c>
      <c r="Y78" s="79" t="b">
        <f t="shared" ca="1" si="3"/>
        <v>0</v>
      </c>
      <c r="Z78" s="79" t="b">
        <f t="shared" ca="1" si="4"/>
        <v>0</v>
      </c>
      <c r="AA78" s="79" t="b">
        <f t="shared" ca="1" si="5"/>
        <v>0</v>
      </c>
    </row>
    <row r="79" spans="24:27" x14ac:dyDescent="0.25">
      <c r="X79" s="79" t="str">
        <f ca="1">INDIRECT("B"&amp;79) &amp; CHAR(10) &amp; "vs" &amp; CHAR(10) &amp; INDIRECT("F"&amp;79)</f>
        <v xml:space="preserve">
vs
</v>
      </c>
      <c r="Y79" s="79" t="b">
        <f t="shared" ca="1" si="3"/>
        <v>0</v>
      </c>
      <c r="Z79" s="79" t="b">
        <f t="shared" ca="1" si="4"/>
        <v>0</v>
      </c>
      <c r="AA79" s="79" t="b">
        <f t="shared" ca="1" si="5"/>
        <v>0</v>
      </c>
    </row>
    <row r="80" spans="24:27" x14ac:dyDescent="0.25">
      <c r="X80" s="79" t="str">
        <f ca="1">INDIRECT("B"&amp;80) &amp; CHAR(10) &amp; "vs" &amp; CHAR(10) &amp; INDIRECT("F"&amp;80)</f>
        <v xml:space="preserve">
vs
</v>
      </c>
      <c r="Y80" s="79" t="b">
        <f t="shared" ca="1" si="3"/>
        <v>0</v>
      </c>
      <c r="Z80" s="79" t="b">
        <f t="shared" ca="1" si="4"/>
        <v>0</v>
      </c>
      <c r="AA80" s="79" t="b">
        <f t="shared" ca="1" si="5"/>
        <v>0</v>
      </c>
    </row>
    <row r="81" spans="24:27" x14ac:dyDescent="0.25">
      <c r="X81" s="79" t="str">
        <f ca="1">INDIRECT("B"&amp;81) &amp; CHAR(10) &amp; "vs" &amp; CHAR(10) &amp; INDIRECT("F"&amp;81)</f>
        <v xml:space="preserve">
vs
</v>
      </c>
      <c r="Y81" s="79" t="b">
        <f t="shared" ca="1" si="3"/>
        <v>0</v>
      </c>
      <c r="Z81" s="79" t="b">
        <f t="shared" ca="1" si="4"/>
        <v>0</v>
      </c>
      <c r="AA81" s="79" t="b">
        <f t="shared" ca="1" si="5"/>
        <v>0</v>
      </c>
    </row>
    <row r="82" spans="24:27" x14ac:dyDescent="0.25">
      <c r="X82" s="79" t="str">
        <f ca="1">INDIRECT("B"&amp;82) &amp; CHAR(10) &amp; "vs" &amp; CHAR(10) &amp; INDIRECT("F"&amp;82)</f>
        <v xml:space="preserve">
vs
</v>
      </c>
      <c r="Y82" s="79" t="b">
        <f t="shared" ca="1" si="3"/>
        <v>0</v>
      </c>
      <c r="Z82" s="79" t="b">
        <f t="shared" ca="1" si="4"/>
        <v>0</v>
      </c>
      <c r="AA82" s="79" t="b">
        <f t="shared" ca="1" si="5"/>
        <v>0</v>
      </c>
    </row>
    <row r="83" spans="24:27" x14ac:dyDescent="0.25">
      <c r="X83" s="79" t="str">
        <f ca="1">INDIRECT("B"&amp;83) &amp; CHAR(10) &amp; "vs" &amp; CHAR(10) &amp; INDIRECT("F"&amp;83)</f>
        <v xml:space="preserve">
vs
</v>
      </c>
      <c r="Y83" s="79" t="b">
        <f t="shared" ca="1" si="3"/>
        <v>0</v>
      </c>
      <c r="Z83" s="79" t="b">
        <f t="shared" ca="1" si="4"/>
        <v>0</v>
      </c>
      <c r="AA83" s="79" t="b">
        <f t="shared" ca="1" si="5"/>
        <v>0</v>
      </c>
    </row>
    <row r="84" spans="24:27" x14ac:dyDescent="0.25">
      <c r="X84" s="79" t="str">
        <f ca="1">INDIRECT("B"&amp;84) &amp; CHAR(10) &amp; "vs" &amp; CHAR(10) &amp; INDIRECT("F"&amp;84)</f>
        <v xml:space="preserve">
vs
</v>
      </c>
      <c r="Y84" s="79" t="b">
        <f t="shared" ca="1" si="3"/>
        <v>0</v>
      </c>
      <c r="Z84" s="79" t="b">
        <f t="shared" ca="1" si="4"/>
        <v>0</v>
      </c>
      <c r="AA84" s="79" t="b">
        <f t="shared" ca="1" si="5"/>
        <v>0</v>
      </c>
    </row>
    <row r="85" spans="24:27" x14ac:dyDescent="0.25">
      <c r="X85" s="79" t="str">
        <f ca="1">INDIRECT("B"&amp;85) &amp; CHAR(10) &amp; "vs" &amp; CHAR(10) &amp; INDIRECT("F"&amp;85)</f>
        <v xml:space="preserve">
vs
</v>
      </c>
      <c r="Y85" s="79" t="b">
        <f t="shared" ca="1" si="3"/>
        <v>0</v>
      </c>
      <c r="Z85" s="79" t="b">
        <f t="shared" ca="1" si="4"/>
        <v>0</v>
      </c>
      <c r="AA85" s="79" t="b">
        <f t="shared" ca="1" si="5"/>
        <v>0</v>
      </c>
    </row>
    <row r="86" spans="24:27" x14ac:dyDescent="0.25">
      <c r="X86" s="79" t="str">
        <f ca="1">INDIRECT("B"&amp;86) &amp; CHAR(10) &amp; "vs" &amp; CHAR(10) &amp; INDIRECT("F"&amp;86)</f>
        <v xml:space="preserve">
vs
</v>
      </c>
      <c r="Y86" s="79" t="b">
        <f t="shared" ca="1" si="3"/>
        <v>0</v>
      </c>
      <c r="Z86" s="79" t="b">
        <f t="shared" ca="1" si="4"/>
        <v>0</v>
      </c>
      <c r="AA86" s="79" t="b">
        <f t="shared" ca="1" si="5"/>
        <v>0</v>
      </c>
    </row>
    <row r="87" spans="24:27" x14ac:dyDescent="0.25">
      <c r="X87" s="79" t="str">
        <f ca="1">INDIRECT("B"&amp;87) &amp; CHAR(10) &amp; "vs" &amp; CHAR(10) &amp; INDIRECT("F"&amp;87)</f>
        <v xml:space="preserve">
vs
</v>
      </c>
      <c r="Y87" s="79" t="b">
        <f t="shared" ca="1" si="3"/>
        <v>0</v>
      </c>
      <c r="Z87" s="79" t="b">
        <f t="shared" ca="1" si="4"/>
        <v>0</v>
      </c>
      <c r="AA87" s="79" t="b">
        <f t="shared" ca="1" si="5"/>
        <v>0</v>
      </c>
    </row>
    <row r="88" spans="24:27" x14ac:dyDescent="0.25">
      <c r="X88" s="79" t="str">
        <f ca="1">INDIRECT("B"&amp;88) &amp; CHAR(10) &amp; "vs" &amp; CHAR(10) &amp; INDIRECT("F"&amp;88)</f>
        <v xml:space="preserve">
vs
</v>
      </c>
      <c r="Y88" s="79" t="b">
        <f t="shared" ca="1" si="3"/>
        <v>0</v>
      </c>
      <c r="Z88" s="79" t="b">
        <f t="shared" ca="1" si="4"/>
        <v>0</v>
      </c>
      <c r="AA88" s="79" t="b">
        <f t="shared" ca="1" si="5"/>
        <v>0</v>
      </c>
    </row>
    <row r="89" spans="24:27" x14ac:dyDescent="0.25">
      <c r="X89" s="79" t="str">
        <f ca="1">INDIRECT("B"&amp;89) &amp; CHAR(10) &amp; "vs" &amp; CHAR(10) &amp; INDIRECT("F"&amp;89)</f>
        <v xml:space="preserve">
vs
</v>
      </c>
      <c r="Y89" s="79" t="b">
        <f t="shared" ca="1" si="3"/>
        <v>0</v>
      </c>
      <c r="Z89" s="79" t="b">
        <f t="shared" ca="1" si="4"/>
        <v>0</v>
      </c>
      <c r="AA89" s="79" t="b">
        <f t="shared" ca="1" si="5"/>
        <v>0</v>
      </c>
    </row>
    <row r="90" spans="24:27" x14ac:dyDescent="0.25">
      <c r="X90" s="79" t="str">
        <f ca="1">INDIRECT("B"&amp;90) &amp; CHAR(10) &amp; "vs" &amp; CHAR(10) &amp; INDIRECT("F"&amp;90)</f>
        <v xml:space="preserve">
vs
</v>
      </c>
      <c r="Y90" s="79" t="b">
        <f t="shared" ca="1" si="3"/>
        <v>0</v>
      </c>
      <c r="Z90" s="79" t="b">
        <f t="shared" ca="1" si="4"/>
        <v>0</v>
      </c>
      <c r="AA90" s="79" t="b">
        <f t="shared" ca="1" si="5"/>
        <v>0</v>
      </c>
    </row>
    <row r="91" spans="24:27" x14ac:dyDescent="0.25">
      <c r="X91" s="79" t="str">
        <f ca="1">INDIRECT("B"&amp;91) &amp; CHAR(10) &amp; "vs" &amp; CHAR(10) &amp; INDIRECT("F"&amp;91)</f>
        <v xml:space="preserve">
vs
</v>
      </c>
      <c r="Y91" s="79" t="b">
        <f t="shared" ca="1" si="3"/>
        <v>0</v>
      </c>
      <c r="Z91" s="79" t="b">
        <f t="shared" ca="1" si="4"/>
        <v>0</v>
      </c>
      <c r="AA91" s="79" t="b">
        <f t="shared" ca="1" si="5"/>
        <v>0</v>
      </c>
    </row>
    <row r="92" spans="24:27" x14ac:dyDescent="0.25">
      <c r="X92" s="79" t="str">
        <f ca="1">INDIRECT("B"&amp;92) &amp; CHAR(10) &amp; "vs" &amp; CHAR(10) &amp; INDIRECT("F"&amp;92)</f>
        <v xml:space="preserve">
vs
</v>
      </c>
      <c r="Y92" s="79" t="b">
        <f t="shared" ca="1" si="3"/>
        <v>0</v>
      </c>
      <c r="Z92" s="79" t="b">
        <f t="shared" ca="1" si="4"/>
        <v>0</v>
      </c>
      <c r="AA92" s="79" t="b">
        <f t="shared" ca="1" si="5"/>
        <v>0</v>
      </c>
    </row>
    <row r="93" spans="24:27" x14ac:dyDescent="0.25">
      <c r="X93" s="79" t="str">
        <f ca="1">INDIRECT("B"&amp;93) &amp; CHAR(10) &amp; "vs" &amp; CHAR(10) &amp; INDIRECT("F"&amp;93)</f>
        <v xml:space="preserve">
vs
</v>
      </c>
      <c r="Y93" s="79" t="b">
        <f t="shared" ca="1" si="3"/>
        <v>0</v>
      </c>
      <c r="Z93" s="79" t="b">
        <f t="shared" ca="1" si="4"/>
        <v>0</v>
      </c>
      <c r="AA93" s="79" t="b">
        <f t="shared" ca="1" si="5"/>
        <v>0</v>
      </c>
    </row>
    <row r="94" spans="24:27" x14ac:dyDescent="0.25">
      <c r="X94" s="79" t="str">
        <f ca="1">INDIRECT("B"&amp;94) &amp; CHAR(10) &amp; "vs" &amp; CHAR(10) &amp; INDIRECT("F"&amp;94)</f>
        <v xml:space="preserve">
vs
</v>
      </c>
      <c r="Y94" s="79" t="b">
        <f t="shared" ca="1" si="3"/>
        <v>0</v>
      </c>
      <c r="Z94" s="79" t="b">
        <f t="shared" ca="1" si="4"/>
        <v>0</v>
      </c>
      <c r="AA94" s="79" t="b">
        <f t="shared" ca="1" si="5"/>
        <v>0</v>
      </c>
    </row>
    <row r="95" spans="24:27" x14ac:dyDescent="0.25">
      <c r="X95" s="79" t="str">
        <f ca="1">INDIRECT("B"&amp;95) &amp; CHAR(10) &amp; "vs" &amp; CHAR(10) &amp; INDIRECT("F"&amp;95)</f>
        <v xml:space="preserve">
vs
</v>
      </c>
      <c r="Y95" s="79" t="b">
        <f t="shared" ca="1" si="3"/>
        <v>0</v>
      </c>
      <c r="Z95" s="79" t="b">
        <f t="shared" ca="1" si="4"/>
        <v>0</v>
      </c>
      <c r="AA95" s="79" t="b">
        <f t="shared" ca="1" si="5"/>
        <v>0</v>
      </c>
    </row>
    <row r="96" spans="24:27" x14ac:dyDescent="0.25">
      <c r="X96" s="79" t="str">
        <f ca="1">INDIRECT("B"&amp;96) &amp; CHAR(10) &amp; "vs" &amp; CHAR(10) &amp; INDIRECT("F"&amp;96)</f>
        <v xml:space="preserve">
vs
</v>
      </c>
      <c r="Y96" s="79" t="b">
        <f t="shared" ca="1" si="3"/>
        <v>0</v>
      </c>
      <c r="Z96" s="79" t="b">
        <f t="shared" ca="1" si="4"/>
        <v>0</v>
      </c>
      <c r="AA96" s="79" t="b">
        <f t="shared" ca="1" si="5"/>
        <v>0</v>
      </c>
    </row>
    <row r="97" spans="24:27" x14ac:dyDescent="0.25">
      <c r="X97" s="79" t="str">
        <f ca="1">INDIRECT("B"&amp;97) &amp; CHAR(10) &amp; "vs" &amp; CHAR(10) &amp; INDIRECT("F"&amp;97)</f>
        <v xml:space="preserve">
vs
</v>
      </c>
      <c r="Y97" s="79" t="b">
        <f t="shared" ca="1" si="3"/>
        <v>0</v>
      </c>
      <c r="Z97" s="79" t="b">
        <f t="shared" ca="1" si="4"/>
        <v>0</v>
      </c>
      <c r="AA97" s="79" t="b">
        <f t="shared" ca="1" si="5"/>
        <v>0</v>
      </c>
    </row>
    <row r="98" spans="24:27" x14ac:dyDescent="0.25">
      <c r="X98" s="79" t="str">
        <f ca="1">INDIRECT("B"&amp;98) &amp; CHAR(10) &amp; "vs" &amp; CHAR(10) &amp; INDIRECT("F"&amp;98)</f>
        <v xml:space="preserve">
vs
</v>
      </c>
      <c r="Y98" s="79" t="b">
        <f t="shared" ca="1" si="3"/>
        <v>0</v>
      </c>
      <c r="Z98" s="79" t="b">
        <f t="shared" ca="1" si="4"/>
        <v>0</v>
      </c>
      <c r="AA98" s="79" t="b">
        <f t="shared" ca="1" si="5"/>
        <v>0</v>
      </c>
    </row>
    <row r="99" spans="24:27" x14ac:dyDescent="0.25">
      <c r="X99" s="79" t="str">
        <f ca="1">INDIRECT("B"&amp;99) &amp; CHAR(10) &amp; "vs" &amp; CHAR(10) &amp; INDIRECT("F"&amp;99)</f>
        <v xml:space="preserve">
vs
</v>
      </c>
      <c r="Y99" s="79" t="b">
        <f t="shared" ca="1" si="3"/>
        <v>0</v>
      </c>
      <c r="Z99" s="79" t="b">
        <f t="shared" ca="1" si="4"/>
        <v>0</v>
      </c>
      <c r="AA99" s="79" t="b">
        <f t="shared" ca="1" si="5"/>
        <v>0</v>
      </c>
    </row>
    <row r="100" spans="24:27" x14ac:dyDescent="0.25">
      <c r="X100" s="79" t="str">
        <f ca="1">INDIRECT("B"&amp;100) &amp; CHAR(10) &amp; "vs" &amp; CHAR(10) &amp; INDIRECT("F"&amp;100)</f>
        <v xml:space="preserve">
vs
</v>
      </c>
      <c r="Y100" s="79" t="b">
        <f t="shared" ca="1" si="3"/>
        <v>0</v>
      </c>
      <c r="Z100" s="79" t="b">
        <f t="shared" ca="1" si="4"/>
        <v>0</v>
      </c>
      <c r="AA100" s="79" t="b">
        <f t="shared" ca="1" si="5"/>
        <v>0</v>
      </c>
    </row>
    <row r="101" spans="24:27" x14ac:dyDescent="0.25">
      <c r="X101" s="79" t="str">
        <f ca="1">INDIRECT("B"&amp;101) &amp; CHAR(10) &amp; "vs" &amp; CHAR(10) &amp; INDIRECT("F"&amp;101)</f>
        <v xml:space="preserve">
vs
</v>
      </c>
      <c r="Y101" s="79" t="b">
        <f t="shared" ca="1" si="3"/>
        <v>0</v>
      </c>
      <c r="Z101" s="79" t="b">
        <f t="shared" ca="1" si="4"/>
        <v>0</v>
      </c>
      <c r="AA101" s="79" t="b">
        <f t="shared" ca="1" si="5"/>
        <v>0</v>
      </c>
    </row>
    <row r="102" spans="24:27" x14ac:dyDescent="0.25">
      <c r="X102" s="79" t="str">
        <f ca="1">INDIRECT("B"&amp;102) &amp; CHAR(10) &amp; "vs" &amp; CHAR(10) &amp; INDIRECT("F"&amp;102)</f>
        <v xml:space="preserve">
vs
</v>
      </c>
      <c r="Y102" s="79" t="b">
        <f t="shared" ca="1" si="3"/>
        <v>0</v>
      </c>
      <c r="Z102" s="79" t="b">
        <f t="shared" ca="1" si="4"/>
        <v>0</v>
      </c>
      <c r="AA102" s="79" t="b">
        <f t="shared" ca="1" si="5"/>
        <v>0</v>
      </c>
    </row>
    <row r="103" spans="24:27" x14ac:dyDescent="0.25">
      <c r="X103" s="79" t="str">
        <f ca="1">INDIRECT("B"&amp;103) &amp; CHAR(10) &amp; "vs" &amp; CHAR(10) &amp; INDIRECT("F"&amp;103)</f>
        <v xml:space="preserve">
vs
</v>
      </c>
      <c r="Y103" s="79" t="b">
        <f t="shared" ca="1" si="3"/>
        <v>0</v>
      </c>
      <c r="Z103" s="79" t="b">
        <f t="shared" ca="1" si="4"/>
        <v>0</v>
      </c>
      <c r="AA103" s="79" t="b">
        <f t="shared" ca="1" si="5"/>
        <v>0</v>
      </c>
    </row>
    <row r="104" spans="24:27" x14ac:dyDescent="0.25">
      <c r="X104" s="79" t="str">
        <f ca="1">INDIRECT("B"&amp;104) &amp; CHAR(10) &amp; "vs" &amp; CHAR(10) &amp; INDIRECT("F"&amp;104)</f>
        <v xml:space="preserve">
vs
</v>
      </c>
      <c r="Y104" s="79" t="b">
        <f t="shared" ca="1" si="3"/>
        <v>0</v>
      </c>
      <c r="Z104" s="79" t="b">
        <f t="shared" ca="1" si="4"/>
        <v>0</v>
      </c>
      <c r="AA104" s="79" t="b">
        <f t="shared" ca="1" si="5"/>
        <v>0</v>
      </c>
    </row>
    <row r="105" spans="24:27" x14ac:dyDescent="0.25">
      <c r="X105" s="79" t="str">
        <f ca="1">INDIRECT("B"&amp;105) &amp; CHAR(10) &amp; "vs" &amp; CHAR(10) &amp; INDIRECT("F"&amp;105)</f>
        <v xml:space="preserve">
vs
</v>
      </c>
      <c r="Y105" s="79" t="b">
        <f t="shared" ca="1" si="3"/>
        <v>0</v>
      </c>
      <c r="Z105" s="79" t="b">
        <f t="shared" ca="1" si="4"/>
        <v>0</v>
      </c>
      <c r="AA105" s="79" t="b">
        <f t="shared" ca="1" si="5"/>
        <v>0</v>
      </c>
    </row>
    <row r="106" spans="24:27" x14ac:dyDescent="0.25">
      <c r="X106" s="79" t="str">
        <f ca="1">INDIRECT("B"&amp;106) &amp; CHAR(10) &amp; "vs" &amp; CHAR(10) &amp; INDIRECT("F"&amp;106)</f>
        <v xml:space="preserve">
vs
</v>
      </c>
      <c r="Y106" s="79" t="b">
        <f t="shared" ca="1" si="3"/>
        <v>0</v>
      </c>
      <c r="Z106" s="79" t="b">
        <f t="shared" ca="1" si="4"/>
        <v>0</v>
      </c>
      <c r="AA106" s="79" t="b">
        <f t="shared" ca="1" si="5"/>
        <v>0</v>
      </c>
    </row>
    <row r="107" spans="24:27" x14ac:dyDescent="0.25">
      <c r="X107" s="79" t="str">
        <f ca="1">INDIRECT("B"&amp;107) &amp; CHAR(10) &amp; "vs" &amp; CHAR(10) &amp; INDIRECT("F"&amp;107)</f>
        <v xml:space="preserve">
vs
</v>
      </c>
      <c r="Y107" s="79" t="b">
        <f t="shared" ca="1" si="3"/>
        <v>0</v>
      </c>
      <c r="Z107" s="79" t="b">
        <f t="shared" ca="1" si="4"/>
        <v>0</v>
      </c>
      <c r="AA107" s="79" t="b">
        <f t="shared" ca="1" si="5"/>
        <v>0</v>
      </c>
    </row>
    <row r="108" spans="24:27" x14ac:dyDescent="0.25">
      <c r="X108" s="79" t="str">
        <f ca="1">INDIRECT("B"&amp;108) &amp; CHAR(10) &amp; "vs" &amp; CHAR(10) &amp; INDIRECT("F"&amp;108)</f>
        <v xml:space="preserve">
vs
</v>
      </c>
      <c r="Y108" s="79" t="b">
        <f t="shared" ca="1" si="3"/>
        <v>0</v>
      </c>
      <c r="Z108" s="79" t="b">
        <f t="shared" ca="1" si="4"/>
        <v>0</v>
      </c>
      <c r="AA108" s="79" t="b">
        <f t="shared" ca="1" si="5"/>
        <v>0</v>
      </c>
    </row>
    <row r="109" spans="24:27" x14ac:dyDescent="0.25">
      <c r="X109" s="79" t="str">
        <f ca="1">INDIRECT("B"&amp;109) &amp; CHAR(10) &amp; "vs" &amp; CHAR(10) &amp; INDIRECT("F"&amp;109)</f>
        <v xml:space="preserve">
vs
</v>
      </c>
      <c r="Y109" s="79" t="b">
        <f t="shared" ca="1" si="3"/>
        <v>0</v>
      </c>
      <c r="Z109" s="79" t="b">
        <f t="shared" ca="1" si="4"/>
        <v>0</v>
      </c>
      <c r="AA109" s="79" t="b">
        <f t="shared" ca="1" si="5"/>
        <v>0</v>
      </c>
    </row>
    <row r="110" spans="24:27" x14ac:dyDescent="0.25">
      <c r="X110" s="79" t="str">
        <f ca="1">INDIRECT("B"&amp;110) &amp; CHAR(10) &amp; "vs" &amp; CHAR(10) &amp; INDIRECT("F"&amp;110)</f>
        <v xml:space="preserve">
vs
</v>
      </c>
      <c r="Y110" s="79" t="b">
        <f t="shared" ca="1" si="3"/>
        <v>0</v>
      </c>
      <c r="Z110" s="79" t="b">
        <f t="shared" ca="1" si="4"/>
        <v>0</v>
      </c>
      <c r="AA110" s="79" t="b">
        <f t="shared" ca="1" si="5"/>
        <v>0</v>
      </c>
    </row>
    <row r="111" spans="24:27" x14ac:dyDescent="0.25">
      <c r="X111" s="79" t="str">
        <f ca="1">INDIRECT("B"&amp;111) &amp; CHAR(10) &amp; "vs" &amp; CHAR(10) &amp; INDIRECT("F"&amp;111)</f>
        <v xml:space="preserve">
vs
</v>
      </c>
      <c r="Y111" s="79" t="b">
        <f t="shared" ca="1" si="3"/>
        <v>0</v>
      </c>
      <c r="Z111" s="79" t="b">
        <f t="shared" ca="1" si="4"/>
        <v>0</v>
      </c>
      <c r="AA111" s="79" t="b">
        <f t="shared" ca="1" si="5"/>
        <v>0</v>
      </c>
    </row>
    <row r="112" spans="24:27" x14ac:dyDescent="0.25">
      <c r="X112" s="79" t="str">
        <f ca="1">INDIRECT("B"&amp;112) &amp; CHAR(10) &amp; "vs" &amp; CHAR(10) &amp; INDIRECT("F"&amp;112)</f>
        <v xml:space="preserve">
vs
</v>
      </c>
      <c r="Y112" s="79" t="b">
        <f t="shared" ca="1" si="3"/>
        <v>0</v>
      </c>
      <c r="Z112" s="79" t="b">
        <f t="shared" ca="1" si="4"/>
        <v>0</v>
      </c>
      <c r="AA112" s="79" t="b">
        <f t="shared" ca="1" si="5"/>
        <v>0</v>
      </c>
    </row>
    <row r="113" spans="24:27" x14ac:dyDescent="0.25">
      <c r="X113" s="79" t="str">
        <f ca="1">INDIRECT("B"&amp;113) &amp; CHAR(10) &amp; "vs" &amp; CHAR(10) &amp; INDIRECT("F"&amp;113)</f>
        <v xml:space="preserve">
vs
</v>
      </c>
      <c r="Y113" s="79" t="b">
        <f t="shared" ca="1" si="3"/>
        <v>0</v>
      </c>
      <c r="Z113" s="79" t="b">
        <f t="shared" ca="1" si="4"/>
        <v>0</v>
      </c>
      <c r="AA113" s="79" t="b">
        <f t="shared" ca="1" si="5"/>
        <v>0</v>
      </c>
    </row>
    <row r="114" spans="24:27" x14ac:dyDescent="0.25">
      <c r="X114" s="79" t="str">
        <f ca="1">INDIRECT("B"&amp;114) &amp; CHAR(10) &amp; "vs" &amp; CHAR(10) &amp; INDIRECT("F"&amp;114)</f>
        <v xml:space="preserve">
vs
</v>
      </c>
      <c r="Y114" s="79" t="b">
        <f t="shared" ca="1" si="3"/>
        <v>0</v>
      </c>
      <c r="Z114" s="79" t="b">
        <f t="shared" ca="1" si="4"/>
        <v>0</v>
      </c>
      <c r="AA114" s="79" t="b">
        <f t="shared" ca="1" si="5"/>
        <v>0</v>
      </c>
    </row>
    <row r="115" spans="24:27" x14ac:dyDescent="0.25">
      <c r="X115" s="79" t="str">
        <f ca="1">INDIRECT("B"&amp;115) &amp; CHAR(10) &amp; "vs" &amp; CHAR(10) &amp; INDIRECT("F"&amp;115)</f>
        <v xml:space="preserve">
vs
</v>
      </c>
      <c r="Y115" s="79" t="b">
        <f t="shared" ca="1" si="3"/>
        <v>0</v>
      </c>
      <c r="Z115" s="79" t="b">
        <f t="shared" ca="1" si="4"/>
        <v>0</v>
      </c>
      <c r="AA115" s="79" t="b">
        <f t="shared" ca="1" si="5"/>
        <v>0</v>
      </c>
    </row>
    <row r="116" spans="24:27" x14ac:dyDescent="0.25">
      <c r="X116" s="79" t="str">
        <f ca="1">INDIRECT("B"&amp;116) &amp; CHAR(10) &amp; "vs" &amp; CHAR(10) &amp; INDIRECT("F"&amp;116)</f>
        <v xml:space="preserve">
vs
</v>
      </c>
      <c r="Y116" s="79" t="b">
        <f t="shared" ca="1" si="3"/>
        <v>0</v>
      </c>
      <c r="Z116" s="79" t="b">
        <f t="shared" ca="1" si="4"/>
        <v>0</v>
      </c>
      <c r="AA116" s="79" t="b">
        <f t="shared" ca="1" si="5"/>
        <v>0</v>
      </c>
    </row>
    <row r="117" spans="24:27" x14ac:dyDescent="0.25">
      <c r="X117" s="79" t="str">
        <f ca="1">INDIRECT("B"&amp;117) &amp; CHAR(10) &amp; "vs" &amp; CHAR(10) &amp; INDIRECT("F"&amp;117)</f>
        <v xml:space="preserve">
vs
</v>
      </c>
      <c r="Y117" s="79" t="b">
        <f t="shared" ca="1" si="3"/>
        <v>0</v>
      </c>
      <c r="Z117" s="79" t="b">
        <f t="shared" ca="1" si="4"/>
        <v>0</v>
      </c>
      <c r="AA117" s="79" t="b">
        <f t="shared" ca="1" si="5"/>
        <v>0</v>
      </c>
    </row>
    <row r="118" spans="24:27" x14ac:dyDescent="0.25">
      <c r="X118" s="79" t="str">
        <f ca="1">INDIRECT("B"&amp;118) &amp; CHAR(10) &amp; "vs" &amp; CHAR(10) &amp; INDIRECT("F"&amp;118)</f>
        <v xml:space="preserve">
vs
</v>
      </c>
      <c r="Y118" s="79" t="b">
        <f t="shared" ca="1" si="3"/>
        <v>0</v>
      </c>
      <c r="Z118" s="79" t="b">
        <f t="shared" ca="1" si="4"/>
        <v>0</v>
      </c>
      <c r="AA118" s="79" t="b">
        <f t="shared" ca="1" si="5"/>
        <v>0</v>
      </c>
    </row>
    <row r="119" spans="24:27" x14ac:dyDescent="0.25">
      <c r="X119" s="79" t="str">
        <f ca="1">INDIRECT("B"&amp;119) &amp; CHAR(10) &amp; "vs" &amp; CHAR(10) &amp; INDIRECT("F"&amp;119)</f>
        <v xml:space="preserve">
vs
</v>
      </c>
      <c r="Y119" s="79" t="b">
        <f t="shared" ca="1" si="3"/>
        <v>0</v>
      </c>
      <c r="Z119" s="79" t="b">
        <f t="shared" ca="1" si="4"/>
        <v>0</v>
      </c>
      <c r="AA119" s="79" t="b">
        <f t="shared" ca="1" si="5"/>
        <v>0</v>
      </c>
    </row>
    <row r="120" spans="24:27" x14ac:dyDescent="0.25">
      <c r="X120" s="79" t="str">
        <f ca="1">INDIRECT("B"&amp;120) &amp; CHAR(10) &amp; "vs" &amp; CHAR(10) &amp; INDIRECT("F"&amp;120)</f>
        <v xml:space="preserve">
vs
</v>
      </c>
      <c r="Y120" s="79" t="b">
        <f t="shared" ca="1" si="3"/>
        <v>0</v>
      </c>
      <c r="Z120" s="79" t="b">
        <f t="shared" ca="1" si="4"/>
        <v>0</v>
      </c>
      <c r="AA120" s="79" t="b">
        <f t="shared" ca="1" si="5"/>
        <v>0</v>
      </c>
    </row>
    <row r="121" spans="24:27" x14ac:dyDescent="0.25">
      <c r="X121" s="79" t="str">
        <f ca="1">INDIRECT("B"&amp;121) &amp; CHAR(10) &amp; "vs" &amp; CHAR(10) &amp; INDIRECT("F"&amp;121)</f>
        <v xml:space="preserve">
vs
</v>
      </c>
      <c r="Y121" s="79" t="b">
        <f t="shared" ca="1" si="3"/>
        <v>0</v>
      </c>
      <c r="Z121" s="79" t="b">
        <f t="shared" ca="1" si="4"/>
        <v>0</v>
      </c>
      <c r="AA121" s="79" t="b">
        <f t="shared" ca="1" si="5"/>
        <v>0</v>
      </c>
    </row>
    <row r="122" spans="24:27" x14ac:dyDescent="0.25">
      <c r="X122" s="79" t="str">
        <f ca="1">INDIRECT("B"&amp;122) &amp; CHAR(10) &amp; "vs" &amp; CHAR(10) &amp; INDIRECT("F"&amp;122)</f>
        <v xml:space="preserve">
vs
</v>
      </c>
      <c r="Y122" s="79" t="b">
        <f t="shared" ca="1" si="3"/>
        <v>0</v>
      </c>
      <c r="Z122" s="79" t="b">
        <f t="shared" ca="1" si="4"/>
        <v>0</v>
      </c>
      <c r="AA122" s="79" t="b">
        <f t="shared" ca="1" si="5"/>
        <v>0</v>
      </c>
    </row>
    <row r="123" spans="24:27" x14ac:dyDescent="0.25">
      <c r="X123" s="79" t="str">
        <f ca="1">INDIRECT("B"&amp;123) &amp; CHAR(10) &amp; "vs" &amp; CHAR(10) &amp; INDIRECT("F"&amp;123)</f>
        <v xml:space="preserve">
vs
</v>
      </c>
      <c r="Y123" s="79" t="b">
        <f t="shared" ca="1" si="3"/>
        <v>0</v>
      </c>
      <c r="Z123" s="79" t="b">
        <f t="shared" ca="1" si="4"/>
        <v>0</v>
      </c>
      <c r="AA123" s="79" t="b">
        <f t="shared" ca="1" si="5"/>
        <v>0</v>
      </c>
    </row>
    <row r="124" spans="24:27" x14ac:dyDescent="0.25">
      <c r="X124" s="79" t="str">
        <f ca="1">INDIRECT("B"&amp;124) &amp; CHAR(10) &amp; "vs" &amp; CHAR(10) &amp; INDIRECT("F"&amp;124)</f>
        <v xml:space="preserve">
vs
</v>
      </c>
      <c r="Y124" s="79" t="b">
        <f t="shared" ca="1" si="3"/>
        <v>0</v>
      </c>
      <c r="Z124" s="79" t="b">
        <f t="shared" ca="1" si="4"/>
        <v>0</v>
      </c>
      <c r="AA124" s="79" t="b">
        <f t="shared" ca="1" si="5"/>
        <v>0</v>
      </c>
    </row>
    <row r="125" spans="24:27" x14ac:dyDescent="0.25">
      <c r="X125" s="79" t="str">
        <f ca="1">INDIRECT("B"&amp;125) &amp; CHAR(10) &amp; "vs" &amp; CHAR(10) &amp; INDIRECT("F"&amp;125)</f>
        <v xml:space="preserve">
vs
</v>
      </c>
      <c r="Y125" s="79" t="b">
        <f t="shared" ca="1" si="3"/>
        <v>0</v>
      </c>
      <c r="Z125" s="79" t="b">
        <f t="shared" ca="1" si="4"/>
        <v>0</v>
      </c>
      <c r="AA125" s="79" t="b">
        <f t="shared" ca="1" si="5"/>
        <v>0</v>
      </c>
    </row>
    <row r="126" spans="24:27" x14ac:dyDescent="0.25">
      <c r="X126" s="79" t="str">
        <f ca="1">INDIRECT("B"&amp;126) &amp; CHAR(10) &amp; "vs" &amp; CHAR(10) &amp; INDIRECT("F"&amp;126)</f>
        <v xml:space="preserve">
vs
</v>
      </c>
      <c r="Y126" s="79" t="b">
        <f t="shared" ca="1" si="3"/>
        <v>0</v>
      </c>
      <c r="Z126" s="79" t="b">
        <f t="shared" ca="1" si="4"/>
        <v>0</v>
      </c>
      <c r="AA126" s="79" t="b">
        <f t="shared" ca="1" si="5"/>
        <v>0</v>
      </c>
    </row>
    <row r="127" spans="24:27" x14ac:dyDescent="0.25">
      <c r="X127" s="79" t="str">
        <f ca="1">INDIRECT("B"&amp;127) &amp; CHAR(10) &amp; "vs" &amp; CHAR(10) &amp; INDIRECT("F"&amp;127)</f>
        <v xml:space="preserve">
vs
</v>
      </c>
      <c r="Y127" s="79" t="b">
        <f t="shared" ca="1" si="3"/>
        <v>0</v>
      </c>
      <c r="Z127" s="79" t="b">
        <f t="shared" ca="1" si="4"/>
        <v>0</v>
      </c>
      <c r="AA127" s="79" t="b">
        <f t="shared" ca="1" si="5"/>
        <v>0</v>
      </c>
    </row>
    <row r="128" spans="24:27" x14ac:dyDescent="0.25">
      <c r="X128" s="79" t="str">
        <f ca="1">INDIRECT("B"&amp;128) &amp; CHAR(10) &amp; "vs" &amp; CHAR(10) &amp; INDIRECT("F"&amp;128)</f>
        <v xml:space="preserve">
vs
</v>
      </c>
      <c r="Y128" s="79" t="b">
        <f t="shared" ca="1" si="3"/>
        <v>0</v>
      </c>
      <c r="Z128" s="79" t="b">
        <f t="shared" ca="1" si="4"/>
        <v>0</v>
      </c>
      <c r="AA128" s="79" t="b">
        <f t="shared" ca="1" si="5"/>
        <v>0</v>
      </c>
    </row>
    <row r="129" spans="24:27" x14ac:dyDescent="0.25">
      <c r="X129" s="79" t="str">
        <f ca="1">INDIRECT("B"&amp;129) &amp; CHAR(10) &amp; "vs" &amp; CHAR(10) &amp; INDIRECT("F"&amp;129)</f>
        <v xml:space="preserve">
vs
</v>
      </c>
      <c r="Y129" s="79" t="b">
        <f t="shared" ref="Y129:Y192" ca="1" si="6">$S$10=X129</f>
        <v>0</v>
      </c>
      <c r="Z129" s="79" t="b">
        <f t="shared" ref="Z129:Z192" ca="1" si="7">$S$20=X129</f>
        <v>0</v>
      </c>
      <c r="AA129" s="79" t="b">
        <f t="shared" ref="AA129:AA192" ca="1" si="8">$S$30=X129</f>
        <v>0</v>
      </c>
    </row>
    <row r="130" spans="24:27" x14ac:dyDescent="0.25">
      <c r="X130" s="79" t="str">
        <f ca="1">INDIRECT("B"&amp;130) &amp; CHAR(10) &amp; "vs" &amp; CHAR(10) &amp; INDIRECT("F"&amp;130)</f>
        <v xml:space="preserve">
vs
</v>
      </c>
      <c r="Y130" s="79" t="b">
        <f t="shared" ca="1" si="6"/>
        <v>0</v>
      </c>
      <c r="Z130" s="79" t="b">
        <f t="shared" ca="1" si="7"/>
        <v>0</v>
      </c>
      <c r="AA130" s="79" t="b">
        <f t="shared" ca="1" si="8"/>
        <v>0</v>
      </c>
    </row>
    <row r="131" spans="24:27" x14ac:dyDescent="0.25">
      <c r="X131" s="79" t="str">
        <f ca="1">INDIRECT("B"&amp;131) &amp; CHAR(10) &amp; "vs" &amp; CHAR(10) &amp; INDIRECT("F"&amp;131)</f>
        <v xml:space="preserve">
vs
</v>
      </c>
      <c r="Y131" s="79" t="b">
        <f t="shared" ca="1" si="6"/>
        <v>0</v>
      </c>
      <c r="Z131" s="79" t="b">
        <f t="shared" ca="1" si="7"/>
        <v>0</v>
      </c>
      <c r="AA131" s="79" t="b">
        <f t="shared" ca="1" si="8"/>
        <v>0</v>
      </c>
    </row>
    <row r="132" spans="24:27" x14ac:dyDescent="0.25">
      <c r="X132" s="79" t="str">
        <f ca="1">INDIRECT("B"&amp;132) &amp; CHAR(10) &amp; "vs" &amp; CHAR(10) &amp; INDIRECT("F"&amp;132)</f>
        <v xml:space="preserve">
vs
</v>
      </c>
      <c r="Y132" s="79" t="b">
        <f t="shared" ca="1" si="6"/>
        <v>0</v>
      </c>
      <c r="Z132" s="79" t="b">
        <f t="shared" ca="1" si="7"/>
        <v>0</v>
      </c>
      <c r="AA132" s="79" t="b">
        <f t="shared" ca="1" si="8"/>
        <v>0</v>
      </c>
    </row>
    <row r="133" spans="24:27" x14ac:dyDescent="0.25">
      <c r="X133" s="79" t="str">
        <f ca="1">INDIRECT("B"&amp;133) &amp; CHAR(10) &amp; "vs" &amp; CHAR(10) &amp; INDIRECT("F"&amp;133)</f>
        <v xml:space="preserve">
vs
</v>
      </c>
      <c r="Y133" s="79" t="b">
        <f t="shared" ca="1" si="6"/>
        <v>0</v>
      </c>
      <c r="Z133" s="79" t="b">
        <f t="shared" ca="1" si="7"/>
        <v>0</v>
      </c>
      <c r="AA133" s="79" t="b">
        <f t="shared" ca="1" si="8"/>
        <v>0</v>
      </c>
    </row>
    <row r="134" spans="24:27" x14ac:dyDescent="0.25">
      <c r="X134" s="79" t="str">
        <f ca="1">INDIRECT("B"&amp;134) &amp; CHAR(10) &amp; "vs" &amp; CHAR(10) &amp; INDIRECT("F"&amp;134)</f>
        <v xml:space="preserve">
vs
</v>
      </c>
      <c r="Y134" s="79" t="b">
        <f t="shared" ca="1" si="6"/>
        <v>0</v>
      </c>
      <c r="Z134" s="79" t="b">
        <f t="shared" ca="1" si="7"/>
        <v>0</v>
      </c>
      <c r="AA134" s="79" t="b">
        <f t="shared" ca="1" si="8"/>
        <v>0</v>
      </c>
    </row>
    <row r="135" spans="24:27" x14ac:dyDescent="0.25">
      <c r="X135" s="79" t="str">
        <f ca="1">INDIRECT("B"&amp;135) &amp; CHAR(10) &amp; "vs" &amp; CHAR(10) &amp; INDIRECT("F"&amp;135)</f>
        <v xml:space="preserve">
vs
</v>
      </c>
      <c r="Y135" s="79" t="b">
        <f t="shared" ca="1" si="6"/>
        <v>0</v>
      </c>
      <c r="Z135" s="79" t="b">
        <f t="shared" ca="1" si="7"/>
        <v>0</v>
      </c>
      <c r="AA135" s="79" t="b">
        <f t="shared" ca="1" si="8"/>
        <v>0</v>
      </c>
    </row>
    <row r="136" spans="24:27" x14ac:dyDescent="0.25">
      <c r="X136" s="79" t="str">
        <f ca="1">INDIRECT("B"&amp;136) &amp; CHAR(10) &amp; "vs" &amp; CHAR(10) &amp; INDIRECT("F"&amp;136)</f>
        <v xml:space="preserve">
vs
</v>
      </c>
      <c r="Y136" s="79" t="b">
        <f t="shared" ca="1" si="6"/>
        <v>0</v>
      </c>
      <c r="Z136" s="79" t="b">
        <f t="shared" ca="1" si="7"/>
        <v>0</v>
      </c>
      <c r="AA136" s="79" t="b">
        <f t="shared" ca="1" si="8"/>
        <v>0</v>
      </c>
    </row>
    <row r="137" spans="24:27" x14ac:dyDescent="0.25">
      <c r="X137" s="79" t="str">
        <f ca="1">INDIRECT("B"&amp;137) &amp; CHAR(10) &amp; "vs" &amp; CHAR(10) &amp; INDIRECT("F"&amp;137)</f>
        <v xml:space="preserve">
vs
</v>
      </c>
      <c r="Y137" s="79" t="b">
        <f t="shared" ca="1" si="6"/>
        <v>0</v>
      </c>
      <c r="Z137" s="79" t="b">
        <f t="shared" ca="1" si="7"/>
        <v>0</v>
      </c>
      <c r="AA137" s="79" t="b">
        <f t="shared" ca="1" si="8"/>
        <v>0</v>
      </c>
    </row>
    <row r="138" spans="24:27" x14ac:dyDescent="0.25">
      <c r="X138" s="79" t="str">
        <f ca="1">INDIRECT("B"&amp;138) &amp; CHAR(10) &amp; "vs" &amp; CHAR(10) &amp; INDIRECT("F"&amp;138)</f>
        <v xml:space="preserve">
vs
</v>
      </c>
      <c r="Y138" s="79" t="b">
        <f t="shared" ca="1" si="6"/>
        <v>0</v>
      </c>
      <c r="Z138" s="79" t="b">
        <f t="shared" ca="1" si="7"/>
        <v>0</v>
      </c>
      <c r="AA138" s="79" t="b">
        <f t="shared" ca="1" si="8"/>
        <v>0</v>
      </c>
    </row>
    <row r="139" spans="24:27" x14ac:dyDescent="0.25">
      <c r="X139" s="79" t="str">
        <f ca="1">INDIRECT("B"&amp;139) &amp; CHAR(10) &amp; "vs" &amp; CHAR(10) &amp; INDIRECT("F"&amp;139)</f>
        <v xml:space="preserve">
vs
</v>
      </c>
      <c r="Y139" s="79" t="b">
        <f t="shared" ca="1" si="6"/>
        <v>0</v>
      </c>
      <c r="Z139" s="79" t="b">
        <f t="shared" ca="1" si="7"/>
        <v>0</v>
      </c>
      <c r="AA139" s="79" t="b">
        <f t="shared" ca="1" si="8"/>
        <v>0</v>
      </c>
    </row>
    <row r="140" spans="24:27" x14ac:dyDescent="0.25">
      <c r="X140" s="79" t="str">
        <f ca="1">INDIRECT("B"&amp;140) &amp; CHAR(10) &amp; "vs" &amp; CHAR(10) &amp; INDIRECT("F"&amp;140)</f>
        <v xml:space="preserve">
vs
</v>
      </c>
      <c r="Y140" s="79" t="b">
        <f t="shared" ca="1" si="6"/>
        <v>0</v>
      </c>
      <c r="Z140" s="79" t="b">
        <f t="shared" ca="1" si="7"/>
        <v>0</v>
      </c>
      <c r="AA140" s="79" t="b">
        <f t="shared" ca="1" si="8"/>
        <v>0</v>
      </c>
    </row>
    <row r="141" spans="24:27" x14ac:dyDescent="0.25">
      <c r="X141" s="79" t="str">
        <f ca="1">INDIRECT("B"&amp;141) &amp; CHAR(10) &amp; "vs" &amp; CHAR(10) &amp; INDIRECT("F"&amp;141)</f>
        <v xml:space="preserve">
vs
</v>
      </c>
      <c r="Y141" s="79" t="b">
        <f t="shared" ca="1" si="6"/>
        <v>0</v>
      </c>
      <c r="Z141" s="79" t="b">
        <f t="shared" ca="1" si="7"/>
        <v>0</v>
      </c>
      <c r="AA141" s="79" t="b">
        <f t="shared" ca="1" si="8"/>
        <v>0</v>
      </c>
    </row>
    <row r="142" spans="24:27" x14ac:dyDescent="0.25">
      <c r="X142" s="79" t="str">
        <f ca="1">INDIRECT("B"&amp;142) &amp; CHAR(10) &amp; "vs" &amp; CHAR(10) &amp; INDIRECT("F"&amp;142)</f>
        <v xml:space="preserve">
vs
</v>
      </c>
      <c r="Y142" s="79" t="b">
        <f t="shared" ca="1" si="6"/>
        <v>0</v>
      </c>
      <c r="Z142" s="79" t="b">
        <f t="shared" ca="1" si="7"/>
        <v>0</v>
      </c>
      <c r="AA142" s="79" t="b">
        <f t="shared" ca="1" si="8"/>
        <v>0</v>
      </c>
    </row>
    <row r="143" spans="24:27" x14ac:dyDescent="0.25">
      <c r="X143" s="79" t="str">
        <f ca="1">INDIRECT("B"&amp;143) &amp; CHAR(10) &amp; "vs" &amp; CHAR(10) &amp; INDIRECT("F"&amp;143)</f>
        <v xml:space="preserve">
vs
</v>
      </c>
      <c r="Y143" s="79" t="b">
        <f t="shared" ca="1" si="6"/>
        <v>0</v>
      </c>
      <c r="Z143" s="79" t="b">
        <f t="shared" ca="1" si="7"/>
        <v>0</v>
      </c>
      <c r="AA143" s="79" t="b">
        <f t="shared" ca="1" si="8"/>
        <v>0</v>
      </c>
    </row>
    <row r="144" spans="24:27" x14ac:dyDescent="0.25">
      <c r="X144" s="79" t="str">
        <f ca="1">INDIRECT("B"&amp;144) &amp; CHAR(10) &amp; "vs" &amp; CHAR(10) &amp; INDIRECT("F"&amp;144)</f>
        <v xml:space="preserve">
vs
</v>
      </c>
      <c r="Y144" s="79" t="b">
        <f t="shared" ca="1" si="6"/>
        <v>0</v>
      </c>
      <c r="Z144" s="79" t="b">
        <f t="shared" ca="1" si="7"/>
        <v>0</v>
      </c>
      <c r="AA144" s="79" t="b">
        <f t="shared" ca="1" si="8"/>
        <v>0</v>
      </c>
    </row>
    <row r="145" spans="24:27" x14ac:dyDescent="0.25">
      <c r="X145" s="79" t="str">
        <f ca="1">INDIRECT("B"&amp;145) &amp; CHAR(10) &amp; "vs" &amp; CHAR(10) &amp; INDIRECT("F"&amp;145)</f>
        <v xml:space="preserve">
vs
</v>
      </c>
      <c r="Y145" s="79" t="b">
        <f t="shared" ca="1" si="6"/>
        <v>0</v>
      </c>
      <c r="Z145" s="79" t="b">
        <f t="shared" ca="1" si="7"/>
        <v>0</v>
      </c>
      <c r="AA145" s="79" t="b">
        <f t="shared" ca="1" si="8"/>
        <v>0</v>
      </c>
    </row>
    <row r="146" spans="24:27" x14ac:dyDescent="0.25">
      <c r="X146" s="79" t="str">
        <f ca="1">INDIRECT("B"&amp;146) &amp; CHAR(10) &amp; "vs" &amp; CHAR(10) &amp; INDIRECT("F"&amp;146)</f>
        <v xml:space="preserve">
vs
</v>
      </c>
      <c r="Y146" s="79" t="b">
        <f t="shared" ca="1" si="6"/>
        <v>0</v>
      </c>
      <c r="Z146" s="79" t="b">
        <f t="shared" ca="1" si="7"/>
        <v>0</v>
      </c>
      <c r="AA146" s="79" t="b">
        <f t="shared" ca="1" si="8"/>
        <v>0</v>
      </c>
    </row>
    <row r="147" spans="24:27" x14ac:dyDescent="0.25">
      <c r="X147" s="79" t="str">
        <f ca="1">INDIRECT("B"&amp;147) &amp; CHAR(10) &amp; "vs" &amp; CHAR(10) &amp; INDIRECT("F"&amp;147)</f>
        <v xml:space="preserve">
vs
</v>
      </c>
      <c r="Y147" s="79" t="b">
        <f t="shared" ca="1" si="6"/>
        <v>0</v>
      </c>
      <c r="Z147" s="79" t="b">
        <f t="shared" ca="1" si="7"/>
        <v>0</v>
      </c>
      <c r="AA147" s="79" t="b">
        <f t="shared" ca="1" si="8"/>
        <v>0</v>
      </c>
    </row>
    <row r="148" spans="24:27" x14ac:dyDescent="0.25">
      <c r="X148" s="79" t="str">
        <f ca="1">INDIRECT("B"&amp;148) &amp; CHAR(10) &amp; "vs" &amp; CHAR(10) &amp; INDIRECT("F"&amp;148)</f>
        <v xml:space="preserve">
vs
</v>
      </c>
      <c r="Y148" s="79" t="b">
        <f t="shared" ca="1" si="6"/>
        <v>0</v>
      </c>
      <c r="Z148" s="79" t="b">
        <f t="shared" ca="1" si="7"/>
        <v>0</v>
      </c>
      <c r="AA148" s="79" t="b">
        <f t="shared" ca="1" si="8"/>
        <v>0</v>
      </c>
    </row>
    <row r="149" spans="24:27" x14ac:dyDescent="0.25">
      <c r="X149" s="79" t="str">
        <f ca="1">INDIRECT("B"&amp;149) &amp; CHAR(10) &amp; "vs" &amp; CHAR(10) &amp; INDIRECT("F"&amp;149)</f>
        <v xml:space="preserve">
vs
</v>
      </c>
      <c r="Y149" s="79" t="b">
        <f t="shared" ca="1" si="6"/>
        <v>0</v>
      </c>
      <c r="Z149" s="79" t="b">
        <f t="shared" ca="1" si="7"/>
        <v>0</v>
      </c>
      <c r="AA149" s="79" t="b">
        <f t="shared" ca="1" si="8"/>
        <v>0</v>
      </c>
    </row>
    <row r="150" spans="24:27" x14ac:dyDescent="0.25">
      <c r="X150" s="79" t="str">
        <f ca="1">INDIRECT("B"&amp;150) &amp; CHAR(10) &amp; "vs" &amp; CHAR(10) &amp; INDIRECT("F"&amp;150)</f>
        <v xml:space="preserve">
vs
</v>
      </c>
      <c r="Y150" s="79" t="b">
        <f t="shared" ca="1" si="6"/>
        <v>0</v>
      </c>
      <c r="Z150" s="79" t="b">
        <f t="shared" ca="1" si="7"/>
        <v>0</v>
      </c>
      <c r="AA150" s="79" t="b">
        <f t="shared" ca="1" si="8"/>
        <v>0</v>
      </c>
    </row>
    <row r="151" spans="24:27" x14ac:dyDescent="0.25">
      <c r="X151" s="79" t="str">
        <f ca="1">INDIRECT("B"&amp;151) &amp; CHAR(10) &amp; "vs" &amp; CHAR(10) &amp; INDIRECT("F"&amp;151)</f>
        <v xml:space="preserve">
vs
</v>
      </c>
      <c r="Y151" s="79" t="b">
        <f t="shared" ca="1" si="6"/>
        <v>0</v>
      </c>
      <c r="Z151" s="79" t="b">
        <f t="shared" ca="1" si="7"/>
        <v>0</v>
      </c>
      <c r="AA151" s="79" t="b">
        <f t="shared" ca="1" si="8"/>
        <v>0</v>
      </c>
    </row>
    <row r="152" spans="24:27" x14ac:dyDescent="0.25">
      <c r="X152" s="79" t="str">
        <f ca="1">INDIRECT("B"&amp;152) &amp; CHAR(10) &amp; "vs" &amp; CHAR(10) &amp; INDIRECT("F"&amp;152)</f>
        <v xml:space="preserve">
vs
</v>
      </c>
      <c r="Y152" s="79" t="b">
        <f t="shared" ca="1" si="6"/>
        <v>0</v>
      </c>
      <c r="Z152" s="79" t="b">
        <f t="shared" ca="1" si="7"/>
        <v>0</v>
      </c>
      <c r="AA152" s="79" t="b">
        <f t="shared" ca="1" si="8"/>
        <v>0</v>
      </c>
    </row>
    <row r="153" spans="24:27" x14ac:dyDescent="0.25">
      <c r="X153" s="79" t="str">
        <f ca="1">INDIRECT("B"&amp;153) &amp; CHAR(10) &amp; "vs" &amp; CHAR(10) &amp; INDIRECT("F"&amp;153)</f>
        <v xml:space="preserve">
vs
</v>
      </c>
      <c r="Y153" s="79" t="b">
        <f t="shared" ca="1" si="6"/>
        <v>0</v>
      </c>
      <c r="Z153" s="79" t="b">
        <f t="shared" ca="1" si="7"/>
        <v>0</v>
      </c>
      <c r="AA153" s="79" t="b">
        <f t="shared" ca="1" si="8"/>
        <v>0</v>
      </c>
    </row>
    <row r="154" spans="24:27" x14ac:dyDescent="0.25">
      <c r="X154" s="79" t="str">
        <f ca="1">INDIRECT("B"&amp;154) &amp; CHAR(10) &amp; "vs" &amp; CHAR(10) &amp; INDIRECT("F"&amp;154)</f>
        <v xml:space="preserve">
vs
</v>
      </c>
      <c r="Y154" s="79" t="b">
        <f t="shared" ca="1" si="6"/>
        <v>0</v>
      </c>
      <c r="Z154" s="79" t="b">
        <f t="shared" ca="1" si="7"/>
        <v>0</v>
      </c>
      <c r="AA154" s="79" t="b">
        <f t="shared" ca="1" si="8"/>
        <v>0</v>
      </c>
    </row>
    <row r="155" spans="24:27" x14ac:dyDescent="0.25">
      <c r="X155" s="79" t="str">
        <f ca="1">INDIRECT("B"&amp;155) &amp; CHAR(10) &amp; "vs" &amp; CHAR(10) &amp; INDIRECT("F"&amp;155)</f>
        <v xml:space="preserve">
vs
</v>
      </c>
      <c r="Y155" s="79" t="b">
        <f t="shared" ca="1" si="6"/>
        <v>0</v>
      </c>
      <c r="Z155" s="79" t="b">
        <f t="shared" ca="1" si="7"/>
        <v>0</v>
      </c>
      <c r="AA155" s="79" t="b">
        <f t="shared" ca="1" si="8"/>
        <v>0</v>
      </c>
    </row>
    <row r="156" spans="24:27" x14ac:dyDescent="0.25">
      <c r="X156" s="79" t="str">
        <f ca="1">INDIRECT("B"&amp;156) &amp; CHAR(10) &amp; "vs" &amp; CHAR(10) &amp; INDIRECT("F"&amp;156)</f>
        <v xml:space="preserve">
vs
</v>
      </c>
      <c r="Y156" s="79" t="b">
        <f t="shared" ca="1" si="6"/>
        <v>0</v>
      </c>
      <c r="Z156" s="79" t="b">
        <f t="shared" ca="1" si="7"/>
        <v>0</v>
      </c>
      <c r="AA156" s="79" t="b">
        <f t="shared" ca="1" si="8"/>
        <v>0</v>
      </c>
    </row>
    <row r="157" spans="24:27" x14ac:dyDescent="0.25">
      <c r="X157" s="79" t="str">
        <f ca="1">INDIRECT("B"&amp;157) &amp; CHAR(10) &amp; "vs" &amp; CHAR(10) &amp; INDIRECT("F"&amp;157)</f>
        <v xml:space="preserve">
vs
</v>
      </c>
      <c r="Y157" s="79" t="b">
        <f t="shared" ca="1" si="6"/>
        <v>0</v>
      </c>
      <c r="Z157" s="79" t="b">
        <f t="shared" ca="1" si="7"/>
        <v>0</v>
      </c>
      <c r="AA157" s="79" t="b">
        <f t="shared" ca="1" si="8"/>
        <v>0</v>
      </c>
    </row>
    <row r="158" spans="24:27" x14ac:dyDescent="0.25">
      <c r="X158" s="79" t="str">
        <f ca="1">INDIRECT("B"&amp;158) &amp; CHAR(10) &amp; "vs" &amp; CHAR(10) &amp; INDIRECT("F"&amp;158)</f>
        <v xml:space="preserve">
vs
</v>
      </c>
      <c r="Y158" s="79" t="b">
        <f t="shared" ca="1" si="6"/>
        <v>0</v>
      </c>
      <c r="Z158" s="79" t="b">
        <f t="shared" ca="1" si="7"/>
        <v>0</v>
      </c>
      <c r="AA158" s="79" t="b">
        <f t="shared" ca="1" si="8"/>
        <v>0</v>
      </c>
    </row>
    <row r="159" spans="24:27" x14ac:dyDescent="0.25">
      <c r="X159" s="79" t="str">
        <f ca="1">INDIRECT("B"&amp;159) &amp; CHAR(10) &amp; "vs" &amp; CHAR(10) &amp; INDIRECT("F"&amp;159)</f>
        <v xml:space="preserve">
vs
</v>
      </c>
      <c r="Y159" s="79" t="b">
        <f t="shared" ca="1" si="6"/>
        <v>0</v>
      </c>
      <c r="Z159" s="79" t="b">
        <f t="shared" ca="1" si="7"/>
        <v>0</v>
      </c>
      <c r="AA159" s="79" t="b">
        <f t="shared" ca="1" si="8"/>
        <v>0</v>
      </c>
    </row>
    <row r="160" spans="24:27" x14ac:dyDescent="0.25">
      <c r="X160" s="79" t="str">
        <f ca="1">INDIRECT("B"&amp;160) &amp; CHAR(10) &amp; "vs" &amp; CHAR(10) &amp; INDIRECT("F"&amp;160)</f>
        <v xml:space="preserve">
vs
</v>
      </c>
      <c r="Y160" s="79" t="b">
        <f t="shared" ca="1" si="6"/>
        <v>0</v>
      </c>
      <c r="Z160" s="79" t="b">
        <f t="shared" ca="1" si="7"/>
        <v>0</v>
      </c>
      <c r="AA160" s="79" t="b">
        <f t="shared" ca="1" si="8"/>
        <v>0</v>
      </c>
    </row>
    <row r="161" spans="24:27" x14ac:dyDescent="0.25">
      <c r="X161" s="79" t="str">
        <f ca="1">INDIRECT("B"&amp;161) &amp; CHAR(10) &amp; "vs" &amp; CHAR(10) &amp; INDIRECT("F"&amp;161)</f>
        <v xml:space="preserve">
vs
</v>
      </c>
      <c r="Y161" s="79" t="b">
        <f t="shared" ca="1" si="6"/>
        <v>0</v>
      </c>
      <c r="Z161" s="79" t="b">
        <f t="shared" ca="1" si="7"/>
        <v>0</v>
      </c>
      <c r="AA161" s="79" t="b">
        <f t="shared" ca="1" si="8"/>
        <v>0</v>
      </c>
    </row>
    <row r="162" spans="24:27" x14ac:dyDescent="0.25">
      <c r="X162" s="79" t="str">
        <f ca="1">INDIRECT("B"&amp;162) &amp; CHAR(10) &amp; "vs" &amp; CHAR(10) &amp; INDIRECT("F"&amp;162)</f>
        <v xml:space="preserve">
vs
</v>
      </c>
      <c r="Y162" s="79" t="b">
        <f t="shared" ca="1" si="6"/>
        <v>0</v>
      </c>
      <c r="Z162" s="79" t="b">
        <f t="shared" ca="1" si="7"/>
        <v>0</v>
      </c>
      <c r="AA162" s="79" t="b">
        <f t="shared" ca="1" si="8"/>
        <v>0</v>
      </c>
    </row>
    <row r="163" spans="24:27" x14ac:dyDescent="0.25">
      <c r="X163" s="79" t="str">
        <f ca="1">INDIRECT("B"&amp;163) &amp; CHAR(10) &amp; "vs" &amp; CHAR(10) &amp; INDIRECT("F"&amp;163)</f>
        <v xml:space="preserve">
vs
</v>
      </c>
      <c r="Y163" s="79" t="b">
        <f t="shared" ca="1" si="6"/>
        <v>0</v>
      </c>
      <c r="Z163" s="79" t="b">
        <f t="shared" ca="1" si="7"/>
        <v>0</v>
      </c>
      <c r="AA163" s="79" t="b">
        <f t="shared" ca="1" si="8"/>
        <v>0</v>
      </c>
    </row>
    <row r="164" spans="24:27" x14ac:dyDescent="0.25">
      <c r="X164" s="79" t="str">
        <f ca="1">INDIRECT("B"&amp;164) &amp; CHAR(10) &amp; "vs" &amp; CHAR(10) &amp; INDIRECT("F"&amp;164)</f>
        <v xml:space="preserve">
vs
</v>
      </c>
      <c r="Y164" s="79" t="b">
        <f t="shared" ca="1" si="6"/>
        <v>0</v>
      </c>
      <c r="Z164" s="79" t="b">
        <f t="shared" ca="1" si="7"/>
        <v>0</v>
      </c>
      <c r="AA164" s="79" t="b">
        <f t="shared" ca="1" si="8"/>
        <v>0</v>
      </c>
    </row>
    <row r="165" spans="24:27" x14ac:dyDescent="0.25">
      <c r="X165" s="79" t="str">
        <f ca="1">INDIRECT("B"&amp;165) &amp; CHAR(10) &amp; "vs" &amp; CHAR(10) &amp; INDIRECT("F"&amp;165)</f>
        <v xml:space="preserve">
vs
</v>
      </c>
      <c r="Y165" s="79" t="b">
        <f t="shared" ca="1" si="6"/>
        <v>0</v>
      </c>
      <c r="Z165" s="79" t="b">
        <f t="shared" ca="1" si="7"/>
        <v>0</v>
      </c>
      <c r="AA165" s="79" t="b">
        <f t="shared" ca="1" si="8"/>
        <v>0</v>
      </c>
    </row>
    <row r="166" spans="24:27" x14ac:dyDescent="0.25">
      <c r="X166" s="79" t="str">
        <f ca="1">INDIRECT("B"&amp;166) &amp; CHAR(10) &amp; "vs" &amp; CHAR(10) &amp; INDIRECT("F"&amp;166)</f>
        <v xml:space="preserve">
vs
</v>
      </c>
      <c r="Y166" s="79" t="b">
        <f t="shared" ca="1" si="6"/>
        <v>0</v>
      </c>
      <c r="Z166" s="79" t="b">
        <f t="shared" ca="1" si="7"/>
        <v>0</v>
      </c>
      <c r="AA166" s="79" t="b">
        <f t="shared" ca="1" si="8"/>
        <v>0</v>
      </c>
    </row>
    <row r="167" spans="24:27" x14ac:dyDescent="0.25">
      <c r="X167" s="79" t="str">
        <f ca="1">INDIRECT("B"&amp;167) &amp; CHAR(10) &amp; "vs" &amp; CHAR(10) &amp; INDIRECT("F"&amp;167)</f>
        <v xml:space="preserve">
vs
</v>
      </c>
      <c r="Y167" s="79" t="b">
        <f t="shared" ca="1" si="6"/>
        <v>0</v>
      </c>
      <c r="Z167" s="79" t="b">
        <f t="shared" ca="1" si="7"/>
        <v>0</v>
      </c>
      <c r="AA167" s="79" t="b">
        <f t="shared" ca="1" si="8"/>
        <v>0</v>
      </c>
    </row>
    <row r="168" spans="24:27" x14ac:dyDescent="0.25">
      <c r="X168" s="79" t="str">
        <f ca="1">INDIRECT("B"&amp;168) &amp; CHAR(10) &amp; "vs" &amp; CHAR(10) &amp; INDIRECT("F"&amp;168)</f>
        <v xml:space="preserve">
vs
</v>
      </c>
      <c r="Y168" s="79" t="b">
        <f t="shared" ca="1" si="6"/>
        <v>0</v>
      </c>
      <c r="Z168" s="79" t="b">
        <f t="shared" ca="1" si="7"/>
        <v>0</v>
      </c>
      <c r="AA168" s="79" t="b">
        <f t="shared" ca="1" si="8"/>
        <v>0</v>
      </c>
    </row>
    <row r="169" spans="24:27" x14ac:dyDescent="0.25">
      <c r="X169" s="79" t="str">
        <f ca="1">INDIRECT("B"&amp;169) &amp; CHAR(10) &amp; "vs" &amp; CHAR(10) &amp; INDIRECT("F"&amp;169)</f>
        <v xml:space="preserve">
vs
</v>
      </c>
      <c r="Y169" s="79" t="b">
        <f t="shared" ca="1" si="6"/>
        <v>0</v>
      </c>
      <c r="Z169" s="79" t="b">
        <f t="shared" ca="1" si="7"/>
        <v>0</v>
      </c>
      <c r="AA169" s="79" t="b">
        <f t="shared" ca="1" si="8"/>
        <v>0</v>
      </c>
    </row>
    <row r="170" spans="24:27" x14ac:dyDescent="0.25">
      <c r="X170" s="79" t="str">
        <f ca="1">INDIRECT("B"&amp;170) &amp; CHAR(10) &amp; "vs" &amp; CHAR(10) &amp; INDIRECT("F"&amp;170)</f>
        <v xml:space="preserve">
vs
</v>
      </c>
      <c r="Y170" s="79" t="b">
        <f t="shared" ca="1" si="6"/>
        <v>0</v>
      </c>
      <c r="Z170" s="79" t="b">
        <f t="shared" ca="1" si="7"/>
        <v>0</v>
      </c>
      <c r="AA170" s="79" t="b">
        <f t="shared" ca="1" si="8"/>
        <v>0</v>
      </c>
    </row>
    <row r="171" spans="24:27" x14ac:dyDescent="0.25">
      <c r="X171" s="79" t="str">
        <f ca="1">INDIRECT("B"&amp;171) &amp; CHAR(10) &amp; "vs" &amp; CHAR(10) &amp; INDIRECT("F"&amp;171)</f>
        <v xml:space="preserve">
vs
</v>
      </c>
      <c r="Y171" s="79" t="b">
        <f t="shared" ca="1" si="6"/>
        <v>0</v>
      </c>
      <c r="Z171" s="79" t="b">
        <f t="shared" ca="1" si="7"/>
        <v>0</v>
      </c>
      <c r="AA171" s="79" t="b">
        <f t="shared" ca="1" si="8"/>
        <v>0</v>
      </c>
    </row>
    <row r="172" spans="24:27" x14ac:dyDescent="0.25">
      <c r="X172" s="79" t="str">
        <f ca="1">INDIRECT("B"&amp;172) &amp; CHAR(10) &amp; "vs" &amp; CHAR(10) &amp; INDIRECT("F"&amp;172)</f>
        <v xml:space="preserve">
vs
</v>
      </c>
      <c r="Y172" s="79" t="b">
        <f t="shared" ca="1" si="6"/>
        <v>0</v>
      </c>
      <c r="Z172" s="79" t="b">
        <f t="shared" ca="1" si="7"/>
        <v>0</v>
      </c>
      <c r="AA172" s="79" t="b">
        <f t="shared" ca="1" si="8"/>
        <v>0</v>
      </c>
    </row>
    <row r="173" spans="24:27" x14ac:dyDescent="0.25">
      <c r="X173" s="79" t="str">
        <f ca="1">INDIRECT("B"&amp;173) &amp; CHAR(10) &amp; "vs" &amp; CHAR(10) &amp; INDIRECT("F"&amp;173)</f>
        <v xml:space="preserve">
vs
</v>
      </c>
      <c r="Y173" s="79" t="b">
        <f t="shared" ca="1" si="6"/>
        <v>0</v>
      </c>
      <c r="Z173" s="79" t="b">
        <f t="shared" ca="1" si="7"/>
        <v>0</v>
      </c>
      <c r="AA173" s="79" t="b">
        <f t="shared" ca="1" si="8"/>
        <v>0</v>
      </c>
    </row>
    <row r="174" spans="24:27" x14ac:dyDescent="0.25">
      <c r="X174" s="79" t="str">
        <f ca="1">INDIRECT("B"&amp;174) &amp; CHAR(10) &amp; "vs" &amp; CHAR(10) &amp; INDIRECT("F"&amp;174)</f>
        <v xml:space="preserve">
vs
</v>
      </c>
      <c r="Y174" s="79" t="b">
        <f t="shared" ca="1" si="6"/>
        <v>0</v>
      </c>
      <c r="Z174" s="79" t="b">
        <f t="shared" ca="1" si="7"/>
        <v>0</v>
      </c>
      <c r="AA174" s="79" t="b">
        <f t="shared" ca="1" si="8"/>
        <v>0</v>
      </c>
    </row>
    <row r="175" spans="24:27" x14ac:dyDescent="0.25">
      <c r="X175" s="79" t="str">
        <f ca="1">INDIRECT("B"&amp;175) &amp; CHAR(10) &amp; "vs" &amp; CHAR(10) &amp; INDIRECT("F"&amp;175)</f>
        <v xml:space="preserve">
vs
</v>
      </c>
      <c r="Y175" s="79" t="b">
        <f t="shared" ca="1" si="6"/>
        <v>0</v>
      </c>
      <c r="Z175" s="79" t="b">
        <f t="shared" ca="1" si="7"/>
        <v>0</v>
      </c>
      <c r="AA175" s="79" t="b">
        <f t="shared" ca="1" si="8"/>
        <v>0</v>
      </c>
    </row>
    <row r="176" spans="24:27" x14ac:dyDescent="0.25">
      <c r="X176" s="79" t="str">
        <f ca="1">INDIRECT("B"&amp;176) &amp; CHAR(10) &amp; "vs" &amp; CHAR(10) &amp; INDIRECT("F"&amp;176)</f>
        <v xml:space="preserve">
vs
</v>
      </c>
      <c r="Y176" s="79" t="b">
        <f t="shared" ca="1" si="6"/>
        <v>0</v>
      </c>
      <c r="Z176" s="79" t="b">
        <f t="shared" ca="1" si="7"/>
        <v>0</v>
      </c>
      <c r="AA176" s="79" t="b">
        <f t="shared" ca="1" si="8"/>
        <v>0</v>
      </c>
    </row>
    <row r="177" spans="24:27" x14ac:dyDescent="0.25">
      <c r="X177" s="79" t="str">
        <f ca="1">INDIRECT("B"&amp;177) &amp; CHAR(10) &amp; "vs" &amp; CHAR(10) &amp; INDIRECT("F"&amp;177)</f>
        <v xml:space="preserve">
vs
</v>
      </c>
      <c r="Y177" s="79" t="b">
        <f t="shared" ca="1" si="6"/>
        <v>0</v>
      </c>
      <c r="Z177" s="79" t="b">
        <f t="shared" ca="1" si="7"/>
        <v>0</v>
      </c>
      <c r="AA177" s="79" t="b">
        <f t="shared" ca="1" si="8"/>
        <v>0</v>
      </c>
    </row>
    <row r="178" spans="24:27" x14ac:dyDescent="0.25">
      <c r="X178" s="79" t="str">
        <f ca="1">INDIRECT("B"&amp;178) &amp; CHAR(10) &amp; "vs" &amp; CHAR(10) &amp; INDIRECT("F"&amp;178)</f>
        <v xml:space="preserve">
vs
</v>
      </c>
      <c r="Y178" s="79" t="b">
        <f t="shared" ca="1" si="6"/>
        <v>0</v>
      </c>
      <c r="Z178" s="79" t="b">
        <f t="shared" ca="1" si="7"/>
        <v>0</v>
      </c>
      <c r="AA178" s="79" t="b">
        <f t="shared" ca="1" si="8"/>
        <v>0</v>
      </c>
    </row>
    <row r="179" spans="24:27" x14ac:dyDescent="0.25">
      <c r="X179" s="79" t="str">
        <f ca="1">INDIRECT("B"&amp;179) &amp; CHAR(10) &amp; "vs" &amp; CHAR(10) &amp; INDIRECT("F"&amp;179)</f>
        <v xml:space="preserve">
vs
</v>
      </c>
      <c r="Y179" s="79" t="b">
        <f t="shared" ca="1" si="6"/>
        <v>0</v>
      </c>
      <c r="Z179" s="79" t="b">
        <f t="shared" ca="1" si="7"/>
        <v>0</v>
      </c>
      <c r="AA179" s="79" t="b">
        <f t="shared" ca="1" si="8"/>
        <v>0</v>
      </c>
    </row>
    <row r="180" spans="24:27" x14ac:dyDescent="0.25">
      <c r="X180" s="79" t="str">
        <f ca="1">INDIRECT("B"&amp;180) &amp; CHAR(10) &amp; "vs" &amp; CHAR(10) &amp; INDIRECT("F"&amp;180)</f>
        <v xml:space="preserve">
vs
</v>
      </c>
      <c r="Y180" s="79" t="b">
        <f t="shared" ca="1" si="6"/>
        <v>0</v>
      </c>
      <c r="Z180" s="79" t="b">
        <f t="shared" ca="1" si="7"/>
        <v>0</v>
      </c>
      <c r="AA180" s="79" t="b">
        <f t="shared" ca="1" si="8"/>
        <v>0</v>
      </c>
    </row>
    <row r="181" spans="24:27" x14ac:dyDescent="0.25">
      <c r="X181" s="79" t="str">
        <f ca="1">INDIRECT("B"&amp;181) &amp; CHAR(10) &amp; "vs" &amp; CHAR(10) &amp; INDIRECT("F"&amp;181)</f>
        <v xml:space="preserve">
vs
</v>
      </c>
      <c r="Y181" s="79" t="b">
        <f t="shared" ca="1" si="6"/>
        <v>0</v>
      </c>
      <c r="Z181" s="79" t="b">
        <f t="shared" ca="1" si="7"/>
        <v>0</v>
      </c>
      <c r="AA181" s="79" t="b">
        <f t="shared" ca="1" si="8"/>
        <v>0</v>
      </c>
    </row>
    <row r="182" spans="24:27" x14ac:dyDescent="0.25">
      <c r="X182" s="79" t="str">
        <f ca="1">INDIRECT("B"&amp;182) &amp; CHAR(10) &amp; "vs" &amp; CHAR(10) &amp; INDIRECT("F"&amp;182)</f>
        <v xml:space="preserve">
vs
</v>
      </c>
      <c r="Y182" s="79" t="b">
        <f t="shared" ca="1" si="6"/>
        <v>0</v>
      </c>
      <c r="Z182" s="79" t="b">
        <f t="shared" ca="1" si="7"/>
        <v>0</v>
      </c>
      <c r="AA182" s="79" t="b">
        <f t="shared" ca="1" si="8"/>
        <v>0</v>
      </c>
    </row>
    <row r="183" spans="24:27" x14ac:dyDescent="0.25">
      <c r="X183" s="79" t="str">
        <f ca="1">INDIRECT("B"&amp;183) &amp; CHAR(10) &amp; "vs" &amp; CHAR(10) &amp; INDIRECT("F"&amp;183)</f>
        <v xml:space="preserve">
vs
</v>
      </c>
      <c r="Y183" s="79" t="b">
        <f t="shared" ca="1" si="6"/>
        <v>0</v>
      </c>
      <c r="Z183" s="79" t="b">
        <f t="shared" ca="1" si="7"/>
        <v>0</v>
      </c>
      <c r="AA183" s="79" t="b">
        <f t="shared" ca="1" si="8"/>
        <v>0</v>
      </c>
    </row>
    <row r="184" spans="24:27" x14ac:dyDescent="0.25">
      <c r="X184" s="79" t="str">
        <f ca="1">INDIRECT("B"&amp;184) &amp; CHAR(10) &amp; "vs" &amp; CHAR(10) &amp; INDIRECT("F"&amp;184)</f>
        <v xml:space="preserve">
vs
</v>
      </c>
      <c r="Y184" s="79" t="b">
        <f t="shared" ca="1" si="6"/>
        <v>0</v>
      </c>
      <c r="Z184" s="79" t="b">
        <f t="shared" ca="1" si="7"/>
        <v>0</v>
      </c>
      <c r="AA184" s="79" t="b">
        <f t="shared" ca="1" si="8"/>
        <v>0</v>
      </c>
    </row>
    <row r="185" spans="24:27" x14ac:dyDescent="0.25">
      <c r="X185" s="79" t="str">
        <f ca="1">INDIRECT("B"&amp;185) &amp; CHAR(10) &amp; "vs" &amp; CHAR(10) &amp; INDIRECT("F"&amp;185)</f>
        <v xml:space="preserve">
vs
</v>
      </c>
      <c r="Y185" s="79" t="b">
        <f t="shared" ca="1" si="6"/>
        <v>0</v>
      </c>
      <c r="Z185" s="79" t="b">
        <f t="shared" ca="1" si="7"/>
        <v>0</v>
      </c>
      <c r="AA185" s="79" t="b">
        <f t="shared" ca="1" si="8"/>
        <v>0</v>
      </c>
    </row>
    <row r="186" spans="24:27" x14ac:dyDescent="0.25">
      <c r="X186" s="79" t="str">
        <f ca="1">INDIRECT("B"&amp;186) &amp; CHAR(10) &amp; "vs" &amp; CHAR(10) &amp; INDIRECT("F"&amp;186)</f>
        <v xml:space="preserve">
vs
</v>
      </c>
      <c r="Y186" s="79" t="b">
        <f t="shared" ca="1" si="6"/>
        <v>0</v>
      </c>
      <c r="Z186" s="79" t="b">
        <f t="shared" ca="1" si="7"/>
        <v>0</v>
      </c>
      <c r="AA186" s="79" t="b">
        <f t="shared" ca="1" si="8"/>
        <v>0</v>
      </c>
    </row>
    <row r="187" spans="24:27" x14ac:dyDescent="0.25">
      <c r="X187" s="79" t="str">
        <f ca="1">INDIRECT("B"&amp;187) &amp; CHAR(10) &amp; "vs" &amp; CHAR(10) &amp; INDIRECT("F"&amp;187)</f>
        <v xml:space="preserve">
vs
</v>
      </c>
      <c r="Y187" s="79" t="b">
        <f t="shared" ca="1" si="6"/>
        <v>0</v>
      </c>
      <c r="Z187" s="79" t="b">
        <f t="shared" ca="1" si="7"/>
        <v>0</v>
      </c>
      <c r="AA187" s="79" t="b">
        <f t="shared" ca="1" si="8"/>
        <v>0</v>
      </c>
    </row>
    <row r="188" spans="24:27" x14ac:dyDescent="0.25">
      <c r="X188" s="79" t="str">
        <f ca="1">INDIRECT("B"&amp;188) &amp; CHAR(10) &amp; "vs" &amp; CHAR(10) &amp; INDIRECT("F"&amp;188)</f>
        <v xml:space="preserve">
vs
</v>
      </c>
      <c r="Y188" s="79" t="b">
        <f t="shared" ca="1" si="6"/>
        <v>0</v>
      </c>
      <c r="Z188" s="79" t="b">
        <f t="shared" ca="1" si="7"/>
        <v>0</v>
      </c>
      <c r="AA188" s="79" t="b">
        <f t="shared" ca="1" si="8"/>
        <v>0</v>
      </c>
    </row>
    <row r="189" spans="24:27" x14ac:dyDescent="0.25">
      <c r="X189" s="79" t="str">
        <f ca="1">INDIRECT("B"&amp;189) &amp; CHAR(10) &amp; "vs" &amp; CHAR(10) &amp; INDIRECT("F"&amp;189)</f>
        <v xml:space="preserve">
vs
</v>
      </c>
      <c r="Y189" s="79" t="b">
        <f t="shared" ca="1" si="6"/>
        <v>0</v>
      </c>
      <c r="Z189" s="79" t="b">
        <f t="shared" ca="1" si="7"/>
        <v>0</v>
      </c>
      <c r="AA189" s="79" t="b">
        <f t="shared" ca="1" si="8"/>
        <v>0</v>
      </c>
    </row>
    <row r="190" spans="24:27" x14ac:dyDescent="0.25">
      <c r="X190" s="79" t="str">
        <f ca="1">INDIRECT("B"&amp;190) &amp; CHAR(10) &amp; "vs" &amp; CHAR(10) &amp; INDIRECT("F"&amp;190)</f>
        <v xml:space="preserve">
vs
</v>
      </c>
      <c r="Y190" s="79" t="b">
        <f t="shared" ca="1" si="6"/>
        <v>0</v>
      </c>
      <c r="Z190" s="79" t="b">
        <f t="shared" ca="1" si="7"/>
        <v>0</v>
      </c>
      <c r="AA190" s="79" t="b">
        <f t="shared" ca="1" si="8"/>
        <v>0</v>
      </c>
    </row>
    <row r="191" spans="24:27" x14ac:dyDescent="0.25">
      <c r="X191" s="79" t="str">
        <f ca="1">INDIRECT("B"&amp;191) &amp; CHAR(10) &amp; "vs" &amp; CHAR(10) &amp; INDIRECT("F"&amp;191)</f>
        <v xml:space="preserve">
vs
</v>
      </c>
      <c r="Y191" s="79" t="b">
        <f t="shared" ca="1" si="6"/>
        <v>0</v>
      </c>
      <c r="Z191" s="79" t="b">
        <f t="shared" ca="1" si="7"/>
        <v>0</v>
      </c>
      <c r="AA191" s="79" t="b">
        <f t="shared" ca="1" si="8"/>
        <v>0</v>
      </c>
    </row>
    <row r="192" spans="24:27" x14ac:dyDescent="0.25">
      <c r="X192" s="79" t="str">
        <f ca="1">INDIRECT("B"&amp;192) &amp; CHAR(10) &amp; "vs" &amp; CHAR(10) &amp; INDIRECT("F"&amp;192)</f>
        <v xml:space="preserve">
vs
</v>
      </c>
      <c r="Y192" s="79" t="b">
        <f t="shared" ca="1" si="6"/>
        <v>0</v>
      </c>
      <c r="Z192" s="79" t="b">
        <f t="shared" ca="1" si="7"/>
        <v>0</v>
      </c>
      <c r="AA192" s="79" t="b">
        <f t="shared" ca="1" si="8"/>
        <v>0</v>
      </c>
    </row>
    <row r="193" spans="24:27" x14ac:dyDescent="0.25">
      <c r="X193" s="79" t="str">
        <f ca="1">INDIRECT("B"&amp;193) &amp; CHAR(10) &amp; "vs" &amp; CHAR(10) &amp; INDIRECT("F"&amp;193)</f>
        <v xml:space="preserve">
vs
</v>
      </c>
      <c r="Y193" s="79" t="b">
        <f t="shared" ref="Y193:Y256" ca="1" si="9">$S$10=X193</f>
        <v>0</v>
      </c>
      <c r="Z193" s="79" t="b">
        <f t="shared" ref="Z193:Z256" ca="1" si="10">$S$20=X193</f>
        <v>0</v>
      </c>
      <c r="AA193" s="79" t="b">
        <f t="shared" ref="AA193:AA256" ca="1" si="11">$S$30=X193</f>
        <v>0</v>
      </c>
    </row>
    <row r="194" spans="24:27" x14ac:dyDescent="0.25">
      <c r="X194" s="79" t="str">
        <f ca="1">INDIRECT("B"&amp;194) &amp; CHAR(10) &amp; "vs" &amp; CHAR(10) &amp; INDIRECT("F"&amp;194)</f>
        <v xml:space="preserve">
vs
</v>
      </c>
      <c r="Y194" s="79" t="b">
        <f t="shared" ca="1" si="9"/>
        <v>0</v>
      </c>
      <c r="Z194" s="79" t="b">
        <f t="shared" ca="1" si="10"/>
        <v>0</v>
      </c>
      <c r="AA194" s="79" t="b">
        <f t="shared" ca="1" si="11"/>
        <v>0</v>
      </c>
    </row>
    <row r="195" spans="24:27" x14ac:dyDescent="0.25">
      <c r="X195" s="79" t="str">
        <f ca="1">INDIRECT("B"&amp;195) &amp; CHAR(10) &amp; "vs" &amp; CHAR(10) &amp; INDIRECT("F"&amp;195)</f>
        <v xml:space="preserve">
vs
</v>
      </c>
      <c r="Y195" s="79" t="b">
        <f t="shared" ca="1" si="9"/>
        <v>0</v>
      </c>
      <c r="Z195" s="79" t="b">
        <f t="shared" ca="1" si="10"/>
        <v>0</v>
      </c>
      <c r="AA195" s="79" t="b">
        <f t="shared" ca="1" si="11"/>
        <v>0</v>
      </c>
    </row>
    <row r="196" spans="24:27" x14ac:dyDescent="0.25">
      <c r="X196" s="79" t="str">
        <f ca="1">INDIRECT("B"&amp;196) &amp; CHAR(10) &amp; "vs" &amp; CHAR(10) &amp; INDIRECT("F"&amp;196)</f>
        <v xml:space="preserve">
vs
</v>
      </c>
      <c r="Y196" s="79" t="b">
        <f t="shared" ca="1" si="9"/>
        <v>0</v>
      </c>
      <c r="Z196" s="79" t="b">
        <f t="shared" ca="1" si="10"/>
        <v>0</v>
      </c>
      <c r="AA196" s="79" t="b">
        <f t="shared" ca="1" si="11"/>
        <v>0</v>
      </c>
    </row>
    <row r="197" spans="24:27" x14ac:dyDescent="0.25">
      <c r="X197" s="79" t="str">
        <f ca="1">INDIRECT("B"&amp;197) &amp; CHAR(10) &amp; "vs" &amp; CHAR(10) &amp; INDIRECT("F"&amp;197)</f>
        <v xml:space="preserve">
vs
</v>
      </c>
      <c r="Y197" s="79" t="b">
        <f t="shared" ca="1" si="9"/>
        <v>0</v>
      </c>
      <c r="Z197" s="79" t="b">
        <f t="shared" ca="1" si="10"/>
        <v>0</v>
      </c>
      <c r="AA197" s="79" t="b">
        <f t="shared" ca="1" si="11"/>
        <v>0</v>
      </c>
    </row>
    <row r="198" spans="24:27" x14ac:dyDescent="0.25">
      <c r="X198" s="79" t="str">
        <f ca="1">INDIRECT("B"&amp;198) &amp; CHAR(10) &amp; "vs" &amp; CHAR(10) &amp; INDIRECT("F"&amp;198)</f>
        <v xml:space="preserve">
vs
</v>
      </c>
      <c r="Y198" s="79" t="b">
        <f t="shared" ca="1" si="9"/>
        <v>0</v>
      </c>
      <c r="Z198" s="79" t="b">
        <f t="shared" ca="1" si="10"/>
        <v>0</v>
      </c>
      <c r="AA198" s="79" t="b">
        <f t="shared" ca="1" si="11"/>
        <v>0</v>
      </c>
    </row>
    <row r="199" spans="24:27" x14ac:dyDescent="0.25">
      <c r="X199" s="79" t="str">
        <f ca="1">INDIRECT("B"&amp;199) &amp; CHAR(10) &amp; "vs" &amp; CHAR(10) &amp; INDIRECT("F"&amp;199)</f>
        <v xml:space="preserve">
vs
</v>
      </c>
      <c r="Y199" s="79" t="b">
        <f t="shared" ca="1" si="9"/>
        <v>0</v>
      </c>
      <c r="Z199" s="79" t="b">
        <f t="shared" ca="1" si="10"/>
        <v>0</v>
      </c>
      <c r="AA199" s="79" t="b">
        <f t="shared" ca="1" si="11"/>
        <v>0</v>
      </c>
    </row>
    <row r="200" spans="24:27" x14ac:dyDescent="0.25">
      <c r="X200" s="79" t="str">
        <f ca="1">INDIRECT("B"&amp;200) &amp; CHAR(10) &amp; "vs" &amp; CHAR(10) &amp; INDIRECT("F"&amp;200)</f>
        <v xml:space="preserve">
vs
</v>
      </c>
      <c r="Y200" s="79" t="b">
        <f t="shared" ca="1" si="9"/>
        <v>0</v>
      </c>
      <c r="Z200" s="79" t="b">
        <f t="shared" ca="1" si="10"/>
        <v>0</v>
      </c>
      <c r="AA200" s="79" t="b">
        <f t="shared" ca="1" si="11"/>
        <v>0</v>
      </c>
    </row>
    <row r="201" spans="24:27" x14ac:dyDescent="0.25">
      <c r="X201" s="79" t="str">
        <f ca="1">INDIRECT("B"&amp;201) &amp; CHAR(10) &amp; "vs" &amp; CHAR(10) &amp; INDIRECT("F"&amp;201)</f>
        <v xml:space="preserve">
vs
</v>
      </c>
      <c r="Y201" s="79" t="b">
        <f t="shared" ca="1" si="9"/>
        <v>0</v>
      </c>
      <c r="Z201" s="79" t="b">
        <f t="shared" ca="1" si="10"/>
        <v>0</v>
      </c>
      <c r="AA201" s="79" t="b">
        <f t="shared" ca="1" si="11"/>
        <v>0</v>
      </c>
    </row>
    <row r="202" spans="24:27" x14ac:dyDescent="0.25">
      <c r="X202" s="79" t="str">
        <f ca="1">INDIRECT("B"&amp;202) &amp; CHAR(10) &amp; "vs" &amp; CHAR(10) &amp; INDIRECT("F"&amp;202)</f>
        <v xml:space="preserve">
vs
</v>
      </c>
      <c r="Y202" s="79" t="b">
        <f t="shared" ca="1" si="9"/>
        <v>0</v>
      </c>
      <c r="Z202" s="79" t="b">
        <f t="shared" ca="1" si="10"/>
        <v>0</v>
      </c>
      <c r="AA202" s="79" t="b">
        <f t="shared" ca="1" si="11"/>
        <v>0</v>
      </c>
    </row>
    <row r="203" spans="24:27" x14ac:dyDescent="0.25">
      <c r="X203" s="79" t="str">
        <f ca="1">INDIRECT("B"&amp;203) &amp; CHAR(10) &amp; "vs" &amp; CHAR(10) &amp; INDIRECT("F"&amp;203)</f>
        <v xml:space="preserve">
vs
</v>
      </c>
      <c r="Y203" s="79" t="b">
        <f t="shared" ca="1" si="9"/>
        <v>0</v>
      </c>
      <c r="Z203" s="79" t="b">
        <f t="shared" ca="1" si="10"/>
        <v>0</v>
      </c>
      <c r="AA203" s="79" t="b">
        <f t="shared" ca="1" si="11"/>
        <v>0</v>
      </c>
    </row>
    <row r="204" spans="24:27" x14ac:dyDescent="0.25">
      <c r="X204" s="79" t="str">
        <f ca="1">INDIRECT("B"&amp;204) &amp; CHAR(10) &amp; "vs" &amp; CHAR(10) &amp; INDIRECT("F"&amp;204)</f>
        <v xml:space="preserve">
vs
</v>
      </c>
      <c r="Y204" s="79" t="b">
        <f t="shared" ca="1" si="9"/>
        <v>0</v>
      </c>
      <c r="Z204" s="79" t="b">
        <f t="shared" ca="1" si="10"/>
        <v>0</v>
      </c>
      <c r="AA204" s="79" t="b">
        <f t="shared" ca="1" si="11"/>
        <v>0</v>
      </c>
    </row>
    <row r="205" spans="24:27" x14ac:dyDescent="0.25">
      <c r="X205" s="79" t="str">
        <f ca="1">INDIRECT("B"&amp;205) &amp; CHAR(10) &amp; "vs" &amp; CHAR(10) &amp; INDIRECT("F"&amp;205)</f>
        <v xml:space="preserve">
vs
</v>
      </c>
      <c r="Y205" s="79" t="b">
        <f t="shared" ca="1" si="9"/>
        <v>0</v>
      </c>
      <c r="Z205" s="79" t="b">
        <f t="shared" ca="1" si="10"/>
        <v>0</v>
      </c>
      <c r="AA205" s="79" t="b">
        <f t="shared" ca="1" si="11"/>
        <v>0</v>
      </c>
    </row>
    <row r="206" spans="24:27" x14ac:dyDescent="0.25">
      <c r="X206" s="79" t="str">
        <f ca="1">INDIRECT("B"&amp;206) &amp; CHAR(10) &amp; "vs" &amp; CHAR(10) &amp; INDIRECT("F"&amp;206)</f>
        <v xml:space="preserve">
vs
</v>
      </c>
      <c r="Y206" s="79" t="b">
        <f t="shared" ca="1" si="9"/>
        <v>0</v>
      </c>
      <c r="Z206" s="79" t="b">
        <f t="shared" ca="1" si="10"/>
        <v>0</v>
      </c>
      <c r="AA206" s="79" t="b">
        <f t="shared" ca="1" si="11"/>
        <v>0</v>
      </c>
    </row>
    <row r="207" spans="24:27" x14ac:dyDescent="0.25">
      <c r="X207" s="79" t="str">
        <f ca="1">INDIRECT("B"&amp;207) &amp; CHAR(10) &amp; "vs" &amp; CHAR(10) &amp; INDIRECT("F"&amp;207)</f>
        <v xml:space="preserve">
vs
</v>
      </c>
      <c r="Y207" s="79" t="b">
        <f t="shared" ca="1" si="9"/>
        <v>0</v>
      </c>
      <c r="Z207" s="79" t="b">
        <f t="shared" ca="1" si="10"/>
        <v>0</v>
      </c>
      <c r="AA207" s="79" t="b">
        <f t="shared" ca="1" si="11"/>
        <v>0</v>
      </c>
    </row>
    <row r="208" spans="24:27" x14ac:dyDescent="0.25">
      <c r="X208" s="79" t="str">
        <f ca="1">INDIRECT("B"&amp;208) &amp; CHAR(10) &amp; "vs" &amp; CHAR(10) &amp; INDIRECT("F"&amp;208)</f>
        <v xml:space="preserve">
vs
</v>
      </c>
      <c r="Y208" s="79" t="b">
        <f t="shared" ca="1" si="9"/>
        <v>0</v>
      </c>
      <c r="Z208" s="79" t="b">
        <f t="shared" ca="1" si="10"/>
        <v>0</v>
      </c>
      <c r="AA208" s="79" t="b">
        <f t="shared" ca="1" si="11"/>
        <v>0</v>
      </c>
    </row>
    <row r="209" spans="24:27" x14ac:dyDescent="0.25">
      <c r="X209" s="79" t="str">
        <f ca="1">INDIRECT("B"&amp;209) &amp; CHAR(10) &amp; "vs" &amp; CHAR(10) &amp; INDIRECT("F"&amp;209)</f>
        <v xml:space="preserve">
vs
</v>
      </c>
      <c r="Y209" s="79" t="b">
        <f t="shared" ca="1" si="9"/>
        <v>0</v>
      </c>
      <c r="Z209" s="79" t="b">
        <f t="shared" ca="1" si="10"/>
        <v>0</v>
      </c>
      <c r="AA209" s="79" t="b">
        <f t="shared" ca="1" si="11"/>
        <v>0</v>
      </c>
    </row>
    <row r="210" spans="24:27" x14ac:dyDescent="0.25">
      <c r="X210" s="79" t="str">
        <f ca="1">INDIRECT("B"&amp;210) &amp; CHAR(10) &amp; "vs" &amp; CHAR(10) &amp; INDIRECT("F"&amp;210)</f>
        <v xml:space="preserve">
vs
</v>
      </c>
      <c r="Y210" s="79" t="b">
        <f t="shared" ca="1" si="9"/>
        <v>0</v>
      </c>
      <c r="Z210" s="79" t="b">
        <f t="shared" ca="1" si="10"/>
        <v>0</v>
      </c>
      <c r="AA210" s="79" t="b">
        <f t="shared" ca="1" si="11"/>
        <v>0</v>
      </c>
    </row>
    <row r="211" spans="24:27" x14ac:dyDescent="0.25">
      <c r="X211" s="79" t="str">
        <f ca="1">INDIRECT("B"&amp;211) &amp; CHAR(10) &amp; "vs" &amp; CHAR(10) &amp; INDIRECT("F"&amp;211)</f>
        <v xml:space="preserve">
vs
</v>
      </c>
      <c r="Y211" s="79" t="b">
        <f t="shared" ca="1" si="9"/>
        <v>0</v>
      </c>
      <c r="Z211" s="79" t="b">
        <f t="shared" ca="1" si="10"/>
        <v>0</v>
      </c>
      <c r="AA211" s="79" t="b">
        <f t="shared" ca="1" si="11"/>
        <v>0</v>
      </c>
    </row>
    <row r="212" spans="24:27" x14ac:dyDescent="0.25">
      <c r="X212" s="79" t="str">
        <f ca="1">INDIRECT("B"&amp;212) &amp; CHAR(10) &amp; "vs" &amp; CHAR(10) &amp; INDIRECT("F"&amp;212)</f>
        <v xml:space="preserve">
vs
</v>
      </c>
      <c r="Y212" s="79" t="b">
        <f t="shared" ca="1" si="9"/>
        <v>0</v>
      </c>
      <c r="Z212" s="79" t="b">
        <f t="shared" ca="1" si="10"/>
        <v>0</v>
      </c>
      <c r="AA212" s="79" t="b">
        <f t="shared" ca="1" si="11"/>
        <v>0</v>
      </c>
    </row>
    <row r="213" spans="24:27" x14ac:dyDescent="0.25">
      <c r="X213" s="79" t="str">
        <f ca="1">INDIRECT("B"&amp;213) &amp; CHAR(10) &amp; "vs" &amp; CHAR(10) &amp; INDIRECT("F"&amp;213)</f>
        <v xml:space="preserve">
vs
</v>
      </c>
      <c r="Y213" s="79" t="b">
        <f t="shared" ca="1" si="9"/>
        <v>0</v>
      </c>
      <c r="Z213" s="79" t="b">
        <f t="shared" ca="1" si="10"/>
        <v>0</v>
      </c>
      <c r="AA213" s="79" t="b">
        <f t="shared" ca="1" si="11"/>
        <v>0</v>
      </c>
    </row>
    <row r="214" spans="24:27" x14ac:dyDescent="0.25">
      <c r="X214" s="79" t="str">
        <f ca="1">INDIRECT("B"&amp;214) &amp; CHAR(10) &amp; "vs" &amp; CHAR(10) &amp; INDIRECT("F"&amp;214)</f>
        <v xml:space="preserve">
vs
</v>
      </c>
      <c r="Y214" s="79" t="b">
        <f t="shared" ca="1" si="9"/>
        <v>0</v>
      </c>
      <c r="Z214" s="79" t="b">
        <f t="shared" ca="1" si="10"/>
        <v>0</v>
      </c>
      <c r="AA214" s="79" t="b">
        <f t="shared" ca="1" si="11"/>
        <v>0</v>
      </c>
    </row>
    <row r="215" spans="24:27" x14ac:dyDescent="0.25">
      <c r="X215" s="79" t="str">
        <f ca="1">INDIRECT("B"&amp;215) &amp; CHAR(10) &amp; "vs" &amp; CHAR(10) &amp; INDIRECT("F"&amp;215)</f>
        <v xml:space="preserve">
vs
</v>
      </c>
      <c r="Y215" s="79" t="b">
        <f t="shared" ca="1" si="9"/>
        <v>0</v>
      </c>
      <c r="Z215" s="79" t="b">
        <f t="shared" ca="1" si="10"/>
        <v>0</v>
      </c>
      <c r="AA215" s="79" t="b">
        <f t="shared" ca="1" si="11"/>
        <v>0</v>
      </c>
    </row>
    <row r="216" spans="24:27" x14ac:dyDescent="0.25">
      <c r="X216" s="79" t="str">
        <f ca="1">INDIRECT("B"&amp;216) &amp; CHAR(10) &amp; "vs" &amp; CHAR(10) &amp; INDIRECT("F"&amp;216)</f>
        <v xml:space="preserve">
vs
</v>
      </c>
      <c r="Y216" s="79" t="b">
        <f t="shared" ca="1" si="9"/>
        <v>0</v>
      </c>
      <c r="Z216" s="79" t="b">
        <f t="shared" ca="1" si="10"/>
        <v>0</v>
      </c>
      <c r="AA216" s="79" t="b">
        <f t="shared" ca="1" si="11"/>
        <v>0</v>
      </c>
    </row>
    <row r="217" spans="24:27" x14ac:dyDescent="0.25">
      <c r="X217" s="79" t="str">
        <f ca="1">INDIRECT("B"&amp;217) &amp; CHAR(10) &amp; "vs" &amp; CHAR(10) &amp; INDIRECT("F"&amp;217)</f>
        <v xml:space="preserve">
vs
</v>
      </c>
      <c r="Y217" s="79" t="b">
        <f t="shared" ca="1" si="9"/>
        <v>0</v>
      </c>
      <c r="Z217" s="79" t="b">
        <f t="shared" ca="1" si="10"/>
        <v>0</v>
      </c>
      <c r="AA217" s="79" t="b">
        <f t="shared" ca="1" si="11"/>
        <v>0</v>
      </c>
    </row>
    <row r="218" spans="24:27" x14ac:dyDescent="0.25">
      <c r="X218" s="79" t="str">
        <f ca="1">INDIRECT("B"&amp;218) &amp; CHAR(10) &amp; "vs" &amp; CHAR(10) &amp; INDIRECT("F"&amp;218)</f>
        <v xml:space="preserve">
vs
</v>
      </c>
      <c r="Y218" s="79" t="b">
        <f t="shared" ca="1" si="9"/>
        <v>0</v>
      </c>
      <c r="Z218" s="79" t="b">
        <f t="shared" ca="1" si="10"/>
        <v>0</v>
      </c>
      <c r="AA218" s="79" t="b">
        <f t="shared" ca="1" si="11"/>
        <v>0</v>
      </c>
    </row>
    <row r="219" spans="24:27" x14ac:dyDescent="0.25">
      <c r="X219" s="79" t="str">
        <f ca="1">INDIRECT("B"&amp;219) &amp; CHAR(10) &amp; "vs" &amp; CHAR(10) &amp; INDIRECT("F"&amp;219)</f>
        <v xml:space="preserve">
vs
</v>
      </c>
      <c r="Y219" s="79" t="b">
        <f t="shared" ca="1" si="9"/>
        <v>0</v>
      </c>
      <c r="Z219" s="79" t="b">
        <f t="shared" ca="1" si="10"/>
        <v>0</v>
      </c>
      <c r="AA219" s="79" t="b">
        <f t="shared" ca="1" si="11"/>
        <v>0</v>
      </c>
    </row>
    <row r="220" spans="24:27" x14ac:dyDescent="0.25">
      <c r="X220" s="79" t="str">
        <f ca="1">INDIRECT("B"&amp;220) &amp; CHAR(10) &amp; "vs" &amp; CHAR(10) &amp; INDIRECT("F"&amp;220)</f>
        <v xml:space="preserve">
vs
</v>
      </c>
      <c r="Y220" s="79" t="b">
        <f t="shared" ca="1" si="9"/>
        <v>0</v>
      </c>
      <c r="Z220" s="79" t="b">
        <f t="shared" ca="1" si="10"/>
        <v>0</v>
      </c>
      <c r="AA220" s="79" t="b">
        <f t="shared" ca="1" si="11"/>
        <v>0</v>
      </c>
    </row>
    <row r="221" spans="24:27" x14ac:dyDescent="0.25">
      <c r="X221" s="79" t="str">
        <f ca="1">INDIRECT("B"&amp;221) &amp; CHAR(10) &amp; "vs" &amp; CHAR(10) &amp; INDIRECT("F"&amp;221)</f>
        <v xml:space="preserve">
vs
</v>
      </c>
      <c r="Y221" s="79" t="b">
        <f t="shared" ca="1" si="9"/>
        <v>0</v>
      </c>
      <c r="Z221" s="79" t="b">
        <f t="shared" ca="1" si="10"/>
        <v>0</v>
      </c>
      <c r="AA221" s="79" t="b">
        <f t="shared" ca="1" si="11"/>
        <v>0</v>
      </c>
    </row>
    <row r="222" spans="24:27" x14ac:dyDescent="0.25">
      <c r="X222" s="79" t="str">
        <f ca="1">INDIRECT("B"&amp;222) &amp; CHAR(10) &amp; "vs" &amp; CHAR(10) &amp; INDIRECT("F"&amp;222)</f>
        <v xml:space="preserve">
vs
</v>
      </c>
      <c r="Y222" s="79" t="b">
        <f t="shared" ca="1" si="9"/>
        <v>0</v>
      </c>
      <c r="Z222" s="79" t="b">
        <f t="shared" ca="1" si="10"/>
        <v>0</v>
      </c>
      <c r="AA222" s="79" t="b">
        <f t="shared" ca="1" si="11"/>
        <v>0</v>
      </c>
    </row>
    <row r="223" spans="24:27" x14ac:dyDescent="0.25">
      <c r="X223" s="79" t="str">
        <f ca="1">INDIRECT("B"&amp;223) &amp; CHAR(10) &amp; "vs" &amp; CHAR(10) &amp; INDIRECT("F"&amp;223)</f>
        <v xml:space="preserve">
vs
</v>
      </c>
      <c r="Y223" s="79" t="b">
        <f t="shared" ca="1" si="9"/>
        <v>0</v>
      </c>
      <c r="Z223" s="79" t="b">
        <f t="shared" ca="1" si="10"/>
        <v>0</v>
      </c>
      <c r="AA223" s="79" t="b">
        <f t="shared" ca="1" si="11"/>
        <v>0</v>
      </c>
    </row>
    <row r="224" spans="24:27" x14ac:dyDescent="0.25">
      <c r="X224" s="79" t="str">
        <f ca="1">INDIRECT("B"&amp;224) &amp; CHAR(10) &amp; "vs" &amp; CHAR(10) &amp; INDIRECT("F"&amp;224)</f>
        <v xml:space="preserve">
vs
</v>
      </c>
      <c r="Y224" s="79" t="b">
        <f t="shared" ca="1" si="9"/>
        <v>0</v>
      </c>
      <c r="Z224" s="79" t="b">
        <f t="shared" ca="1" si="10"/>
        <v>0</v>
      </c>
      <c r="AA224" s="79" t="b">
        <f t="shared" ca="1" si="11"/>
        <v>0</v>
      </c>
    </row>
    <row r="225" spans="24:27" x14ac:dyDescent="0.25">
      <c r="X225" s="79" t="str">
        <f ca="1">INDIRECT("B"&amp;225) &amp; CHAR(10) &amp; "vs" &amp; CHAR(10) &amp; INDIRECT("F"&amp;225)</f>
        <v xml:space="preserve">
vs
</v>
      </c>
      <c r="Y225" s="79" t="b">
        <f t="shared" ca="1" si="9"/>
        <v>0</v>
      </c>
      <c r="Z225" s="79" t="b">
        <f t="shared" ca="1" si="10"/>
        <v>0</v>
      </c>
      <c r="AA225" s="79" t="b">
        <f t="shared" ca="1" si="11"/>
        <v>0</v>
      </c>
    </row>
    <row r="226" spans="24:27" x14ac:dyDescent="0.25">
      <c r="X226" s="79" t="str">
        <f ca="1">INDIRECT("B"&amp;226) &amp; CHAR(10) &amp; "vs" &amp; CHAR(10) &amp; INDIRECT("F"&amp;226)</f>
        <v xml:space="preserve">
vs
</v>
      </c>
      <c r="Y226" s="79" t="b">
        <f t="shared" ca="1" si="9"/>
        <v>0</v>
      </c>
      <c r="Z226" s="79" t="b">
        <f t="shared" ca="1" si="10"/>
        <v>0</v>
      </c>
      <c r="AA226" s="79" t="b">
        <f t="shared" ca="1" si="11"/>
        <v>0</v>
      </c>
    </row>
    <row r="227" spans="24:27" x14ac:dyDescent="0.25">
      <c r="X227" s="79" t="str">
        <f ca="1">INDIRECT("B"&amp;227) &amp; CHAR(10) &amp; "vs" &amp; CHAR(10) &amp; INDIRECT("F"&amp;227)</f>
        <v xml:space="preserve">
vs
</v>
      </c>
      <c r="Y227" s="79" t="b">
        <f t="shared" ca="1" si="9"/>
        <v>0</v>
      </c>
      <c r="Z227" s="79" t="b">
        <f t="shared" ca="1" si="10"/>
        <v>0</v>
      </c>
      <c r="AA227" s="79" t="b">
        <f t="shared" ca="1" si="11"/>
        <v>0</v>
      </c>
    </row>
    <row r="228" spans="24:27" x14ac:dyDescent="0.25">
      <c r="X228" s="79" t="str">
        <f ca="1">INDIRECT("B"&amp;228) &amp; CHAR(10) &amp; "vs" &amp; CHAR(10) &amp; INDIRECT("F"&amp;228)</f>
        <v xml:space="preserve">
vs
</v>
      </c>
      <c r="Y228" s="79" t="b">
        <f t="shared" ca="1" si="9"/>
        <v>0</v>
      </c>
      <c r="Z228" s="79" t="b">
        <f t="shared" ca="1" si="10"/>
        <v>0</v>
      </c>
      <c r="AA228" s="79" t="b">
        <f t="shared" ca="1" si="11"/>
        <v>0</v>
      </c>
    </row>
    <row r="229" spans="24:27" x14ac:dyDescent="0.25">
      <c r="X229" s="79" t="str">
        <f ca="1">INDIRECT("B"&amp;229) &amp; CHAR(10) &amp; "vs" &amp; CHAR(10) &amp; INDIRECT("F"&amp;229)</f>
        <v xml:space="preserve">
vs
</v>
      </c>
      <c r="Y229" s="79" t="b">
        <f t="shared" ca="1" si="9"/>
        <v>0</v>
      </c>
      <c r="Z229" s="79" t="b">
        <f t="shared" ca="1" si="10"/>
        <v>0</v>
      </c>
      <c r="AA229" s="79" t="b">
        <f t="shared" ca="1" si="11"/>
        <v>0</v>
      </c>
    </row>
    <row r="230" spans="24:27" x14ac:dyDescent="0.25">
      <c r="X230" s="79" t="str">
        <f ca="1">INDIRECT("B"&amp;230) &amp; CHAR(10) &amp; "vs" &amp; CHAR(10) &amp; INDIRECT("F"&amp;230)</f>
        <v xml:space="preserve">
vs
</v>
      </c>
      <c r="Y230" s="79" t="b">
        <f t="shared" ca="1" si="9"/>
        <v>0</v>
      </c>
      <c r="Z230" s="79" t="b">
        <f t="shared" ca="1" si="10"/>
        <v>0</v>
      </c>
      <c r="AA230" s="79" t="b">
        <f t="shared" ca="1" si="11"/>
        <v>0</v>
      </c>
    </row>
    <row r="231" spans="24:27" x14ac:dyDescent="0.25">
      <c r="X231" s="79" t="str">
        <f ca="1">INDIRECT("B"&amp;231) &amp; CHAR(10) &amp; "vs" &amp; CHAR(10) &amp; INDIRECT("F"&amp;231)</f>
        <v xml:space="preserve">
vs
</v>
      </c>
      <c r="Y231" s="79" t="b">
        <f t="shared" ca="1" si="9"/>
        <v>0</v>
      </c>
      <c r="Z231" s="79" t="b">
        <f t="shared" ca="1" si="10"/>
        <v>0</v>
      </c>
      <c r="AA231" s="79" t="b">
        <f t="shared" ca="1" si="11"/>
        <v>0</v>
      </c>
    </row>
    <row r="232" spans="24:27" x14ac:dyDescent="0.25">
      <c r="X232" s="79" t="str">
        <f ca="1">INDIRECT("B"&amp;232) &amp; CHAR(10) &amp; "vs" &amp; CHAR(10) &amp; INDIRECT("F"&amp;232)</f>
        <v xml:space="preserve">
vs
</v>
      </c>
      <c r="Y232" s="79" t="b">
        <f t="shared" ca="1" si="9"/>
        <v>0</v>
      </c>
      <c r="Z232" s="79" t="b">
        <f t="shared" ca="1" si="10"/>
        <v>0</v>
      </c>
      <c r="AA232" s="79" t="b">
        <f t="shared" ca="1" si="11"/>
        <v>0</v>
      </c>
    </row>
    <row r="233" spans="24:27" x14ac:dyDescent="0.25">
      <c r="X233" s="79" t="str">
        <f ca="1">INDIRECT("B"&amp;233) &amp; CHAR(10) &amp; "vs" &amp; CHAR(10) &amp; INDIRECT("F"&amp;233)</f>
        <v xml:space="preserve">
vs
</v>
      </c>
      <c r="Y233" s="79" t="b">
        <f t="shared" ca="1" si="9"/>
        <v>0</v>
      </c>
      <c r="Z233" s="79" t="b">
        <f t="shared" ca="1" si="10"/>
        <v>0</v>
      </c>
      <c r="AA233" s="79" t="b">
        <f t="shared" ca="1" si="11"/>
        <v>0</v>
      </c>
    </row>
    <row r="234" spans="24:27" x14ac:dyDescent="0.25">
      <c r="X234" s="79" t="str">
        <f ca="1">INDIRECT("B"&amp;234) &amp; CHAR(10) &amp; "vs" &amp; CHAR(10) &amp; INDIRECT("F"&amp;234)</f>
        <v xml:space="preserve">
vs
</v>
      </c>
      <c r="Y234" s="79" t="b">
        <f t="shared" ca="1" si="9"/>
        <v>0</v>
      </c>
      <c r="Z234" s="79" t="b">
        <f t="shared" ca="1" si="10"/>
        <v>0</v>
      </c>
      <c r="AA234" s="79" t="b">
        <f t="shared" ca="1" si="11"/>
        <v>0</v>
      </c>
    </row>
    <row r="235" spans="24:27" x14ac:dyDescent="0.25">
      <c r="X235" s="79" t="str">
        <f ca="1">INDIRECT("B"&amp;235) &amp; CHAR(10) &amp; "vs" &amp; CHAR(10) &amp; INDIRECT("F"&amp;235)</f>
        <v xml:space="preserve">
vs
</v>
      </c>
      <c r="Y235" s="79" t="b">
        <f t="shared" ca="1" si="9"/>
        <v>0</v>
      </c>
      <c r="Z235" s="79" t="b">
        <f t="shared" ca="1" si="10"/>
        <v>0</v>
      </c>
      <c r="AA235" s="79" t="b">
        <f t="shared" ca="1" si="11"/>
        <v>0</v>
      </c>
    </row>
    <row r="236" spans="24:27" x14ac:dyDescent="0.25">
      <c r="X236" s="79" t="str">
        <f ca="1">INDIRECT("B"&amp;236) &amp; CHAR(10) &amp; "vs" &amp; CHAR(10) &amp; INDIRECT("F"&amp;236)</f>
        <v xml:space="preserve">
vs
</v>
      </c>
      <c r="Y236" s="79" t="b">
        <f t="shared" ca="1" si="9"/>
        <v>0</v>
      </c>
      <c r="Z236" s="79" t="b">
        <f t="shared" ca="1" si="10"/>
        <v>0</v>
      </c>
      <c r="AA236" s="79" t="b">
        <f t="shared" ca="1" si="11"/>
        <v>0</v>
      </c>
    </row>
    <row r="237" spans="24:27" x14ac:dyDescent="0.25">
      <c r="X237" s="79" t="str">
        <f ca="1">INDIRECT("B"&amp;237) &amp; CHAR(10) &amp; "vs" &amp; CHAR(10) &amp; INDIRECT("F"&amp;237)</f>
        <v xml:space="preserve">
vs
</v>
      </c>
      <c r="Y237" s="79" t="b">
        <f t="shared" ca="1" si="9"/>
        <v>0</v>
      </c>
      <c r="Z237" s="79" t="b">
        <f t="shared" ca="1" si="10"/>
        <v>0</v>
      </c>
      <c r="AA237" s="79" t="b">
        <f t="shared" ca="1" si="11"/>
        <v>0</v>
      </c>
    </row>
    <row r="238" spans="24:27" x14ac:dyDescent="0.25">
      <c r="X238" s="79" t="str">
        <f ca="1">INDIRECT("B"&amp;238) &amp; CHAR(10) &amp; "vs" &amp; CHAR(10) &amp; INDIRECT("F"&amp;238)</f>
        <v xml:space="preserve">
vs
</v>
      </c>
      <c r="Y238" s="79" t="b">
        <f t="shared" ca="1" si="9"/>
        <v>0</v>
      </c>
      <c r="Z238" s="79" t="b">
        <f t="shared" ca="1" si="10"/>
        <v>0</v>
      </c>
      <c r="AA238" s="79" t="b">
        <f t="shared" ca="1" si="11"/>
        <v>0</v>
      </c>
    </row>
    <row r="239" spans="24:27" x14ac:dyDescent="0.25">
      <c r="X239" s="79" t="str">
        <f ca="1">INDIRECT("B"&amp;239) &amp; CHAR(10) &amp; "vs" &amp; CHAR(10) &amp; INDIRECT("F"&amp;239)</f>
        <v xml:space="preserve">
vs
</v>
      </c>
      <c r="Y239" s="79" t="b">
        <f t="shared" ca="1" si="9"/>
        <v>0</v>
      </c>
      <c r="Z239" s="79" t="b">
        <f t="shared" ca="1" si="10"/>
        <v>0</v>
      </c>
      <c r="AA239" s="79" t="b">
        <f t="shared" ca="1" si="11"/>
        <v>0</v>
      </c>
    </row>
    <row r="240" spans="24:27" x14ac:dyDescent="0.25">
      <c r="X240" s="79" t="str">
        <f ca="1">INDIRECT("B"&amp;240) &amp; CHAR(10) &amp; "vs" &amp; CHAR(10) &amp; INDIRECT("F"&amp;240)</f>
        <v xml:space="preserve">
vs
</v>
      </c>
      <c r="Y240" s="79" t="b">
        <f t="shared" ca="1" si="9"/>
        <v>0</v>
      </c>
      <c r="Z240" s="79" t="b">
        <f t="shared" ca="1" si="10"/>
        <v>0</v>
      </c>
      <c r="AA240" s="79" t="b">
        <f t="shared" ca="1" si="11"/>
        <v>0</v>
      </c>
    </row>
    <row r="241" spans="24:27" x14ac:dyDescent="0.25">
      <c r="X241" s="79" t="str">
        <f ca="1">INDIRECT("B"&amp;241) &amp; CHAR(10) &amp; "vs" &amp; CHAR(10) &amp; INDIRECT("F"&amp;241)</f>
        <v xml:space="preserve">
vs
</v>
      </c>
      <c r="Y241" s="79" t="b">
        <f t="shared" ca="1" si="9"/>
        <v>0</v>
      </c>
      <c r="Z241" s="79" t="b">
        <f t="shared" ca="1" si="10"/>
        <v>0</v>
      </c>
      <c r="AA241" s="79" t="b">
        <f t="shared" ca="1" si="11"/>
        <v>0</v>
      </c>
    </row>
    <row r="242" spans="24:27" x14ac:dyDescent="0.25">
      <c r="X242" s="79" t="str">
        <f ca="1">INDIRECT("B"&amp;242) &amp; CHAR(10) &amp; "vs" &amp; CHAR(10) &amp; INDIRECT("F"&amp;242)</f>
        <v xml:space="preserve">
vs
</v>
      </c>
      <c r="Y242" s="79" t="b">
        <f t="shared" ca="1" si="9"/>
        <v>0</v>
      </c>
      <c r="Z242" s="79" t="b">
        <f t="shared" ca="1" si="10"/>
        <v>0</v>
      </c>
      <c r="AA242" s="79" t="b">
        <f t="shared" ca="1" si="11"/>
        <v>0</v>
      </c>
    </row>
    <row r="243" spans="24:27" x14ac:dyDescent="0.25">
      <c r="X243" s="79" t="str">
        <f ca="1">INDIRECT("B"&amp;243) &amp; CHAR(10) &amp; "vs" &amp; CHAR(10) &amp; INDIRECT("F"&amp;243)</f>
        <v xml:space="preserve">
vs
</v>
      </c>
      <c r="Y243" s="79" t="b">
        <f t="shared" ca="1" si="9"/>
        <v>0</v>
      </c>
      <c r="Z243" s="79" t="b">
        <f t="shared" ca="1" si="10"/>
        <v>0</v>
      </c>
      <c r="AA243" s="79" t="b">
        <f t="shared" ca="1" si="11"/>
        <v>0</v>
      </c>
    </row>
    <row r="244" spans="24:27" x14ac:dyDescent="0.25">
      <c r="X244" s="79" t="str">
        <f ca="1">INDIRECT("B"&amp;244) &amp; CHAR(10) &amp; "vs" &amp; CHAR(10) &amp; INDIRECT("F"&amp;244)</f>
        <v xml:space="preserve">
vs
</v>
      </c>
      <c r="Y244" s="79" t="b">
        <f t="shared" ca="1" si="9"/>
        <v>0</v>
      </c>
      <c r="Z244" s="79" t="b">
        <f t="shared" ca="1" si="10"/>
        <v>0</v>
      </c>
      <c r="AA244" s="79" t="b">
        <f t="shared" ca="1" si="11"/>
        <v>0</v>
      </c>
    </row>
    <row r="245" spans="24:27" x14ac:dyDescent="0.25">
      <c r="X245" s="79" t="str">
        <f ca="1">INDIRECT("B"&amp;245) &amp; CHAR(10) &amp; "vs" &amp; CHAR(10) &amp; INDIRECT("F"&amp;245)</f>
        <v xml:space="preserve">
vs
</v>
      </c>
      <c r="Y245" s="79" t="b">
        <f t="shared" ca="1" si="9"/>
        <v>0</v>
      </c>
      <c r="Z245" s="79" t="b">
        <f t="shared" ca="1" si="10"/>
        <v>0</v>
      </c>
      <c r="AA245" s="79" t="b">
        <f t="shared" ca="1" si="11"/>
        <v>0</v>
      </c>
    </row>
    <row r="246" spans="24:27" x14ac:dyDescent="0.25">
      <c r="X246" s="79" t="str">
        <f ca="1">INDIRECT("B"&amp;246) &amp; CHAR(10) &amp; "vs" &amp; CHAR(10) &amp; INDIRECT("F"&amp;246)</f>
        <v xml:space="preserve">
vs
</v>
      </c>
      <c r="Y246" s="79" t="b">
        <f t="shared" ca="1" si="9"/>
        <v>0</v>
      </c>
      <c r="Z246" s="79" t="b">
        <f t="shared" ca="1" si="10"/>
        <v>0</v>
      </c>
      <c r="AA246" s="79" t="b">
        <f t="shared" ca="1" si="11"/>
        <v>0</v>
      </c>
    </row>
    <row r="247" spans="24:27" x14ac:dyDescent="0.25">
      <c r="X247" s="79" t="str">
        <f ca="1">INDIRECT("B"&amp;247) &amp; CHAR(10) &amp; "vs" &amp; CHAR(10) &amp; INDIRECT("F"&amp;247)</f>
        <v xml:space="preserve">
vs
</v>
      </c>
      <c r="Y247" s="79" t="b">
        <f t="shared" ca="1" si="9"/>
        <v>0</v>
      </c>
      <c r="Z247" s="79" t="b">
        <f t="shared" ca="1" si="10"/>
        <v>0</v>
      </c>
      <c r="AA247" s="79" t="b">
        <f t="shared" ca="1" si="11"/>
        <v>0</v>
      </c>
    </row>
    <row r="248" spans="24:27" x14ac:dyDescent="0.25">
      <c r="X248" s="79" t="str">
        <f ca="1">INDIRECT("B"&amp;248) &amp; CHAR(10) &amp; "vs" &amp; CHAR(10) &amp; INDIRECT("F"&amp;248)</f>
        <v xml:space="preserve">
vs
</v>
      </c>
      <c r="Y248" s="79" t="b">
        <f t="shared" ca="1" si="9"/>
        <v>0</v>
      </c>
      <c r="Z248" s="79" t="b">
        <f t="shared" ca="1" si="10"/>
        <v>0</v>
      </c>
      <c r="AA248" s="79" t="b">
        <f t="shared" ca="1" si="11"/>
        <v>0</v>
      </c>
    </row>
    <row r="249" spans="24:27" x14ac:dyDescent="0.25">
      <c r="X249" s="79" t="str">
        <f ca="1">INDIRECT("B"&amp;249) &amp; CHAR(10) &amp; "vs" &amp; CHAR(10) &amp; INDIRECT("F"&amp;249)</f>
        <v xml:space="preserve">
vs
</v>
      </c>
      <c r="Y249" s="79" t="b">
        <f t="shared" ca="1" si="9"/>
        <v>0</v>
      </c>
      <c r="Z249" s="79" t="b">
        <f t="shared" ca="1" si="10"/>
        <v>0</v>
      </c>
      <c r="AA249" s="79" t="b">
        <f t="shared" ca="1" si="11"/>
        <v>0</v>
      </c>
    </row>
    <row r="250" spans="24:27" x14ac:dyDescent="0.25">
      <c r="X250" s="79" t="str">
        <f ca="1">INDIRECT("B"&amp;250) &amp; CHAR(10) &amp; "vs" &amp; CHAR(10) &amp; INDIRECT("F"&amp;250)</f>
        <v xml:space="preserve">
vs
</v>
      </c>
      <c r="Y250" s="79" t="b">
        <f t="shared" ca="1" si="9"/>
        <v>0</v>
      </c>
      <c r="Z250" s="79" t="b">
        <f t="shared" ca="1" si="10"/>
        <v>0</v>
      </c>
      <c r="AA250" s="79" t="b">
        <f t="shared" ca="1" si="11"/>
        <v>0</v>
      </c>
    </row>
    <row r="251" spans="24:27" x14ac:dyDescent="0.25">
      <c r="X251" s="79" t="str">
        <f ca="1">INDIRECT("B"&amp;251) &amp; CHAR(10) &amp; "vs" &amp; CHAR(10) &amp; INDIRECT("F"&amp;251)</f>
        <v xml:space="preserve">
vs
</v>
      </c>
      <c r="Y251" s="79" t="b">
        <f t="shared" ca="1" si="9"/>
        <v>0</v>
      </c>
      <c r="Z251" s="79" t="b">
        <f t="shared" ca="1" si="10"/>
        <v>0</v>
      </c>
      <c r="AA251" s="79" t="b">
        <f t="shared" ca="1" si="11"/>
        <v>0</v>
      </c>
    </row>
    <row r="252" spans="24:27" x14ac:dyDescent="0.25">
      <c r="X252" s="79" t="str">
        <f ca="1">INDIRECT("B"&amp;252) &amp; CHAR(10) &amp; "vs" &amp; CHAR(10) &amp; INDIRECT("F"&amp;252)</f>
        <v xml:space="preserve">
vs
</v>
      </c>
      <c r="Y252" s="79" t="b">
        <f t="shared" ca="1" si="9"/>
        <v>0</v>
      </c>
      <c r="Z252" s="79" t="b">
        <f t="shared" ca="1" si="10"/>
        <v>0</v>
      </c>
      <c r="AA252" s="79" t="b">
        <f t="shared" ca="1" si="11"/>
        <v>0</v>
      </c>
    </row>
    <row r="253" spans="24:27" x14ac:dyDescent="0.25">
      <c r="X253" s="79" t="str">
        <f ca="1">INDIRECT("B"&amp;253) &amp; CHAR(10) &amp; "vs" &amp; CHAR(10) &amp; INDIRECT("F"&amp;253)</f>
        <v xml:space="preserve">
vs
</v>
      </c>
      <c r="Y253" s="79" t="b">
        <f t="shared" ca="1" si="9"/>
        <v>0</v>
      </c>
      <c r="Z253" s="79" t="b">
        <f t="shared" ca="1" si="10"/>
        <v>0</v>
      </c>
      <c r="AA253" s="79" t="b">
        <f t="shared" ca="1" si="11"/>
        <v>0</v>
      </c>
    </row>
    <row r="254" spans="24:27" x14ac:dyDescent="0.25">
      <c r="X254" s="79" t="str">
        <f ca="1">INDIRECT("B"&amp;254) &amp; CHAR(10) &amp; "vs" &amp; CHAR(10) &amp; INDIRECT("F"&amp;254)</f>
        <v xml:space="preserve">
vs
</v>
      </c>
      <c r="Y254" s="79" t="b">
        <f t="shared" ca="1" si="9"/>
        <v>0</v>
      </c>
      <c r="Z254" s="79" t="b">
        <f t="shared" ca="1" si="10"/>
        <v>0</v>
      </c>
      <c r="AA254" s="79" t="b">
        <f t="shared" ca="1" si="11"/>
        <v>0</v>
      </c>
    </row>
    <row r="255" spans="24:27" x14ac:dyDescent="0.25">
      <c r="X255" s="79" t="str">
        <f ca="1">INDIRECT("B"&amp;255) &amp; CHAR(10) &amp; "vs" &amp; CHAR(10) &amp; INDIRECT("F"&amp;255)</f>
        <v xml:space="preserve">
vs
</v>
      </c>
      <c r="Y255" s="79" t="b">
        <f t="shared" ca="1" si="9"/>
        <v>0</v>
      </c>
      <c r="Z255" s="79" t="b">
        <f t="shared" ca="1" si="10"/>
        <v>0</v>
      </c>
      <c r="AA255" s="79" t="b">
        <f t="shared" ca="1" si="11"/>
        <v>0</v>
      </c>
    </row>
    <row r="256" spans="24:27" x14ac:dyDescent="0.25">
      <c r="X256" s="79" t="str">
        <f ca="1">INDIRECT("B"&amp;256) &amp; CHAR(10) &amp; "vs" &amp; CHAR(10) &amp; INDIRECT("F"&amp;256)</f>
        <v xml:space="preserve">
vs
</v>
      </c>
      <c r="Y256" s="79" t="b">
        <f t="shared" ca="1" si="9"/>
        <v>0</v>
      </c>
      <c r="Z256" s="79" t="b">
        <f t="shared" ca="1" si="10"/>
        <v>0</v>
      </c>
      <c r="AA256" s="79" t="b">
        <f t="shared" ca="1" si="11"/>
        <v>0</v>
      </c>
    </row>
    <row r="257" spans="24:27" x14ac:dyDescent="0.25">
      <c r="X257" s="79" t="str">
        <f ca="1">INDIRECT("B"&amp;257) &amp; CHAR(10) &amp; "vs" &amp; CHAR(10) &amp; INDIRECT("F"&amp;257)</f>
        <v xml:space="preserve">
vs
</v>
      </c>
      <c r="Y257" s="79" t="b">
        <f t="shared" ref="Y257:Y320" ca="1" si="12">$S$10=X257</f>
        <v>0</v>
      </c>
      <c r="Z257" s="79" t="b">
        <f t="shared" ref="Z257:Z300" ca="1" si="13">$S$20=X257</f>
        <v>0</v>
      </c>
      <c r="AA257" s="79" t="b">
        <f t="shared" ref="AA257:AA300" ca="1" si="14">$S$30=X257</f>
        <v>0</v>
      </c>
    </row>
    <row r="258" spans="24:27" x14ac:dyDescent="0.25">
      <c r="X258" s="79" t="str">
        <f ca="1">INDIRECT("B"&amp;258) &amp; CHAR(10) &amp; "vs" &amp; CHAR(10) &amp; INDIRECT("F"&amp;258)</f>
        <v xml:space="preserve">
vs
</v>
      </c>
      <c r="Y258" s="79" t="b">
        <f t="shared" ca="1" si="12"/>
        <v>0</v>
      </c>
      <c r="Z258" s="79" t="b">
        <f t="shared" ca="1" si="13"/>
        <v>0</v>
      </c>
      <c r="AA258" s="79" t="b">
        <f t="shared" ca="1" si="14"/>
        <v>0</v>
      </c>
    </row>
    <row r="259" spans="24:27" x14ac:dyDescent="0.25">
      <c r="X259" s="79" t="str">
        <f ca="1">INDIRECT("B"&amp;259) &amp; CHAR(10) &amp; "vs" &amp; CHAR(10) &amp; INDIRECT("F"&amp;259)</f>
        <v xml:space="preserve">
vs
</v>
      </c>
      <c r="Y259" s="79" t="b">
        <f t="shared" ca="1" si="12"/>
        <v>0</v>
      </c>
      <c r="Z259" s="79" t="b">
        <f t="shared" ca="1" si="13"/>
        <v>0</v>
      </c>
      <c r="AA259" s="79" t="b">
        <f t="shared" ca="1" si="14"/>
        <v>0</v>
      </c>
    </row>
    <row r="260" spans="24:27" x14ac:dyDescent="0.25">
      <c r="X260" s="79" t="str">
        <f ca="1">INDIRECT("B"&amp;260) &amp; CHAR(10) &amp; "vs" &amp; CHAR(10) &amp; INDIRECT("F"&amp;260)</f>
        <v xml:space="preserve">
vs
</v>
      </c>
      <c r="Y260" s="79" t="b">
        <f t="shared" ca="1" si="12"/>
        <v>0</v>
      </c>
      <c r="Z260" s="79" t="b">
        <f t="shared" ca="1" si="13"/>
        <v>0</v>
      </c>
      <c r="AA260" s="79" t="b">
        <f t="shared" ca="1" si="14"/>
        <v>0</v>
      </c>
    </row>
    <row r="261" spans="24:27" x14ac:dyDescent="0.25">
      <c r="X261" s="79" t="str">
        <f ca="1">INDIRECT("B"&amp;261) &amp; CHAR(10) &amp; "vs" &amp; CHAR(10) &amp; INDIRECT("F"&amp;261)</f>
        <v xml:space="preserve">
vs
</v>
      </c>
      <c r="Y261" s="79" t="b">
        <f t="shared" ca="1" si="12"/>
        <v>0</v>
      </c>
      <c r="Z261" s="79" t="b">
        <f t="shared" ca="1" si="13"/>
        <v>0</v>
      </c>
      <c r="AA261" s="79" t="b">
        <f t="shared" ca="1" si="14"/>
        <v>0</v>
      </c>
    </row>
    <row r="262" spans="24:27" x14ac:dyDescent="0.25">
      <c r="X262" s="79" t="str">
        <f ca="1">INDIRECT("B"&amp;262) &amp; CHAR(10) &amp; "vs" &amp; CHAR(10) &amp; INDIRECT("F"&amp;262)</f>
        <v xml:space="preserve">
vs
</v>
      </c>
      <c r="Y262" s="79" t="b">
        <f t="shared" ca="1" si="12"/>
        <v>0</v>
      </c>
      <c r="Z262" s="79" t="b">
        <f t="shared" ca="1" si="13"/>
        <v>0</v>
      </c>
      <c r="AA262" s="79" t="b">
        <f t="shared" ca="1" si="14"/>
        <v>0</v>
      </c>
    </row>
    <row r="263" spans="24:27" x14ac:dyDescent="0.25">
      <c r="X263" s="79" t="str">
        <f ca="1">INDIRECT("B"&amp;263) &amp; CHAR(10) &amp; "vs" &amp; CHAR(10) &amp; INDIRECT("F"&amp;263)</f>
        <v xml:space="preserve">
vs
</v>
      </c>
      <c r="Y263" s="79" t="b">
        <f t="shared" ca="1" si="12"/>
        <v>0</v>
      </c>
      <c r="Z263" s="79" t="b">
        <f t="shared" ca="1" si="13"/>
        <v>0</v>
      </c>
      <c r="AA263" s="79" t="b">
        <f t="shared" ca="1" si="14"/>
        <v>0</v>
      </c>
    </row>
    <row r="264" spans="24:27" x14ac:dyDescent="0.25">
      <c r="X264" s="79" t="str">
        <f ca="1">INDIRECT("B"&amp;264) &amp; CHAR(10) &amp; "vs" &amp; CHAR(10) &amp; INDIRECT("F"&amp;264)</f>
        <v xml:space="preserve">
vs
</v>
      </c>
      <c r="Y264" s="79" t="b">
        <f t="shared" ca="1" si="12"/>
        <v>0</v>
      </c>
      <c r="Z264" s="79" t="b">
        <f t="shared" ca="1" si="13"/>
        <v>0</v>
      </c>
      <c r="AA264" s="79" t="b">
        <f t="shared" ca="1" si="14"/>
        <v>0</v>
      </c>
    </row>
    <row r="265" spans="24:27" x14ac:dyDescent="0.25">
      <c r="X265" s="79" t="str">
        <f ca="1">INDIRECT("B"&amp;265) &amp; CHAR(10) &amp; "vs" &amp; CHAR(10) &amp; INDIRECT("F"&amp;265)</f>
        <v xml:space="preserve">
vs
</v>
      </c>
      <c r="Y265" s="79" t="b">
        <f t="shared" ca="1" si="12"/>
        <v>0</v>
      </c>
      <c r="Z265" s="79" t="b">
        <f t="shared" ca="1" si="13"/>
        <v>0</v>
      </c>
      <c r="AA265" s="79" t="b">
        <f t="shared" ca="1" si="14"/>
        <v>0</v>
      </c>
    </row>
    <row r="266" spans="24:27" x14ac:dyDescent="0.25">
      <c r="X266" s="79" t="str">
        <f ca="1">INDIRECT("B"&amp;266) &amp; CHAR(10) &amp; "vs" &amp; CHAR(10) &amp; INDIRECT("F"&amp;266)</f>
        <v xml:space="preserve">
vs
</v>
      </c>
      <c r="Y266" s="79" t="b">
        <f t="shared" ca="1" si="12"/>
        <v>0</v>
      </c>
      <c r="Z266" s="79" t="b">
        <f t="shared" ca="1" si="13"/>
        <v>0</v>
      </c>
      <c r="AA266" s="79" t="b">
        <f t="shared" ca="1" si="14"/>
        <v>0</v>
      </c>
    </row>
    <row r="267" spans="24:27" x14ac:dyDescent="0.25">
      <c r="X267" s="79" t="str">
        <f ca="1">INDIRECT("B"&amp;267) &amp; CHAR(10) &amp; "vs" &amp; CHAR(10) &amp; INDIRECT("F"&amp;267)</f>
        <v xml:space="preserve">
vs
</v>
      </c>
      <c r="Y267" s="79" t="b">
        <f t="shared" ca="1" si="12"/>
        <v>0</v>
      </c>
      <c r="Z267" s="79" t="b">
        <f t="shared" ca="1" si="13"/>
        <v>0</v>
      </c>
      <c r="AA267" s="79" t="b">
        <f t="shared" ca="1" si="14"/>
        <v>0</v>
      </c>
    </row>
    <row r="268" spans="24:27" x14ac:dyDescent="0.25">
      <c r="X268" s="79" t="str">
        <f ca="1">INDIRECT("B"&amp;268) &amp; CHAR(10) &amp; "vs" &amp; CHAR(10) &amp; INDIRECT("F"&amp;268)</f>
        <v xml:space="preserve">
vs
</v>
      </c>
      <c r="Y268" s="79" t="b">
        <f t="shared" ca="1" si="12"/>
        <v>0</v>
      </c>
      <c r="Z268" s="79" t="b">
        <f t="shared" ca="1" si="13"/>
        <v>0</v>
      </c>
      <c r="AA268" s="79" t="b">
        <f t="shared" ca="1" si="14"/>
        <v>0</v>
      </c>
    </row>
    <row r="269" spans="24:27" x14ac:dyDescent="0.25">
      <c r="X269" s="79" t="str">
        <f ca="1">INDIRECT("B"&amp;269) &amp; CHAR(10) &amp; "vs" &amp; CHAR(10) &amp; INDIRECT("F"&amp;269)</f>
        <v xml:space="preserve">
vs
</v>
      </c>
      <c r="Y269" s="79" t="b">
        <f t="shared" ca="1" si="12"/>
        <v>0</v>
      </c>
      <c r="Z269" s="79" t="b">
        <f t="shared" ca="1" si="13"/>
        <v>0</v>
      </c>
      <c r="AA269" s="79" t="b">
        <f t="shared" ca="1" si="14"/>
        <v>0</v>
      </c>
    </row>
    <row r="270" spans="24:27" x14ac:dyDescent="0.25">
      <c r="X270" s="79" t="str">
        <f ca="1">INDIRECT("B"&amp;270) &amp; CHAR(10) &amp; "vs" &amp; CHAR(10) &amp; INDIRECT("F"&amp;270)</f>
        <v xml:space="preserve">
vs
</v>
      </c>
      <c r="Y270" s="79" t="b">
        <f t="shared" ca="1" si="12"/>
        <v>0</v>
      </c>
      <c r="Z270" s="79" t="b">
        <f t="shared" ca="1" si="13"/>
        <v>0</v>
      </c>
      <c r="AA270" s="79" t="b">
        <f t="shared" ca="1" si="14"/>
        <v>0</v>
      </c>
    </row>
    <row r="271" spans="24:27" x14ac:dyDescent="0.25">
      <c r="X271" s="79" t="str">
        <f ca="1">INDIRECT("B"&amp;271) &amp; CHAR(10) &amp; "vs" &amp; CHAR(10) &amp; INDIRECT("F"&amp;271)</f>
        <v xml:space="preserve">
vs
</v>
      </c>
      <c r="Y271" s="79" t="b">
        <f t="shared" ca="1" si="12"/>
        <v>0</v>
      </c>
      <c r="Z271" s="79" t="b">
        <f t="shared" ca="1" si="13"/>
        <v>0</v>
      </c>
      <c r="AA271" s="79" t="b">
        <f t="shared" ca="1" si="14"/>
        <v>0</v>
      </c>
    </row>
    <row r="272" spans="24:27" x14ac:dyDescent="0.25">
      <c r="X272" s="79" t="str">
        <f ca="1">INDIRECT("B"&amp;272) &amp; CHAR(10) &amp; "vs" &amp; CHAR(10) &amp; INDIRECT("F"&amp;272)</f>
        <v xml:space="preserve">
vs
</v>
      </c>
      <c r="Y272" s="79" t="b">
        <f t="shared" ca="1" si="12"/>
        <v>0</v>
      </c>
      <c r="Z272" s="79" t="b">
        <f t="shared" ca="1" si="13"/>
        <v>0</v>
      </c>
      <c r="AA272" s="79" t="b">
        <f t="shared" ca="1" si="14"/>
        <v>0</v>
      </c>
    </row>
    <row r="273" spans="24:27" x14ac:dyDescent="0.25">
      <c r="X273" s="79" t="str">
        <f ca="1">INDIRECT("B"&amp;273) &amp; CHAR(10) &amp; "vs" &amp; CHAR(10) &amp; INDIRECT("F"&amp;273)</f>
        <v xml:space="preserve">
vs
</v>
      </c>
      <c r="Y273" s="79" t="b">
        <f t="shared" ca="1" si="12"/>
        <v>0</v>
      </c>
      <c r="Z273" s="79" t="b">
        <f t="shared" ca="1" si="13"/>
        <v>0</v>
      </c>
      <c r="AA273" s="79" t="b">
        <f t="shared" ca="1" si="14"/>
        <v>0</v>
      </c>
    </row>
    <row r="274" spans="24:27" x14ac:dyDescent="0.25">
      <c r="X274" s="79" t="str">
        <f ca="1">INDIRECT("B"&amp;274) &amp; CHAR(10) &amp; "vs" &amp; CHAR(10) &amp; INDIRECT("F"&amp;274)</f>
        <v xml:space="preserve">
vs
</v>
      </c>
      <c r="Y274" s="79" t="b">
        <f t="shared" ca="1" si="12"/>
        <v>0</v>
      </c>
      <c r="Z274" s="79" t="b">
        <f t="shared" ca="1" si="13"/>
        <v>0</v>
      </c>
      <c r="AA274" s="79" t="b">
        <f t="shared" ca="1" si="14"/>
        <v>0</v>
      </c>
    </row>
    <row r="275" spans="24:27" x14ac:dyDescent="0.25">
      <c r="X275" s="79" t="str">
        <f ca="1">INDIRECT("B"&amp;275) &amp; CHAR(10) &amp; "vs" &amp; CHAR(10) &amp; INDIRECT("F"&amp;275)</f>
        <v xml:space="preserve">
vs
</v>
      </c>
      <c r="Y275" s="79" t="b">
        <f t="shared" ca="1" si="12"/>
        <v>0</v>
      </c>
      <c r="Z275" s="79" t="b">
        <f t="shared" ca="1" si="13"/>
        <v>0</v>
      </c>
      <c r="AA275" s="79" t="b">
        <f t="shared" ca="1" si="14"/>
        <v>0</v>
      </c>
    </row>
    <row r="276" spans="24:27" x14ac:dyDescent="0.25">
      <c r="X276" s="79" t="str">
        <f ca="1">INDIRECT("B"&amp;276) &amp; CHAR(10) &amp; "vs" &amp; CHAR(10) &amp; INDIRECT("F"&amp;276)</f>
        <v xml:space="preserve">
vs
</v>
      </c>
      <c r="Y276" s="79" t="b">
        <f t="shared" ca="1" si="12"/>
        <v>0</v>
      </c>
      <c r="Z276" s="79" t="b">
        <f t="shared" ca="1" si="13"/>
        <v>0</v>
      </c>
      <c r="AA276" s="79" t="b">
        <f t="shared" ca="1" si="14"/>
        <v>0</v>
      </c>
    </row>
    <row r="277" spans="24:27" x14ac:dyDescent="0.25">
      <c r="X277" s="79" t="str">
        <f ca="1">INDIRECT("B"&amp;277) &amp; CHAR(10) &amp; "vs" &amp; CHAR(10) &amp; INDIRECT("F"&amp;277)</f>
        <v xml:space="preserve">
vs
</v>
      </c>
      <c r="Y277" s="79" t="b">
        <f t="shared" ca="1" si="12"/>
        <v>0</v>
      </c>
      <c r="Z277" s="79" t="b">
        <f t="shared" ca="1" si="13"/>
        <v>0</v>
      </c>
      <c r="AA277" s="79" t="b">
        <f t="shared" ca="1" si="14"/>
        <v>0</v>
      </c>
    </row>
    <row r="278" spans="24:27" x14ac:dyDescent="0.25">
      <c r="X278" s="79" t="str">
        <f ca="1">INDIRECT("B"&amp;278) &amp; CHAR(10) &amp; "vs" &amp; CHAR(10) &amp; INDIRECT("F"&amp;278)</f>
        <v xml:space="preserve">
vs
</v>
      </c>
      <c r="Y278" s="79" t="b">
        <f t="shared" ca="1" si="12"/>
        <v>0</v>
      </c>
      <c r="Z278" s="79" t="b">
        <f t="shared" ca="1" si="13"/>
        <v>0</v>
      </c>
      <c r="AA278" s="79" t="b">
        <f t="shared" ca="1" si="14"/>
        <v>0</v>
      </c>
    </row>
    <row r="279" spans="24:27" x14ac:dyDescent="0.25">
      <c r="X279" s="79" t="str">
        <f ca="1">INDIRECT("B"&amp;279) &amp; CHAR(10) &amp; "vs" &amp; CHAR(10) &amp; INDIRECT("F"&amp;279)</f>
        <v xml:space="preserve">
vs
</v>
      </c>
      <c r="Y279" s="79" t="b">
        <f t="shared" ca="1" si="12"/>
        <v>0</v>
      </c>
      <c r="Z279" s="79" t="b">
        <f t="shared" ca="1" si="13"/>
        <v>0</v>
      </c>
      <c r="AA279" s="79" t="b">
        <f t="shared" ca="1" si="14"/>
        <v>0</v>
      </c>
    </row>
    <row r="280" spans="24:27" x14ac:dyDescent="0.25">
      <c r="X280" s="79" t="str">
        <f ca="1">INDIRECT("B"&amp;280) &amp; CHAR(10) &amp; "vs" &amp; CHAR(10) &amp; INDIRECT("F"&amp;280)</f>
        <v xml:space="preserve">
vs
</v>
      </c>
      <c r="Y280" s="79" t="b">
        <f t="shared" ca="1" si="12"/>
        <v>0</v>
      </c>
      <c r="Z280" s="79" t="b">
        <f t="shared" ca="1" si="13"/>
        <v>0</v>
      </c>
      <c r="AA280" s="79" t="b">
        <f t="shared" ca="1" si="14"/>
        <v>0</v>
      </c>
    </row>
    <row r="281" spans="24:27" x14ac:dyDescent="0.25">
      <c r="X281" s="79" t="str">
        <f ca="1">INDIRECT("B"&amp;281) &amp; CHAR(10) &amp; "vs" &amp; CHAR(10) &amp; INDIRECT("F"&amp;281)</f>
        <v xml:space="preserve">
vs
</v>
      </c>
      <c r="Y281" s="79" t="b">
        <f t="shared" ca="1" si="12"/>
        <v>0</v>
      </c>
      <c r="Z281" s="79" t="b">
        <f t="shared" ca="1" si="13"/>
        <v>0</v>
      </c>
      <c r="AA281" s="79" t="b">
        <f t="shared" ca="1" si="14"/>
        <v>0</v>
      </c>
    </row>
    <row r="282" spans="24:27" x14ac:dyDescent="0.25">
      <c r="X282" s="79" t="str">
        <f ca="1">INDIRECT("B"&amp;282) &amp; CHAR(10) &amp; "vs" &amp; CHAR(10) &amp; INDIRECT("F"&amp;282)</f>
        <v xml:space="preserve">
vs
</v>
      </c>
      <c r="Y282" s="79" t="b">
        <f t="shared" ca="1" si="12"/>
        <v>0</v>
      </c>
      <c r="Z282" s="79" t="b">
        <f t="shared" ca="1" si="13"/>
        <v>0</v>
      </c>
      <c r="AA282" s="79" t="b">
        <f t="shared" ca="1" si="14"/>
        <v>0</v>
      </c>
    </row>
    <row r="283" spans="24:27" x14ac:dyDescent="0.25">
      <c r="X283" s="79" t="str">
        <f ca="1">INDIRECT("B"&amp;283) &amp; CHAR(10) &amp; "vs" &amp; CHAR(10) &amp; INDIRECT("F"&amp;283)</f>
        <v xml:space="preserve">
vs
</v>
      </c>
      <c r="Y283" s="79" t="b">
        <f t="shared" ca="1" si="12"/>
        <v>0</v>
      </c>
      <c r="Z283" s="79" t="b">
        <f t="shared" ca="1" si="13"/>
        <v>0</v>
      </c>
      <c r="AA283" s="79" t="b">
        <f t="shared" ca="1" si="14"/>
        <v>0</v>
      </c>
    </row>
    <row r="284" spans="24:27" x14ac:dyDescent="0.25">
      <c r="X284" s="79" t="str">
        <f ca="1">INDIRECT("B"&amp;284) &amp; CHAR(10) &amp; "vs" &amp; CHAR(10) &amp; INDIRECT("F"&amp;284)</f>
        <v xml:space="preserve">
vs
</v>
      </c>
      <c r="Y284" s="79" t="b">
        <f t="shared" ca="1" si="12"/>
        <v>0</v>
      </c>
      <c r="Z284" s="79" t="b">
        <f t="shared" ca="1" si="13"/>
        <v>0</v>
      </c>
      <c r="AA284" s="79" t="b">
        <f t="shared" ca="1" si="14"/>
        <v>0</v>
      </c>
    </row>
    <row r="285" spans="24:27" x14ac:dyDescent="0.25">
      <c r="X285" s="79" t="str">
        <f ca="1">INDIRECT("B"&amp;285) &amp; CHAR(10) &amp; "vs" &amp; CHAR(10) &amp; INDIRECT("F"&amp;285)</f>
        <v xml:space="preserve">
vs
</v>
      </c>
      <c r="Y285" s="79" t="b">
        <f t="shared" ca="1" si="12"/>
        <v>0</v>
      </c>
      <c r="Z285" s="79" t="b">
        <f t="shared" ca="1" si="13"/>
        <v>0</v>
      </c>
      <c r="AA285" s="79" t="b">
        <f t="shared" ca="1" si="14"/>
        <v>0</v>
      </c>
    </row>
    <row r="286" spans="24:27" x14ac:dyDescent="0.25">
      <c r="X286" s="79" t="str">
        <f ca="1">INDIRECT("B"&amp;286) &amp; CHAR(10) &amp; "vs" &amp; CHAR(10) &amp; INDIRECT("F"&amp;286)</f>
        <v xml:space="preserve">
vs
</v>
      </c>
      <c r="Y286" s="79" t="b">
        <f t="shared" ca="1" si="12"/>
        <v>0</v>
      </c>
      <c r="Z286" s="79" t="b">
        <f t="shared" ca="1" si="13"/>
        <v>0</v>
      </c>
      <c r="AA286" s="79" t="b">
        <f t="shared" ca="1" si="14"/>
        <v>0</v>
      </c>
    </row>
    <row r="287" spans="24:27" x14ac:dyDescent="0.25">
      <c r="X287" s="79" t="str">
        <f ca="1">INDIRECT("B"&amp;287) &amp; CHAR(10) &amp; "vs" &amp; CHAR(10) &amp; INDIRECT("F"&amp;287)</f>
        <v xml:space="preserve">
vs
</v>
      </c>
      <c r="Y287" s="79" t="b">
        <f t="shared" ca="1" si="12"/>
        <v>0</v>
      </c>
      <c r="Z287" s="79" t="b">
        <f t="shared" ca="1" si="13"/>
        <v>0</v>
      </c>
      <c r="AA287" s="79" t="b">
        <f t="shared" ca="1" si="14"/>
        <v>0</v>
      </c>
    </row>
    <row r="288" spans="24:27" x14ac:dyDescent="0.25">
      <c r="X288" s="79" t="str">
        <f ca="1">INDIRECT("B"&amp;288) &amp; CHAR(10) &amp; "vs" &amp; CHAR(10) &amp; INDIRECT("F"&amp;288)</f>
        <v xml:space="preserve">
vs
</v>
      </c>
      <c r="Y288" s="79" t="b">
        <f t="shared" ca="1" si="12"/>
        <v>0</v>
      </c>
      <c r="Z288" s="79" t="b">
        <f t="shared" ca="1" si="13"/>
        <v>0</v>
      </c>
      <c r="AA288" s="79" t="b">
        <f t="shared" ca="1" si="14"/>
        <v>0</v>
      </c>
    </row>
    <row r="289" spans="24:27" x14ac:dyDescent="0.25">
      <c r="X289" s="79" t="str">
        <f ca="1">INDIRECT("B"&amp;289) &amp; CHAR(10) &amp; "vs" &amp; CHAR(10) &amp; INDIRECT("F"&amp;289)</f>
        <v xml:space="preserve">
vs
</v>
      </c>
      <c r="Y289" s="79" t="b">
        <f t="shared" ca="1" si="12"/>
        <v>0</v>
      </c>
      <c r="Z289" s="79" t="b">
        <f t="shared" ca="1" si="13"/>
        <v>0</v>
      </c>
      <c r="AA289" s="79" t="b">
        <f t="shared" ca="1" si="14"/>
        <v>0</v>
      </c>
    </row>
    <row r="290" spans="24:27" x14ac:dyDescent="0.25">
      <c r="X290" s="79" t="str">
        <f ca="1">INDIRECT("B"&amp;290) &amp; CHAR(10) &amp; "vs" &amp; CHAR(10) &amp; INDIRECT("F"&amp;290)</f>
        <v xml:space="preserve">
vs
</v>
      </c>
      <c r="Y290" s="79" t="b">
        <f t="shared" ca="1" si="12"/>
        <v>0</v>
      </c>
      <c r="Z290" s="79" t="b">
        <f t="shared" ca="1" si="13"/>
        <v>0</v>
      </c>
      <c r="AA290" s="79" t="b">
        <f t="shared" ca="1" si="14"/>
        <v>0</v>
      </c>
    </row>
    <row r="291" spans="24:27" x14ac:dyDescent="0.25">
      <c r="X291" s="79" t="str">
        <f ca="1">INDIRECT("B"&amp;291) &amp; CHAR(10) &amp; "vs" &amp; CHAR(10) &amp; INDIRECT("F"&amp;291)</f>
        <v xml:space="preserve">
vs
</v>
      </c>
      <c r="Y291" s="79" t="b">
        <f t="shared" ca="1" si="12"/>
        <v>0</v>
      </c>
      <c r="Z291" s="79" t="b">
        <f t="shared" ca="1" si="13"/>
        <v>0</v>
      </c>
      <c r="AA291" s="79" t="b">
        <f t="shared" ca="1" si="14"/>
        <v>0</v>
      </c>
    </row>
    <row r="292" spans="24:27" x14ac:dyDescent="0.25">
      <c r="X292" s="79" t="str">
        <f ca="1">INDIRECT("B"&amp;292) &amp; CHAR(10) &amp; "vs" &amp; CHAR(10) &amp; INDIRECT("F"&amp;292)</f>
        <v xml:space="preserve">
vs
</v>
      </c>
      <c r="Y292" s="79" t="b">
        <f t="shared" ca="1" si="12"/>
        <v>0</v>
      </c>
      <c r="Z292" s="79" t="b">
        <f t="shared" ca="1" si="13"/>
        <v>0</v>
      </c>
      <c r="AA292" s="79" t="b">
        <f t="shared" ca="1" si="14"/>
        <v>0</v>
      </c>
    </row>
    <row r="293" spans="24:27" x14ac:dyDescent="0.25">
      <c r="X293" s="79" t="str">
        <f ca="1">INDIRECT("B"&amp;293) &amp; CHAR(10) &amp; "vs" &amp; CHAR(10) &amp; INDIRECT("F"&amp;293)</f>
        <v xml:space="preserve">
vs
</v>
      </c>
      <c r="Y293" s="79" t="b">
        <f t="shared" ca="1" si="12"/>
        <v>0</v>
      </c>
      <c r="Z293" s="79" t="b">
        <f t="shared" ca="1" si="13"/>
        <v>0</v>
      </c>
      <c r="AA293" s="79" t="b">
        <f t="shared" ca="1" si="14"/>
        <v>0</v>
      </c>
    </row>
    <row r="294" spans="24:27" x14ac:dyDescent="0.25">
      <c r="X294" s="79" t="str">
        <f ca="1">INDIRECT("B"&amp;294) &amp; CHAR(10) &amp; "vs" &amp; CHAR(10) &amp; INDIRECT("F"&amp;294)</f>
        <v xml:space="preserve">
vs
</v>
      </c>
      <c r="Y294" s="79" t="b">
        <f t="shared" ca="1" si="12"/>
        <v>0</v>
      </c>
      <c r="Z294" s="79" t="b">
        <f t="shared" ca="1" si="13"/>
        <v>0</v>
      </c>
      <c r="AA294" s="79" t="b">
        <f t="shared" ca="1" si="14"/>
        <v>0</v>
      </c>
    </row>
    <row r="295" spans="24:27" x14ac:dyDescent="0.25">
      <c r="X295" s="79" t="str">
        <f ca="1">INDIRECT("B"&amp;295) &amp; CHAR(10) &amp; "vs" &amp; CHAR(10) &amp; INDIRECT("F"&amp;295)</f>
        <v xml:space="preserve">
vs
</v>
      </c>
      <c r="Y295" s="79" t="b">
        <f t="shared" ca="1" si="12"/>
        <v>0</v>
      </c>
      <c r="Z295" s="79" t="b">
        <f t="shared" ca="1" si="13"/>
        <v>0</v>
      </c>
      <c r="AA295" s="79" t="b">
        <f t="shared" ca="1" si="14"/>
        <v>0</v>
      </c>
    </row>
    <row r="296" spans="24:27" x14ac:dyDescent="0.25">
      <c r="X296" s="79" t="str">
        <f ca="1">INDIRECT("B"&amp;296) &amp; CHAR(10) &amp; "vs" &amp; CHAR(10) &amp; INDIRECT("F"&amp;296)</f>
        <v xml:space="preserve">
vs
</v>
      </c>
      <c r="Y296" s="79" t="b">
        <f t="shared" ca="1" si="12"/>
        <v>0</v>
      </c>
      <c r="Z296" s="79" t="b">
        <f t="shared" ca="1" si="13"/>
        <v>0</v>
      </c>
      <c r="AA296" s="79" t="b">
        <f t="shared" ca="1" si="14"/>
        <v>0</v>
      </c>
    </row>
    <row r="297" spans="24:27" x14ac:dyDescent="0.25">
      <c r="X297" s="79" t="str">
        <f ca="1">INDIRECT("B"&amp;297) &amp; CHAR(10) &amp; "vs" &amp; CHAR(10) &amp; INDIRECT("F"&amp;297)</f>
        <v xml:space="preserve">
vs
</v>
      </c>
      <c r="Y297" s="79" t="b">
        <f t="shared" ca="1" si="12"/>
        <v>0</v>
      </c>
      <c r="Z297" s="79" t="b">
        <f t="shared" ca="1" si="13"/>
        <v>0</v>
      </c>
      <c r="AA297" s="79" t="b">
        <f t="shared" ca="1" si="14"/>
        <v>0</v>
      </c>
    </row>
    <row r="298" spans="24:27" x14ac:dyDescent="0.25">
      <c r="X298" s="79" t="str">
        <f ca="1">INDIRECT("B"&amp;298) &amp; CHAR(10) &amp; "vs" &amp; CHAR(10) &amp; INDIRECT("F"&amp;298)</f>
        <v xml:space="preserve">
vs
</v>
      </c>
      <c r="Y298" s="79" t="b">
        <f t="shared" ca="1" si="12"/>
        <v>0</v>
      </c>
      <c r="Z298" s="79" t="b">
        <f t="shared" ca="1" si="13"/>
        <v>0</v>
      </c>
      <c r="AA298" s="79" t="b">
        <f t="shared" ca="1" si="14"/>
        <v>0</v>
      </c>
    </row>
    <row r="299" spans="24:27" x14ac:dyDescent="0.25">
      <c r="X299" s="79" t="str">
        <f ca="1">INDIRECT("B"&amp;299) &amp; CHAR(10) &amp; "vs" &amp; CHAR(10) &amp; INDIRECT("F"&amp;299)</f>
        <v xml:space="preserve">
vs
</v>
      </c>
      <c r="Y299" s="79" t="b">
        <f t="shared" ca="1" si="12"/>
        <v>0</v>
      </c>
      <c r="Z299" s="79" t="b">
        <f t="shared" ca="1" si="13"/>
        <v>0</v>
      </c>
      <c r="AA299" s="79" t="b">
        <f t="shared" ca="1" si="14"/>
        <v>0</v>
      </c>
    </row>
    <row r="300" spans="24:27" x14ac:dyDescent="0.25">
      <c r="X300" s="79" t="str">
        <f ca="1">INDIRECT("B"&amp;300) &amp; CHAR(10) &amp; "vs" &amp; CHAR(10) &amp; INDIRECT("F"&amp;300)</f>
        <v xml:space="preserve">
vs
</v>
      </c>
      <c r="Y300" s="79" t="b">
        <f t="shared" ca="1" si="12"/>
        <v>0</v>
      </c>
      <c r="Z300" s="79" t="b">
        <f t="shared" ca="1" si="13"/>
        <v>0</v>
      </c>
      <c r="AA300" s="79" t="b">
        <f t="shared" ca="1" si="14"/>
        <v>0</v>
      </c>
    </row>
  </sheetData>
  <mergeCells count="6">
    <mergeCell ref="S30:W35"/>
    <mergeCell ref="S7:W9"/>
    <mergeCell ref="S10:W15"/>
    <mergeCell ref="S17:W19"/>
    <mergeCell ref="S20:W25"/>
    <mergeCell ref="S27:W29"/>
  </mergeCells>
  <conditionalFormatting sqref="C2">
    <cfRule type="expression" dxfId="143" priority="144">
      <formula>$C2&gt;$E2</formula>
    </cfRule>
    <cfRule type="expression" dxfId="142" priority="143">
      <formula>$C2&lt;$E2</formula>
    </cfRule>
  </conditionalFormatting>
  <conditionalFormatting sqref="E2">
    <cfRule type="expression" dxfId="141" priority="142">
      <formula>$C2&lt;$E2</formula>
    </cfRule>
    <cfRule type="expression" dxfId="140" priority="141">
      <formula>$C2&gt;$E2</formula>
    </cfRule>
  </conditionalFormatting>
  <conditionalFormatting sqref="C3">
    <cfRule type="expression" dxfId="139" priority="140">
      <formula>$C3&gt;$E3</formula>
    </cfRule>
    <cfRule type="expression" dxfId="138" priority="139">
      <formula>$C3&lt;$E3</formula>
    </cfRule>
  </conditionalFormatting>
  <conditionalFormatting sqref="E3">
    <cfRule type="expression" dxfId="137" priority="138">
      <formula>$C3&lt;$E3</formula>
    </cfRule>
    <cfRule type="expression" dxfId="136" priority="137">
      <formula>$C3&gt;$E3</formula>
    </cfRule>
  </conditionalFormatting>
  <conditionalFormatting sqref="C4">
    <cfRule type="expression" dxfId="135" priority="136">
      <formula>$C4&gt;$E4</formula>
    </cfRule>
    <cfRule type="expression" dxfId="134" priority="135">
      <formula>$C4&lt;$E4</formula>
    </cfRule>
  </conditionalFormatting>
  <conditionalFormatting sqref="E4">
    <cfRule type="expression" dxfId="133" priority="134">
      <formula>$C4&lt;$E4</formula>
    </cfRule>
    <cfRule type="expression" dxfId="132" priority="133">
      <formula>$C4&gt;$E4</formula>
    </cfRule>
  </conditionalFormatting>
  <conditionalFormatting sqref="C5">
    <cfRule type="expression" dxfId="131" priority="132">
      <formula>$C5&gt;$E5</formula>
    </cfRule>
    <cfRule type="expression" dxfId="130" priority="131">
      <formula>$C5&lt;$E5</formula>
    </cfRule>
  </conditionalFormatting>
  <conditionalFormatting sqref="E5">
    <cfRule type="expression" dxfId="129" priority="130">
      <formula>$C5&lt;$E5</formula>
    </cfRule>
    <cfRule type="expression" dxfId="128" priority="129">
      <formula>$C5&gt;$E5</formula>
    </cfRule>
  </conditionalFormatting>
  <conditionalFormatting sqref="C7">
    <cfRule type="expression" dxfId="127" priority="128">
      <formula>$C7&gt;$E7</formula>
    </cfRule>
    <cfRule type="expression" dxfId="126" priority="127">
      <formula>$C7&lt;$E7</formula>
    </cfRule>
  </conditionalFormatting>
  <conditionalFormatting sqref="E7">
    <cfRule type="expression" dxfId="125" priority="126">
      <formula>$C7&lt;$E7</formula>
    </cfRule>
    <cfRule type="expression" dxfId="124" priority="125">
      <formula>$C7&gt;$E7</formula>
    </cfRule>
  </conditionalFormatting>
  <conditionalFormatting sqref="C8">
    <cfRule type="expression" dxfId="123" priority="124">
      <formula>$C8&gt;$E8</formula>
    </cfRule>
    <cfRule type="expression" dxfId="122" priority="123">
      <formula>$C8&lt;$E8</formula>
    </cfRule>
  </conditionalFormatting>
  <conditionalFormatting sqref="E8">
    <cfRule type="expression" dxfId="121" priority="122">
      <formula>$C8&lt;$E8</formula>
    </cfRule>
    <cfRule type="expression" dxfId="120" priority="121">
      <formula>$C8&gt;$E8</formula>
    </cfRule>
  </conditionalFormatting>
  <conditionalFormatting sqref="C9">
    <cfRule type="expression" dxfId="119" priority="120">
      <formula>$C9&gt;$E9</formula>
    </cfRule>
    <cfRule type="expression" dxfId="118" priority="119">
      <formula>$C9&lt;$E9</formula>
    </cfRule>
  </conditionalFormatting>
  <conditionalFormatting sqref="E9">
    <cfRule type="expression" dxfId="117" priority="118">
      <formula>$C9&lt;$E9</formula>
    </cfRule>
    <cfRule type="expression" dxfId="116" priority="117">
      <formula>$C9&gt;$E9</formula>
    </cfRule>
  </conditionalFormatting>
  <conditionalFormatting sqref="C10">
    <cfRule type="expression" dxfId="115" priority="116">
      <formula>$C10&gt;$E10</formula>
    </cfRule>
    <cfRule type="expression" dxfId="114" priority="115">
      <formula>$C10&lt;$E10</formula>
    </cfRule>
  </conditionalFormatting>
  <conditionalFormatting sqref="E10">
    <cfRule type="expression" dxfId="113" priority="114">
      <formula>$C10&lt;$E10</formula>
    </cfRule>
    <cfRule type="expression" dxfId="112" priority="113">
      <formula>$C10&gt;$E10</formula>
    </cfRule>
  </conditionalFormatting>
  <conditionalFormatting sqref="C12">
    <cfRule type="expression" dxfId="111" priority="112">
      <formula>$C12&gt;$E12</formula>
    </cfRule>
    <cfRule type="expression" dxfId="110" priority="111">
      <formula>$C12&lt;$E12</formula>
    </cfRule>
  </conditionalFormatting>
  <conditionalFormatting sqref="E12">
    <cfRule type="expression" dxfId="109" priority="110">
      <formula>$C12&lt;$E12</formula>
    </cfRule>
    <cfRule type="expression" dxfId="108" priority="109">
      <formula>$C12&gt;$E12</formula>
    </cfRule>
  </conditionalFormatting>
  <conditionalFormatting sqref="C13">
    <cfRule type="expression" dxfId="107" priority="108">
      <formula>$C13&gt;$E13</formula>
    </cfRule>
    <cfRule type="expression" dxfId="106" priority="107">
      <formula>$C13&lt;$E13</formula>
    </cfRule>
  </conditionalFormatting>
  <conditionalFormatting sqref="E13">
    <cfRule type="expression" dxfId="105" priority="106">
      <formula>$C13&lt;$E13</formula>
    </cfRule>
    <cfRule type="expression" dxfId="104" priority="105">
      <formula>$C13&gt;$E13</formula>
    </cfRule>
  </conditionalFormatting>
  <conditionalFormatting sqref="C14">
    <cfRule type="expression" dxfId="103" priority="104">
      <formula>$C14&gt;$E14</formula>
    </cfRule>
  </conditionalFormatting>
  <conditionalFormatting sqref="C14">
    <cfRule type="expression" dxfId="102" priority="103">
      <formula>$C14&lt;$E14</formula>
    </cfRule>
  </conditionalFormatting>
  <conditionalFormatting sqref="E14">
    <cfRule type="expression" dxfId="101" priority="102">
      <formula>$C14&lt;$E14</formula>
    </cfRule>
  </conditionalFormatting>
  <conditionalFormatting sqref="E14">
    <cfRule type="expression" dxfId="100" priority="101">
      <formula>$C14&gt;$E14</formula>
    </cfRule>
  </conditionalFormatting>
  <conditionalFormatting sqref="C15">
    <cfRule type="expression" dxfId="99" priority="100">
      <formula>$C15&gt;$E15</formula>
    </cfRule>
  </conditionalFormatting>
  <conditionalFormatting sqref="C15">
    <cfRule type="expression" dxfId="98" priority="99">
      <formula>$C15&lt;$E15</formula>
    </cfRule>
  </conditionalFormatting>
  <conditionalFormatting sqref="E15">
    <cfRule type="expression" dxfId="97" priority="98">
      <formula>$C15&lt;$E15</formula>
    </cfRule>
  </conditionalFormatting>
  <conditionalFormatting sqref="E15">
    <cfRule type="expression" dxfId="96" priority="97">
      <formula>$C15&gt;$E15</formula>
    </cfRule>
  </conditionalFormatting>
  <conditionalFormatting sqref="C17">
    <cfRule type="expression" dxfId="95" priority="96">
      <formula>$C17&gt;$E17</formula>
    </cfRule>
  </conditionalFormatting>
  <conditionalFormatting sqref="C17">
    <cfRule type="expression" dxfId="94" priority="95">
      <formula>$C17&lt;$E17</formula>
    </cfRule>
  </conditionalFormatting>
  <conditionalFormatting sqref="E17">
    <cfRule type="expression" dxfId="93" priority="94">
      <formula>$C17&lt;$E17</formula>
    </cfRule>
  </conditionalFormatting>
  <conditionalFormatting sqref="E17">
    <cfRule type="expression" dxfId="92" priority="93">
      <formula>$C17&gt;$E17</formula>
    </cfRule>
  </conditionalFormatting>
  <conditionalFormatting sqref="C18">
    <cfRule type="expression" dxfId="91" priority="92">
      <formula>$C18&gt;$E18</formula>
    </cfRule>
  </conditionalFormatting>
  <conditionalFormatting sqref="C18">
    <cfRule type="expression" dxfId="90" priority="91">
      <formula>$C18&lt;$E18</formula>
    </cfRule>
  </conditionalFormatting>
  <conditionalFormatting sqref="E18">
    <cfRule type="expression" dxfId="89" priority="90">
      <formula>$C18&lt;$E18</formula>
    </cfRule>
  </conditionalFormatting>
  <conditionalFormatting sqref="E18">
    <cfRule type="expression" dxfId="88" priority="89">
      <formula>$C18&gt;$E18</formula>
    </cfRule>
  </conditionalFormatting>
  <conditionalFormatting sqref="C19">
    <cfRule type="expression" dxfId="87" priority="88">
      <formula>$C19&gt;$E19</formula>
    </cfRule>
  </conditionalFormatting>
  <conditionalFormatting sqref="C19">
    <cfRule type="expression" dxfId="86" priority="87">
      <formula>$C19&lt;$E19</formula>
    </cfRule>
  </conditionalFormatting>
  <conditionalFormatting sqref="E19">
    <cfRule type="expression" dxfId="85" priority="86">
      <formula>$C19&lt;$E19</formula>
    </cfRule>
  </conditionalFormatting>
  <conditionalFormatting sqref="E19">
    <cfRule type="expression" dxfId="84" priority="85">
      <formula>$C19&gt;$E19</formula>
    </cfRule>
  </conditionalFormatting>
  <conditionalFormatting sqref="C20">
    <cfRule type="expression" dxfId="83" priority="84">
      <formula>$C20&gt;$E20</formula>
    </cfRule>
  </conditionalFormatting>
  <conditionalFormatting sqref="C20">
    <cfRule type="expression" dxfId="82" priority="83">
      <formula>$C20&lt;$E20</formula>
    </cfRule>
  </conditionalFormatting>
  <conditionalFormatting sqref="E20">
    <cfRule type="expression" dxfId="81" priority="82">
      <formula>$C20&lt;$E20</formula>
    </cfRule>
  </conditionalFormatting>
  <conditionalFormatting sqref="E20">
    <cfRule type="expression" dxfId="80" priority="81">
      <formula>$C20&gt;$E20</formula>
    </cfRule>
  </conditionalFormatting>
  <conditionalFormatting sqref="C22">
    <cfRule type="expression" dxfId="79" priority="80">
      <formula>$C22&gt;$E22</formula>
    </cfRule>
  </conditionalFormatting>
  <conditionalFormatting sqref="C22">
    <cfRule type="expression" dxfId="78" priority="79">
      <formula>$C22&lt;$E22</formula>
    </cfRule>
  </conditionalFormatting>
  <conditionalFormatting sqref="E22">
    <cfRule type="expression" dxfId="77" priority="78">
      <formula>$C22&lt;$E22</formula>
    </cfRule>
  </conditionalFormatting>
  <conditionalFormatting sqref="E22">
    <cfRule type="expression" dxfId="76" priority="77">
      <formula>$C22&gt;$E22</formula>
    </cfRule>
  </conditionalFormatting>
  <conditionalFormatting sqref="C23">
    <cfRule type="expression" dxfId="75" priority="76">
      <formula>$C23&gt;$E23</formula>
    </cfRule>
  </conditionalFormatting>
  <conditionalFormatting sqref="C23">
    <cfRule type="expression" dxfId="74" priority="75">
      <formula>$C23&lt;$E23</formula>
    </cfRule>
  </conditionalFormatting>
  <conditionalFormatting sqref="E23">
    <cfRule type="expression" dxfId="73" priority="74">
      <formula>$C23&lt;$E23</formula>
    </cfRule>
  </conditionalFormatting>
  <conditionalFormatting sqref="E23">
    <cfRule type="expression" dxfId="72" priority="73">
      <formula>$C23&gt;$E23</formula>
    </cfRule>
  </conditionalFormatting>
  <conditionalFormatting sqref="C24">
    <cfRule type="expression" dxfId="71" priority="72">
      <formula>$C24&gt;$E24</formula>
    </cfRule>
  </conditionalFormatting>
  <conditionalFormatting sqref="C24">
    <cfRule type="expression" dxfId="70" priority="71">
      <formula>$C24&lt;$E24</formula>
    </cfRule>
  </conditionalFormatting>
  <conditionalFormatting sqref="E24">
    <cfRule type="expression" dxfId="69" priority="70">
      <formula>$C24&lt;$E24</formula>
    </cfRule>
  </conditionalFormatting>
  <conditionalFormatting sqref="E24">
    <cfRule type="expression" dxfId="68" priority="69">
      <formula>$C24&gt;$E24</formula>
    </cfRule>
  </conditionalFormatting>
  <conditionalFormatting sqref="C25">
    <cfRule type="expression" dxfId="67" priority="68">
      <formula>$C25&gt;$E25</formula>
    </cfRule>
  </conditionalFormatting>
  <conditionalFormatting sqref="C25">
    <cfRule type="expression" dxfId="66" priority="67">
      <formula>$C25&lt;$E25</formula>
    </cfRule>
  </conditionalFormatting>
  <conditionalFormatting sqref="E25">
    <cfRule type="expression" dxfId="65" priority="66">
      <formula>$C25&lt;$E25</formula>
    </cfRule>
  </conditionalFormatting>
  <conditionalFormatting sqref="E25">
    <cfRule type="expression" dxfId="64" priority="65">
      <formula>$C25&gt;$E25</formula>
    </cfRule>
  </conditionalFormatting>
  <conditionalFormatting sqref="C27">
    <cfRule type="expression" dxfId="63" priority="64">
      <formula>$C27&gt;$E27</formula>
    </cfRule>
  </conditionalFormatting>
  <conditionalFormatting sqref="C27">
    <cfRule type="expression" dxfId="62" priority="63">
      <formula>$C27&lt;$E27</formula>
    </cfRule>
  </conditionalFormatting>
  <conditionalFormatting sqref="E27">
    <cfRule type="expression" dxfId="61" priority="62">
      <formula>$C27&lt;$E27</formula>
    </cfRule>
  </conditionalFormatting>
  <conditionalFormatting sqref="E27">
    <cfRule type="expression" dxfId="60" priority="61">
      <formula>$C27&gt;$E27</formula>
    </cfRule>
  </conditionalFormatting>
  <conditionalFormatting sqref="C28">
    <cfRule type="expression" dxfId="59" priority="60">
      <formula>$C28&gt;$E28</formula>
    </cfRule>
  </conditionalFormatting>
  <conditionalFormatting sqref="C28">
    <cfRule type="expression" dxfId="58" priority="59">
      <formula>$C28&lt;$E28</formula>
    </cfRule>
  </conditionalFormatting>
  <conditionalFormatting sqref="E28">
    <cfRule type="expression" dxfId="57" priority="58">
      <formula>$C28&lt;$E28</formula>
    </cfRule>
  </conditionalFormatting>
  <conditionalFormatting sqref="E28">
    <cfRule type="expression" dxfId="56" priority="57">
      <formula>$C28&gt;$E28</formula>
    </cfRule>
  </conditionalFormatting>
  <conditionalFormatting sqref="C29">
    <cfRule type="expression" dxfId="55" priority="56">
      <formula>$C29&gt;$E29</formula>
    </cfRule>
  </conditionalFormatting>
  <conditionalFormatting sqref="C29">
    <cfRule type="expression" dxfId="54" priority="55">
      <formula>$C29&lt;$E29</formula>
    </cfRule>
  </conditionalFormatting>
  <conditionalFormatting sqref="E29">
    <cfRule type="expression" dxfId="53" priority="54">
      <formula>$C29&lt;$E29</formula>
    </cfRule>
  </conditionalFormatting>
  <conditionalFormatting sqref="E29">
    <cfRule type="expression" dxfId="52" priority="53">
      <formula>$C29&gt;$E29</formula>
    </cfRule>
  </conditionalFormatting>
  <conditionalFormatting sqref="C30">
    <cfRule type="expression" dxfId="51" priority="52">
      <formula>$C30&gt;$E30</formula>
    </cfRule>
  </conditionalFormatting>
  <conditionalFormatting sqref="C30">
    <cfRule type="expression" dxfId="50" priority="51">
      <formula>$C30&lt;$E30</formula>
    </cfRule>
  </conditionalFormatting>
  <conditionalFormatting sqref="E30">
    <cfRule type="expression" dxfId="49" priority="50">
      <formula>$C30&lt;$E30</formula>
    </cfRule>
  </conditionalFormatting>
  <conditionalFormatting sqref="E30">
    <cfRule type="expression" dxfId="48" priority="49">
      <formula>$C30&gt;$E30</formula>
    </cfRule>
  </conditionalFormatting>
  <conditionalFormatting sqref="C32">
    <cfRule type="expression" dxfId="47" priority="48">
      <formula>$C32&gt;$E32</formula>
    </cfRule>
  </conditionalFormatting>
  <conditionalFormatting sqref="C32">
    <cfRule type="expression" dxfId="46" priority="47">
      <formula>$C32&lt;$E32</formula>
    </cfRule>
  </conditionalFormatting>
  <conditionalFormatting sqref="E32">
    <cfRule type="expression" dxfId="45" priority="46">
      <formula>$C32&lt;$E32</formula>
    </cfRule>
  </conditionalFormatting>
  <conditionalFormatting sqref="E32">
    <cfRule type="expression" dxfId="44" priority="45">
      <formula>$C32&gt;$E32</formula>
    </cfRule>
  </conditionalFormatting>
  <conditionalFormatting sqref="C33">
    <cfRule type="expression" dxfId="43" priority="44">
      <formula>$C33&gt;$E33</formula>
    </cfRule>
  </conditionalFormatting>
  <conditionalFormatting sqref="C33">
    <cfRule type="expression" dxfId="42" priority="43">
      <formula>$C33&lt;$E33</formula>
    </cfRule>
  </conditionalFormatting>
  <conditionalFormatting sqref="E33">
    <cfRule type="expression" dxfId="41" priority="42">
      <formula>$C33&lt;$E33</formula>
    </cfRule>
  </conditionalFormatting>
  <conditionalFormatting sqref="E33">
    <cfRule type="expression" dxfId="40" priority="41">
      <formula>$C33&gt;$E33</formula>
    </cfRule>
  </conditionalFormatting>
  <conditionalFormatting sqref="C34">
    <cfRule type="expression" dxfId="39" priority="40">
      <formula>$C34&gt;$E34</formula>
    </cfRule>
  </conditionalFormatting>
  <conditionalFormatting sqref="C34">
    <cfRule type="expression" dxfId="38" priority="39">
      <formula>$C34&lt;$E34</formula>
    </cfRule>
  </conditionalFormatting>
  <conditionalFormatting sqref="E34">
    <cfRule type="expression" dxfId="37" priority="38">
      <formula>$C34&lt;$E34</formula>
    </cfRule>
  </conditionalFormatting>
  <conditionalFormatting sqref="E34">
    <cfRule type="expression" dxfId="36" priority="37">
      <formula>$C34&gt;$E34</formula>
    </cfRule>
  </conditionalFormatting>
  <conditionalFormatting sqref="C35">
    <cfRule type="expression" dxfId="35" priority="36">
      <formula>$C35&gt;$E35</formula>
    </cfRule>
  </conditionalFormatting>
  <conditionalFormatting sqref="C35">
    <cfRule type="expression" dxfId="34" priority="35">
      <formula>$C35&lt;$E35</formula>
    </cfRule>
  </conditionalFormatting>
  <conditionalFormatting sqref="E35">
    <cfRule type="expression" dxfId="33" priority="34">
      <formula>$C35&lt;$E35</formula>
    </cfRule>
  </conditionalFormatting>
  <conditionalFormatting sqref="E35">
    <cfRule type="expression" dxfId="32" priority="33">
      <formula>$C35&gt;$E35</formula>
    </cfRule>
  </conditionalFormatting>
  <conditionalFormatting sqref="C37">
    <cfRule type="expression" dxfId="31" priority="32">
      <formula>$C37&gt;$E37</formula>
    </cfRule>
  </conditionalFormatting>
  <conditionalFormatting sqref="C37">
    <cfRule type="expression" dxfId="30" priority="31">
      <formula>$C37&lt;$E37</formula>
    </cfRule>
  </conditionalFormatting>
  <conditionalFormatting sqref="E37">
    <cfRule type="expression" dxfId="29" priority="30">
      <formula>$C37&lt;$E37</formula>
    </cfRule>
  </conditionalFormatting>
  <conditionalFormatting sqref="E37">
    <cfRule type="expression" dxfId="28" priority="29">
      <formula>$C37&gt;$E37</formula>
    </cfRule>
  </conditionalFormatting>
  <conditionalFormatting sqref="C38">
    <cfRule type="expression" dxfId="27" priority="28">
      <formula>$C38&gt;$E38</formula>
    </cfRule>
  </conditionalFormatting>
  <conditionalFormatting sqref="C38">
    <cfRule type="expression" dxfId="26" priority="27">
      <formula>$C38&lt;$E38</formula>
    </cfRule>
  </conditionalFormatting>
  <conditionalFormatting sqref="E38">
    <cfRule type="expression" dxfId="25" priority="26">
      <formula>$C38&lt;$E38</formula>
    </cfRule>
  </conditionalFormatting>
  <conditionalFormatting sqref="E38">
    <cfRule type="expression" dxfId="24" priority="25">
      <formula>$C38&gt;$E38</formula>
    </cfRule>
  </conditionalFormatting>
  <conditionalFormatting sqref="C39">
    <cfRule type="expression" dxfId="23" priority="24">
      <formula>$C39&gt;$E39</formula>
    </cfRule>
  </conditionalFormatting>
  <conditionalFormatting sqref="C39">
    <cfRule type="expression" dxfId="22" priority="23">
      <formula>$C39&lt;$E39</formula>
    </cfRule>
  </conditionalFormatting>
  <conditionalFormatting sqref="E39">
    <cfRule type="expression" dxfId="21" priority="22">
      <formula>$C39&lt;$E39</formula>
    </cfRule>
  </conditionalFormatting>
  <conditionalFormatting sqref="E39">
    <cfRule type="expression" dxfId="20" priority="21">
      <formula>$C39&gt;$E39</formula>
    </cfRule>
  </conditionalFormatting>
  <conditionalFormatting sqref="C40">
    <cfRule type="expression" dxfId="19" priority="20">
      <formula>$C40&gt;$E40</formula>
    </cfRule>
  </conditionalFormatting>
  <conditionalFormatting sqref="C40">
    <cfRule type="expression" dxfId="18" priority="19">
      <formula>$C40&lt;$E40</formula>
    </cfRule>
  </conditionalFormatting>
  <conditionalFormatting sqref="E40">
    <cfRule type="expression" dxfId="17" priority="18">
      <formula>$C40&lt;$E40</formula>
    </cfRule>
  </conditionalFormatting>
  <conditionalFormatting sqref="E40">
    <cfRule type="expression" dxfId="16" priority="17">
      <formula>$C40&gt;$E40</formula>
    </cfRule>
  </conditionalFormatting>
  <conditionalFormatting sqref="C42">
    <cfRule type="expression" dxfId="15" priority="16">
      <formula>$C42&gt;$E42</formula>
    </cfRule>
  </conditionalFormatting>
  <conditionalFormatting sqref="C42">
    <cfRule type="expression" dxfId="14" priority="15">
      <formula>$C42&lt;$E42</formula>
    </cfRule>
  </conditionalFormatting>
  <conditionalFormatting sqref="E42">
    <cfRule type="expression" dxfId="13" priority="14">
      <formula>$C42&lt;$E42</formula>
    </cfRule>
  </conditionalFormatting>
  <conditionalFormatting sqref="E42">
    <cfRule type="expression" dxfId="12" priority="13">
      <formula>$C42&gt;$E42</formula>
    </cfRule>
  </conditionalFormatting>
  <conditionalFormatting sqref="C43">
    <cfRule type="expression" dxfId="11" priority="12">
      <formula>$C43&gt;$E43</formula>
    </cfRule>
  </conditionalFormatting>
  <conditionalFormatting sqref="C43">
    <cfRule type="expression" dxfId="10" priority="11">
      <formula>$C43&lt;$E43</formula>
    </cfRule>
  </conditionalFormatting>
  <conditionalFormatting sqref="E43">
    <cfRule type="expression" dxfId="9" priority="10">
      <formula>$C43&lt;$E43</formula>
    </cfRule>
  </conditionalFormatting>
  <conditionalFormatting sqref="E43">
    <cfRule type="expression" dxfId="8" priority="9">
      <formula>$C43&gt;$E43</formula>
    </cfRule>
  </conditionalFormatting>
  <conditionalFormatting sqref="C44">
    <cfRule type="expression" dxfId="7" priority="8">
      <formula>$C44&gt;$E44</formula>
    </cfRule>
  </conditionalFormatting>
  <conditionalFormatting sqref="C44">
    <cfRule type="expression" dxfId="6" priority="7">
      <formula>$C44&lt;$E44</formula>
    </cfRule>
  </conditionalFormatting>
  <conditionalFormatting sqref="E44">
    <cfRule type="expression" dxfId="5" priority="6">
      <formula>$C44&lt;$E44</formula>
    </cfRule>
  </conditionalFormatting>
  <conditionalFormatting sqref="E44">
    <cfRule type="expression" dxfId="4" priority="5">
      <formula>$C44&gt;$E44</formula>
    </cfRule>
  </conditionalFormatting>
  <conditionalFormatting sqref="C45">
    <cfRule type="expression" dxfId="3" priority="4">
      <formula>$C45&gt;$E45</formula>
    </cfRule>
  </conditionalFormatting>
  <conditionalFormatting sqref="C45">
    <cfRule type="expression" dxfId="2" priority="3">
      <formula>$C45&lt;$E45</formula>
    </cfRule>
  </conditionalFormatting>
  <conditionalFormatting sqref="E45">
    <cfRule type="expression" dxfId="1" priority="2">
      <formula>$C45&lt;$E45</formula>
    </cfRule>
  </conditionalFormatting>
  <conditionalFormatting sqref="E45">
    <cfRule type="expression" dxfId="0" priority="1">
      <formula>$C45&gt;$E45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F0892D63-5A1F-4E96-81F3-74A3A5EEF73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C4PPMatchph">
              <controlPr defaultSize="0" print="0" autoFill="0" autoPict="0" macro="[0]!'copyimage &quot;A2:F4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C4IMPMatch">
              <controlPr defaultSize="0" print="0" autoFill="0" autoPict="0" macro="[0]!'copyimprimer &quot;FINAL_MATCHS&quot;,&quot;B1:F45&quot;'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C1AD0-63B9-4EE6-B690-1D286064CA1B}">
  <sheetPr codeName="Feuil18"/>
  <dimension ref="A2:L23"/>
  <sheetViews>
    <sheetView workbookViewId="0"/>
  </sheetViews>
  <sheetFormatPr baseColWidth="10" defaultRowHeight="15" x14ac:dyDescent="0.25"/>
  <cols>
    <col min="1" max="1" width="30.7109375" style="108" customWidth="1"/>
    <col min="2" max="2" width="6.7109375" style="108" customWidth="1"/>
    <col min="3" max="16384" width="11.42578125" style="108"/>
  </cols>
  <sheetData>
    <row r="2" spans="1:12" ht="15.75" thickBot="1" x14ac:dyDescent="0.3">
      <c r="A2" s="108" t="s">
        <v>220</v>
      </c>
    </row>
    <row r="3" spans="1:12" x14ac:dyDescent="0.25">
      <c r="A3" s="109" t="str">
        <f>IF(OR(PHASE_FINALE!O8="",PHASE_FINALE!O9=""),"",IF(PHASE_FINALE!O8&gt;PHASE_FINALE!O9,PHASE_FINALE!N8,PHASE_FINALE!N9))</f>
        <v/>
      </c>
      <c r="B3" s="110">
        <v>1</v>
      </c>
    </row>
    <row r="4" spans="1:12" x14ac:dyDescent="0.25">
      <c r="A4" s="118" t="str">
        <f>IF(OR(PHASE_FINALE!O8="",PHASE_FINALE!O9=""),"",IF(PHASE_FINALE!O8&lt;PHASE_FINALE!O9,PHASE_FINALE!N8,PHASE_FINALE!N9))</f>
        <v/>
      </c>
      <c r="B4" s="119">
        <v>2</v>
      </c>
    </row>
    <row r="5" spans="1:12" x14ac:dyDescent="0.25">
      <c r="A5" s="118" t="str">
        <f>IF(OR(PHASE_FINALE!O12="",PHASE_FINALE!O13=""),"",IF(PHASE_FINALE!O12&gt;PHASE_FINALE!O13,PHASE_FINALE!N12,PHASE_FINALE!N13))</f>
        <v/>
      </c>
      <c r="B5" s="119">
        <v>3</v>
      </c>
    </row>
    <row r="6" spans="1:12" x14ac:dyDescent="0.25">
      <c r="A6" s="118" t="str">
        <f>IF(OR(PHASE_FINALE!O12="",PHASE_FINALE!O13=""),"",IF(PHASE_FINALE!O12&lt;PHASE_FINALE!O13,PHASE_FINALE!N12,PHASE_FINALE!N13))</f>
        <v/>
      </c>
      <c r="B6" s="119">
        <v>4</v>
      </c>
    </row>
    <row r="7" spans="1:12" x14ac:dyDescent="0.25">
      <c r="A7" s="118" t="str">
        <f>IF(OR(PHASE_FINALE!B8="",PHASE_FINALE!B9=""),"",IF(PHASE_FINALE!B8&gt;PHASE_FINALE!B9,PHASE_FINALE!C8,PHASE_FINALE!C9))</f>
        <v/>
      </c>
      <c r="B7" s="119">
        <v>5</v>
      </c>
      <c r="G7" s="241" t="str">
        <f>A3</f>
        <v/>
      </c>
      <c r="H7" s="241"/>
      <c r="I7" s="241"/>
    </row>
    <row r="8" spans="1:12" x14ac:dyDescent="0.25">
      <c r="A8" s="118" t="str">
        <f>IF(OR(PHASE_FINALE!B8="",PHASE_FINALE!B9=""),"",IF(PHASE_FINALE!B8&lt;PHASE_FINALE!B9,PHASE_FINALE!C8,PHASE_FINALE!C9))</f>
        <v/>
      </c>
      <c r="B8" s="119">
        <v>6</v>
      </c>
      <c r="D8" s="241" t="str">
        <f>A4</f>
        <v/>
      </c>
      <c r="E8" s="241"/>
      <c r="F8" s="241"/>
      <c r="G8" s="243"/>
      <c r="H8" s="243"/>
      <c r="I8" s="243"/>
    </row>
    <row r="9" spans="1:12" x14ac:dyDescent="0.25">
      <c r="A9" s="118" t="str">
        <f>IF(OR(PHASE_FINALE!B12="",PHASE_FINALE!B13=""),"",IF(PHASE_FINALE!B12&gt;PHASE_FINALE!B13,PHASE_FINALE!C12,PHASE_FINALE!C13))</f>
        <v/>
      </c>
      <c r="B9" s="119">
        <v>7</v>
      </c>
      <c r="D9" s="243"/>
      <c r="E9" s="243"/>
      <c r="F9" s="243"/>
      <c r="G9" s="122"/>
      <c r="H9" s="120"/>
      <c r="I9" s="120"/>
      <c r="J9" s="240" t="str">
        <f>A5</f>
        <v/>
      </c>
      <c r="K9" s="241"/>
      <c r="L9" s="241"/>
    </row>
    <row r="10" spans="1:12" x14ac:dyDescent="0.25">
      <c r="A10" s="118" t="str">
        <f>IF(OR(PHASE_FINALE!B12="",PHASE_FINALE!B13=""),"",IF(PHASE_FINALE!B12&lt;PHASE_FINALE!B13,PHASE_FINALE!C12,PHASE_FINALE!C13))</f>
        <v/>
      </c>
      <c r="B10" s="119">
        <v>8</v>
      </c>
      <c r="D10" s="120"/>
      <c r="E10" s="120"/>
      <c r="F10" s="120"/>
      <c r="G10" s="120"/>
      <c r="H10" s="239">
        <v>1</v>
      </c>
      <c r="I10" s="120"/>
      <c r="J10" s="242"/>
      <c r="K10" s="243"/>
      <c r="L10" s="243"/>
    </row>
    <row r="11" spans="1:12" x14ac:dyDescent="0.25">
      <c r="A11" s="118" t="str">
        <f>IF(OR(PHASE_FINALE!O25="",PHASE_FINALE!O26=""),"",IF(PHASE_FINALE!O25&gt;PHASE_FINALE!O26,PHASE_FINALE!N25,PHASE_FINALE!N26))</f>
        <v/>
      </c>
      <c r="B11" s="119">
        <v>9</v>
      </c>
      <c r="D11" s="120"/>
      <c r="E11" s="235">
        <v>2</v>
      </c>
      <c r="F11" s="120"/>
      <c r="G11" s="120"/>
      <c r="H11" s="239"/>
      <c r="I11" s="120"/>
      <c r="J11" s="120"/>
      <c r="K11" s="237">
        <v>3</v>
      </c>
      <c r="L11" s="120"/>
    </row>
    <row r="12" spans="1:12" x14ac:dyDescent="0.25">
      <c r="A12" s="118" t="str">
        <f>IF(OR(PHASE_FINALE!O25="",PHASE_FINALE!O26=""),"",IF(PHASE_FINALE!O25&lt;PHASE_FINALE!O26,PHASE_FINALE!N25,PHASE_FINALE!N26))</f>
        <v/>
      </c>
      <c r="B12" s="119">
        <v>10</v>
      </c>
      <c r="D12" s="121"/>
      <c r="E12" s="236"/>
      <c r="F12" s="121"/>
      <c r="G12" s="121"/>
      <c r="H12" s="121"/>
      <c r="I12" s="121"/>
      <c r="J12" s="121"/>
      <c r="K12" s="238"/>
      <c r="L12" s="121"/>
    </row>
    <row r="13" spans="1:12" x14ac:dyDescent="0.25">
      <c r="A13" s="118" t="str">
        <f>IF(OR(PHASE_FINALE!O29="",PHASE_FINALE!O30=""),"",IF(PHASE_FINALE!O29&gt;PHASE_FINALE!O30,PHASE_FINALE!N29,PHASE_FINALE!N30))</f>
        <v/>
      </c>
      <c r="B13" s="119">
        <v>11</v>
      </c>
    </row>
    <row r="14" spans="1:12" x14ac:dyDescent="0.25">
      <c r="A14" s="118" t="str">
        <f>IF(OR(PHASE_FINALE!O29="",PHASE_FINALE!O30=""),"",IF(PHASE_FINALE!O29&lt;PHASE_FINALE!O30,PHASE_FINALE!N29,PHASE_FINALE!N30))</f>
        <v/>
      </c>
      <c r="B14" s="119">
        <v>12</v>
      </c>
    </row>
    <row r="15" spans="1:12" x14ac:dyDescent="0.25">
      <c r="A15" s="118" t="str">
        <f>IF(OR(PHASE_FINALE!B25="",PHASE_FINALE!B26=""),"",IF(PHASE_FINALE!B25&gt;PHASE_FINALE!B26,PHASE_FINALE!C25,PHASE_FINALE!C26))</f>
        <v/>
      </c>
      <c r="B15" s="119">
        <v>13</v>
      </c>
    </row>
    <row r="16" spans="1:12" x14ac:dyDescent="0.25">
      <c r="A16" s="118" t="str">
        <f>IF(OR(PHASE_FINALE!B25="",PHASE_FINALE!B26=""),"",IF(PHASE_FINALE!B25&lt;PHASE_FINALE!B26,PHASE_FINALE!C25,PHASE_FINALE!C26))</f>
        <v/>
      </c>
      <c r="B16" s="119">
        <v>14</v>
      </c>
    </row>
    <row r="17" spans="1:2" x14ac:dyDescent="0.25">
      <c r="A17" s="118" t="str">
        <f>IF(OR(PHASE_FINALE!B29="",PHASE_FINALE!B30=""),"",IF(PHASE_FINALE!B29&gt;PHASE_FINALE!B30,PHASE_FINALE!C29,PHASE_FINALE!C30))</f>
        <v/>
      </c>
      <c r="B17" s="119">
        <v>15</v>
      </c>
    </row>
    <row r="18" spans="1:2" x14ac:dyDescent="0.25">
      <c r="A18" s="118" t="str">
        <f>IF(OR(PHASE_FINALE!B29="",PHASE_FINALE!B30=""),"",IF(PHASE_FINALE!B29&lt;PHASE_FINALE!B30,PHASE_FINALE!C29,PHASE_FINALE!C30))</f>
        <v/>
      </c>
      <c r="B18" s="119">
        <v>16</v>
      </c>
    </row>
    <row r="19" spans="1:2" x14ac:dyDescent="0.25">
      <c r="A19" s="118" t="str">
        <f>IF(OR(PHASE_FINALE!O42="",PHASE_FINALE!O43=""),"",IF(PHASE_FINALE!O42&gt;PHASE_FINALE!O43,PHASE_FINALE!N42,PHASE_FINALE!N43))</f>
        <v/>
      </c>
      <c r="B19" s="119">
        <v>17</v>
      </c>
    </row>
    <row r="20" spans="1:2" x14ac:dyDescent="0.25">
      <c r="A20" s="118" t="str">
        <f>IF(OR(PHASE_FINALE!O42="",PHASE_FINALE!O43=""),"",IF(PHASE_FINALE!O42&lt;PHASE_FINALE!O43,PHASE_FINALE!N42,PHASE_FINALE!N43))</f>
        <v/>
      </c>
      <c r="B20" s="119">
        <v>18</v>
      </c>
    </row>
    <row r="21" spans="1:2" x14ac:dyDescent="0.25">
      <c r="A21" s="118" t="str">
        <f>IF(OR(PHASE_FINALE!O46="",PHASE_FINALE!O47=""),"",IF(PHASE_FINALE!O46&gt;PHASE_FINALE!O47,PHASE_FINALE!N46,PHASE_FINALE!N47))</f>
        <v/>
      </c>
      <c r="B21" s="119">
        <v>19</v>
      </c>
    </row>
    <row r="22" spans="1:2" x14ac:dyDescent="0.25">
      <c r="A22" s="118" t="str">
        <f>IF(OR(PHASE_FINALE!O46="",PHASE_FINALE!O47=""),"",IF(PHASE_FINALE!O46&lt;PHASE_FINALE!O47,PHASE_FINALE!N46,PHASE_FINALE!N47))</f>
        <v/>
      </c>
      <c r="B22" s="119">
        <v>20</v>
      </c>
    </row>
    <row r="23" spans="1:2" ht="15.75" thickBot="1" x14ac:dyDescent="0.3">
      <c r="A23" s="111" t="str">
        <f>IF(OR(PHASE_FINALE!B42="",PHASE_FINALE!B43=""),"",IF(PHASE_FINALE!B42&gt;PHASE_FINALE!B43,PHASE_FINALE!C42,PHASE_FINALE!C43))</f>
        <v/>
      </c>
      <c r="B23" s="112">
        <v>21</v>
      </c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4PPphfinalh">
              <controlPr defaultSize="0" print="0" autoFill="0" autoPict="0" macro="[0]!'copyimage &quot;A2:L23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Accueil</vt:lpstr>
      <vt:lpstr>Parametres</vt:lpstr>
      <vt:lpstr>NOTES</vt:lpstr>
      <vt:lpstr>TEMPLATE</vt:lpstr>
      <vt:lpstr>FEUILLE_DE_SCORE</vt:lpstr>
      <vt:lpstr>INSCRITS</vt:lpstr>
      <vt:lpstr>MATCHS</vt:lpstr>
      <vt:lpstr>CLASSEMENTS</vt:lpstr>
      <vt:lpstr>PHASE_FINALE</vt:lpstr>
      <vt:lpstr>FINAL_MATCHS</vt:lpstr>
      <vt:lpstr>PLACE_FINALE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2025-12-13T10:54:59Z</dcterms:modified>
</cp:coreProperties>
</file>