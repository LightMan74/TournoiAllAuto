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F0AB68B6-8ED0-4849-B9C8-85A2E2DE0D2C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B30" i="1" a="1"/>
  <c r="B30" i="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<sst xmlns="http://schemas.openxmlformats.org/spreadsheetml/2006/main" count="2904" uniqueCount="105">
  <si>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</si>
  <si>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</si>
  <si>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</si>
  <si>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</si>
  <si>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</si>
  <si>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</si>
  <si>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</si>
  <si>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</si>
  <si>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</si>
  <si>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</si>
  <si>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</si>
  <si>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</si>
  <si>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</si>
  <si>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</si>
  <si>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</si>
  <si>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</si>
  <si>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</si>
  <si>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</si>
  <si>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</si>
  <si>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</si>
  <si>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</si>
  <si>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</si>
  <si>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</si>
  <si>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</si>
  <si>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</si>
  <si>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</si>
  <si>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</si>
  <si>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</si>
  <si>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</si>
  <si>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</si>
  <si>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</si>
  <si>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</si>
  <si>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</si>
  <si>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</si>
  <si>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</si>
  <si>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</si>
  <si>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</si>
  <si>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</si>
  <si>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</si>
  <si>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</si>
  <si>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</si>
  <si>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</si>
  <si>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</si>
  <si>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</si>
  <si>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</si>
  <si>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</si>
  <si>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</si>
  <si>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</si>
  <si>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</si>
  <si>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</si>
  <si>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</si>
  <si>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</si>
  <si>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</si>
  <si>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</si>
  <si>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</si>
  <si>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</si>
  <si>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Nombre de Match en +</t>
  </si>
  <si>
    <t>Nombre de Tour en +</t>
  </si>
  <si>
    <t>VRAI/FAUX</t>
  </si>
  <si>
    <t>Match avec "Point-Set"</t>
  </si>
  <si>
    <t>4A</t>
  </si>
  <si>
    <t>4B</t>
  </si>
  <si>
    <t>1C</t>
  </si>
  <si>
    <t>2C</t>
  </si>
  <si>
    <t>3C</t>
  </si>
  <si>
    <t>4C</t>
  </si>
  <si>
    <t>1D</t>
  </si>
  <si>
    <t>2D</t>
  </si>
  <si>
    <t>3D</t>
  </si>
  <si>
    <t>4D</t>
  </si>
  <si>
    <t>1E</t>
  </si>
  <si>
    <t>2E</t>
  </si>
  <si>
    <t>3E</t>
  </si>
  <si>
    <t>4E</t>
  </si>
  <si>
    <t>1F</t>
  </si>
  <si>
    <t>2F</t>
  </si>
  <si>
    <t>3F</t>
  </si>
  <si>
    <t>4F</t>
  </si>
  <si>
    <t>5A</t>
  </si>
  <si>
    <t>6A</t>
  </si>
  <si>
    <t>5B</t>
  </si>
  <si>
    <t>6B</t>
  </si>
  <si>
    <t>5C</t>
  </si>
  <si>
    <t>6C</t>
  </si>
  <si>
    <t>5D</t>
  </si>
  <si>
    <t>6D</t>
  </si>
  <si>
    <t>DH</t>
  </si>
  <si>
    <t>DM</t>
  </si>
  <si>
    <t>5E</t>
  </si>
  <si>
    <t>6E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</si>
  <si>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</si>
  <si>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</si>
  <si>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</si>
  <si>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</si>
  <si>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</si>
  <si>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</si>
  <si>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</si>
  <si>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</si>
  <si>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</si>
  <si>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</si>
  <si>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</si>
  <si>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</si>
  <si>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</si>
  <si>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</si>
  <si>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Version 2.51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</si>
</sst>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0" fillId="0" borderId="8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70" t="s">
        <v>21</v>
      </c>
      <c r="B1" s="71"/>
      <c r="C1" s="71"/>
      <c r="D1" s="71"/>
      <c r="E1" s="71"/>
      <c r="F1" s="71"/>
      <c r="G1" s="71"/>
      <c r="H1" s="71"/>
      <c r="I1" s="71"/>
      <c r="J1" s="71"/>
      <c r="K1" s="72"/>
    </row>
    <row r="2" spans="1:11" ht="15" customHeight="1" x14ac:dyDescent="0.25">
      <c r="A2" s="73"/>
      <c r="B2" s="74"/>
      <c r="C2" s="74"/>
      <c r="D2" s="74"/>
      <c r="E2" s="74"/>
      <c r="F2" s="74"/>
      <c r="G2" s="74"/>
      <c r="H2" s="74"/>
      <c r="I2" s="74"/>
      <c r="J2" s="74"/>
      <c r="K2" s="75"/>
    </row>
    <row r="3" spans="1:11" ht="15" customHeight="1" x14ac:dyDescent="0.25">
      <c r="A3" s="73"/>
      <c r="B3" s="74"/>
      <c r="C3" s="74"/>
      <c r="D3" s="74"/>
      <c r="E3" s="74"/>
      <c r="F3" s="74"/>
      <c r="G3" s="74"/>
      <c r="H3" s="74"/>
      <c r="I3" s="74"/>
      <c r="J3" s="74"/>
      <c r="K3" s="75"/>
    </row>
    <row r="4" spans="1:11" ht="15" customHeight="1" x14ac:dyDescent="0.25">
      <c r="A4" s="73"/>
      <c r="B4" s="74"/>
      <c r="C4" s="74"/>
      <c r="D4" s="74"/>
      <c r="E4" s="74"/>
      <c r="F4" s="74"/>
      <c r="G4" s="74"/>
      <c r="H4" s="74"/>
      <c r="I4" s="74"/>
      <c r="J4" s="74"/>
      <c r="K4" s="75"/>
    </row>
    <row r="5" spans="1:11" ht="15" customHeight="1" x14ac:dyDescent="0.25">
      <c r="A5" s="73"/>
      <c r="B5" s="74"/>
      <c r="C5" s="74"/>
      <c r="D5" s="74"/>
      <c r="E5" s="74"/>
      <c r="F5" s="74"/>
      <c r="G5" s="74"/>
      <c r="H5" s="74"/>
      <c r="I5" s="74"/>
      <c r="J5" s="74"/>
      <c r="K5" s="75"/>
    </row>
    <row r="6" spans="1:11" ht="15" customHeight="1" x14ac:dyDescent="0.25">
      <c r="A6" s="73"/>
      <c r="B6" s="74"/>
      <c r="C6" s="74"/>
      <c r="D6" s="74"/>
      <c r="E6" s="74"/>
      <c r="F6" s="74"/>
      <c r="G6" s="74"/>
      <c r="H6" s="74"/>
      <c r="I6" s="74"/>
      <c r="J6" s="74"/>
      <c r="K6" s="75"/>
    </row>
    <row r="7" spans="1:11" ht="15" customHeight="1" x14ac:dyDescent="0.25">
      <c r="A7" s="73"/>
      <c r="B7" s="74"/>
      <c r="C7" s="74"/>
      <c r="D7" s="74"/>
      <c r="E7" s="74"/>
      <c r="F7" s="74"/>
      <c r="G7" s="74"/>
      <c r="H7" s="74"/>
      <c r="I7" s="74"/>
      <c r="J7" s="74"/>
      <c r="K7" s="75"/>
    </row>
    <row r="8" spans="1:11" ht="15" customHeight="1" x14ac:dyDescent="0.25">
      <c r="A8" s="73"/>
      <c r="B8" s="74"/>
      <c r="C8" s="74"/>
      <c r="D8" s="74"/>
      <c r="E8" s="74"/>
      <c r="F8" s="74"/>
      <c r="G8" s="74"/>
      <c r="H8" s="74"/>
      <c r="I8" s="74"/>
      <c r="J8" s="74"/>
      <c r="K8" s="75"/>
    </row>
    <row r="9" spans="1:11" ht="15" customHeight="1" x14ac:dyDescent="0.25">
      <c r="A9" s="73"/>
      <c r="B9" s="74"/>
      <c r="C9" s="74"/>
      <c r="D9" s="74"/>
      <c r="E9" s="74"/>
      <c r="F9" s="74"/>
      <c r="G9" s="74"/>
      <c r="H9" s="74"/>
      <c r="I9" s="74"/>
      <c r="J9" s="74"/>
      <c r="K9" s="75"/>
    </row>
    <row r="10" spans="1:11" ht="15" customHeight="1" x14ac:dyDescent="0.25">
      <c r="A10" s="73"/>
      <c r="B10" s="74"/>
      <c r="C10" s="74"/>
      <c r="D10" s="74"/>
      <c r="E10" s="74"/>
      <c r="F10" s="74"/>
      <c r="G10" s="74"/>
      <c r="H10" s="74"/>
      <c r="I10" s="74"/>
      <c r="J10" s="74"/>
      <c r="K10" s="75"/>
    </row>
    <row r="11" spans="1:11" ht="15" customHeight="1" x14ac:dyDescent="0.25">
      <c r="A11" s="73"/>
      <c r="B11" s="74"/>
      <c r="C11" s="74"/>
      <c r="D11" s="74"/>
      <c r="E11" s="74"/>
      <c r="F11" s="74"/>
      <c r="G11" s="74"/>
      <c r="H11" s="74"/>
      <c r="I11" s="74"/>
      <c r="J11" s="74"/>
      <c r="K11" s="75"/>
    </row>
    <row r="12" spans="1:11" ht="15" customHeight="1" x14ac:dyDescent="0.25">
      <c r="A12" s="73"/>
      <c r="B12" s="74"/>
      <c r="C12" s="74"/>
      <c r="D12" s="74"/>
      <c r="E12" s="74"/>
      <c r="F12" s="74"/>
      <c r="G12" s="74"/>
      <c r="H12" s="74"/>
      <c r="I12" s="74"/>
      <c r="J12" s="74"/>
      <c r="K12" s="75"/>
    </row>
    <row r="13" spans="1:11" ht="15" customHeight="1" x14ac:dyDescent="0.25">
      <c r="A13" s="73"/>
      <c r="B13" s="74"/>
      <c r="C13" s="74"/>
      <c r="D13" s="74"/>
      <c r="E13" s="74"/>
      <c r="F13" s="74"/>
      <c r="G13" s="74"/>
      <c r="H13" s="74"/>
      <c r="I13" s="74"/>
      <c r="J13" s="74"/>
      <c r="K13" s="75"/>
    </row>
    <row r="14" spans="1:11" ht="15" customHeight="1" x14ac:dyDescent="0.25">
      <c r="A14" s="73"/>
      <c r="B14" s="74"/>
      <c r="C14" s="74"/>
      <c r="D14" s="74"/>
      <c r="E14" s="74"/>
      <c r="F14" s="74"/>
      <c r="G14" s="74"/>
      <c r="H14" s="74"/>
      <c r="I14" s="74"/>
      <c r="J14" s="74"/>
      <c r="K14" s="75"/>
    </row>
    <row r="15" spans="1:11" ht="15" customHeight="1" x14ac:dyDescent="0.25">
      <c r="A15" s="73"/>
      <c r="B15" s="74"/>
      <c r="C15" s="74"/>
      <c r="D15" s="74"/>
      <c r="E15" s="74"/>
      <c r="F15" s="74"/>
      <c r="G15" s="74"/>
      <c r="H15" s="74"/>
      <c r="I15" s="74"/>
      <c r="J15" s="74"/>
      <c r="K15" s="75"/>
    </row>
    <row r="16" spans="1:11" ht="15" customHeight="1" x14ac:dyDescent="0.25">
      <c r="A16" s="73"/>
      <c r="B16" s="74"/>
      <c r="C16" s="74"/>
      <c r="D16" s="74"/>
      <c r="E16" s="74"/>
      <c r="F16" s="74"/>
      <c r="G16" s="74"/>
      <c r="H16" s="74"/>
      <c r="I16" s="74"/>
      <c r="J16" s="74"/>
      <c r="K16" s="75"/>
    </row>
    <row r="17" spans="1:12" ht="15" customHeight="1" x14ac:dyDescent="0.25">
      <c r="A17" s="73"/>
      <c r="B17" s="74"/>
      <c r="C17" s="74"/>
      <c r="D17" s="74"/>
      <c r="E17" s="74"/>
      <c r="F17" s="74"/>
      <c r="G17" s="74"/>
      <c r="H17" s="74"/>
      <c r="I17" s="74"/>
      <c r="J17" s="74"/>
      <c r="K17" s="75"/>
    </row>
    <row r="18" spans="1:12" ht="15" customHeight="1" x14ac:dyDescent="0.25">
      <c r="A18" s="73"/>
      <c r="B18" s="74"/>
      <c r="C18" s="74"/>
      <c r="D18" s="74"/>
      <c r="E18" s="74"/>
      <c r="F18" s="74"/>
      <c r="G18" s="74"/>
      <c r="H18" s="74"/>
      <c r="I18" s="74"/>
      <c r="J18" s="74"/>
      <c r="K18" s="75"/>
    </row>
    <row r="19" spans="1:12" ht="15" customHeight="1" x14ac:dyDescent="0.25">
      <c r="A19" s="73"/>
      <c r="B19" s="74"/>
      <c r="C19" s="74"/>
      <c r="D19" s="74"/>
      <c r="E19" s="74"/>
      <c r="F19" s="74"/>
      <c r="G19" s="74"/>
      <c r="H19" s="74"/>
      <c r="I19" s="74"/>
      <c r="J19" s="74"/>
      <c r="K19" s="75"/>
    </row>
    <row r="20" spans="1:12" ht="15" customHeight="1" x14ac:dyDescent="0.25">
      <c r="A20" s="73"/>
      <c r="B20" s="74"/>
      <c r="C20" s="74"/>
      <c r="D20" s="74"/>
      <c r="E20" s="74"/>
      <c r="F20" s="74"/>
      <c r="G20" s="74"/>
      <c r="H20" s="74"/>
      <c r="I20" s="74"/>
      <c r="J20" s="74"/>
      <c r="K20" s="75"/>
    </row>
    <row r="21" spans="1:12" ht="15" customHeight="1" x14ac:dyDescent="0.25">
      <c r="A21" s="73"/>
      <c r="B21" s="74"/>
      <c r="C21" s="74"/>
      <c r="D21" s="74"/>
      <c r="E21" s="74"/>
      <c r="F21" s="74"/>
      <c r="G21" s="74"/>
      <c r="H21" s="74"/>
      <c r="I21" s="74"/>
      <c r="J21" s="74"/>
      <c r="K21" s="75"/>
    </row>
    <row r="22" spans="1:12" ht="15" customHeight="1" x14ac:dyDescent="0.25">
      <c r="A22" s="73"/>
      <c r="B22" s="74"/>
      <c r="C22" s="74"/>
      <c r="D22" s="74"/>
      <c r="E22" s="74"/>
      <c r="F22" s="74"/>
      <c r="G22" s="74"/>
      <c r="H22" s="74"/>
      <c r="I22" s="74"/>
      <c r="J22" s="74"/>
      <c r="K22" s="75"/>
    </row>
    <row r="23" spans="1:12" ht="15" customHeight="1" x14ac:dyDescent="0.25">
      <c r="A23" s="67" t="s">
        <v>23</v>
      </c>
      <c r="B23" s="68"/>
      <c r="C23" s="68"/>
      <c r="D23" s="68"/>
      <c r="E23" s="68"/>
      <c r="F23" s="68"/>
      <c r="G23" s="68"/>
      <c r="H23" s="68"/>
      <c r="I23" s="68"/>
      <c r="J23" s="68"/>
      <c r="K23" s="69"/>
      <c r="L23" s="26"/>
    </row>
    <row r="24" spans="1:12" ht="15" customHeight="1" x14ac:dyDescent="0.25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9"/>
      <c r="L24" s="26"/>
    </row>
    <row r="25" spans="1:12" ht="15" customHeight="1" x14ac:dyDescent="0.25">
      <c r="A25" s="67"/>
      <c r="B25" s="68"/>
      <c r="C25" s="68"/>
      <c r="D25" s="68"/>
      <c r="E25" s="68"/>
      <c r="F25" s="68"/>
      <c r="G25" s="68"/>
      <c r="H25" s="68"/>
      <c r="I25" s="68"/>
      <c r="J25" s="68"/>
      <c r="K25" s="69"/>
      <c r="L25" s="26"/>
    </row>
    <row r="26" spans="1:12" ht="15" customHeight="1" x14ac:dyDescent="0.25">
      <c r="A26" s="67"/>
      <c r="B26" s="68"/>
      <c r="C26" s="68"/>
      <c r="D26" s="68"/>
      <c r="E26" s="68"/>
      <c r="F26" s="68"/>
      <c r="G26" s="68"/>
      <c r="H26" s="68"/>
      <c r="I26" s="68"/>
      <c r="J26" s="68"/>
      <c r="K26" s="69"/>
      <c r="L26" s="26"/>
    </row>
    <row r="27" spans="1:12" ht="15" customHeight="1" x14ac:dyDescent="0.25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4"/>
      <c r="L27" s="26"/>
    </row>
    <row r="28" spans="1:12" ht="15" customHeight="1" thickBot="1" x14ac:dyDescent="0.3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7"/>
      <c r="L28" s="26"/>
    </row>
    <row r="29" spans="1:12" ht="15" customHeight="1" x14ac:dyDescent="0.25">
      <c r="A29" s="58" t="s">
        <v>22</v>
      </c>
      <c r="B29" s="59"/>
      <c r="C29" s="59"/>
      <c r="D29" s="59"/>
      <c r="E29" s="59"/>
      <c r="F29" s="59"/>
      <c r="G29" s="59"/>
      <c r="H29" s="59"/>
      <c r="I29" s="59"/>
      <c r="J29" s="59"/>
      <c r="K29" s="60"/>
      <c r="L29" s="26"/>
    </row>
    <row r="30" spans="1:12" ht="15" customHeight="1" x14ac:dyDescent="0.25">
      <c r="A30" s="61"/>
      <c r="B30" s="62"/>
      <c r="C30" s="62"/>
      <c r="D30" s="62"/>
      <c r="E30" s="62"/>
      <c r="F30" s="62"/>
      <c r="G30" s="62"/>
      <c r="H30" s="62"/>
      <c r="I30" s="62"/>
      <c r="J30" s="62"/>
      <c r="K30" s="63"/>
    </row>
    <row r="31" spans="1:12" ht="15" customHeight="1" thickBot="1" x14ac:dyDescent="0.3">
      <c r="A31" s="64"/>
      <c r="B31" s="65"/>
      <c r="C31" s="65"/>
      <c r="D31" s="65"/>
      <c r="E31" s="65"/>
      <c r="F31" s="65"/>
      <c r="G31" s="65"/>
      <c r="H31" s="65"/>
      <c r="I31" s="65"/>
      <c r="J31" s="65"/>
      <c r="K31" s="66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tabSelected="1" zoomScale="85" zoomScaleNormal="85" workbookViewId="0">
      <selection activeCell="E13" sqref="E13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79"/>
      <c r="D1" s="29" t="s">
        <v>0</v>
      </c>
      <c r="E1" s="50" t="s">
        <v>55</v>
      </c>
      <c r="F1" s="3" t="s">
        <v>1</v>
      </c>
      <c r="H1" s="16" t="s">
        <v>44</v>
      </c>
      <c r="I1" s="16" t="s">
        <v>45</v>
      </c>
      <c r="J1" s="16" t="s">
        <v>86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1.3888888888888888E-2</v>
      </c>
      <c r="C2" s="79"/>
      <c r="D2" s="33">
        <v>8</v>
      </c>
      <c r="E2" s="34">
        <v>7</v>
      </c>
      <c r="F2" s="28">
        <v>4</v>
      </c>
      <c r="H2" s="16" t="s">
        <v>46</v>
      </c>
      <c r="I2" s="16" t="s">
        <v>60</v>
      </c>
      <c r="J2" s="16" t="s">
        <v>86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1.3888888888888889E-3</v>
      </c>
      <c r="C3" s="80"/>
      <c r="D3" s="4" t="s">
        <v>33</v>
      </c>
      <c r="E3" s="43" t="str">
        <f>"Nbres de Cat : " &amp; B30</f>
        <v>Nbres de Cat : 2</v>
      </c>
      <c r="H3" s="16" t="s">
        <v>78</v>
      </c>
      <c r="I3" s="16" t="s">
        <v>79</v>
      </c>
      <c r="J3" s="16" t="s">
        <v>86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6</v>
      </c>
      <c r="E4" s="6" t="s">
        <v>86</v>
      </c>
      <c r="F4" s="2" t="s">
        <v>25</v>
      </c>
      <c r="H4" s="16" t="s">
        <v>47</v>
      </c>
      <c r="I4" s="16" t="s">
        <v>48</v>
      </c>
      <c r="J4" s="16" t="s">
        <v>86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v>6</v>
      </c>
      <c r="B5" s="2">
        <v>2</v>
      </c>
      <c r="C5" s="31" t="str">
        <f t="shared" si="0"/>
        <v>B</v>
      </c>
      <c r="D5" s="35">
        <v>6</v>
      </c>
      <c r="E5" s="6" t="s">
        <v>86</v>
      </c>
      <c r="F5" s="27" t="s">
        <v>26</v>
      </c>
      <c r="H5" s="16" t="s">
        <v>49</v>
      </c>
      <c r="I5" s="16" t="s">
        <v>61</v>
      </c>
      <c r="J5" s="16" t="s">
        <v>86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>C</v>
      </c>
      <c r="D6" s="35">
        <v>6</v>
      </c>
      <c r="E6" s="6" t="s">
        <v>87</v>
      </c>
      <c r="H6" s="16" t="s">
        <v>80</v>
      </c>
      <c r="I6" s="16" t="s">
        <v>81</v>
      </c>
      <c r="J6" s="16" t="s">
        <v>86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>D</v>
      </c>
      <c r="D7" s="35">
        <v>6</v>
      </c>
      <c r="E7" s="6" t="s">
        <v>87</v>
      </c>
      <c r="H7" s="16" t="s">
        <v>62</v>
      </c>
      <c r="I7" s="16" t="s">
        <v>63</v>
      </c>
      <c r="J7" s="16" t="s">
        <v>87</v>
      </c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3</v>
      </c>
      <c r="B8" s="2">
        <v>5</v>
      </c>
      <c r="C8" s="31" t="str">
        <f t="shared" si="0"/>
        <v>E</v>
      </c>
      <c r="D8" s="35">
        <v>6</v>
      </c>
      <c r="E8" s="6" t="s">
        <v>86</v>
      </c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>F</v>
      </c>
      <c r="D9" s="35">
        <v>6</v>
      </c>
      <c r="E9" s="6" t="s">
        <v>86</v>
      </c>
      <c r="H9" s="16" t="s">
        <v>64</v>
      </c>
      <c r="I9" s="16" t="s">
        <v>65</v>
      </c>
      <c r="J9" s="16" t="s">
        <v>87</v>
      </c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>G</v>
      </c>
      <c r="D10" s="35">
        <v>6</v>
      </c>
      <c r="E10" s="6" t="s">
        <v>87</v>
      </c>
      <c r="H10" s="16" t="s">
        <v>82</v>
      </c>
      <c r="I10" s="16" t="s">
        <v>83</v>
      </c>
      <c r="J10" s="16" t="s">
        <v>87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>H</v>
      </c>
      <c r="D11" s="35">
        <v>6</v>
      </c>
      <c r="E11" s="6" t="s">
        <v>87</v>
      </c>
      <c r="H11" s="16" t="s">
        <v>66</v>
      </c>
      <c r="I11" s="16" t="s">
        <v>67</v>
      </c>
      <c r="J11" s="16" t="s">
        <v>87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H12" s="16" t="s">
        <v>68</v>
      </c>
      <c r="I12" s="16" t="s">
        <v>69</v>
      </c>
      <c r="J12" s="16" t="s">
        <v>87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1.3888888888888888E-2</v>
      </c>
      <c r="B13" s="2">
        <v>10</v>
      </c>
      <c r="C13" s="31" t="str">
        <f t="shared" si="0"/>
        <v/>
      </c>
      <c r="D13" s="35"/>
      <c r="E13" s="6"/>
      <c r="H13" s="16" t="s">
        <v>84</v>
      </c>
      <c r="I13" s="16" t="s">
        <v>85</v>
      </c>
      <c r="J13" s="16" t="s">
        <v>87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H14" s="16" t="s">
        <v>70</v>
      </c>
      <c r="I14" s="16" t="s">
        <v>71</v>
      </c>
      <c r="J14" s="16" t="s">
        <v>86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H15" s="16" t="s">
        <v>72</v>
      </c>
      <c r="I15" s="16" t="s">
        <v>73</v>
      </c>
      <c r="J15" s="16" t="s">
        <v>86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104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0.42996031746031738</v>
      </c>
      <c r="B17" s="2">
        <v>14</v>
      </c>
      <c r="C17" s="31" t="str">
        <f t="shared" si="0"/>
        <v/>
      </c>
      <c r="D17" s="35"/>
      <c r="E17" s="6"/>
      <c r="H17" s="16" t="s">
        <v>88</v>
      </c>
      <c r="I17" s="16" t="s">
        <v>89</v>
      </c>
      <c r="J17" s="16" t="s">
        <v>86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76" t="s">
        <v>20</v>
      </c>
      <c r="H18" s="16" t="s">
        <v>74</v>
      </c>
      <c r="I18" s="16" t="s">
        <v>75</v>
      </c>
      <c r="J18" s="16" t="s">
        <v>86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1.284126984126984</v>
      </c>
      <c r="B19" s="2">
        <v>16</v>
      </c>
      <c r="C19" s="31" t="str">
        <f t="shared" si="0"/>
        <v/>
      </c>
      <c r="D19" s="35"/>
      <c r="E19" s="6"/>
      <c r="F19" s="76"/>
      <c r="H19" s="16" t="s">
        <v>76</v>
      </c>
      <c r="I19" s="16" t="s">
        <v>77</v>
      </c>
      <c r="J19" s="16" t="s">
        <v>86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76"/>
      <c r="H20" s="16" t="s">
        <v>90</v>
      </c>
      <c r="I20" s="16" t="s">
        <v>91</v>
      </c>
      <c r="J20" s="16" t="s">
        <v>86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76"/>
      <c r="H21" s="16" t="s">
        <v>92</v>
      </c>
      <c r="I21" s="16" t="s">
        <v>93</v>
      </c>
      <c r="J21" s="16" t="s">
        <v>87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H22" s="16" t="s">
        <v>94</v>
      </c>
      <c r="I22" s="16" t="s">
        <v>95</v>
      </c>
      <c r="J22" s="16" t="s">
        <v>87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H23" s="16" t="s">
        <v>96</v>
      </c>
      <c r="I23" s="16" t="s">
        <v>97</v>
      </c>
      <c r="J23" s="16" t="s">
        <v>87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77" t="s">
        <v>22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77"/>
      <c r="H25" s="16" t="s">
        <v>98</v>
      </c>
      <c r="I25" s="16" t="s">
        <v>99</v>
      </c>
      <c r="J25" s="16" t="s">
        <v>87</v>
      </c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77"/>
      <c r="H26" s="16" t="s">
        <v>100</v>
      </c>
      <c r="I26" s="16" t="s">
        <v>101</v>
      </c>
      <c r="J26" s="16" t="s">
        <v>87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77"/>
      <c r="H27" s="16" t="s">
        <v>102</v>
      </c>
      <c r="I27" s="16" t="s">
        <v>103</v>
      </c>
      <c r="J27" s="16" t="s">
        <v>87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77"/>
      <c r="H28" s="16" t="s">
        <v>44</v>
      </c>
      <c r="I28" s="16" t="s">
        <v>46</v>
      </c>
      <c r="J28" s="16" t="s">
        <v>86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78" t="s">
        <v>24</v>
      </c>
      <c r="G29" s="23"/>
      <c r="H29" s="16" t="s">
        <v>45</v>
      </c>
      <c r="I29" s="16" t="s">
        <v>78</v>
      </c>
      <c r="J29" s="16" t="s">
        <v>86</v>
      </c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2</v>
      </c>
      <c r="C30" s="23"/>
      <c r="D30" s="23"/>
      <c r="E30" s="38"/>
      <c r="F30" s="78"/>
      <c r="G30" s="23"/>
      <c r="H30" s="16" t="s">
        <v>60</v>
      </c>
      <c r="I30" s="16" t="s">
        <v>79</v>
      </c>
      <c r="J30" s="16" t="s">
        <v>86</v>
      </c>
      <c r="K30" s="23"/>
      <c r="L30" s="23"/>
      <c r="M30" s="23"/>
      <c r="N30" s="23"/>
      <c r="O30" s="23"/>
      <c r="P30" s="23"/>
      <c r="Q30" s="23"/>
    </row>
    <row r="31" spans="1:25" x14ac:dyDescent="0.25">
      <c r="A31" s="44" t="s">
        <v>6</v>
      </c>
      <c r="B31" s="41" t="b">
        <v>1</v>
      </c>
      <c r="C31" s="23"/>
      <c r="D31" s="44" t="s">
        <v>56</v>
      </c>
      <c r="E31" s="23"/>
      <c r="F31" s="78"/>
      <c r="G31" s="23"/>
      <c r="H31" s="16" t="s">
        <v>47</v>
      </c>
      <c r="I31" s="16" t="s">
        <v>49</v>
      </c>
      <c r="J31" s="16" t="s">
        <v>86</v>
      </c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0.875</v>
      </c>
      <c r="B32" s="41" t="b">
        <v>0</v>
      </c>
      <c r="C32" s="23"/>
      <c r="D32" s="34">
        <v>0</v>
      </c>
      <c r="E32" s="23"/>
      <c r="F32" s="23"/>
      <c r="G32" s="23"/>
      <c r="K32" s="23"/>
      <c r="L32" s="23"/>
      <c r="M32" s="23"/>
      <c r="N32" s="23"/>
      <c r="O32" s="23"/>
      <c r="P32" s="23"/>
      <c r="Q32" s="23"/>
    </row>
    <row r="33" spans="1:17" x14ac:dyDescent="0.25">
      <c r="A33" s="44" t="s">
        <v>50</v>
      </c>
      <c r="B33" s="41" t="b">
        <v>1</v>
      </c>
      <c r="C33" s="23"/>
      <c r="D33" s="44" t="s">
        <v>57</v>
      </c>
      <c r="E33" s="23"/>
      <c r="F33" s="37"/>
      <c r="G33" s="23"/>
      <c r="H33" s="16" t="s">
        <v>48</v>
      </c>
      <c r="I33" s="16" t="s">
        <v>80</v>
      </c>
      <c r="J33" s="16" t="s">
        <v>86</v>
      </c>
      <c r="K33" s="23"/>
      <c r="L33" s="23"/>
      <c r="M33" s="23"/>
      <c r="N33" s="23"/>
      <c r="O33" s="23"/>
      <c r="P33" s="23"/>
      <c r="Q33" s="23"/>
    </row>
    <row r="34" spans="1:17" x14ac:dyDescent="0.25">
      <c r="A34" s="45">
        <f>(counttour()/E2*(A2+A3))+A32</f>
        <v>1.1369047619047619</v>
      </c>
      <c r="B34" s="41" t="b">
        <v>1</v>
      </c>
      <c r="C34" s="23"/>
      <c r="D34" s="34">
        <v>0</v>
      </c>
      <c r="E34" s="23"/>
      <c r="G34" s="23"/>
      <c r="H34" s="16" t="s">
        <v>61</v>
      </c>
      <c r="I34" s="16" t="s">
        <v>81</v>
      </c>
      <c r="J34" s="16" t="s">
        <v>86</v>
      </c>
      <c r="K34" s="23"/>
      <c r="L34" s="23"/>
      <c r="M34" s="23"/>
      <c r="N34" s="23"/>
      <c r="O34" s="23"/>
      <c r="P34" s="23"/>
      <c r="Q34" s="23"/>
    </row>
    <row r="35" spans="1:17" x14ac:dyDescent="0.25">
      <c r="A35" s="44" t="s">
        <v>51</v>
      </c>
      <c r="B35" s="23"/>
      <c r="C35" s="23"/>
      <c r="D35" s="51" t="s">
        <v>59</v>
      </c>
      <c r="E35" s="23"/>
      <c r="G35" s="23"/>
      <c r="H35" s="16" t="s">
        <v>62</v>
      </c>
      <c r="I35" s="16" t="s">
        <v>64</v>
      </c>
      <c r="J35" s="16" t="s">
        <v>87</v>
      </c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0.15625</v>
      </c>
      <c r="B36" s="23"/>
      <c r="C36" s="23"/>
      <c r="D36" s="34" t="b">
        <v>1</v>
      </c>
      <c r="E36" s="23" t="s">
        <v>58</v>
      </c>
      <c r="G36" s="23"/>
      <c r="H36" s="16" t="s">
        <v>63</v>
      </c>
      <c r="I36" s="16" t="s">
        <v>82</v>
      </c>
      <c r="J36" s="16" t="s">
        <v>87</v>
      </c>
      <c r="K36" s="23"/>
      <c r="L36" s="23"/>
      <c r="M36" s="23"/>
      <c r="N36" s="23"/>
      <c r="O36" s="23"/>
      <c r="P36" s="23"/>
      <c r="Q36" s="23"/>
    </row>
    <row r="37" spans="1:17" x14ac:dyDescent="0.25">
      <c r="A37" s="44" t="s">
        <v>52</v>
      </c>
      <c r="B37" s="23"/>
      <c r="C37" s="23"/>
      <c r="D37" s="23"/>
      <c r="E37" s="23"/>
      <c r="G37" s="23"/>
      <c r="H37" s="16" t="s">
        <v>65</v>
      </c>
      <c r="I37" s="16" t="s">
        <v>83</v>
      </c>
      <c r="J37" s="16" t="s">
        <v>87</v>
      </c>
      <c r="K37" s="23"/>
      <c r="L37" s="23"/>
      <c r="M37" s="23"/>
      <c r="N37" s="23"/>
      <c r="O37" s="23"/>
      <c r="P37" s="23"/>
      <c r="Q37" s="23"/>
    </row>
    <row r="38" spans="1:17" x14ac:dyDescent="0.25">
      <c r="A38" s="45">
        <f>A36+(ROUNDUP(IF(B31=TRUE,12*A5,12*A5*B30)/E2,0)*(A2+A3))</f>
        <v>0.32430555555555551</v>
      </c>
      <c r="B38" s="23"/>
      <c r="C38" s="23"/>
      <c r="D38" s="23"/>
      <c r="E38" s="23"/>
      <c r="F38" s="23"/>
      <c r="G38" s="23"/>
      <c r="H38" s="16" t="s">
        <v>66</v>
      </c>
      <c r="I38" s="16" t="s">
        <v>68</v>
      </c>
      <c r="J38" s="16" t="s">
        <v>87</v>
      </c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H39" s="16" t="s">
        <v>67</v>
      </c>
      <c r="I39" s="16" t="s">
        <v>84</v>
      </c>
      <c r="J39" s="16" t="s">
        <v>87</v>
      </c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7</v>
      </c>
      <c r="B41" s="23"/>
      <c r="C41" s="23"/>
      <c r="D41" s="23"/>
      <c r="E41" s="23"/>
      <c r="F41" s="23"/>
      <c r="G41" s="23"/>
      <c r="H41" s="16" t="s">
        <v>69</v>
      </c>
      <c r="I41" s="16" t="s">
        <v>85</v>
      </c>
      <c r="J41" s="16" t="s">
        <v>87</v>
      </c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H42" s="16" t="s">
        <v>70</v>
      </c>
      <c r="I42" s="16" t="s">
        <v>72</v>
      </c>
      <c r="J42" s="16" t="s">
        <v>86</v>
      </c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H43" s="16" t="s">
        <v>71</v>
      </c>
      <c r="I43" s="16" t="s">
        <v>88</v>
      </c>
      <c r="J43" s="16" t="s">
        <v>86</v>
      </c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H44" s="16" t="s">
        <v>73</v>
      </c>
      <c r="I44" s="16" t="s">
        <v>89</v>
      </c>
      <c r="J44" s="16" t="s">
        <v>86</v>
      </c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H45" s="16" t="s">
        <v>74</v>
      </c>
      <c r="I45" s="16" t="s">
        <v>76</v>
      </c>
      <c r="J45" s="16" t="s">
        <v>86</v>
      </c>
      <c r="K45" s="23"/>
      <c r="L45" s="23"/>
      <c r="M45" s="23"/>
      <c r="N45" s="23"/>
      <c r="O45" s="23"/>
      <c r="P45" s="23"/>
      <c r="Q45" s="23"/>
    </row>
    <row r="46" spans="1:17" x14ac:dyDescent="0.25">
      <c r="A46" s="17"/>
      <c r="H46" s="16" t="s">
        <v>75</v>
      </c>
      <c r="I46" s="16" t="s">
        <v>90</v>
      </c>
      <c r="J46" s="16" t="s">
        <v>86</v>
      </c>
    </row>
    <row r="47" spans="1:17" x14ac:dyDescent="0.25">
      <c r="A47" s="13"/>
      <c r="H47" s="16" t="s">
        <v>77</v>
      </c>
      <c r="I47" s="16" t="s">
        <v>91</v>
      </c>
      <c r="J47" s="16" t="s">
        <v>86</v>
      </c>
    </row>
    <row r="48" spans="1:17" ht="15.75" x14ac:dyDescent="0.25">
      <c r="A48" s="14"/>
    </row>
    <row r="49" spans="1:10" ht="15.75" x14ac:dyDescent="0.25">
      <c r="A49" s="14"/>
      <c r="H49" s="16" t="s">
        <v>92</v>
      </c>
      <c r="I49" s="16" t="s">
        <v>94</v>
      </c>
      <c r="J49" s="16" t="s">
        <v>87</v>
      </c>
    </row>
    <row r="50" spans="1:10" ht="15.75" x14ac:dyDescent="0.25">
      <c r="A50" s="14"/>
      <c r="H50" s="16" t="s">
        <v>93</v>
      </c>
      <c r="I50" s="16" t="s">
        <v>96</v>
      </c>
      <c r="J50" s="16" t="s">
        <v>87</v>
      </c>
    </row>
    <row r="51" spans="1:10" ht="15.75" x14ac:dyDescent="0.25">
      <c r="A51" s="14"/>
      <c r="H51" s="16" t="s">
        <v>95</v>
      </c>
      <c r="I51" s="16" t="s">
        <v>97</v>
      </c>
      <c r="J51" s="16" t="s">
        <v>87</v>
      </c>
    </row>
    <row r="52" spans="1:10" ht="15.75" x14ac:dyDescent="0.25">
      <c r="A52" s="14"/>
      <c r="H52" s="16" t="s">
        <v>98</v>
      </c>
      <c r="I52" s="16" t="s">
        <v>100</v>
      </c>
      <c r="J52" s="16" t="s">
        <v>87</v>
      </c>
    </row>
    <row r="53" spans="1:10" ht="15.75" x14ac:dyDescent="0.25">
      <c r="A53" s="14"/>
      <c r="H53" s="16" t="s">
        <v>99</v>
      </c>
      <c r="I53" s="16" t="s">
        <v>102</v>
      </c>
      <c r="J53" s="16" t="s">
        <v>87</v>
      </c>
    </row>
    <row r="54" spans="1:10" ht="15.75" x14ac:dyDescent="0.25">
      <c r="A54" s="14"/>
      <c r="H54" s="16" t="s">
        <v>101</v>
      </c>
      <c r="I54" s="16" t="s">
        <v>103</v>
      </c>
      <c r="J54" s="16" t="s">
        <v>87</v>
      </c>
    </row>
    <row r="55" spans="1:10" ht="15.75" x14ac:dyDescent="0.25">
      <c r="A55" s="14"/>
      <c r="H55" s="16" t="s">
        <v>44</v>
      </c>
      <c r="I55" s="16" t="s">
        <v>79</v>
      </c>
      <c r="J55" s="16" t="s">
        <v>86</v>
      </c>
    </row>
    <row r="56" spans="1:10" x14ac:dyDescent="0.25">
      <c r="A56" s="13"/>
    </row>
    <row r="57" spans="1:10" x14ac:dyDescent="0.25">
      <c r="A57" s="17"/>
      <c r="H57" s="16" t="s">
        <v>45</v>
      </c>
      <c r="I57" s="16" t="s">
        <v>46</v>
      </c>
      <c r="J57" s="16" t="s">
        <v>86</v>
      </c>
    </row>
    <row r="58" spans="1:10" x14ac:dyDescent="0.25">
      <c r="A58" s="13"/>
      <c r="H58" s="16" t="s">
        <v>60</v>
      </c>
      <c r="I58" s="16" t="s">
        <v>78</v>
      </c>
      <c r="J58" s="16" t="s">
        <v>86</v>
      </c>
    </row>
    <row r="59" spans="1:10" ht="15.75" x14ac:dyDescent="0.25">
      <c r="A59" s="14"/>
      <c r="H59" s="16" t="s">
        <v>47</v>
      </c>
      <c r="I59" s="16" t="s">
        <v>81</v>
      </c>
      <c r="J59" s="16" t="s">
        <v>86</v>
      </c>
    </row>
    <row r="60" spans="1:10" ht="15.75" x14ac:dyDescent="0.25">
      <c r="A60" s="14"/>
      <c r="H60" s="16" t="s">
        <v>48</v>
      </c>
      <c r="I60" s="16" t="s">
        <v>49</v>
      </c>
      <c r="J60" s="16" t="s">
        <v>86</v>
      </c>
    </row>
    <row r="61" spans="1:10" ht="15.75" x14ac:dyDescent="0.25">
      <c r="A61" s="14"/>
      <c r="H61" s="16" t="s">
        <v>61</v>
      </c>
      <c r="I61" s="16" t="s">
        <v>80</v>
      </c>
      <c r="J61" s="16" t="s">
        <v>86</v>
      </c>
    </row>
    <row r="62" spans="1:10" ht="15.75" x14ac:dyDescent="0.25">
      <c r="A62" s="14"/>
      <c r="H62" s="16" t="s">
        <v>62</v>
      </c>
      <c r="I62" s="16" t="s">
        <v>83</v>
      </c>
      <c r="J62" s="16" t="s">
        <v>87</v>
      </c>
    </row>
    <row r="63" spans="1:10" ht="15.75" x14ac:dyDescent="0.25">
      <c r="A63" s="14"/>
      <c r="H63" s="16" t="s">
        <v>63</v>
      </c>
      <c r="I63" s="16" t="s">
        <v>64</v>
      </c>
      <c r="J63" s="16" t="s">
        <v>87</v>
      </c>
    </row>
    <row r="64" spans="1:10" ht="15.75" x14ac:dyDescent="0.25">
      <c r="A64" s="14"/>
      <c r="D64" s="2" t="s">
        <v>44</v>
      </c>
      <c r="E64" s="2" t="s">
        <v>47</v>
      </c>
    </row>
    <row r="65" spans="1:10" ht="15.75" x14ac:dyDescent="0.25">
      <c r="A65" s="14"/>
      <c r="H65" s="16" t="s">
        <v>65</v>
      </c>
      <c r="I65" s="16" t="s">
        <v>82</v>
      </c>
      <c r="J65" s="16" t="s">
        <v>87</v>
      </c>
    </row>
    <row r="66" spans="1:10" ht="15.75" x14ac:dyDescent="0.25">
      <c r="A66" s="14"/>
      <c r="H66" s="16" t="s">
        <v>66</v>
      </c>
      <c r="I66" s="16" t="s">
        <v>85</v>
      </c>
      <c r="J66" s="16" t="s">
        <v>87</v>
      </c>
    </row>
    <row r="67" spans="1:10" x14ac:dyDescent="0.25">
      <c r="A67" s="13"/>
      <c r="H67" s="16" t="s">
        <v>67</v>
      </c>
      <c r="I67" s="16" t="s">
        <v>68</v>
      </c>
      <c r="J67" s="16" t="s">
        <v>87</v>
      </c>
    </row>
    <row r="68" spans="1:10" x14ac:dyDescent="0.25">
      <c r="A68" s="17"/>
      <c r="H68" s="16" t="s">
        <v>69</v>
      </c>
      <c r="I68" s="16" t="s">
        <v>84</v>
      </c>
      <c r="J68" s="16" t="s">
        <v>87</v>
      </c>
    </row>
    <row r="69" spans="1:10" x14ac:dyDescent="0.25">
      <c r="A69" s="13"/>
      <c r="H69" s="16" t="s">
        <v>70</v>
      </c>
      <c r="I69" s="16" t="s">
        <v>89</v>
      </c>
      <c r="J69" s="16" t="s">
        <v>86</v>
      </c>
    </row>
    <row r="70" spans="1:10" ht="15.75" x14ac:dyDescent="0.25">
      <c r="A70" s="14"/>
      <c r="H70" s="16" t="s">
        <v>71</v>
      </c>
      <c r="I70" s="16" t="s">
        <v>72</v>
      </c>
      <c r="J70" s="16" t="s">
        <v>86</v>
      </c>
    </row>
    <row r="71" spans="1:10" ht="15.75" x14ac:dyDescent="0.25">
      <c r="A71" s="14"/>
      <c r="H71" s="16" t="s">
        <v>73</v>
      </c>
      <c r="I71" s="16" t="s">
        <v>88</v>
      </c>
      <c r="J71" s="16" t="s">
        <v>86</v>
      </c>
    </row>
    <row r="72" spans="1:10" ht="15.75" x14ac:dyDescent="0.25">
      <c r="A72" s="14"/>
    </row>
    <row r="73" spans="1:10" ht="15.75" x14ac:dyDescent="0.25">
      <c r="A73" s="14"/>
      <c r="H73" s="16" t="s">
        <v>74</v>
      </c>
      <c r="I73" s="16" t="s">
        <v>91</v>
      </c>
      <c r="J73" s="16" t="s">
        <v>86</v>
      </c>
    </row>
    <row r="74" spans="1:10" ht="15.75" x14ac:dyDescent="0.25">
      <c r="A74" s="14"/>
      <c r="H74" s="16" t="s">
        <v>75</v>
      </c>
      <c r="I74" s="16" t="s">
        <v>76</v>
      </c>
      <c r="J74" s="16" t="s">
        <v>86</v>
      </c>
    </row>
    <row r="75" spans="1:10" ht="15.75" x14ac:dyDescent="0.25">
      <c r="A75" s="14"/>
      <c r="H75" s="16" t="s">
        <v>77</v>
      </c>
      <c r="I75" s="16" t="s">
        <v>90</v>
      </c>
      <c r="J75" s="16" t="s">
        <v>86</v>
      </c>
    </row>
    <row r="76" spans="1:10" ht="15.75" x14ac:dyDescent="0.25">
      <c r="A76" s="14"/>
      <c r="H76" s="16" t="s">
        <v>92</v>
      </c>
      <c r="I76" s="16" t="s">
        <v>97</v>
      </c>
      <c r="J76" s="16" t="s">
        <v>87</v>
      </c>
    </row>
    <row r="77" spans="1:10" ht="15.75" x14ac:dyDescent="0.25">
      <c r="A77" s="14"/>
      <c r="H77" s="16" t="s">
        <v>93</v>
      </c>
      <c r="I77" s="16" t="s">
        <v>94</v>
      </c>
      <c r="J77" s="16" t="s">
        <v>87</v>
      </c>
    </row>
    <row r="78" spans="1:10" x14ac:dyDescent="0.25">
      <c r="A78" s="13"/>
      <c r="H78" s="16" t="s">
        <v>95</v>
      </c>
      <c r="I78" s="16" t="s">
        <v>96</v>
      </c>
      <c r="J78" s="16" t="s">
        <v>87</v>
      </c>
    </row>
    <row r="79" spans="1:10" x14ac:dyDescent="0.25">
      <c r="A79" s="17"/>
      <c r="H79" s="16" t="s">
        <v>98</v>
      </c>
      <c r="I79" s="16" t="s">
        <v>103</v>
      </c>
      <c r="J79" s="16" t="s">
        <v>87</v>
      </c>
    </row>
    <row r="80" spans="1:10" x14ac:dyDescent="0.25">
      <c r="A80" s="13"/>
    </row>
    <row r="81" spans="1:10" ht="15.75" x14ac:dyDescent="0.25">
      <c r="A81" s="14"/>
      <c r="H81" s="16" t="s">
        <v>99</v>
      </c>
      <c r="I81" s="16" t="s">
        <v>100</v>
      </c>
      <c r="J81" s="16" t="s">
        <v>87</v>
      </c>
    </row>
    <row r="82" spans="1:10" ht="15.75" x14ac:dyDescent="0.25">
      <c r="A82" s="14"/>
      <c r="H82" s="16" t="s">
        <v>101</v>
      </c>
      <c r="I82" s="16" t="s">
        <v>102</v>
      </c>
      <c r="J82" s="16" t="s">
        <v>87</v>
      </c>
    </row>
    <row r="83" spans="1:10" ht="15.75" x14ac:dyDescent="0.25">
      <c r="A83" s="14"/>
      <c r="H83" s="16" t="s">
        <v>44</v>
      </c>
      <c r="I83" s="16" t="s">
        <v>60</v>
      </c>
      <c r="J83" s="16" t="s">
        <v>86</v>
      </c>
    </row>
    <row r="84" spans="1:10" ht="15.75" x14ac:dyDescent="0.25">
      <c r="A84" s="14"/>
      <c r="H84" s="16" t="s">
        <v>45</v>
      </c>
      <c r="I84" s="16" t="s">
        <v>79</v>
      </c>
      <c r="J84" s="16" t="s">
        <v>86</v>
      </c>
    </row>
    <row r="85" spans="1:10" ht="15.75" x14ac:dyDescent="0.25">
      <c r="A85" s="14"/>
      <c r="H85" s="16" t="s">
        <v>46</v>
      </c>
      <c r="I85" s="16" t="s">
        <v>78</v>
      </c>
      <c r="J85" s="16" t="s">
        <v>86</v>
      </c>
    </row>
    <row r="86" spans="1:10" ht="15.75" x14ac:dyDescent="0.25">
      <c r="A86" s="14"/>
      <c r="H86" s="16" t="s">
        <v>47</v>
      </c>
      <c r="I86" s="16" t="s">
        <v>61</v>
      </c>
      <c r="J86" s="16" t="s">
        <v>86</v>
      </c>
    </row>
    <row r="87" spans="1:10" ht="15.75" x14ac:dyDescent="0.25">
      <c r="A87" s="14"/>
      <c r="H87" s="16" t="s">
        <v>48</v>
      </c>
      <c r="I87" s="16" t="s">
        <v>81</v>
      </c>
      <c r="J87" s="16" t="s">
        <v>86</v>
      </c>
    </row>
    <row r="88" spans="1:10" ht="15.75" x14ac:dyDescent="0.25">
      <c r="A88" s="14"/>
    </row>
    <row r="89" spans="1:10" x14ac:dyDescent="0.25">
      <c r="A89" s="18"/>
      <c r="H89" s="16" t="s">
        <v>49</v>
      </c>
      <c r="I89" s="16" t="s">
        <v>80</v>
      </c>
      <c r="J89" s="16" t="s">
        <v>86</v>
      </c>
    </row>
    <row r="90" spans="1:10" x14ac:dyDescent="0.25">
      <c r="A90" s="18"/>
      <c r="H90" s="16" t="s">
        <v>62</v>
      </c>
      <c r="I90" s="16" t="s">
        <v>65</v>
      </c>
      <c r="J90" s="16" t="s">
        <v>87</v>
      </c>
    </row>
    <row r="91" spans="1:10" x14ac:dyDescent="0.25">
      <c r="A91" s="18"/>
      <c r="H91" s="16" t="s">
        <v>63</v>
      </c>
      <c r="I91" s="16" t="s">
        <v>83</v>
      </c>
      <c r="J91" s="16" t="s">
        <v>87</v>
      </c>
    </row>
    <row r="92" spans="1:10" x14ac:dyDescent="0.25">
      <c r="A92" s="18"/>
      <c r="H92" s="16" t="s">
        <v>64</v>
      </c>
      <c r="I92" s="16" t="s">
        <v>82</v>
      </c>
      <c r="J92" s="16" t="s">
        <v>87</v>
      </c>
    </row>
    <row r="93" spans="1:10" x14ac:dyDescent="0.25">
      <c r="A93" s="18"/>
      <c r="H93" s="16" t="s">
        <v>66</v>
      </c>
      <c r="I93" s="16" t="s">
        <v>69</v>
      </c>
      <c r="J93" s="16" t="s">
        <v>87</v>
      </c>
    </row>
    <row r="94" spans="1:10" x14ac:dyDescent="0.25">
      <c r="A94" s="18"/>
      <c r="H94" s="16" t="s">
        <v>67</v>
      </c>
      <c r="I94" s="16" t="s">
        <v>85</v>
      </c>
      <c r="J94" s="16" t="s">
        <v>87</v>
      </c>
    </row>
    <row r="95" spans="1:10" x14ac:dyDescent="0.25">
      <c r="A95" s="18"/>
      <c r="H95" s="16" t="s">
        <v>68</v>
      </c>
      <c r="I95" s="16" t="s">
        <v>84</v>
      </c>
      <c r="J95" s="16" t="s">
        <v>87</v>
      </c>
    </row>
    <row r="96" spans="1:10" x14ac:dyDescent="0.25">
      <c r="A96" s="18"/>
    </row>
    <row r="97" spans="1:10" x14ac:dyDescent="0.25">
      <c r="A97" s="18"/>
      <c r="H97" s="16" t="s">
        <v>70</v>
      </c>
      <c r="I97" s="16" t="s">
        <v>73</v>
      </c>
      <c r="J97" s="16" t="s">
        <v>86</v>
      </c>
    </row>
    <row r="98" spans="1:10" x14ac:dyDescent="0.25">
      <c r="A98" s="18"/>
      <c r="H98" s="16" t="s">
        <v>71</v>
      </c>
      <c r="I98" s="16" t="s">
        <v>89</v>
      </c>
      <c r="J98" s="16" t="s">
        <v>86</v>
      </c>
    </row>
    <row r="99" spans="1:10" x14ac:dyDescent="0.25">
      <c r="A99" s="18"/>
      <c r="H99" s="16" t="s">
        <v>72</v>
      </c>
      <c r="I99" s="16" t="s">
        <v>88</v>
      </c>
      <c r="J99" s="16" t="s">
        <v>86</v>
      </c>
    </row>
    <row r="100" spans="1:10" x14ac:dyDescent="0.25">
      <c r="A100" s="18"/>
      <c r="H100" s="16" t="s">
        <v>74</v>
      </c>
      <c r="I100" s="16" t="s">
        <v>77</v>
      </c>
      <c r="J100" s="16" t="s">
        <v>86</v>
      </c>
    </row>
    <row r="101" spans="1:10" x14ac:dyDescent="0.25">
      <c r="A101" s="18"/>
      <c r="H101" s="16" t="s">
        <v>75</v>
      </c>
      <c r="I101" s="16" t="s">
        <v>91</v>
      </c>
      <c r="J101" s="16" t="s">
        <v>86</v>
      </c>
    </row>
    <row r="102" spans="1:10" x14ac:dyDescent="0.25">
      <c r="A102" s="18"/>
      <c r="H102" s="16" t="s">
        <v>76</v>
      </c>
      <c r="I102" s="16" t="s">
        <v>90</v>
      </c>
      <c r="J102" s="16" t="s">
        <v>86</v>
      </c>
    </row>
    <row r="103" spans="1:10" x14ac:dyDescent="0.25">
      <c r="A103" s="18"/>
      <c r="H103" s="16" t="s">
        <v>92</v>
      </c>
      <c r="I103" s="16" t="s">
        <v>95</v>
      </c>
      <c r="J103" s="16" t="s">
        <v>87</v>
      </c>
    </row>
    <row r="104" spans="1:10" x14ac:dyDescent="0.25">
      <c r="A104" s="18"/>
    </row>
    <row r="105" spans="1:10" x14ac:dyDescent="0.25">
      <c r="A105" s="18"/>
      <c r="H105" s="16" t="s">
        <v>93</v>
      </c>
      <c r="I105" s="16" t="s">
        <v>97</v>
      </c>
      <c r="J105" s="16" t="s">
        <v>87</v>
      </c>
    </row>
    <row r="106" spans="1:10" x14ac:dyDescent="0.25">
      <c r="A106" s="18"/>
      <c r="H106" s="16" t="s">
        <v>94</v>
      </c>
      <c r="I106" s="16" t="s">
        <v>96</v>
      </c>
      <c r="J106" s="16" t="s">
        <v>87</v>
      </c>
    </row>
    <row r="107" spans="1:10" x14ac:dyDescent="0.25">
      <c r="A107" s="18"/>
      <c r="H107" s="16" t="s">
        <v>98</v>
      </c>
      <c r="I107" s="16" t="s">
        <v>101</v>
      </c>
      <c r="J107" s="16" t="s">
        <v>87</v>
      </c>
    </row>
    <row r="108" spans="1:10" x14ac:dyDescent="0.25">
      <c r="A108" s="18"/>
      <c r="H108" s="16" t="s">
        <v>99</v>
      </c>
      <c r="I108" s="16" t="s">
        <v>103</v>
      </c>
      <c r="J108" s="16" t="s">
        <v>87</v>
      </c>
    </row>
    <row r="109" spans="1:10" x14ac:dyDescent="0.25">
      <c r="A109" s="18"/>
      <c r="H109" s="16" t="s">
        <v>100</v>
      </c>
      <c r="I109" s="16" t="s">
        <v>102</v>
      </c>
      <c r="J109" s="16" t="s">
        <v>87</v>
      </c>
    </row>
    <row r="110" spans="1:10" x14ac:dyDescent="0.25">
      <c r="A110" s="18"/>
      <c r="H110" s="16" t="s">
        <v>44</v>
      </c>
      <c r="I110" s="16" t="s">
        <v>78</v>
      </c>
      <c r="J110" s="16" t="s">
        <v>86</v>
      </c>
    </row>
    <row r="111" spans="1:10" x14ac:dyDescent="0.25">
      <c r="A111" s="18"/>
      <c r="H111" s="16" t="s">
        <v>45</v>
      </c>
      <c r="I111" s="16" t="s">
        <v>60</v>
      </c>
      <c r="J111" s="16" t="s">
        <v>86</v>
      </c>
    </row>
    <row r="112" spans="1:10" x14ac:dyDescent="0.25">
      <c r="A112" s="18"/>
    </row>
    <row r="113" spans="1:10" x14ac:dyDescent="0.25">
      <c r="A113" s="18"/>
      <c r="H113" s="16" t="s">
        <v>46</v>
      </c>
      <c r="I113" s="16" t="s">
        <v>79</v>
      </c>
      <c r="J113" s="16" t="s">
        <v>86</v>
      </c>
    </row>
    <row r="114" spans="1:10" x14ac:dyDescent="0.25">
      <c r="A114" s="18"/>
      <c r="H114" s="16" t="s">
        <v>47</v>
      </c>
      <c r="I114" s="16" t="s">
        <v>80</v>
      </c>
      <c r="J114" s="16" t="s">
        <v>86</v>
      </c>
    </row>
    <row r="115" spans="1:10" x14ac:dyDescent="0.25">
      <c r="A115" s="18"/>
      <c r="H115" s="16" t="s">
        <v>48</v>
      </c>
      <c r="I115" s="16" t="s">
        <v>61</v>
      </c>
      <c r="J115" s="16" t="s">
        <v>86</v>
      </c>
    </row>
    <row r="116" spans="1:10" x14ac:dyDescent="0.25">
      <c r="A116" s="18"/>
      <c r="H116" s="16" t="s">
        <v>49</v>
      </c>
      <c r="I116" s="16" t="s">
        <v>81</v>
      </c>
      <c r="J116" s="16" t="s">
        <v>86</v>
      </c>
    </row>
    <row r="117" spans="1:10" x14ac:dyDescent="0.25">
      <c r="A117" s="18"/>
      <c r="H117" s="16" t="s">
        <v>62</v>
      </c>
      <c r="I117" s="16" t="s">
        <v>82</v>
      </c>
      <c r="J117" s="16" t="s">
        <v>87</v>
      </c>
    </row>
    <row r="118" spans="1:10" x14ac:dyDescent="0.25">
      <c r="A118" s="18"/>
      <c r="H118" s="16" t="s">
        <v>63</v>
      </c>
      <c r="I118" s="16" t="s">
        <v>65</v>
      </c>
      <c r="J118" s="16" t="s">
        <v>87</v>
      </c>
    </row>
    <row r="119" spans="1:10" x14ac:dyDescent="0.25">
      <c r="A119" s="18"/>
      <c r="H119" s="16" t="s">
        <v>64</v>
      </c>
      <c r="I119" s="16" t="s">
        <v>83</v>
      </c>
      <c r="J119" s="16" t="s">
        <v>87</v>
      </c>
    </row>
    <row r="120" spans="1:10" x14ac:dyDescent="0.25">
      <c r="A120" s="18"/>
    </row>
    <row r="121" spans="1:10" x14ac:dyDescent="0.25">
      <c r="A121" s="18"/>
      <c r="H121" s="16" t="s">
        <v>66</v>
      </c>
      <c r="I121" s="16" t="s">
        <v>84</v>
      </c>
      <c r="J121" s="16" t="s">
        <v>87</v>
      </c>
    </row>
    <row r="122" spans="1:10" x14ac:dyDescent="0.25">
      <c r="A122" s="18"/>
      <c r="H122" s="16" t="s">
        <v>67</v>
      </c>
      <c r="I122" s="16" t="s">
        <v>69</v>
      </c>
      <c r="J122" s="16" t="s">
        <v>87</v>
      </c>
    </row>
    <row r="123" spans="1:10" x14ac:dyDescent="0.25">
      <c r="A123" s="18"/>
      <c r="H123" s="16" t="s">
        <v>68</v>
      </c>
      <c r="I123" s="16" t="s">
        <v>85</v>
      </c>
      <c r="J123" s="16" t="s">
        <v>87</v>
      </c>
    </row>
    <row r="124" spans="1:10" x14ac:dyDescent="0.25">
      <c r="A124" s="18"/>
      <c r="H124" s="16" t="s">
        <v>70</v>
      </c>
      <c r="I124" s="16" t="s">
        <v>88</v>
      </c>
      <c r="J124" s="16" t="s">
        <v>86</v>
      </c>
    </row>
    <row r="125" spans="1:10" x14ac:dyDescent="0.25">
      <c r="A125" s="18"/>
      <c r="H125" s="16" t="s">
        <v>71</v>
      </c>
      <c r="I125" s="16" t="s">
        <v>73</v>
      </c>
      <c r="J125" s="16" t="s">
        <v>86</v>
      </c>
    </row>
    <row r="126" spans="1:10" x14ac:dyDescent="0.25">
      <c r="A126" s="18"/>
      <c r="H126" s="16" t="s">
        <v>72</v>
      </c>
      <c r="I126" s="16" t="s">
        <v>89</v>
      </c>
      <c r="J126" s="16" t="s">
        <v>86</v>
      </c>
    </row>
    <row r="127" spans="1:10" x14ac:dyDescent="0.25">
      <c r="A127" s="18"/>
      <c r="H127" s="16" t="s">
        <v>74</v>
      </c>
      <c r="I127" s="16" t="s">
        <v>90</v>
      </c>
      <c r="J127" s="16" t="s">
        <v>86</v>
      </c>
    </row>
    <row r="128" spans="1:10" x14ac:dyDescent="0.25">
      <c r="A128" s="18"/>
    </row>
    <row r="129" spans="1:10" x14ac:dyDescent="0.25">
      <c r="A129" s="18"/>
      <c r="H129" s="16" t="s">
        <v>75</v>
      </c>
      <c r="I129" s="16" t="s">
        <v>77</v>
      </c>
      <c r="J129" s="16" t="s">
        <v>86</v>
      </c>
    </row>
    <row r="130" spans="1:10" x14ac:dyDescent="0.25">
      <c r="A130" s="18"/>
      <c r="H130" s="16" t="s">
        <v>76</v>
      </c>
      <c r="I130" s="16" t="s">
        <v>91</v>
      </c>
      <c r="J130" s="16" t="s">
        <v>86</v>
      </c>
    </row>
    <row r="131" spans="1:10" x14ac:dyDescent="0.25">
      <c r="A131" s="18"/>
      <c r="H131" s="16" t="s">
        <v>92</v>
      </c>
      <c r="I131" s="16" t="s">
        <v>96</v>
      </c>
      <c r="J131" s="16" t="s">
        <v>87</v>
      </c>
    </row>
    <row r="132" spans="1:10" x14ac:dyDescent="0.25">
      <c r="A132" s="18"/>
      <c r="H132" s="16" t="s">
        <v>93</v>
      </c>
      <c r="I132" s="16" t="s">
        <v>95</v>
      </c>
      <c r="J132" s="16" t="s">
        <v>87</v>
      </c>
    </row>
    <row r="133" spans="1:10" x14ac:dyDescent="0.25">
      <c r="A133" s="18"/>
      <c r="H133" s="16" t="s">
        <v>94</v>
      </c>
      <c r="I133" s="16" t="s">
        <v>97</v>
      </c>
      <c r="J133" s="16" t="s">
        <v>87</v>
      </c>
    </row>
    <row r="134" spans="1:10" x14ac:dyDescent="0.25">
      <c r="A134" s="18"/>
      <c r="H134" s="16" t="s">
        <v>98</v>
      </c>
      <c r="I134" s="16" t="s">
        <v>102</v>
      </c>
      <c r="J134" s="16" t="s">
        <v>87</v>
      </c>
    </row>
    <row r="135" spans="1:10" x14ac:dyDescent="0.25">
      <c r="A135" s="18"/>
      <c r="H135" s="16" t="s">
        <v>99</v>
      </c>
      <c r="I135" s="16" t="s">
        <v>101</v>
      </c>
      <c r="J135" s="16" t="s">
        <v>87</v>
      </c>
    </row>
    <row r="136" spans="1:10" x14ac:dyDescent="0.25">
      <c r="A136" s="18"/>
    </row>
    <row r="137" spans="1:10" x14ac:dyDescent="0.25">
      <c r="A137" s="18"/>
      <c r="H137" s="16" t="s">
        <v>100</v>
      </c>
      <c r="I137" s="16" t="s">
        <v>103</v>
      </c>
      <c r="J137" s="16" t="s">
        <v>87</v>
      </c>
    </row>
    <row r="138" spans="1:10" x14ac:dyDescent="0.25">
      <c r="A138" s="18"/>
    </row>
    <row r="139" spans="1:10" x14ac:dyDescent="0.25">
      <c r="A139" s="18"/>
    </row>
    <row r="140" spans="1:10" x14ac:dyDescent="0.25">
      <c r="A140" s="18"/>
    </row>
    <row r="141" spans="1:10" x14ac:dyDescent="0.25">
      <c r="A141" s="18"/>
    </row>
    <row r="142" spans="1:10" x14ac:dyDescent="0.25">
      <c r="A142" s="18"/>
    </row>
    <row r="143" spans="1:10" x14ac:dyDescent="0.25">
      <c r="A143" s="18"/>
    </row>
    <row r="144" spans="1:10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6" customWidth="1"/>
  </cols>
  <sheetData>
    <row r="1" spans="13:13" ht="15.75" thickBot="1" x14ac:dyDescent="0.3"/>
    <row r="2" spans="13:13" ht="24.75" thickBot="1" x14ac:dyDescent="0.3">
      <c r="M2" s="47" t="s">
        <v>53</v>
      </c>
    </row>
    <row r="4" spans="13:13" ht="15.75" x14ac:dyDescent="0.25">
      <c r="M4" s="48">
        <v>1</v>
      </c>
    </row>
    <row r="5" spans="13:13" ht="15.75" x14ac:dyDescent="0.25">
      <c r="M5" s="48">
        <v>3</v>
      </c>
    </row>
    <row r="6" spans="13:13" ht="15.75" x14ac:dyDescent="0.25">
      <c r="M6" s="48">
        <v>2</v>
      </c>
    </row>
    <row r="7" spans="13:13" ht="15.75" x14ac:dyDescent="0.25">
      <c r="M7" s="48">
        <v>4</v>
      </c>
    </row>
    <row r="8" spans="13:13" ht="15.75" thickBot="1" x14ac:dyDescent="0.3"/>
    <row r="9" spans="13:13" ht="24.75" thickBot="1" x14ac:dyDescent="0.3">
      <c r="M9" s="47" t="s">
        <v>53</v>
      </c>
    </row>
    <row r="11" spans="13:13" ht="15.75" x14ac:dyDescent="0.25">
      <c r="M11" s="49">
        <v>4</v>
      </c>
    </row>
    <row r="12" spans="13:13" ht="15.75" x14ac:dyDescent="0.25">
      <c r="M12" s="49">
        <v>2</v>
      </c>
    </row>
    <row r="13" spans="13:13" ht="15.75" x14ac:dyDescent="0.25">
      <c r="M13" s="49">
        <v>3</v>
      </c>
    </row>
    <row r="14" spans="13:13" ht="15.75" x14ac:dyDescent="0.25">
      <c r="M14" s="49">
        <v>1</v>
      </c>
    </row>
    <row r="15" spans="13:13" ht="15.75" thickBot="1" x14ac:dyDescent="0.3"/>
    <row r="16" spans="13:13" ht="24.75" thickBot="1" x14ac:dyDescent="0.3">
      <c r="M16" s="47" t="s">
        <v>53</v>
      </c>
    </row>
    <row r="18" spans="13:13" ht="15.75" x14ac:dyDescent="0.25">
      <c r="M18" s="48">
        <v>1</v>
      </c>
    </row>
    <row r="19" spans="13:13" ht="15.75" x14ac:dyDescent="0.25">
      <c r="M19" s="48">
        <v>3</v>
      </c>
    </row>
    <row r="20" spans="13:13" ht="15.75" x14ac:dyDescent="0.25">
      <c r="M20" s="48">
        <v>2</v>
      </c>
    </row>
    <row r="21" spans="13:13" ht="15.75" x14ac:dyDescent="0.25">
      <c r="M21" s="48">
        <v>4</v>
      </c>
    </row>
    <row r="22" spans="13:13" ht="15.75" thickBot="1" x14ac:dyDescent="0.3"/>
    <row r="23" spans="13:13" ht="24.75" thickBot="1" x14ac:dyDescent="0.3">
      <c r="M23" s="47" t="s">
        <v>53</v>
      </c>
    </row>
    <row r="25" spans="13:13" ht="15.75" x14ac:dyDescent="0.25">
      <c r="M25" s="49">
        <v>4</v>
      </c>
    </row>
    <row r="26" spans="13:13" ht="15.75" x14ac:dyDescent="0.25">
      <c r="M26" s="49">
        <v>2</v>
      </c>
    </row>
    <row r="27" spans="13:13" ht="15.75" x14ac:dyDescent="0.25">
      <c r="M27" s="49">
        <v>3</v>
      </c>
    </row>
    <row r="28" spans="13:13" ht="15.75" x14ac:dyDescent="0.25">
      <c r="M28" s="49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2022-11-09T21:22:28Z</dcterms:modified>
</cp:coreProperties>
</file>