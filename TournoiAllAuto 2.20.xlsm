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NDB\"/>
    </mc:Choice>
  </mc:AlternateContent>
  <xr:revisionPtr revIDLastSave="0" documentId="13_ncr:1_{A3DE3C3A-AFFD-4562-A6AB-F42ADF991FA3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License" sheetId="3" r:id="rId1"/>
    <sheet name="Parametres" sheetId="1" state="veryHidden" r:id="rId2"/>
    <sheet name="NOTES" sheetId="71" state="veryHidden" r:id="rId3"/>
    <sheet name="OMPN" sheetId="2" state="veryHidden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5" i="1"/>
  <c r="B30" i="1" a="1"/>
  <c r="B30" i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<sst xmlns="http://schemas.openxmlformats.org/spreadsheetml/2006/main" count="2709" uniqueCount="98">
  <si>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</si>
  <si>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</si>
  <si>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</si>
  <si>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</si>
  <si>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</si>
  <si>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</si>
  <si>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</si>
  <si>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</si>
  <si>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</si>
  <si>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</si>
  <si>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</si>
  <si>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</si>
  <si>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</si>
  <si>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</si>
  <si>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</si>
  <si>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</si>
  <si>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</si>
  <si>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</si>
  <si>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</si>
  <si>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</si>
  <si>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</si>
  <si>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</si>
  <si>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</si>
  <si>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</si>
  <si>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</si>
  <si>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</si>
  <si>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</si>
  <si>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</si>
  <si>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</si>
  <si>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</si>
  <si>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</si>
  <si>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</si>
  <si>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</si>
  <si>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</si>
  <si>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</si>
  <si>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</si>
  <si>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</si>
  <si>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</si>
  <si>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</si>
  <si>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</si>
  <si>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</si>
  <si>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</si>
  <si>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</si>
  <si>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</si>
  <si>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</si>
  <si>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</si>
  <si>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</si>
  <si>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</si>
  <si>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</si>
  <si>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</si>
  <si>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</si>
  <si>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</si>
  <si>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</si>
  <si>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</si>
  <si>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</si>
  <si>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</si>
  <si>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</si>
  <si>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</si>
  <si>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</si>
  <si>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</si>
  <si>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</si>
  <si>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</si>
  <si>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</si>
  <si>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</si>
  <si>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</si>
  <si>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</si>
  <si>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</si>
  <si>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</si>
  <si>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</si>
  <si>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</si>
  <si>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</si>
  <si>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</si>
  <si>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</si>
  <si>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</si>
  <si>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</si>
  <si>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</si>
  <si>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</si>
  <si>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</si>
  <si>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</si>
  <si>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</si>
  <si>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</si>
  <si>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</si>
  <si>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</si>
  <si>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</si>
  <si>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</si>
  <si>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</si>
  <si>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</si>
  <si>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</si>
  <si>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</si>
  <si>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</si>
  <si>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</si>
  <si>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</si>
  <si>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</si>
  <si>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</si>
  <si>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</si>
  <si>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</si>
  <si>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</si>
  <si>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Version 2.20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</si>
</sst>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48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abSelected="1"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91" t="s">
        <v>21</v>
      </c>
      <c r="B1" s="92"/>
      <c r="C1" s="92"/>
      <c r="D1" s="92"/>
      <c r="E1" s="92"/>
      <c r="F1" s="92"/>
      <c r="G1" s="92"/>
      <c r="H1" s="92"/>
      <c r="I1" s="92"/>
      <c r="J1" s="92"/>
      <c r="K1" s="93"/>
    </row>
    <row r="2" spans="1:11" ht="15" customHeight="1" x14ac:dyDescent="0.25">
      <c r="A2" s="94"/>
      <c r="B2" s="95"/>
      <c r="C2" s="95"/>
      <c r="D2" s="95"/>
      <c r="E2" s="95"/>
      <c r="F2" s="95"/>
      <c r="G2" s="95"/>
      <c r="H2" s="95"/>
      <c r="I2" s="95"/>
      <c r="J2" s="95"/>
      <c r="K2" s="96"/>
    </row>
    <row r="3" spans="1:11" ht="15" customHeight="1" x14ac:dyDescent="0.25">
      <c r="A3" s="94"/>
      <c r="B3" s="95"/>
      <c r="C3" s="95"/>
      <c r="D3" s="95"/>
      <c r="E3" s="95"/>
      <c r="F3" s="95"/>
      <c r="G3" s="95"/>
      <c r="H3" s="95"/>
      <c r="I3" s="95"/>
      <c r="J3" s="95"/>
      <c r="K3" s="96"/>
    </row>
    <row r="4" spans="1:11" ht="15" customHeight="1" x14ac:dyDescent="0.25">
      <c r="A4" s="94"/>
      <c r="B4" s="95"/>
      <c r="C4" s="95"/>
      <c r="D4" s="95"/>
      <c r="E4" s="95"/>
      <c r="F4" s="95"/>
      <c r="G4" s="95"/>
      <c r="H4" s="95"/>
      <c r="I4" s="95"/>
      <c r="J4" s="95"/>
      <c r="K4" s="96"/>
    </row>
    <row r="5" spans="1:11" ht="15" customHeight="1" x14ac:dyDescent="0.25">
      <c r="A5" s="94"/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" customHeight="1" x14ac:dyDescent="0.25">
      <c r="A6" s="94"/>
      <c r="B6" s="95"/>
      <c r="C6" s="95"/>
      <c r="D6" s="95"/>
      <c r="E6" s="95"/>
      <c r="F6" s="95"/>
      <c r="G6" s="95"/>
      <c r="H6" s="95"/>
      <c r="I6" s="95"/>
      <c r="J6" s="95"/>
      <c r="K6" s="96"/>
    </row>
    <row r="7" spans="1:11" ht="15" customHeight="1" x14ac:dyDescent="0.25">
      <c r="A7" s="94"/>
      <c r="B7" s="95"/>
      <c r="C7" s="95"/>
      <c r="D7" s="95"/>
      <c r="E7" s="95"/>
      <c r="F7" s="95"/>
      <c r="G7" s="95"/>
      <c r="H7" s="95"/>
      <c r="I7" s="95"/>
      <c r="J7" s="95"/>
      <c r="K7" s="96"/>
    </row>
    <row r="8" spans="1:11" ht="15" customHeight="1" x14ac:dyDescent="0.25">
      <c r="A8" s="94"/>
      <c r="B8" s="95"/>
      <c r="C8" s="95"/>
      <c r="D8" s="95"/>
      <c r="E8" s="95"/>
      <c r="F8" s="95"/>
      <c r="G8" s="95"/>
      <c r="H8" s="95"/>
      <c r="I8" s="95"/>
      <c r="J8" s="95"/>
      <c r="K8" s="96"/>
    </row>
    <row r="9" spans="1:11" ht="15" customHeight="1" x14ac:dyDescent="0.25">
      <c r="A9" s="94"/>
      <c r="B9" s="95"/>
      <c r="C9" s="95"/>
      <c r="D9" s="95"/>
      <c r="E9" s="95"/>
      <c r="F9" s="95"/>
      <c r="G9" s="95"/>
      <c r="H9" s="95"/>
      <c r="I9" s="95"/>
      <c r="J9" s="95"/>
      <c r="K9" s="96"/>
    </row>
    <row r="10" spans="1:11" ht="15" customHeight="1" x14ac:dyDescent="0.25">
      <c r="A10" s="94"/>
      <c r="B10" s="95"/>
      <c r="C10" s="95"/>
      <c r="D10" s="95"/>
      <c r="E10" s="95"/>
      <c r="F10" s="95"/>
      <c r="G10" s="95"/>
      <c r="H10" s="95"/>
      <c r="I10" s="95"/>
      <c r="J10" s="95"/>
      <c r="K10" s="96"/>
    </row>
    <row r="11" spans="1:11" ht="15" customHeight="1" x14ac:dyDescent="0.25">
      <c r="A11" s="94"/>
      <c r="B11" s="95"/>
      <c r="C11" s="95"/>
      <c r="D11" s="95"/>
      <c r="E11" s="95"/>
      <c r="F11" s="95"/>
      <c r="G11" s="95"/>
      <c r="H11" s="95"/>
      <c r="I11" s="95"/>
      <c r="J11" s="95"/>
      <c r="K11" s="96"/>
    </row>
    <row r="12" spans="1:11" ht="15" customHeight="1" x14ac:dyDescent="0.25">
      <c r="A12" s="94"/>
      <c r="B12" s="95"/>
      <c r="C12" s="95"/>
      <c r="D12" s="95"/>
      <c r="E12" s="95"/>
      <c r="F12" s="95"/>
      <c r="G12" s="95"/>
      <c r="H12" s="95"/>
      <c r="I12" s="95"/>
      <c r="J12" s="95"/>
      <c r="K12" s="96"/>
    </row>
    <row r="13" spans="1:11" ht="15" customHeight="1" x14ac:dyDescent="0.25">
      <c r="A13" s="94"/>
      <c r="B13" s="95"/>
      <c r="C13" s="95"/>
      <c r="D13" s="95"/>
      <c r="E13" s="95"/>
      <c r="F13" s="95"/>
      <c r="G13" s="95"/>
      <c r="H13" s="95"/>
      <c r="I13" s="95"/>
      <c r="J13" s="95"/>
      <c r="K13" s="96"/>
    </row>
    <row r="14" spans="1:11" ht="15" customHeight="1" x14ac:dyDescent="0.25">
      <c r="A14" s="94"/>
      <c r="B14" s="95"/>
      <c r="C14" s="95"/>
      <c r="D14" s="95"/>
      <c r="E14" s="95"/>
      <c r="F14" s="95"/>
      <c r="G14" s="95"/>
      <c r="H14" s="95"/>
      <c r="I14" s="95"/>
      <c r="J14" s="95"/>
      <c r="K14" s="96"/>
    </row>
    <row r="15" spans="1:11" ht="15" customHeight="1" x14ac:dyDescent="0.25">
      <c r="A15" s="94"/>
      <c r="B15" s="95"/>
      <c r="C15" s="95"/>
      <c r="D15" s="95"/>
      <c r="E15" s="95"/>
      <c r="F15" s="95"/>
      <c r="G15" s="95"/>
      <c r="H15" s="95"/>
      <c r="I15" s="95"/>
      <c r="J15" s="95"/>
      <c r="K15" s="96"/>
    </row>
    <row r="16" spans="1:11" ht="15" customHeight="1" x14ac:dyDescent="0.25">
      <c r="A16" s="94"/>
      <c r="B16" s="95"/>
      <c r="C16" s="95"/>
      <c r="D16" s="95"/>
      <c r="E16" s="95"/>
      <c r="F16" s="95"/>
      <c r="G16" s="95"/>
      <c r="H16" s="95"/>
      <c r="I16" s="95"/>
      <c r="J16" s="95"/>
      <c r="K16" s="96"/>
    </row>
    <row r="17" spans="1:12" ht="15" customHeight="1" x14ac:dyDescent="0.25">
      <c r="A17" s="94"/>
      <c r="B17" s="95"/>
      <c r="C17" s="95"/>
      <c r="D17" s="95"/>
      <c r="E17" s="95"/>
      <c r="F17" s="95"/>
      <c r="G17" s="95"/>
      <c r="H17" s="95"/>
      <c r="I17" s="95"/>
      <c r="J17" s="95"/>
      <c r="K17" s="96"/>
    </row>
    <row r="18" spans="1:12" ht="15" customHeight="1" x14ac:dyDescent="0.25">
      <c r="A18" s="94"/>
      <c r="B18" s="95"/>
      <c r="C18" s="95"/>
      <c r="D18" s="95"/>
      <c r="E18" s="95"/>
      <c r="F18" s="95"/>
      <c r="G18" s="95"/>
      <c r="H18" s="95"/>
      <c r="I18" s="95"/>
      <c r="J18" s="95"/>
      <c r="K18" s="96"/>
    </row>
    <row r="19" spans="1:12" ht="15" customHeight="1" x14ac:dyDescent="0.25">
      <c r="A19" s="94"/>
      <c r="B19" s="95"/>
      <c r="C19" s="95"/>
      <c r="D19" s="95"/>
      <c r="E19" s="95"/>
      <c r="F19" s="95"/>
      <c r="G19" s="95"/>
      <c r="H19" s="95"/>
      <c r="I19" s="95"/>
      <c r="J19" s="95"/>
      <c r="K19" s="96"/>
    </row>
    <row r="20" spans="1:12" ht="15" customHeight="1" x14ac:dyDescent="0.25">
      <c r="A20" s="94"/>
      <c r="B20" s="95"/>
      <c r="C20" s="95"/>
      <c r="D20" s="95"/>
      <c r="E20" s="95"/>
      <c r="F20" s="95"/>
      <c r="G20" s="95"/>
      <c r="H20" s="95"/>
      <c r="I20" s="95"/>
      <c r="J20" s="95"/>
      <c r="K20" s="96"/>
    </row>
    <row r="21" spans="1:12" ht="15" customHeight="1" x14ac:dyDescent="0.25">
      <c r="A21" s="94"/>
      <c r="B21" s="95"/>
      <c r="C21" s="95"/>
      <c r="D21" s="95"/>
      <c r="E21" s="95"/>
      <c r="F21" s="95"/>
      <c r="G21" s="95"/>
      <c r="H21" s="95"/>
      <c r="I21" s="95"/>
      <c r="J21" s="95"/>
      <c r="K21" s="96"/>
    </row>
    <row r="22" spans="1:12" ht="15" customHeight="1" x14ac:dyDescent="0.25">
      <c r="A22" s="94"/>
      <c r="B22" s="95"/>
      <c r="C22" s="95"/>
      <c r="D22" s="95"/>
      <c r="E22" s="95"/>
      <c r="F22" s="95"/>
      <c r="G22" s="95"/>
      <c r="H22" s="95"/>
      <c r="I22" s="95"/>
      <c r="J22" s="95"/>
      <c r="K22" s="96"/>
    </row>
    <row r="23" spans="1:12" ht="15" customHeight="1" x14ac:dyDescent="0.25">
      <c r="A23" s="88" t="s">
        <v>23</v>
      </c>
      <c r="B23" s="89"/>
      <c r="C23" s="89"/>
      <c r="D23" s="89"/>
      <c r="E23" s="89"/>
      <c r="F23" s="89"/>
      <c r="G23" s="89"/>
      <c r="H23" s="89"/>
      <c r="I23" s="89"/>
      <c r="J23" s="89"/>
      <c r="K23" s="90"/>
      <c r="L23" s="26"/>
    </row>
    <row r="24" spans="1:12" ht="15" customHeight="1" x14ac:dyDescent="0.25">
      <c r="A24" s="88"/>
      <c r="B24" s="89"/>
      <c r="C24" s="89"/>
      <c r="D24" s="89"/>
      <c r="E24" s="89"/>
      <c r="F24" s="89"/>
      <c r="G24" s="89"/>
      <c r="H24" s="89"/>
      <c r="I24" s="89"/>
      <c r="J24" s="89"/>
      <c r="K24" s="90"/>
      <c r="L24" s="26"/>
    </row>
    <row r="25" spans="1:12" ht="15" customHeight="1" x14ac:dyDescent="0.25">
      <c r="A25" s="88"/>
      <c r="B25" s="89"/>
      <c r="C25" s="89"/>
      <c r="D25" s="89"/>
      <c r="E25" s="89"/>
      <c r="F25" s="89"/>
      <c r="G25" s="89"/>
      <c r="H25" s="89"/>
      <c r="I25" s="89"/>
      <c r="J25" s="89"/>
      <c r="K25" s="90"/>
      <c r="L25" s="26"/>
    </row>
    <row r="26" spans="1:12" ht="15" customHeight="1" x14ac:dyDescent="0.25">
      <c r="A26" s="88"/>
      <c r="B26" s="89"/>
      <c r="C26" s="89"/>
      <c r="D26" s="89"/>
      <c r="E26" s="89"/>
      <c r="F26" s="89"/>
      <c r="G26" s="89"/>
      <c r="H26" s="89"/>
      <c r="I26" s="89"/>
      <c r="J26" s="89"/>
      <c r="K26" s="90"/>
      <c r="L26" s="26"/>
    </row>
    <row r="27" spans="1:12" ht="15" customHeight="1" x14ac:dyDescent="0.25">
      <c r="A27" s="73"/>
      <c r="B27" s="74"/>
      <c r="C27" s="74"/>
      <c r="D27" s="74"/>
      <c r="E27" s="74"/>
      <c r="F27" s="74"/>
      <c r="G27" s="74"/>
      <c r="H27" s="74"/>
      <c r="I27" s="74"/>
      <c r="J27" s="74"/>
      <c r="K27" s="75"/>
      <c r="L27" s="26"/>
    </row>
    <row r="28" spans="1:12" ht="15" customHeight="1" thickBot="1" x14ac:dyDescent="0.3">
      <c r="A28" s="76"/>
      <c r="B28" s="77"/>
      <c r="C28" s="77"/>
      <c r="D28" s="77"/>
      <c r="E28" s="77"/>
      <c r="F28" s="77"/>
      <c r="G28" s="77"/>
      <c r="H28" s="77"/>
      <c r="I28" s="77"/>
      <c r="J28" s="77"/>
      <c r="K28" s="78"/>
      <c r="L28" s="26"/>
    </row>
    <row r="29" spans="1:12" ht="15" customHeight="1" x14ac:dyDescent="0.25">
      <c r="A29" s="79" t="s">
        <v>22</v>
      </c>
      <c r="B29" s="80"/>
      <c r="C29" s="80"/>
      <c r="D29" s="80"/>
      <c r="E29" s="80"/>
      <c r="F29" s="80"/>
      <c r="G29" s="80"/>
      <c r="H29" s="80"/>
      <c r="I29" s="80"/>
      <c r="J29" s="80"/>
      <c r="K29" s="81"/>
      <c r="L29" s="26"/>
    </row>
    <row r="30" spans="1:12" ht="15" customHeight="1" x14ac:dyDescent="0.25">
      <c r="A30" s="82"/>
      <c r="B30" s="83"/>
      <c r="C30" s="83"/>
      <c r="D30" s="83"/>
      <c r="E30" s="83"/>
      <c r="F30" s="83"/>
      <c r="G30" s="83"/>
      <c r="H30" s="83"/>
      <c r="I30" s="83"/>
      <c r="J30" s="83"/>
      <c r="K30" s="84"/>
    </row>
    <row r="31" spans="1:12" ht="15" customHeight="1" thickBot="1" x14ac:dyDescent="0.3">
      <c r="A31" s="85"/>
      <c r="B31" s="86"/>
      <c r="C31" s="86"/>
      <c r="D31" s="86"/>
      <c r="E31" s="86"/>
      <c r="F31" s="86"/>
      <c r="G31" s="86"/>
      <c r="H31" s="86"/>
      <c r="I31" s="86"/>
      <c r="J31" s="86"/>
      <c r="K31" s="87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zoomScale="85" zoomScaleNormal="85" workbookViewId="0">
      <selection activeCell="F35" sqref="F35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100"/>
      <c r="D1" s="29" t="s">
        <v>0</v>
      </c>
      <c r="E1" s="53" t="s">
        <v>55</v>
      </c>
      <c r="F1" s="3" t="s">
        <v>1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1.3888888888888888E-2</v>
      </c>
      <c r="C2" s="100"/>
      <c r="D2" s="33">
        <v>2</v>
      </c>
      <c r="E2" s="34">
        <v>3</v>
      </c>
      <c r="F2" s="28">
        <v>1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1.3888888888888889E-3</v>
      </c>
      <c r="C3" s="101"/>
      <c r="D3" s="4" t="s">
        <v>33</v>
      </c>
      <c r="E3" s="43" t="str">
        <f>"Nbres de Cat : " &amp; B30</f>
        <v>Nbres de Cat : 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3</v>
      </c>
      <c r="E4" s="6"/>
      <c r="F4" s="2" t="s">
        <v>25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f>ROUNDUP(SUM(D4:D29)/8,0)</f>
        <v>1</v>
      </c>
      <c r="B5" s="2">
        <v>2</v>
      </c>
      <c r="C5" s="31" t="str">
        <f t="shared" si="0"/>
        <v>B</v>
      </c>
      <c r="D5" s="35">
        <v>3</v>
      </c>
      <c r="E5" s="6"/>
      <c r="F5" s="27" t="s">
        <v>26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/>
      </c>
      <c r="D6" s="35"/>
      <c r="E6" s="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/>
      </c>
      <c r="D7" s="35"/>
      <c r="E7" s="6"/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1</v>
      </c>
      <c r="B8" s="2">
        <v>5</v>
      </c>
      <c r="C8" s="31" t="str">
        <f t="shared" si="0"/>
        <v/>
      </c>
      <c r="D8" s="35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1.3888888888888888E-2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97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9.166666666666666E-2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97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0.94583333333333341</v>
      </c>
      <c r="B19" s="2">
        <v>16</v>
      </c>
      <c r="C19" s="31" t="str">
        <f t="shared" si="0"/>
        <v/>
      </c>
      <c r="D19" s="35"/>
      <c r="E19" s="6"/>
      <c r="F19" s="97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97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97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98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98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98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98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98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99" t="s">
        <v>24</v>
      </c>
      <c r="G29" s="23"/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1</v>
      </c>
      <c r="C30" s="23"/>
      <c r="D30" s="23"/>
      <c r="E30" s="38"/>
      <c r="F30" s="99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5" t="s">
        <v>6</v>
      </c>
      <c r="B31" s="41" t="b">
        <v>0</v>
      </c>
      <c r="C31" s="23"/>
      <c r="D31" s="45" t="s">
        <v>95</v>
      </c>
      <c r="E31" s="23"/>
      <c r="F31" s="99"/>
      <c r="G31" s="23"/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0.875</v>
      </c>
      <c r="B32" s="41" t="b">
        <v>0</v>
      </c>
      <c r="C32" s="23"/>
      <c r="D32" s="34">
        <v>12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5" t="s">
        <v>50</v>
      </c>
      <c r="B33" s="41" t="b">
        <v>0</v>
      </c>
      <c r="C33" s="23"/>
      <c r="D33" s="45" t="s">
        <v>96</v>
      </c>
      <c r="E33" s="23"/>
      <c r="F33" s="37"/>
      <c r="G33" s="23"/>
      <c r="K33" s="23"/>
      <c r="L33" s="23"/>
      <c r="M33" s="23"/>
      <c r="N33" s="23"/>
      <c r="O33" s="23"/>
      <c r="P33" s="23"/>
      <c r="Q33" s="23"/>
    </row>
    <row r="34" spans="1:17" x14ac:dyDescent="0.25">
      <c r="A34" s="46">
        <f>(counttour()/E2*(A2+A3))+A32</f>
        <v>0.90555555555555556</v>
      </c>
      <c r="B34" s="41" t="b">
        <v>0</v>
      </c>
      <c r="C34" s="23"/>
      <c r="D34" s="34">
        <v>3</v>
      </c>
      <c r="E34" s="23"/>
      <c r="G34" s="23"/>
      <c r="K34" s="23"/>
      <c r="L34" s="23"/>
      <c r="M34" s="23"/>
      <c r="N34" s="23"/>
      <c r="O34" s="23"/>
      <c r="P34" s="23"/>
      <c r="Q34" s="23"/>
    </row>
    <row r="35" spans="1:17" x14ac:dyDescent="0.25">
      <c r="A35" s="45" t="s">
        <v>51</v>
      </c>
      <c r="B35" s="23"/>
      <c r="C35" s="23"/>
      <c r="D35" s="44"/>
      <c r="E35" s="23"/>
      <c r="G35" s="23"/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0.15625</v>
      </c>
      <c r="B36" s="23"/>
      <c r="C36" s="23"/>
      <c r="D36" s="23"/>
      <c r="E36" s="23"/>
      <c r="G36" s="23"/>
      <c r="K36" s="23"/>
      <c r="L36" s="23"/>
      <c r="M36" s="23"/>
      <c r="N36" s="23"/>
      <c r="O36" s="23"/>
      <c r="P36" s="23"/>
      <c r="Q36" s="23"/>
    </row>
    <row r="37" spans="1:17" x14ac:dyDescent="0.25">
      <c r="A37" s="45" t="s">
        <v>52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</row>
    <row r="38" spans="1:17" x14ac:dyDescent="0.25">
      <c r="A38" s="46">
        <f>A36+(ROUNDUP(IF(B31=TRUE,12*A5,12*A5*B30)/E2,0)*(A2+A3))</f>
        <v>0.21736111111111112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8</v>
      </c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K45" s="23"/>
      <c r="L45" s="23"/>
      <c r="M45" s="23"/>
      <c r="N45" s="23"/>
      <c r="O45" s="23"/>
      <c r="P45" s="23"/>
      <c r="Q45" s="23"/>
    </row>
    <row r="46" spans="1:17" x14ac:dyDescent="0.25">
      <c r="A46" s="17"/>
    </row>
    <row r="47" spans="1:17" x14ac:dyDescent="0.25">
      <c r="A47" s="13"/>
    </row>
    <row r="48" spans="1:17" ht="15.75" x14ac:dyDescent="0.25">
      <c r="A48" s="14"/>
    </row>
    <row r="49" spans="1:5" ht="15.75" x14ac:dyDescent="0.25">
      <c r="A49" s="14"/>
    </row>
    <row r="50" spans="1:5" ht="15.75" x14ac:dyDescent="0.25">
      <c r="A50" s="14"/>
    </row>
    <row r="51" spans="1:5" ht="15.75" x14ac:dyDescent="0.25">
      <c r="A51" s="14"/>
    </row>
    <row r="52" spans="1:5" ht="15.75" x14ac:dyDescent="0.25">
      <c r="A52" s="14"/>
    </row>
    <row r="53" spans="1:5" ht="15.75" x14ac:dyDescent="0.25">
      <c r="A53" s="14"/>
    </row>
    <row r="54" spans="1:5" ht="15.75" x14ac:dyDescent="0.25">
      <c r="A54" s="14"/>
    </row>
    <row r="55" spans="1:5" ht="15.75" x14ac:dyDescent="0.25">
      <c r="A55" s="14"/>
    </row>
    <row r="56" spans="1:5" x14ac:dyDescent="0.25">
      <c r="A56" s="13"/>
    </row>
    <row r="57" spans="1:5" x14ac:dyDescent="0.25">
      <c r="A57" s="17"/>
    </row>
    <row r="58" spans="1:5" x14ac:dyDescent="0.25">
      <c r="A58" s="13"/>
    </row>
    <row r="59" spans="1:5" ht="15.75" x14ac:dyDescent="0.25">
      <c r="A59" s="14"/>
    </row>
    <row r="60" spans="1:5" ht="15.75" x14ac:dyDescent="0.25">
      <c r="A60" s="14"/>
    </row>
    <row r="61" spans="1:5" ht="15.75" x14ac:dyDescent="0.25">
      <c r="A61" s="14"/>
    </row>
    <row r="62" spans="1:5" ht="15.75" x14ac:dyDescent="0.25">
      <c r="A62" s="14"/>
    </row>
    <row r="63" spans="1:5" ht="15.75" x14ac:dyDescent="0.25">
      <c r="A63" s="14"/>
    </row>
    <row r="64" spans="1:5" ht="15.75" x14ac:dyDescent="0.25">
      <c r="A64" s="14"/>
      <c r="D64" s="2" t="s">
        <v>44</v>
      </c>
      <c r="E64" s="2" t="s">
        <v>47</v>
      </c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C1:S874"/>
  <sheetViews>
    <sheetView workbookViewId="0">
      <selection activeCell="Q2" sqref="Q2:S12"/>
    </sheetView>
  </sheetViews>
  <sheetFormatPr baseColWidth="10" defaultRowHeight="15" x14ac:dyDescent="0.25"/>
  <cols>
    <col min="7" max="7" width="75.7109375" style="47" customWidth="1"/>
    <col min="10" max="10" width="6" style="47" customWidth="1"/>
    <col min="12" max="12" width="6" style="69" customWidth="1"/>
    <col min="13" max="13" width="16.7109375" style="47" customWidth="1"/>
    <col min="14" max="14" width="6" style="69" customWidth="1"/>
    <col min="17" max="17" width="6" style="69" customWidth="1"/>
    <col min="18" max="18" width="16.7109375" style="47" customWidth="1"/>
    <col min="19" max="19" width="6" style="69" customWidth="1"/>
  </cols>
  <sheetData>
    <row r="1" spans="3:19" ht="15.75" thickBot="1" x14ac:dyDescent="0.3">
      <c r="C1" s="16" t="s">
        <v>44</v>
      </c>
      <c r="D1" s="16" t="s">
        <v>45</v>
      </c>
      <c r="L1" s="67"/>
      <c r="M1" s="70">
        <v>4.7916666666666663E-2</v>
      </c>
      <c r="N1" s="67">
        <v>0</v>
      </c>
      <c r="Q1" s="67"/>
      <c r="R1" s="72">
        <v>4.7916666666666663E-2</v>
      </c>
      <c r="S1" s="67"/>
    </row>
    <row r="2" spans="3:19" ht="24.75" thickBot="1" x14ac:dyDescent="0.3">
      <c r="C2" s="16" t="s">
        <v>47</v>
      </c>
      <c r="D2" s="16" t="s">
        <v>48</v>
      </c>
      <c r="G2" s="54" t="s">
        <v>56</v>
      </c>
      <c r="J2" s="48" t="s">
        <v>53</v>
      </c>
      <c r="L2" s="68">
        <v>40</v>
      </c>
      <c r="M2" s="66" t="s">
        <v>78</v>
      </c>
      <c r="N2" s="68">
        <v>48</v>
      </c>
      <c r="Q2" s="68">
        <v>1</v>
      </c>
      <c r="R2" s="66" t="s">
        <v>78</v>
      </c>
      <c r="S2" s="68">
        <v>0</v>
      </c>
    </row>
    <row r="3" spans="3:19" ht="15.75" x14ac:dyDescent="0.25">
      <c r="C3" s="16" t="s">
        <v>46</v>
      </c>
      <c r="D3" s="16" t="s">
        <v>49</v>
      </c>
      <c r="G3" s="55" t="s">
        <v>57</v>
      </c>
      <c r="L3" s="68">
        <v>47</v>
      </c>
      <c r="M3" s="66" t="s">
        <v>79</v>
      </c>
      <c r="N3" s="68">
        <v>58</v>
      </c>
      <c r="Q3" s="68">
        <v>1</v>
      </c>
      <c r="R3" s="66" t="s">
        <v>79</v>
      </c>
      <c r="S3" s="68">
        <v>0</v>
      </c>
    </row>
    <row r="4" spans="3:19" ht="15.75" x14ac:dyDescent="0.25">
      <c r="C4" s="16"/>
      <c r="D4" s="16"/>
      <c r="G4" s="55" t="s">
        <v>58</v>
      </c>
      <c r="J4" s="49">
        <v>1</v>
      </c>
      <c r="L4" s="68">
        <v>64</v>
      </c>
      <c r="M4" s="66" t="s">
        <v>80</v>
      </c>
      <c r="N4" s="68">
        <v>44</v>
      </c>
      <c r="Q4" s="68">
        <v>1</v>
      </c>
      <c r="R4" s="66" t="s">
        <v>80</v>
      </c>
      <c r="S4" s="68">
        <v>0</v>
      </c>
    </row>
    <row r="5" spans="3:19" ht="15.75" x14ac:dyDescent="0.25">
      <c r="C5" s="16" t="s">
        <v>44</v>
      </c>
      <c r="D5" s="16" t="s">
        <v>46</v>
      </c>
      <c r="G5" s="55" t="s">
        <v>59</v>
      </c>
      <c r="J5" s="49">
        <v>3</v>
      </c>
      <c r="L5" s="68">
        <v>70</v>
      </c>
      <c r="M5" s="66" t="s">
        <v>81</v>
      </c>
      <c r="N5" s="68">
        <v>33</v>
      </c>
      <c r="Q5" s="67"/>
      <c r="R5" s="72">
        <f>0.0479166666666667 + "00:20:00"</f>
        <v>6.1805555555555586E-2</v>
      </c>
      <c r="S5" s="67"/>
    </row>
    <row r="6" spans="3:19" ht="15.75" x14ac:dyDescent="0.25">
      <c r="C6" s="16" t="s">
        <v>47</v>
      </c>
      <c r="D6" s="16" t="s">
        <v>49</v>
      </c>
      <c r="G6" s="55" t="s">
        <v>60</v>
      </c>
      <c r="J6" s="49">
        <v>5</v>
      </c>
      <c r="L6" s="68">
        <v>34</v>
      </c>
      <c r="M6" s="66" t="s">
        <v>82</v>
      </c>
      <c r="N6" s="68">
        <v>60</v>
      </c>
      <c r="Q6" s="68">
        <v>1</v>
      </c>
      <c r="R6" s="66" t="s">
        <v>78</v>
      </c>
      <c r="S6" s="68">
        <v>0</v>
      </c>
    </row>
    <row r="7" spans="3:19" ht="15.75" x14ac:dyDescent="0.25">
      <c r="C7" s="16" t="s">
        <v>45</v>
      </c>
      <c r="D7" s="16" t="s">
        <v>48</v>
      </c>
      <c r="G7" s="55" t="s">
        <v>61</v>
      </c>
      <c r="J7" s="49">
        <v>7</v>
      </c>
      <c r="L7" s="68">
        <v>70</v>
      </c>
      <c r="M7" s="66" t="s">
        <v>83</v>
      </c>
      <c r="N7" s="68">
        <v>38</v>
      </c>
      <c r="Q7" s="68">
        <v>1</v>
      </c>
      <c r="R7" s="66" t="s">
        <v>79</v>
      </c>
      <c r="S7" s="68">
        <v>0</v>
      </c>
    </row>
    <row r="8" spans="3:19" ht="15.75" x14ac:dyDescent="0.25">
      <c r="C8" s="16"/>
      <c r="D8" s="16"/>
      <c r="G8" s="55" t="s">
        <v>62</v>
      </c>
      <c r="J8" s="49">
        <v>9</v>
      </c>
      <c r="L8" s="68">
        <v>55</v>
      </c>
      <c r="M8" s="66" t="s">
        <v>84</v>
      </c>
      <c r="N8" s="68">
        <v>49</v>
      </c>
      <c r="Q8" s="68">
        <v>1</v>
      </c>
      <c r="R8" s="66" t="s">
        <v>80</v>
      </c>
      <c r="S8" s="68">
        <v>0</v>
      </c>
    </row>
    <row r="9" spans="3:19" ht="16.5" thickBot="1" x14ac:dyDescent="0.3">
      <c r="C9" s="16" t="s">
        <v>45</v>
      </c>
      <c r="D9" s="16" t="s">
        <v>46</v>
      </c>
      <c r="G9" s="56" t="s">
        <v>63</v>
      </c>
      <c r="J9" s="49">
        <v>11</v>
      </c>
      <c r="L9" s="68">
        <v>58</v>
      </c>
      <c r="M9" s="66" t="s">
        <v>85</v>
      </c>
      <c r="N9" s="68">
        <v>59</v>
      </c>
      <c r="Q9" s="67"/>
      <c r="R9" s="72">
        <f>0.0618055555555556 + "00:20:00"</f>
        <v>7.5694444444444481E-2</v>
      </c>
      <c r="S9" s="67"/>
    </row>
    <row r="10" spans="3:19" ht="16.5" thickBot="1" x14ac:dyDescent="0.3">
      <c r="C10" s="16" t="s">
        <v>48</v>
      </c>
      <c r="D10" s="16" t="s">
        <v>49</v>
      </c>
      <c r="J10" s="49">
        <v>13</v>
      </c>
      <c r="L10" s="67"/>
      <c r="M10" s="70">
        <v>4.7916666666666663E-2</v>
      </c>
      <c r="N10" s="67">
        <v>0</v>
      </c>
      <c r="Q10" s="68">
        <v>1</v>
      </c>
      <c r="R10" s="66" t="s">
        <v>78</v>
      </c>
      <c r="S10" s="68">
        <v>0</v>
      </c>
    </row>
    <row r="11" spans="3:19" ht="15.75" x14ac:dyDescent="0.25">
      <c r="C11" s="16" t="s">
        <v>44</v>
      </c>
      <c r="D11" s="16" t="s">
        <v>47</v>
      </c>
      <c r="G11" s="57" t="s">
        <v>64</v>
      </c>
      <c r="J11" s="49">
        <v>14</v>
      </c>
      <c r="L11" s="68">
        <v>61</v>
      </c>
      <c r="M11" s="66" t="s">
        <v>78</v>
      </c>
      <c r="N11" s="68">
        <v>48</v>
      </c>
      <c r="Q11" s="68">
        <v>1</v>
      </c>
      <c r="R11" s="66" t="s">
        <v>79</v>
      </c>
      <c r="S11" s="68">
        <v>0</v>
      </c>
    </row>
    <row r="12" spans="3:19" ht="16.5" thickBot="1" x14ac:dyDescent="0.3">
      <c r="G12" s="58" t="s">
        <v>65</v>
      </c>
      <c r="L12" s="68">
        <v>47</v>
      </c>
      <c r="M12" s="66" t="s">
        <v>79</v>
      </c>
      <c r="N12" s="68">
        <v>54</v>
      </c>
      <c r="Q12" s="68">
        <v>1</v>
      </c>
      <c r="R12" s="66" t="s">
        <v>80</v>
      </c>
      <c r="S12" s="68">
        <v>0</v>
      </c>
    </row>
    <row r="13" spans="3:19" ht="24.75" thickBot="1" x14ac:dyDescent="0.3">
      <c r="C13" s="16" t="s">
        <v>44</v>
      </c>
      <c r="D13" s="16" t="s">
        <v>48</v>
      </c>
      <c r="G13" s="58" t="s">
        <v>66</v>
      </c>
      <c r="J13" s="48" t="s">
        <v>53</v>
      </c>
      <c r="L13" s="68">
        <v>76</v>
      </c>
      <c r="M13" s="66" t="s">
        <v>80</v>
      </c>
      <c r="N13" s="68">
        <v>26</v>
      </c>
      <c r="R13" s="47">
        <f>0.0756944444444445 + "00:20:00"</f>
        <v>8.9583333333333376E-2</v>
      </c>
    </row>
    <row r="14" spans="3:19" ht="15.75" x14ac:dyDescent="0.25">
      <c r="C14" s="16" t="s">
        <v>47</v>
      </c>
      <c r="D14" s="16" t="s">
        <v>45</v>
      </c>
      <c r="G14" s="58" t="s">
        <v>67</v>
      </c>
      <c r="L14" s="68">
        <v>43</v>
      </c>
      <c r="M14" s="66" t="s">
        <v>81</v>
      </c>
      <c r="N14" s="68">
        <v>54</v>
      </c>
    </row>
    <row r="15" spans="3:19" ht="15.75" x14ac:dyDescent="0.25">
      <c r="C15" s="16" t="s">
        <v>94</v>
      </c>
      <c r="D15" s="16" t="s">
        <v>94</v>
      </c>
      <c r="G15" s="58" t="s">
        <v>75</v>
      </c>
      <c r="J15" s="50">
        <v>3</v>
      </c>
      <c r="L15" s="68">
        <v>51</v>
      </c>
      <c r="M15" s="66" t="s">
        <v>82</v>
      </c>
      <c r="N15" s="68">
        <v>46</v>
      </c>
    </row>
    <row r="16" spans="3:19" ht="15.75" x14ac:dyDescent="0.25">
      <c r="G16" s="58" t="s">
        <v>69</v>
      </c>
      <c r="J16" s="50">
        <v>1</v>
      </c>
      <c r="L16" s="68">
        <v>52</v>
      </c>
      <c r="M16" s="66" t="s">
        <v>83</v>
      </c>
      <c r="N16" s="68">
        <v>47</v>
      </c>
    </row>
    <row r="17" spans="7:18" ht="15.75" x14ac:dyDescent="0.25">
      <c r="G17" s="58" t="s">
        <v>92</v>
      </c>
      <c r="J17" s="50">
        <v>7</v>
      </c>
      <c r="L17" s="68">
        <v>65</v>
      </c>
      <c r="M17" s="66" t="s">
        <v>84</v>
      </c>
      <c r="N17" s="68">
        <v>43</v>
      </c>
      <c r="R17" s="47">
        <f>0.0895833333333334 + "00:20:00"</f>
        <v>0.1034722222222223</v>
      </c>
    </row>
    <row r="18" spans="7:18" ht="16.5" thickBot="1" x14ac:dyDescent="0.3">
      <c r="G18" s="59" t="s">
        <v>70</v>
      </c>
      <c r="J18" s="50">
        <v>5</v>
      </c>
      <c r="L18" s="68"/>
      <c r="M18" s="66" t="s">
        <v>85</v>
      </c>
      <c r="N18" s="68"/>
    </row>
    <row r="19" spans="7:18" ht="16.5" thickBot="1" x14ac:dyDescent="0.3">
      <c r="J19" s="50">
        <v>11</v>
      </c>
      <c r="L19" s="67"/>
      <c r="M19" s="70">
        <v>4.7916666666666663E-2</v>
      </c>
      <c r="N19" s="67">
        <v>0</v>
      </c>
    </row>
    <row r="20" spans="7:18" ht="15.75" x14ac:dyDescent="0.25">
      <c r="G20" s="60" t="s">
        <v>71</v>
      </c>
      <c r="J20" s="50">
        <v>9</v>
      </c>
      <c r="L20" s="68">
        <v>72</v>
      </c>
      <c r="M20" s="66" t="s">
        <v>78</v>
      </c>
      <c r="N20" s="68">
        <v>37</v>
      </c>
    </row>
    <row r="21" spans="7:18" ht="15.75" x14ac:dyDescent="0.25">
      <c r="G21" s="61" t="s">
        <v>76</v>
      </c>
      <c r="J21" s="50">
        <v>14</v>
      </c>
      <c r="L21" s="68">
        <v>55</v>
      </c>
      <c r="M21" s="66" t="s">
        <v>79</v>
      </c>
      <c r="N21" s="68">
        <v>42</v>
      </c>
      <c r="R21" s="47">
        <f>0.103472222222222 + "00:20:00"</f>
        <v>0.11736111111111089</v>
      </c>
    </row>
    <row r="22" spans="7:18" ht="15.75" x14ac:dyDescent="0.25">
      <c r="G22" s="61" t="s">
        <v>88</v>
      </c>
      <c r="J22" s="50">
        <v>13</v>
      </c>
      <c r="L22" s="68">
        <v>40</v>
      </c>
      <c r="M22" s="66" t="s">
        <v>80</v>
      </c>
      <c r="N22" s="68">
        <v>62</v>
      </c>
    </row>
    <row r="23" spans="7:18" ht="16.5" thickBot="1" x14ac:dyDescent="0.3">
      <c r="G23" s="61" t="s">
        <v>73</v>
      </c>
      <c r="L23" s="68">
        <v>50</v>
      </c>
      <c r="M23" s="66" t="s">
        <v>81</v>
      </c>
      <c r="N23" s="68">
        <v>51</v>
      </c>
    </row>
    <row r="24" spans="7:18" ht="24.75" thickBot="1" x14ac:dyDescent="0.3">
      <c r="G24" s="61" t="s">
        <v>86</v>
      </c>
      <c r="J24" s="48" t="s">
        <v>53</v>
      </c>
      <c r="L24" s="68">
        <v>41</v>
      </c>
      <c r="M24" s="66" t="s">
        <v>82</v>
      </c>
      <c r="N24" s="68">
        <v>61</v>
      </c>
    </row>
    <row r="25" spans="7:18" ht="15.75" x14ac:dyDescent="0.25">
      <c r="G25" s="61" t="s">
        <v>87</v>
      </c>
      <c r="L25" s="68">
        <v>61</v>
      </c>
      <c r="M25" s="66" t="s">
        <v>83</v>
      </c>
      <c r="N25" s="68">
        <v>47</v>
      </c>
    </row>
    <row r="26" spans="7:18" ht="16.5" thickBot="1" x14ac:dyDescent="0.3">
      <c r="G26" s="62" t="s">
        <v>74</v>
      </c>
      <c r="J26" s="51">
        <v>2</v>
      </c>
      <c r="L26" s="68">
        <v>60</v>
      </c>
      <c r="M26" s="66" t="s">
        <v>84</v>
      </c>
      <c r="N26" s="68">
        <v>48</v>
      </c>
    </row>
    <row r="27" spans="7:18" ht="16.5" thickBot="1" x14ac:dyDescent="0.3">
      <c r="J27" s="51">
        <v>4</v>
      </c>
      <c r="L27" s="68">
        <v>51</v>
      </c>
      <c r="M27" s="66" t="s">
        <v>85</v>
      </c>
      <c r="N27" s="68">
        <v>65</v>
      </c>
    </row>
    <row r="28" spans="7:18" ht="15.75" x14ac:dyDescent="0.25">
      <c r="G28" s="63" t="s">
        <v>68</v>
      </c>
      <c r="J28" s="51">
        <v>6</v>
      </c>
      <c r="L28" s="67"/>
      <c r="M28" s="70">
        <v>4.7916666666666663E-2</v>
      </c>
      <c r="N28" s="67">
        <v>0</v>
      </c>
    </row>
    <row r="29" spans="7:18" ht="15.75" x14ac:dyDescent="0.25">
      <c r="G29" s="64" t="s">
        <v>72</v>
      </c>
      <c r="J29" s="51">
        <v>8</v>
      </c>
      <c r="L29" s="68">
        <v>62</v>
      </c>
      <c r="M29" s="66" t="s">
        <v>78</v>
      </c>
      <c r="N29" s="68">
        <v>36</v>
      </c>
    </row>
    <row r="30" spans="7:18" ht="15.75" x14ac:dyDescent="0.25">
      <c r="G30" s="64" t="s">
        <v>89</v>
      </c>
      <c r="J30" s="51">
        <v>10</v>
      </c>
      <c r="L30" s="68">
        <v>61</v>
      </c>
      <c r="M30" s="66" t="s">
        <v>79</v>
      </c>
      <c r="N30" s="68">
        <v>41</v>
      </c>
    </row>
    <row r="31" spans="7:18" ht="15.75" x14ac:dyDescent="0.25">
      <c r="G31" s="64" t="s">
        <v>91</v>
      </c>
      <c r="J31" s="51">
        <v>12</v>
      </c>
      <c r="L31" s="68">
        <v>50</v>
      </c>
      <c r="M31" s="66" t="s">
        <v>80</v>
      </c>
      <c r="N31" s="68">
        <v>58</v>
      </c>
    </row>
    <row r="32" spans="7:18" ht="15.75" x14ac:dyDescent="0.25">
      <c r="G32" s="64" t="s">
        <v>90</v>
      </c>
      <c r="J32" s="51">
        <v>15</v>
      </c>
      <c r="L32" s="68">
        <v>49</v>
      </c>
      <c r="M32" s="66" t="s">
        <v>81</v>
      </c>
      <c r="N32" s="68">
        <v>50</v>
      </c>
    </row>
    <row r="33" spans="7:14" ht="16.5" thickBot="1" x14ac:dyDescent="0.3">
      <c r="G33" s="64" t="s">
        <v>77</v>
      </c>
      <c r="L33" s="68">
        <v>43</v>
      </c>
      <c r="M33" s="66" t="s">
        <v>82</v>
      </c>
      <c r="N33" s="68">
        <v>45</v>
      </c>
    </row>
    <row r="34" spans="7:14" ht="24.75" thickBot="1" x14ac:dyDescent="0.3">
      <c r="G34" s="65" t="s">
        <v>93</v>
      </c>
      <c r="J34" s="48" t="s">
        <v>53</v>
      </c>
      <c r="L34" s="68">
        <v>68</v>
      </c>
      <c r="M34" s="66" t="s">
        <v>83</v>
      </c>
      <c r="N34" s="68">
        <v>32</v>
      </c>
    </row>
    <row r="35" spans="7:14" x14ac:dyDescent="0.25">
      <c r="L35" s="68">
        <v>45</v>
      </c>
      <c r="M35" s="66" t="s">
        <v>84</v>
      </c>
      <c r="N35" s="68">
        <v>52</v>
      </c>
    </row>
    <row r="36" spans="7:14" ht="15.75" x14ac:dyDescent="0.25">
      <c r="J36" s="52">
        <v>4</v>
      </c>
      <c r="L36" s="68"/>
      <c r="M36" s="66" t="s">
        <v>85</v>
      </c>
      <c r="N36" s="68"/>
    </row>
    <row r="37" spans="7:14" ht="15.75" x14ac:dyDescent="0.25">
      <c r="J37" s="52">
        <v>2</v>
      </c>
      <c r="L37" s="67"/>
      <c r="M37" s="70">
        <v>4.7916666666666663E-2</v>
      </c>
      <c r="N37" s="67">
        <v>0</v>
      </c>
    </row>
    <row r="38" spans="7:14" ht="15.75" x14ac:dyDescent="0.25">
      <c r="J38" s="52">
        <v>8</v>
      </c>
      <c r="L38" s="68">
        <v>51</v>
      </c>
      <c r="M38" s="66" t="s">
        <v>78</v>
      </c>
      <c r="N38" s="68">
        <v>50</v>
      </c>
    </row>
    <row r="39" spans="7:14" ht="15.75" x14ac:dyDescent="0.25">
      <c r="J39" s="52">
        <v>6</v>
      </c>
      <c r="L39" s="68">
        <v>56</v>
      </c>
      <c r="M39" s="66" t="s">
        <v>79</v>
      </c>
      <c r="N39" s="68">
        <v>34</v>
      </c>
    </row>
    <row r="40" spans="7:14" ht="15.75" x14ac:dyDescent="0.25">
      <c r="J40" s="52">
        <v>12</v>
      </c>
      <c r="L40" s="68">
        <v>63</v>
      </c>
      <c r="M40" s="66" t="s">
        <v>80</v>
      </c>
      <c r="N40" s="68">
        <v>47</v>
      </c>
    </row>
    <row r="41" spans="7:14" ht="15.75" x14ac:dyDescent="0.25">
      <c r="J41" s="52">
        <v>10</v>
      </c>
      <c r="L41" s="68">
        <v>35</v>
      </c>
      <c r="M41" s="66" t="s">
        <v>81</v>
      </c>
      <c r="N41" s="68">
        <v>60</v>
      </c>
    </row>
    <row r="42" spans="7:14" ht="15.75" x14ac:dyDescent="0.25">
      <c r="J42" s="52">
        <v>15</v>
      </c>
      <c r="L42" s="68">
        <v>52</v>
      </c>
      <c r="M42" s="66" t="s">
        <v>82</v>
      </c>
      <c r="N42" s="68">
        <v>50</v>
      </c>
    </row>
    <row r="43" spans="7:14" x14ac:dyDescent="0.25">
      <c r="L43" s="68">
        <v>62</v>
      </c>
      <c r="M43" s="66" t="s">
        <v>83</v>
      </c>
      <c r="N43" s="68">
        <v>38</v>
      </c>
    </row>
    <row r="44" spans="7:14" x14ac:dyDescent="0.25">
      <c r="L44" s="68">
        <v>47</v>
      </c>
      <c r="M44" s="66" t="s">
        <v>84</v>
      </c>
      <c r="N44" s="68">
        <v>65</v>
      </c>
    </row>
    <row r="45" spans="7:14" x14ac:dyDescent="0.25">
      <c r="L45" s="68">
        <v>51</v>
      </c>
      <c r="M45" s="66" t="s">
        <v>85</v>
      </c>
      <c r="N45" s="68">
        <v>59</v>
      </c>
    </row>
    <row r="46" spans="7:14" x14ac:dyDescent="0.25">
      <c r="L46" s="67"/>
      <c r="M46" s="70">
        <v>4.7916666666666663E-2</v>
      </c>
      <c r="N46" s="67">
        <v>0</v>
      </c>
    </row>
    <row r="47" spans="7:14" x14ac:dyDescent="0.25">
      <c r="L47" s="68">
        <v>70</v>
      </c>
      <c r="M47" s="66" t="s">
        <v>78</v>
      </c>
      <c r="N47" s="68">
        <v>36</v>
      </c>
    </row>
    <row r="48" spans="7:14" x14ac:dyDescent="0.25">
      <c r="L48" s="68">
        <v>30</v>
      </c>
      <c r="M48" s="66" t="s">
        <v>79</v>
      </c>
      <c r="N48" s="68">
        <v>63</v>
      </c>
    </row>
    <row r="49" spans="12:14" x14ac:dyDescent="0.25">
      <c r="L49" s="68">
        <v>44</v>
      </c>
      <c r="M49" s="66" t="s">
        <v>80</v>
      </c>
      <c r="N49" s="68">
        <v>58</v>
      </c>
    </row>
    <row r="50" spans="12:14" x14ac:dyDescent="0.25">
      <c r="L50" s="68">
        <v>42</v>
      </c>
      <c r="M50" s="66" t="s">
        <v>81</v>
      </c>
      <c r="N50" s="68">
        <v>59</v>
      </c>
    </row>
    <row r="51" spans="12:14" x14ac:dyDescent="0.25">
      <c r="L51" s="68">
        <v>63</v>
      </c>
      <c r="M51" s="66" t="s">
        <v>82</v>
      </c>
      <c r="N51" s="68">
        <v>35</v>
      </c>
    </row>
    <row r="52" spans="12:14" x14ac:dyDescent="0.25">
      <c r="L52" s="68">
        <v>44</v>
      </c>
      <c r="M52" s="66" t="s">
        <v>83</v>
      </c>
      <c r="N52" s="68">
        <v>63</v>
      </c>
    </row>
    <row r="53" spans="12:14" x14ac:dyDescent="0.25">
      <c r="L53" s="68">
        <v>51</v>
      </c>
      <c r="M53" s="66" t="s">
        <v>84</v>
      </c>
      <c r="N53" s="68">
        <v>58</v>
      </c>
    </row>
    <row r="54" spans="12:14" x14ac:dyDescent="0.25">
      <c r="L54" s="68"/>
      <c r="M54" s="66" t="s">
        <v>85</v>
      </c>
      <c r="N54" s="68"/>
    </row>
    <row r="55" spans="12:14" x14ac:dyDescent="0.25">
      <c r="L55" s="67"/>
      <c r="M55" s="70">
        <v>4.7916666666666663E-2</v>
      </c>
      <c r="N55" s="67">
        <v>0</v>
      </c>
    </row>
    <row r="56" spans="12:14" x14ac:dyDescent="0.25">
      <c r="L56" s="68">
        <v>47</v>
      </c>
      <c r="M56" s="66" t="s">
        <v>78</v>
      </c>
      <c r="N56" s="68">
        <v>50</v>
      </c>
    </row>
    <row r="57" spans="12:14" x14ac:dyDescent="0.25">
      <c r="L57" s="68">
        <v>67</v>
      </c>
      <c r="M57" s="66" t="s">
        <v>79</v>
      </c>
      <c r="N57" s="68">
        <v>33</v>
      </c>
    </row>
    <row r="58" spans="12:14" x14ac:dyDescent="0.25">
      <c r="L58" s="68">
        <v>24</v>
      </c>
      <c r="M58" s="66" t="s">
        <v>80</v>
      </c>
      <c r="N58" s="68">
        <v>81</v>
      </c>
    </row>
    <row r="59" spans="12:14" x14ac:dyDescent="0.25">
      <c r="L59" s="68">
        <v>56</v>
      </c>
      <c r="M59" s="66" t="s">
        <v>81</v>
      </c>
      <c r="N59" s="68">
        <v>45</v>
      </c>
    </row>
    <row r="60" spans="12:14" x14ac:dyDescent="0.25">
      <c r="L60" s="68">
        <v>57</v>
      </c>
      <c r="M60" s="66" t="s">
        <v>82</v>
      </c>
      <c r="N60" s="68">
        <v>44</v>
      </c>
    </row>
    <row r="61" spans="12:14" x14ac:dyDescent="0.25">
      <c r="L61" s="68">
        <v>53</v>
      </c>
      <c r="M61" s="66" t="s">
        <v>83</v>
      </c>
      <c r="N61" s="68">
        <v>32</v>
      </c>
    </row>
    <row r="62" spans="12:14" x14ac:dyDescent="0.25">
      <c r="L62" s="68">
        <v>70</v>
      </c>
      <c r="M62" s="66" t="s">
        <v>84</v>
      </c>
      <c r="N62" s="68">
        <v>42</v>
      </c>
    </row>
    <row r="63" spans="12:14" x14ac:dyDescent="0.25">
      <c r="L63" s="68">
        <v>55</v>
      </c>
      <c r="M63" s="66" t="s">
        <v>85</v>
      </c>
      <c r="N63" s="68">
        <v>52</v>
      </c>
    </row>
    <row r="64" spans="12:14" x14ac:dyDescent="0.25">
      <c r="L64" s="67"/>
      <c r="M64" s="70">
        <v>4.7916666666666663E-2</v>
      </c>
      <c r="N64" s="67">
        <v>0</v>
      </c>
    </row>
    <row r="65" spans="12:14" x14ac:dyDescent="0.25">
      <c r="L65" s="68">
        <v>55</v>
      </c>
      <c r="M65" s="66" t="s">
        <v>78</v>
      </c>
      <c r="N65" s="68">
        <v>58</v>
      </c>
    </row>
    <row r="66" spans="12:14" x14ac:dyDescent="0.25">
      <c r="L66" s="68">
        <v>43</v>
      </c>
      <c r="M66" s="66" t="s">
        <v>79</v>
      </c>
      <c r="N66" s="68">
        <v>55</v>
      </c>
    </row>
    <row r="67" spans="12:14" x14ac:dyDescent="0.25">
      <c r="L67" s="68">
        <v>54</v>
      </c>
      <c r="M67" s="66" t="s">
        <v>80</v>
      </c>
      <c r="N67" s="68">
        <v>53</v>
      </c>
    </row>
    <row r="68" spans="12:14" x14ac:dyDescent="0.25">
      <c r="L68" s="68">
        <v>57</v>
      </c>
      <c r="M68" s="66" t="s">
        <v>81</v>
      </c>
      <c r="N68" s="68">
        <v>34</v>
      </c>
    </row>
    <row r="69" spans="12:14" x14ac:dyDescent="0.25">
      <c r="L69" s="68">
        <v>65</v>
      </c>
      <c r="M69" s="66" t="s">
        <v>82</v>
      </c>
      <c r="N69" s="68">
        <v>40</v>
      </c>
    </row>
    <row r="70" spans="12:14" x14ac:dyDescent="0.25">
      <c r="L70" s="68">
        <v>69</v>
      </c>
      <c r="M70" s="66" t="s">
        <v>83</v>
      </c>
      <c r="N70" s="68">
        <v>28</v>
      </c>
    </row>
    <row r="71" spans="12:14" x14ac:dyDescent="0.25">
      <c r="L71" s="68">
        <v>43</v>
      </c>
      <c r="M71" s="66" t="s">
        <v>84</v>
      </c>
      <c r="N71" s="68">
        <v>45</v>
      </c>
    </row>
    <row r="72" spans="12:14" x14ac:dyDescent="0.25">
      <c r="L72" s="68"/>
      <c r="M72" s="66" t="s">
        <v>85</v>
      </c>
      <c r="N72" s="68"/>
    </row>
    <row r="73" spans="12:14" x14ac:dyDescent="0.25">
      <c r="L73" s="67"/>
      <c r="M73" s="70">
        <v>4.7916666666666663E-2</v>
      </c>
      <c r="N73" s="67">
        <v>0</v>
      </c>
    </row>
    <row r="74" spans="12:14" x14ac:dyDescent="0.25">
      <c r="L74" s="68">
        <v>58</v>
      </c>
      <c r="M74" s="66" t="s">
        <v>78</v>
      </c>
      <c r="N74" s="68">
        <v>38</v>
      </c>
    </row>
    <row r="75" spans="12:14" x14ac:dyDescent="0.25">
      <c r="L75" s="68">
        <v>57</v>
      </c>
      <c r="M75" s="66" t="s">
        <v>79</v>
      </c>
      <c r="N75" s="68">
        <v>46</v>
      </c>
    </row>
    <row r="76" spans="12:14" x14ac:dyDescent="0.25">
      <c r="L76" s="68">
        <v>51</v>
      </c>
      <c r="M76" s="66" t="s">
        <v>80</v>
      </c>
      <c r="N76" s="68">
        <v>57</v>
      </c>
    </row>
    <row r="77" spans="12:14" x14ac:dyDescent="0.25">
      <c r="L77" s="68">
        <v>31</v>
      </c>
      <c r="M77" s="66" t="s">
        <v>81</v>
      </c>
      <c r="N77" s="68">
        <v>60</v>
      </c>
    </row>
    <row r="78" spans="12:14" x14ac:dyDescent="0.25">
      <c r="L78" s="68">
        <v>47</v>
      </c>
      <c r="M78" s="66" t="s">
        <v>82</v>
      </c>
      <c r="N78" s="68">
        <v>54</v>
      </c>
    </row>
    <row r="79" spans="12:14" x14ac:dyDescent="0.25">
      <c r="L79" s="71">
        <v>60</v>
      </c>
      <c r="M79" s="66" t="s">
        <v>83</v>
      </c>
      <c r="N79" s="71">
        <v>35</v>
      </c>
    </row>
    <row r="80" spans="12:14" x14ac:dyDescent="0.25">
      <c r="L80" s="68">
        <v>59</v>
      </c>
      <c r="M80" s="66" t="s">
        <v>84</v>
      </c>
      <c r="N80" s="68">
        <v>46</v>
      </c>
    </row>
    <row r="81" spans="12:14" x14ac:dyDescent="0.25">
      <c r="L81" s="68">
        <v>63</v>
      </c>
      <c r="M81" s="66" t="s">
        <v>85</v>
      </c>
      <c r="N81" s="68">
        <v>40</v>
      </c>
    </row>
    <row r="82" spans="12:14" x14ac:dyDescent="0.25">
      <c r="L82" s="67"/>
      <c r="M82" s="70">
        <v>4.7916666666666663E-2</v>
      </c>
      <c r="N82" s="67">
        <v>0</v>
      </c>
    </row>
    <row r="83" spans="12:14" x14ac:dyDescent="0.25">
      <c r="L83" s="68">
        <v>32</v>
      </c>
      <c r="M83" s="66" t="s">
        <v>78</v>
      </c>
      <c r="N83" s="68">
        <v>71</v>
      </c>
    </row>
    <row r="84" spans="12:14" x14ac:dyDescent="0.25">
      <c r="L84" s="68">
        <v>56</v>
      </c>
      <c r="M84" s="66" t="s">
        <v>79</v>
      </c>
      <c r="N84" s="68">
        <v>41</v>
      </c>
    </row>
    <row r="85" spans="12:14" x14ac:dyDescent="0.25">
      <c r="L85" s="68">
        <v>61</v>
      </c>
      <c r="M85" s="66" t="s">
        <v>80</v>
      </c>
      <c r="N85" s="68">
        <v>42</v>
      </c>
    </row>
    <row r="86" spans="12:14" x14ac:dyDescent="0.25">
      <c r="L86" s="68">
        <v>54</v>
      </c>
      <c r="M86" s="66" t="s">
        <v>81</v>
      </c>
      <c r="N86" s="68">
        <v>47</v>
      </c>
    </row>
    <row r="87" spans="12:14" x14ac:dyDescent="0.25">
      <c r="L87" s="68">
        <v>67</v>
      </c>
      <c r="M87" s="66" t="s">
        <v>82</v>
      </c>
      <c r="N87" s="68">
        <v>37</v>
      </c>
    </row>
    <row r="88" spans="12:14" x14ac:dyDescent="0.25">
      <c r="L88" s="68">
        <v>67</v>
      </c>
      <c r="M88" s="66" t="s">
        <v>83</v>
      </c>
      <c r="N88" s="68">
        <v>29</v>
      </c>
    </row>
    <row r="89" spans="12:14" x14ac:dyDescent="0.25">
      <c r="L89" s="68">
        <v>58</v>
      </c>
      <c r="M89" s="66" t="s">
        <v>84</v>
      </c>
      <c r="N89" s="68">
        <v>42</v>
      </c>
    </row>
    <row r="90" spans="12:14" x14ac:dyDescent="0.25">
      <c r="L90" s="68"/>
      <c r="M90" s="66" t="s">
        <v>85</v>
      </c>
      <c r="N90" s="68"/>
    </row>
    <row r="91" spans="12:14" x14ac:dyDescent="0.25">
      <c r="L91" s="67"/>
      <c r="M91" s="70">
        <v>4.7916666666666663E-2</v>
      </c>
      <c r="N91" s="67">
        <v>0</v>
      </c>
    </row>
    <row r="92" spans="12:14" x14ac:dyDescent="0.25">
      <c r="L92" s="68">
        <v>39</v>
      </c>
      <c r="M92" s="66" t="s">
        <v>78</v>
      </c>
      <c r="N92" s="68">
        <v>63</v>
      </c>
    </row>
    <row r="93" spans="12:14" x14ac:dyDescent="0.25">
      <c r="L93" s="68">
        <v>53</v>
      </c>
      <c r="M93" s="66" t="s">
        <v>79</v>
      </c>
      <c r="N93" s="68">
        <v>39</v>
      </c>
    </row>
    <row r="94" spans="12:14" x14ac:dyDescent="0.25">
      <c r="L94" s="68">
        <v>51</v>
      </c>
      <c r="M94" s="66" t="s">
        <v>80</v>
      </c>
      <c r="N94" s="68">
        <v>63</v>
      </c>
    </row>
    <row r="95" spans="12:14" x14ac:dyDescent="0.25">
      <c r="L95" s="68">
        <v>62</v>
      </c>
      <c r="M95" s="66" t="s">
        <v>81</v>
      </c>
      <c r="N95" s="68">
        <v>32</v>
      </c>
    </row>
    <row r="96" spans="12:14" x14ac:dyDescent="0.25">
      <c r="L96" s="68">
        <v>55</v>
      </c>
      <c r="M96" s="66" t="s">
        <v>82</v>
      </c>
      <c r="N96" s="68">
        <v>46</v>
      </c>
    </row>
    <row r="97" spans="12:14" x14ac:dyDescent="0.25">
      <c r="L97" s="68">
        <v>59</v>
      </c>
      <c r="M97" s="66" t="s">
        <v>83</v>
      </c>
      <c r="N97" s="68">
        <v>47</v>
      </c>
    </row>
    <row r="98" spans="12:14" x14ac:dyDescent="0.25">
      <c r="L98" s="68">
        <v>71</v>
      </c>
      <c r="M98" s="66" t="s">
        <v>84</v>
      </c>
      <c r="N98" s="68">
        <v>44</v>
      </c>
    </row>
    <row r="99" spans="12:14" x14ac:dyDescent="0.25">
      <c r="L99" s="68">
        <v>58</v>
      </c>
      <c r="M99" s="66" t="s">
        <v>85</v>
      </c>
      <c r="N99" s="68">
        <v>50</v>
      </c>
    </row>
    <row r="100" spans="12:14" x14ac:dyDescent="0.25">
      <c r="L100" s="67"/>
      <c r="M100" s="70">
        <v>4.7916666666666663E-2</v>
      </c>
      <c r="N100" s="67">
        <v>0</v>
      </c>
    </row>
    <row r="101" spans="12:14" x14ac:dyDescent="0.25">
      <c r="L101" s="68">
        <v>72</v>
      </c>
      <c r="M101" s="66" t="s">
        <v>78</v>
      </c>
      <c r="N101" s="68">
        <v>27</v>
      </c>
    </row>
    <row r="102" spans="12:14" x14ac:dyDescent="0.25">
      <c r="L102" s="68">
        <v>41</v>
      </c>
      <c r="M102" s="66" t="s">
        <v>79</v>
      </c>
      <c r="N102" s="68">
        <v>52</v>
      </c>
    </row>
    <row r="103" spans="12:14" x14ac:dyDescent="0.25">
      <c r="L103" s="68">
        <v>71</v>
      </c>
      <c r="M103" s="66" t="s">
        <v>80</v>
      </c>
      <c r="N103" s="68">
        <v>31</v>
      </c>
    </row>
    <row r="104" spans="12:14" x14ac:dyDescent="0.25">
      <c r="L104" s="68">
        <v>54</v>
      </c>
      <c r="M104" s="66" t="s">
        <v>81</v>
      </c>
      <c r="N104" s="68">
        <v>47</v>
      </c>
    </row>
    <row r="105" spans="12:14" x14ac:dyDescent="0.25">
      <c r="L105" s="68">
        <v>60</v>
      </c>
      <c r="M105" s="66" t="s">
        <v>82</v>
      </c>
      <c r="N105" s="68">
        <v>40</v>
      </c>
    </row>
    <row r="106" spans="12:14" x14ac:dyDescent="0.25">
      <c r="L106" s="68">
        <v>67</v>
      </c>
      <c r="M106" s="66" t="s">
        <v>83</v>
      </c>
      <c r="N106" s="68">
        <v>35</v>
      </c>
    </row>
    <row r="107" spans="12:14" x14ac:dyDescent="0.25">
      <c r="L107" s="68">
        <v>55</v>
      </c>
      <c r="M107" s="66" t="s">
        <v>84</v>
      </c>
      <c r="N107" s="68">
        <v>48</v>
      </c>
    </row>
    <row r="108" spans="12:14" x14ac:dyDescent="0.25">
      <c r="L108" s="68"/>
      <c r="M108" s="66" t="s">
        <v>85</v>
      </c>
      <c r="N108" s="68"/>
    </row>
    <row r="109" spans="12:14" x14ac:dyDescent="0.25">
      <c r="L109" s="67"/>
      <c r="M109" s="70">
        <v>4.7916666666666663E-2</v>
      </c>
      <c r="N109" s="67">
        <v>0</v>
      </c>
    </row>
    <row r="110" spans="12:14" x14ac:dyDescent="0.25">
      <c r="L110" s="68">
        <v>49</v>
      </c>
      <c r="M110" s="66" t="s">
        <v>78</v>
      </c>
      <c r="N110" s="68">
        <v>50</v>
      </c>
    </row>
    <row r="111" spans="12:14" x14ac:dyDescent="0.25">
      <c r="L111" s="68">
        <v>42</v>
      </c>
      <c r="M111" s="66" t="s">
        <v>79</v>
      </c>
      <c r="N111" s="68">
        <v>57</v>
      </c>
    </row>
    <row r="112" spans="12:14" x14ac:dyDescent="0.25">
      <c r="L112" s="68">
        <v>56</v>
      </c>
      <c r="M112" s="66" t="s">
        <v>80</v>
      </c>
      <c r="N112" s="68">
        <v>43</v>
      </c>
    </row>
    <row r="113" spans="12:14" x14ac:dyDescent="0.25">
      <c r="L113" s="68">
        <v>51</v>
      </c>
      <c r="M113" s="66" t="s">
        <v>81</v>
      </c>
      <c r="N113" s="68">
        <v>53</v>
      </c>
    </row>
    <row r="114" spans="12:14" x14ac:dyDescent="0.25">
      <c r="L114" s="68">
        <v>51</v>
      </c>
      <c r="M114" s="66" t="s">
        <v>82</v>
      </c>
      <c r="N114" s="68">
        <v>45</v>
      </c>
    </row>
    <row r="115" spans="12:14" x14ac:dyDescent="0.25">
      <c r="L115" s="68">
        <v>57</v>
      </c>
      <c r="M115" s="66" t="s">
        <v>83</v>
      </c>
      <c r="N115" s="68">
        <v>37</v>
      </c>
    </row>
    <row r="116" spans="12:14" x14ac:dyDescent="0.25">
      <c r="L116" s="68">
        <v>76</v>
      </c>
      <c r="M116" s="66" t="s">
        <v>84</v>
      </c>
      <c r="N116" s="68">
        <v>36</v>
      </c>
    </row>
    <row r="117" spans="12:14" x14ac:dyDescent="0.25">
      <c r="L117" s="68">
        <v>60</v>
      </c>
      <c r="M117" s="66" t="s">
        <v>85</v>
      </c>
      <c r="N117" s="68">
        <v>48</v>
      </c>
    </row>
    <row r="118" spans="12:14" x14ac:dyDescent="0.25">
      <c r="L118" s="67"/>
      <c r="M118" s="70">
        <v>4.7916666666666663E-2</v>
      </c>
      <c r="N118" s="67">
        <v>0</v>
      </c>
    </row>
    <row r="119" spans="12:14" x14ac:dyDescent="0.25">
      <c r="L119" s="68">
        <v>62</v>
      </c>
      <c r="M119" s="66" t="s">
        <v>78</v>
      </c>
      <c r="N119" s="68">
        <v>31</v>
      </c>
    </row>
    <row r="120" spans="12:14" x14ac:dyDescent="0.25">
      <c r="L120" s="68">
        <v>51</v>
      </c>
      <c r="M120" s="66" t="s">
        <v>79</v>
      </c>
      <c r="N120" s="68">
        <v>48</v>
      </c>
    </row>
    <row r="121" spans="12:14" x14ac:dyDescent="0.25">
      <c r="L121" s="68">
        <v>64</v>
      </c>
      <c r="M121" s="66" t="s">
        <v>80</v>
      </c>
      <c r="N121" s="68">
        <v>35</v>
      </c>
    </row>
    <row r="122" spans="12:14" x14ac:dyDescent="0.25">
      <c r="L122" s="68">
        <v>72</v>
      </c>
      <c r="M122" s="66" t="s">
        <v>81</v>
      </c>
      <c r="N122" s="68">
        <v>30</v>
      </c>
    </row>
    <row r="123" spans="12:14" x14ac:dyDescent="0.25">
      <c r="L123" s="68">
        <v>60</v>
      </c>
      <c r="M123" s="66" t="s">
        <v>82</v>
      </c>
      <c r="N123" s="68">
        <v>32</v>
      </c>
    </row>
    <row r="124" spans="12:14" x14ac:dyDescent="0.25">
      <c r="L124" s="68">
        <v>61</v>
      </c>
      <c r="M124" s="66" t="s">
        <v>83</v>
      </c>
      <c r="N124" s="68">
        <v>47</v>
      </c>
    </row>
    <row r="125" spans="12:14" x14ac:dyDescent="0.25">
      <c r="L125" s="68">
        <v>65</v>
      </c>
      <c r="M125" s="66" t="s">
        <v>84</v>
      </c>
      <c r="N125" s="68">
        <v>25</v>
      </c>
    </row>
    <row r="126" spans="12:14" x14ac:dyDescent="0.25">
      <c r="L126" s="68"/>
      <c r="M126" s="66" t="s">
        <v>85</v>
      </c>
      <c r="N126" s="68"/>
    </row>
    <row r="127" spans="12:14" x14ac:dyDescent="0.25">
      <c r="L127" s="67"/>
      <c r="M127" s="70">
        <f>0.0479166666666667 + "00:20:00"</f>
        <v>6.1805555555555586E-2</v>
      </c>
      <c r="N127" s="67"/>
    </row>
    <row r="136" spans="13:13" x14ac:dyDescent="0.25">
      <c r="M136" s="47">
        <f>0.0618055555555556 + "00:20:00"</f>
        <v>7.5694444444444481E-2</v>
      </c>
    </row>
    <row r="145" spans="13:13" x14ac:dyDescent="0.25">
      <c r="M145" s="47">
        <f>0.0756944444444445 + "00:20:00"</f>
        <v>8.9583333333333376E-2</v>
      </c>
    </row>
    <row r="154" spans="13:13" x14ac:dyDescent="0.25">
      <c r="M154" s="47">
        <f>0.0895833333333334 + "00:20:00"</f>
        <v>0.1034722222222223</v>
      </c>
    </row>
    <row r="163" spans="13:13" x14ac:dyDescent="0.25">
      <c r="M163" s="47">
        <f>0.103472222222222 + "00:20:00"</f>
        <v>0.11736111111111089</v>
      </c>
    </row>
    <row r="172" spans="13:13" x14ac:dyDescent="0.25">
      <c r="M172" s="47">
        <f>0.117361111111111 + "00:20:00"</f>
        <v>0.13124999999999989</v>
      </c>
    </row>
    <row r="181" spans="13:13" x14ac:dyDescent="0.25">
      <c r="M181" s="47">
        <f>0.13125 + "00:20:00"</f>
        <v>0.1451388888888889</v>
      </c>
    </row>
    <row r="190" spans="13:13" x14ac:dyDescent="0.25">
      <c r="M190" s="47">
        <f>0.145138888888889 + "00:20:00"</f>
        <v>0.15902777777777791</v>
      </c>
    </row>
    <row r="199" spans="13:13" x14ac:dyDescent="0.25">
      <c r="M199" s="47">
        <f>0.159027777777778 + "00:20:00"</f>
        <v>0.17291666666666689</v>
      </c>
    </row>
    <row r="208" spans="13:13" x14ac:dyDescent="0.25">
      <c r="M208" s="47">
        <f>0.172916666666667 + "00:20:00"</f>
        <v>0.18680555555555589</v>
      </c>
    </row>
    <row r="217" spans="13:13" x14ac:dyDescent="0.25">
      <c r="M217" s="47">
        <f>0.186805555555556 + "00:20:00"</f>
        <v>0.2006944444444449</v>
      </c>
    </row>
    <row r="226" spans="13:13" x14ac:dyDescent="0.25">
      <c r="M226" s="47">
        <f>0.200694444444445 + "00:20:00"</f>
        <v>0.2145833333333339</v>
      </c>
    </row>
    <row r="235" spans="13:13" x14ac:dyDescent="0.25">
      <c r="M235" s="47">
        <f>0.214583333333334 + "00:20:00"</f>
        <v>0.22847222222222288</v>
      </c>
    </row>
    <row r="244" spans="13:13" x14ac:dyDescent="0.25">
      <c r="M244" s="47">
        <f>0.228472222222223 + "00:20:00"</f>
        <v>0.24236111111111189</v>
      </c>
    </row>
    <row r="253" spans="13:13" x14ac:dyDescent="0.25">
      <c r="M253" s="47">
        <f>0.242361111111112 + "00:20:00"</f>
        <v>0.25625000000000087</v>
      </c>
    </row>
    <row r="262" spans="13:13" x14ac:dyDescent="0.25">
      <c r="M262" s="47">
        <f>0.256250000000001 + "00:20:00"</f>
        <v>0.27013888888888987</v>
      </c>
    </row>
    <row r="271" spans="13:13" x14ac:dyDescent="0.25">
      <c r="M271" s="47">
        <f>0.27013888888889 + "00:20:00"</f>
        <v>0.28402777777777888</v>
      </c>
    </row>
    <row r="280" spans="13:13" x14ac:dyDescent="0.25">
      <c r="M280" s="47">
        <f>0.284027777777779 + "00:20:00"</f>
        <v>0.29791666666666788</v>
      </c>
    </row>
    <row r="289" spans="13:13" x14ac:dyDescent="0.25">
      <c r="M289" s="47">
        <f>0.297916666666668 + "00:20:00"</f>
        <v>0.31180555555555689</v>
      </c>
    </row>
    <row r="298" spans="13:13" x14ac:dyDescent="0.25">
      <c r="M298" s="47">
        <f>0.311805555555557 + "00:20:00"</f>
        <v>0.3256944444444459</v>
      </c>
    </row>
    <row r="307" spans="13:13" x14ac:dyDescent="0.25">
      <c r="M307" s="47">
        <f>0.325694444444446 + "00:20:00"</f>
        <v>0.3395833333333349</v>
      </c>
    </row>
    <row r="316" spans="13:13" x14ac:dyDescent="0.25">
      <c r="M316" s="47">
        <f>0.339583333333335 + "00:20:00"</f>
        <v>0.35347222222222391</v>
      </c>
    </row>
    <row r="325" spans="13:13" x14ac:dyDescent="0.25">
      <c r="M325" s="47">
        <f>0.353472222222224 + "00:20:00"</f>
        <v>0.36736111111111291</v>
      </c>
    </row>
    <row r="334" spans="13:13" x14ac:dyDescent="0.25">
      <c r="M334" s="47">
        <f>0.367361111111113 + "00:20:00"</f>
        <v>0.38125000000000192</v>
      </c>
    </row>
    <row r="343" spans="13:13" x14ac:dyDescent="0.25">
      <c r="M343" s="47">
        <f>0.381250000000002 + "00:20:00"</f>
        <v>0.39513888888889087</v>
      </c>
    </row>
    <row r="352" spans="13:13" x14ac:dyDescent="0.25">
      <c r="M352" s="47">
        <f>0.395138888888891 + "00:20:00"</f>
        <v>0.40902777777777988</v>
      </c>
    </row>
    <row r="361" spans="13:13" x14ac:dyDescent="0.25">
      <c r="M361" s="47">
        <f>0.40902777777778 + "00:20:00"</f>
        <v>0.42291666666666888</v>
      </c>
    </row>
    <row r="370" spans="13:13" x14ac:dyDescent="0.25">
      <c r="M370" s="47">
        <f>0.422916666666669 + "00:20:00"</f>
        <v>0.43680555555555789</v>
      </c>
    </row>
    <row r="379" spans="13:13" x14ac:dyDescent="0.25">
      <c r="M379" s="47">
        <f>0.436805555555558 + "00:20:00"</f>
        <v>0.4506944444444469</v>
      </c>
    </row>
    <row r="388" spans="13:13" x14ac:dyDescent="0.25">
      <c r="M388" s="47">
        <f>0.450694444444447 + "00:20:00"</f>
        <v>0.4645833333333359</v>
      </c>
    </row>
    <row r="397" spans="13:13" x14ac:dyDescent="0.25">
      <c r="M397" s="47">
        <f>0.464583333333336 + "00:20:00"</f>
        <v>0.47847222222222491</v>
      </c>
    </row>
    <row r="406" spans="13:13" x14ac:dyDescent="0.25">
      <c r="M406" s="47">
        <f>0.478472222222225 + "00:20:00"</f>
        <v>0.49236111111111391</v>
      </c>
    </row>
    <row r="415" spans="13:13" x14ac:dyDescent="0.25">
      <c r="M415" s="47">
        <f>0.492361111111114 + "00:20:00"</f>
        <v>0.50625000000000286</v>
      </c>
    </row>
    <row r="424" spans="13:13" x14ac:dyDescent="0.25">
      <c r="M424" s="47">
        <f>0.506250000000003 + "00:20:00"</f>
        <v>0.52013888888889181</v>
      </c>
    </row>
    <row r="433" spans="13:13" x14ac:dyDescent="0.25">
      <c r="M433" s="47">
        <f>0.520138888888892 + "00:20:00"</f>
        <v>0.53402777777778088</v>
      </c>
    </row>
    <row r="442" spans="13:13" x14ac:dyDescent="0.25">
      <c r="M442" s="47">
        <f>0.534027777777781 + "00:20:00"</f>
        <v>0.54791666666666983</v>
      </c>
    </row>
    <row r="451" spans="13:13" x14ac:dyDescent="0.25">
      <c r="M451" s="47">
        <f>0.54791666666667 + "00:20:00"</f>
        <v>0.56180555555555889</v>
      </c>
    </row>
    <row r="460" spans="13:13" x14ac:dyDescent="0.25">
      <c r="M460" s="47">
        <f>0.561805555555559 + "00:20:00"</f>
        <v>0.57569444444444784</v>
      </c>
    </row>
    <row r="469" spans="13:13" x14ac:dyDescent="0.25">
      <c r="M469" s="47">
        <f>0.575694444444448 + "00:20:00"</f>
        <v>0.58958333333333679</v>
      </c>
    </row>
    <row r="478" spans="13:13" x14ac:dyDescent="0.25">
      <c r="M478" s="47">
        <f>0.589583333333337 + "00:20:00"</f>
        <v>0.60347222222222585</v>
      </c>
    </row>
    <row r="487" spans="13:13" x14ac:dyDescent="0.25">
      <c r="M487" s="47">
        <f>0.603472222222226 + "00:20:00"</f>
        <v>0.6173611111111148</v>
      </c>
    </row>
    <row r="496" spans="13:13" x14ac:dyDescent="0.25">
      <c r="M496" s="47">
        <f>0.617361111111115 + "00:20:00"</f>
        <v>0.63125000000000386</v>
      </c>
    </row>
    <row r="505" spans="13:13" x14ac:dyDescent="0.25">
      <c r="M505" s="47">
        <f>0.631250000000004 + "00:20:00"</f>
        <v>0.64513888888889281</v>
      </c>
    </row>
    <row r="514" spans="13:13" x14ac:dyDescent="0.25">
      <c r="M514" s="47">
        <f>0.645138888888893 + "00:20:00"</f>
        <v>0.65902777777778188</v>
      </c>
    </row>
    <row r="523" spans="13:13" x14ac:dyDescent="0.25">
      <c r="M523" s="47">
        <f>0.659027777777782 + "00:20:00"</f>
        <v>0.67291666666667083</v>
      </c>
    </row>
    <row r="532" spans="13:13" x14ac:dyDescent="0.25">
      <c r="M532" s="47">
        <f>0.672916666666671 + "00:20:00"</f>
        <v>0.68680555555555989</v>
      </c>
    </row>
    <row r="541" spans="13:13" x14ac:dyDescent="0.25">
      <c r="M541" s="47">
        <f>0.68680555555556 + "00:20:00"</f>
        <v>0.70069444444444884</v>
      </c>
    </row>
    <row r="550" spans="13:13" x14ac:dyDescent="0.25">
      <c r="M550" s="47">
        <f>0.700694444444449 + "00:20:00"</f>
        <v>0.71458333333333779</v>
      </c>
    </row>
    <row r="559" spans="13:13" x14ac:dyDescent="0.25">
      <c r="M559" s="47">
        <f>0.714583333333338 + "00:20:00"</f>
        <v>0.72847222222222685</v>
      </c>
    </row>
    <row r="568" spans="13:13" x14ac:dyDescent="0.25">
      <c r="M568" s="47">
        <f>0.728472222222227 + "00:20:00"</f>
        <v>0.7423611111111158</v>
      </c>
    </row>
    <row r="577" spans="13:13" x14ac:dyDescent="0.25">
      <c r="M577" s="47">
        <f>0.742361111111116 + "00:20:00"</f>
        <v>0.75625000000000486</v>
      </c>
    </row>
    <row r="586" spans="13:13" x14ac:dyDescent="0.25">
      <c r="M586" s="47">
        <f>0.756250000000005 + "00:20:00"</f>
        <v>0.77013888888889381</v>
      </c>
    </row>
    <row r="595" spans="13:13" x14ac:dyDescent="0.25">
      <c r="M595" s="47">
        <f>0.770138888888894 + "00:20:00"</f>
        <v>0.78402777777778287</v>
      </c>
    </row>
    <row r="604" spans="13:13" x14ac:dyDescent="0.25">
      <c r="M604" s="47">
        <f>0.784027777777783 + "00:20:00"</f>
        <v>0.79791666666667183</v>
      </c>
    </row>
    <row r="613" spans="13:13" x14ac:dyDescent="0.25">
      <c r="M613" s="47">
        <f>0.797916666666672 + "00:20:00"</f>
        <v>0.81180555555556089</v>
      </c>
    </row>
    <row r="622" spans="13:13" x14ac:dyDescent="0.25">
      <c r="M622" s="47">
        <f>0.811805555555561 + "00:20:00"</f>
        <v>0.82569444444444984</v>
      </c>
    </row>
    <row r="631" spans="13:13" x14ac:dyDescent="0.25">
      <c r="M631" s="47">
        <f>0.82569444444445 + "00:20:00"</f>
        <v>0.83958333333333879</v>
      </c>
    </row>
    <row r="640" spans="13:13" x14ac:dyDescent="0.25">
      <c r="M640" s="47">
        <f>0.839583333333339 + "00:20:00"</f>
        <v>0.85347222222222785</v>
      </c>
    </row>
    <row r="649" spans="13:13" x14ac:dyDescent="0.25">
      <c r="M649" s="47">
        <f>0.853472222222228 + "00:20:00"</f>
        <v>0.8673611111111168</v>
      </c>
    </row>
    <row r="658" spans="13:13" x14ac:dyDescent="0.25">
      <c r="M658" s="47">
        <f>0.867361111111117 + "00:20:00"</f>
        <v>0.88125000000000586</v>
      </c>
    </row>
    <row r="667" spans="13:13" x14ac:dyDescent="0.25">
      <c r="M667" s="47">
        <f>0.881250000000006 + "00:20:00"</f>
        <v>0.89513888888889481</v>
      </c>
    </row>
    <row r="676" spans="13:13" x14ac:dyDescent="0.25">
      <c r="M676" s="47">
        <f>0.895138888888895 + "00:20:00"</f>
        <v>0.90902777777778387</v>
      </c>
    </row>
    <row r="685" spans="13:13" x14ac:dyDescent="0.25">
      <c r="M685" s="47">
        <f>0.909027777777784 + "00:20:00"</f>
        <v>0.92291666666667282</v>
      </c>
    </row>
    <row r="694" spans="13:13" x14ac:dyDescent="0.25">
      <c r="M694" s="47">
        <f>0.922916666666673 + "00:20:00"</f>
        <v>0.93680555555556189</v>
      </c>
    </row>
    <row r="703" spans="13:13" x14ac:dyDescent="0.25">
      <c r="M703" s="47">
        <f>0.936805555555562 + "00:20:00"</f>
        <v>0.95069444444445084</v>
      </c>
    </row>
    <row r="712" spans="13:13" x14ac:dyDescent="0.25">
      <c r="M712" s="47">
        <f>0.950694444444451 + "00:20:00"</f>
        <v>0.96458333333333979</v>
      </c>
    </row>
    <row r="721" spans="13:13" x14ac:dyDescent="0.25">
      <c r="M721" s="47">
        <f>0.96458333333334 + "00:20:00"</f>
        <v>0.97847222222222885</v>
      </c>
    </row>
    <row r="730" spans="13:13" x14ac:dyDescent="0.25">
      <c r="M730" s="47">
        <f>0.978472222222229 + "00:20:00"</f>
        <v>0.9923611111111178</v>
      </c>
    </row>
    <row r="739" spans="13:13" x14ac:dyDescent="0.25">
      <c r="M739" s="47">
        <f>0.992361111111118 + "00:20:00"</f>
        <v>1.006250000000007</v>
      </c>
    </row>
    <row r="748" spans="13:13" x14ac:dyDescent="0.25">
      <c r="M748" s="47">
        <f>1.00625000000001 + "00:20:00"</f>
        <v>1.0201388888888989</v>
      </c>
    </row>
    <row r="757" spans="13:13" x14ac:dyDescent="0.25">
      <c r="M757" s="47">
        <f>1.0201388888889 + "00:20:00"</f>
        <v>1.0340277777777889</v>
      </c>
    </row>
    <row r="766" spans="13:13" x14ac:dyDescent="0.25">
      <c r="M766" s="47">
        <f>1.03402777777779 + "00:20:00"</f>
        <v>1.0479166666666788</v>
      </c>
    </row>
    <row r="775" spans="13:13" x14ac:dyDescent="0.25">
      <c r="M775" s="47">
        <f>1.04791666666668 + "00:20:00"</f>
        <v>1.0618055555555688</v>
      </c>
    </row>
    <row r="784" spans="13:13" x14ac:dyDescent="0.25">
      <c r="M784" s="47">
        <f>1.06180555555557 + "00:20:00"</f>
        <v>1.0756944444444589</v>
      </c>
    </row>
    <row r="793" spans="13:13" x14ac:dyDescent="0.25">
      <c r="M793" s="47">
        <f>1.07569444444446 + "00:20:00"</f>
        <v>1.0895833333333489</v>
      </c>
    </row>
    <row r="802" spans="13:13" x14ac:dyDescent="0.25">
      <c r="M802" s="47">
        <f>1.08958333333335 + "00:20:00"</f>
        <v>1.1034722222222388</v>
      </c>
    </row>
    <row r="811" spans="13:13" x14ac:dyDescent="0.25">
      <c r="M811" s="47">
        <f>1.10347222222224 + "00:20:00"</f>
        <v>1.1173611111111288</v>
      </c>
    </row>
    <row r="820" spans="13:13" x14ac:dyDescent="0.25">
      <c r="M820" s="47">
        <f>1.11736111111113 + "00:20:00"</f>
        <v>1.1312500000000187</v>
      </c>
    </row>
    <row r="829" spans="13:13" x14ac:dyDescent="0.25">
      <c r="M829" s="47">
        <f>1.13125000000002 + "00:20:00"</f>
        <v>1.1451388888889089</v>
      </c>
    </row>
    <row r="838" spans="13:13" x14ac:dyDescent="0.25">
      <c r="M838" s="47">
        <f>1.14513888888891 + "00:20:00"</f>
        <v>1.1590277777777989</v>
      </c>
    </row>
    <row r="847" spans="13:13" x14ac:dyDescent="0.25">
      <c r="M847" s="47">
        <f>1.1590277777778 + "00:20:00"</f>
        <v>1.1729166666666888</v>
      </c>
    </row>
    <row r="856" spans="13:13" x14ac:dyDescent="0.25">
      <c r="M856" s="47">
        <f>1.17291666666669 + "00:20:00"</f>
        <v>1.1868055555555788</v>
      </c>
    </row>
    <row r="865" spans="13:13" x14ac:dyDescent="0.25">
      <c r="M865" s="47">
        <f>1.18680555555558 + "00:20:00"</f>
        <v>1.2006944444444689</v>
      </c>
    </row>
    <row r="874" spans="13:13" x14ac:dyDescent="0.25">
      <c r="M874" s="47">
        <f>1.20069444444447 + "00:20:00"</f>
        <v>1.2145833333333589</v>
      </c>
    </row>
  </sheetData>
  <sheetProtection selectLockedCells="1"/>
  <conditionalFormatting sqref="L2">
    <cfRule type="expression" dxfId="483" priority="483">
      <formula>$B2&lt;$D2</formula>
    </cfRule>
    <cfRule type="expression" dxfId="482" priority="484">
      <formula>$B2&gt;$D2</formula>
    </cfRule>
  </conditionalFormatting>
  <conditionalFormatting sqref="N2">
    <cfRule type="expression" dxfId="481" priority="481">
      <formula>$B2&gt;$D2</formula>
    </cfRule>
    <cfRule type="expression" dxfId="480" priority="482">
      <formula>$B2&lt;$D2</formula>
    </cfRule>
  </conditionalFormatting>
  <conditionalFormatting sqref="L3">
    <cfRule type="expression" dxfId="479" priority="479">
      <formula>$B3&lt;$D3</formula>
    </cfRule>
    <cfRule type="expression" dxfId="478" priority="480">
      <formula>$B3&gt;$D3</formula>
    </cfRule>
  </conditionalFormatting>
  <conditionalFormatting sqref="N3">
    <cfRule type="expression" dxfId="477" priority="477">
      <formula>$B3&gt;$D3</formula>
    </cfRule>
    <cfRule type="expression" dxfId="476" priority="478">
      <formula>$B3&lt;$D3</formula>
    </cfRule>
  </conditionalFormatting>
  <conditionalFormatting sqref="L4">
    <cfRule type="expression" dxfId="475" priority="475">
      <formula>$B4&lt;$D4</formula>
    </cfRule>
    <cfRule type="expression" dxfId="474" priority="476">
      <formula>$B4&gt;$D4</formula>
    </cfRule>
  </conditionalFormatting>
  <conditionalFormatting sqref="N4">
    <cfRule type="expression" dxfId="473" priority="473">
      <formula>$B4&gt;$D4</formula>
    </cfRule>
    <cfRule type="expression" dxfId="472" priority="474">
      <formula>$B4&lt;$D4</formula>
    </cfRule>
  </conditionalFormatting>
  <conditionalFormatting sqref="L5">
    <cfRule type="expression" dxfId="471" priority="471">
      <formula>$B5&lt;$D5</formula>
    </cfRule>
    <cfRule type="expression" dxfId="470" priority="472">
      <formula>$B5&gt;$D5</formula>
    </cfRule>
  </conditionalFormatting>
  <conditionalFormatting sqref="N5">
    <cfRule type="expression" dxfId="469" priority="469">
      <formula>$B5&gt;$D5</formula>
    </cfRule>
    <cfRule type="expression" dxfId="468" priority="470">
      <formula>$B5&lt;$D5</formula>
    </cfRule>
  </conditionalFormatting>
  <conditionalFormatting sqref="L6">
    <cfRule type="expression" dxfId="467" priority="467">
      <formula>$B6&lt;$D6</formula>
    </cfRule>
    <cfRule type="expression" dxfId="466" priority="468">
      <formula>$B6&gt;$D6</formula>
    </cfRule>
  </conditionalFormatting>
  <conditionalFormatting sqref="N6">
    <cfRule type="expression" dxfId="465" priority="465">
      <formula>$B6&gt;$D6</formula>
    </cfRule>
    <cfRule type="expression" dxfId="464" priority="466">
      <formula>$B6&lt;$D6</formula>
    </cfRule>
  </conditionalFormatting>
  <conditionalFormatting sqref="L7">
    <cfRule type="expression" dxfId="463" priority="463">
      <formula>$B7&lt;$D7</formula>
    </cfRule>
    <cfRule type="expression" dxfId="462" priority="464">
      <formula>$B7&gt;$D7</formula>
    </cfRule>
  </conditionalFormatting>
  <conditionalFormatting sqref="N7">
    <cfRule type="expression" dxfId="461" priority="461">
      <formula>$B7&gt;$D7</formula>
    </cfRule>
    <cfRule type="expression" dxfId="460" priority="462">
      <formula>$B7&lt;$D7</formula>
    </cfRule>
  </conditionalFormatting>
  <conditionalFormatting sqref="L8">
    <cfRule type="expression" dxfId="459" priority="459">
      <formula>$B8&lt;$D8</formula>
    </cfRule>
    <cfRule type="expression" dxfId="458" priority="460">
      <formula>$B8&gt;$D8</formula>
    </cfRule>
  </conditionalFormatting>
  <conditionalFormatting sqref="N8">
    <cfRule type="expression" dxfId="457" priority="457">
      <formula>$B8&gt;$D8</formula>
    </cfRule>
    <cfRule type="expression" dxfId="456" priority="458">
      <formula>$B8&lt;$D8</formula>
    </cfRule>
  </conditionalFormatting>
  <conditionalFormatting sqref="L9">
    <cfRule type="expression" dxfId="455" priority="455">
      <formula>$B9&lt;$D9</formula>
    </cfRule>
    <cfRule type="expression" dxfId="454" priority="456">
      <formula>$B9&gt;$D9</formula>
    </cfRule>
  </conditionalFormatting>
  <conditionalFormatting sqref="N9">
    <cfRule type="expression" dxfId="453" priority="453">
      <formula>$B9&gt;$D9</formula>
    </cfRule>
    <cfRule type="expression" dxfId="452" priority="454">
      <formula>$B9&lt;$D9</formula>
    </cfRule>
  </conditionalFormatting>
  <conditionalFormatting sqref="L11">
    <cfRule type="expression" dxfId="451" priority="451">
      <formula>$B11&lt;$D11</formula>
    </cfRule>
    <cfRule type="expression" dxfId="450" priority="452">
      <formula>$B11&gt;$D11</formula>
    </cfRule>
  </conditionalFormatting>
  <conditionalFormatting sqref="N11">
    <cfRule type="expression" dxfId="449" priority="449">
      <formula>$B11&gt;$D11</formula>
    </cfRule>
    <cfRule type="expression" dxfId="448" priority="450">
      <formula>$B11&lt;$D11</formula>
    </cfRule>
  </conditionalFormatting>
  <conditionalFormatting sqref="L12">
    <cfRule type="expression" dxfId="447" priority="447">
      <formula>$B12&lt;$D12</formula>
    </cfRule>
    <cfRule type="expression" dxfId="446" priority="448">
      <formula>$B12&gt;$D12</formula>
    </cfRule>
  </conditionalFormatting>
  <conditionalFormatting sqref="N12">
    <cfRule type="expression" dxfId="445" priority="445">
      <formula>$B12&gt;$D12</formula>
    </cfRule>
    <cfRule type="expression" dxfId="444" priority="446">
      <formula>$B12&lt;$D12</formula>
    </cfRule>
  </conditionalFormatting>
  <conditionalFormatting sqref="L13">
    <cfRule type="expression" dxfId="443" priority="444">
      <formula>$B13&gt;$D13</formula>
    </cfRule>
  </conditionalFormatting>
  <conditionalFormatting sqref="L13">
    <cfRule type="expression" dxfId="442" priority="443">
      <formula>$B13&lt;$D13</formula>
    </cfRule>
  </conditionalFormatting>
  <conditionalFormatting sqref="N13">
    <cfRule type="expression" dxfId="441" priority="442">
      <formula>$B13&lt;$D13</formula>
    </cfRule>
  </conditionalFormatting>
  <conditionalFormatting sqref="N13">
    <cfRule type="expression" dxfId="440" priority="441">
      <formula>$B13&gt;$D13</formula>
    </cfRule>
  </conditionalFormatting>
  <conditionalFormatting sqref="L14">
    <cfRule type="expression" dxfId="439" priority="440">
      <formula>$B14&gt;$D14</formula>
    </cfRule>
  </conditionalFormatting>
  <conditionalFormatting sqref="L14">
    <cfRule type="expression" dxfId="438" priority="439">
      <formula>$B14&lt;$D14</formula>
    </cfRule>
  </conditionalFormatting>
  <conditionalFormatting sqref="N14">
    <cfRule type="expression" dxfId="437" priority="438">
      <formula>$B14&lt;$D14</formula>
    </cfRule>
  </conditionalFormatting>
  <conditionalFormatting sqref="N14">
    <cfRule type="expression" dxfId="436" priority="437">
      <formula>$B14&gt;$D14</formula>
    </cfRule>
  </conditionalFormatting>
  <conditionalFormatting sqref="L15">
    <cfRule type="expression" dxfId="435" priority="436">
      <formula>$B15&gt;$D15</formula>
    </cfRule>
  </conditionalFormatting>
  <conditionalFormatting sqref="L15">
    <cfRule type="expression" dxfId="434" priority="435">
      <formula>$B15&lt;$D15</formula>
    </cfRule>
  </conditionalFormatting>
  <conditionalFormatting sqref="N15">
    <cfRule type="expression" dxfId="433" priority="434">
      <formula>$B15&lt;$D15</formula>
    </cfRule>
  </conditionalFormatting>
  <conditionalFormatting sqref="N15">
    <cfRule type="expression" dxfId="432" priority="433">
      <formula>$B15&gt;$D15</formula>
    </cfRule>
  </conditionalFormatting>
  <conditionalFormatting sqref="L16">
    <cfRule type="expression" dxfId="431" priority="432">
      <formula>$B16&gt;$D16</formula>
    </cfRule>
  </conditionalFormatting>
  <conditionalFormatting sqref="L16">
    <cfRule type="expression" dxfId="430" priority="431">
      <formula>$B16&lt;$D16</formula>
    </cfRule>
  </conditionalFormatting>
  <conditionalFormatting sqref="N16">
    <cfRule type="expression" dxfId="429" priority="430">
      <formula>$B16&lt;$D16</formula>
    </cfRule>
  </conditionalFormatting>
  <conditionalFormatting sqref="N16">
    <cfRule type="expression" dxfId="428" priority="429">
      <formula>$B16&gt;$D16</formula>
    </cfRule>
  </conditionalFormatting>
  <conditionalFormatting sqref="L17">
    <cfRule type="expression" dxfId="427" priority="428">
      <formula>$B17&gt;$D17</formula>
    </cfRule>
  </conditionalFormatting>
  <conditionalFormatting sqref="L17">
    <cfRule type="expression" dxfId="426" priority="427">
      <formula>$B17&lt;$D17</formula>
    </cfRule>
  </conditionalFormatting>
  <conditionalFormatting sqref="N17">
    <cfRule type="expression" dxfId="425" priority="426">
      <formula>$B17&lt;$D17</formula>
    </cfRule>
  </conditionalFormatting>
  <conditionalFormatting sqref="N17">
    <cfRule type="expression" dxfId="424" priority="425">
      <formula>$B17&gt;$D17</formula>
    </cfRule>
  </conditionalFormatting>
  <conditionalFormatting sqref="L18">
    <cfRule type="expression" dxfId="423" priority="424">
      <formula>$B18&gt;$D18</formula>
    </cfRule>
  </conditionalFormatting>
  <conditionalFormatting sqref="L18">
    <cfRule type="expression" dxfId="422" priority="423">
      <formula>$B18&lt;$D18</formula>
    </cfRule>
  </conditionalFormatting>
  <conditionalFormatting sqref="N18">
    <cfRule type="expression" dxfId="421" priority="422">
      <formula>$B18&lt;$D18</formula>
    </cfRule>
  </conditionalFormatting>
  <conditionalFormatting sqref="N18">
    <cfRule type="expression" dxfId="420" priority="421">
      <formula>$B18&gt;$D18</formula>
    </cfRule>
  </conditionalFormatting>
  <conditionalFormatting sqref="L20">
    <cfRule type="expression" dxfId="419" priority="420">
      <formula>$B20&gt;$D20</formula>
    </cfRule>
  </conditionalFormatting>
  <conditionalFormatting sqref="L20">
    <cfRule type="expression" dxfId="418" priority="419">
      <formula>$B20&lt;$D20</formula>
    </cfRule>
  </conditionalFormatting>
  <conditionalFormatting sqref="N20">
    <cfRule type="expression" dxfId="417" priority="418">
      <formula>$B20&lt;$D20</formula>
    </cfRule>
  </conditionalFormatting>
  <conditionalFormatting sqref="N20">
    <cfRule type="expression" dxfId="416" priority="417">
      <formula>$B20&gt;$D20</formula>
    </cfRule>
  </conditionalFormatting>
  <conditionalFormatting sqref="L21">
    <cfRule type="expression" dxfId="415" priority="416">
      <formula>$B21&gt;$D21</formula>
    </cfRule>
  </conditionalFormatting>
  <conditionalFormatting sqref="L21">
    <cfRule type="expression" dxfId="414" priority="415">
      <formula>$B21&lt;$D21</formula>
    </cfRule>
  </conditionalFormatting>
  <conditionalFormatting sqref="N21">
    <cfRule type="expression" dxfId="413" priority="414">
      <formula>$B21&lt;$D21</formula>
    </cfRule>
  </conditionalFormatting>
  <conditionalFormatting sqref="N21">
    <cfRule type="expression" dxfId="412" priority="413">
      <formula>$B21&gt;$D21</formula>
    </cfRule>
  </conditionalFormatting>
  <conditionalFormatting sqref="L22">
    <cfRule type="expression" dxfId="411" priority="412">
      <formula>$B22&gt;$D22</formula>
    </cfRule>
  </conditionalFormatting>
  <conditionalFormatting sqref="L22">
    <cfRule type="expression" dxfId="410" priority="411">
      <formula>$B22&lt;$D22</formula>
    </cfRule>
  </conditionalFormatting>
  <conditionalFormatting sqref="N22">
    <cfRule type="expression" dxfId="409" priority="410">
      <formula>$B22&lt;$D22</formula>
    </cfRule>
  </conditionalFormatting>
  <conditionalFormatting sqref="N22">
    <cfRule type="expression" dxfId="408" priority="409">
      <formula>$B22&gt;$D22</formula>
    </cfRule>
  </conditionalFormatting>
  <conditionalFormatting sqref="L23">
    <cfRule type="expression" dxfId="407" priority="408">
      <formula>$B23&gt;$D23</formula>
    </cfRule>
  </conditionalFormatting>
  <conditionalFormatting sqref="L23">
    <cfRule type="expression" dxfId="406" priority="407">
      <formula>$B23&lt;$D23</formula>
    </cfRule>
  </conditionalFormatting>
  <conditionalFormatting sqref="N23">
    <cfRule type="expression" dxfId="405" priority="406">
      <formula>$B23&lt;$D23</formula>
    </cfRule>
  </conditionalFormatting>
  <conditionalFormatting sqref="N23">
    <cfRule type="expression" dxfId="404" priority="405">
      <formula>$B23&gt;$D23</formula>
    </cfRule>
  </conditionalFormatting>
  <conditionalFormatting sqref="L24">
    <cfRule type="expression" dxfId="403" priority="404">
      <formula>$B24&gt;$D24</formula>
    </cfRule>
  </conditionalFormatting>
  <conditionalFormatting sqref="L24">
    <cfRule type="expression" dxfId="402" priority="403">
      <formula>$B24&lt;$D24</formula>
    </cfRule>
  </conditionalFormatting>
  <conditionalFormatting sqref="N24">
    <cfRule type="expression" dxfId="401" priority="402">
      <formula>$B24&lt;$D24</formula>
    </cfRule>
  </conditionalFormatting>
  <conditionalFormatting sqref="N24">
    <cfRule type="expression" dxfId="400" priority="401">
      <formula>$B24&gt;$D24</formula>
    </cfRule>
  </conditionalFormatting>
  <conditionalFormatting sqref="L25">
    <cfRule type="expression" dxfId="399" priority="400">
      <formula>$B25&gt;$D25</formula>
    </cfRule>
  </conditionalFormatting>
  <conditionalFormatting sqref="L25">
    <cfRule type="expression" dxfId="398" priority="399">
      <formula>$B25&lt;$D25</formula>
    </cfRule>
  </conditionalFormatting>
  <conditionalFormatting sqref="N25">
    <cfRule type="expression" dxfId="397" priority="398">
      <formula>$B25&lt;$D25</formula>
    </cfRule>
  </conditionalFormatting>
  <conditionalFormatting sqref="N25">
    <cfRule type="expression" dxfId="396" priority="397">
      <formula>$B25&gt;$D25</formula>
    </cfRule>
  </conditionalFormatting>
  <conditionalFormatting sqref="L26">
    <cfRule type="expression" dxfId="395" priority="396">
      <formula>$B26&gt;$D26</formula>
    </cfRule>
  </conditionalFormatting>
  <conditionalFormatting sqref="L26">
    <cfRule type="expression" dxfId="394" priority="395">
      <formula>$B26&lt;$D26</formula>
    </cfRule>
  </conditionalFormatting>
  <conditionalFormatting sqref="N26">
    <cfRule type="expression" dxfId="393" priority="394">
      <formula>$B26&lt;$D26</formula>
    </cfRule>
  </conditionalFormatting>
  <conditionalFormatting sqref="N26">
    <cfRule type="expression" dxfId="392" priority="393">
      <formula>$B26&gt;$D26</formula>
    </cfRule>
  </conditionalFormatting>
  <conditionalFormatting sqref="L27">
    <cfRule type="expression" dxfId="391" priority="392">
      <formula>$B27&gt;$D27</formula>
    </cfRule>
  </conditionalFormatting>
  <conditionalFormatting sqref="L27">
    <cfRule type="expression" dxfId="390" priority="391">
      <formula>$B27&lt;$D27</formula>
    </cfRule>
  </conditionalFormatting>
  <conditionalFormatting sqref="N27">
    <cfRule type="expression" dxfId="389" priority="390">
      <formula>$B27&lt;$D27</formula>
    </cfRule>
  </conditionalFormatting>
  <conditionalFormatting sqref="N27">
    <cfRule type="expression" dxfId="388" priority="389">
      <formula>$B27&gt;$D27</formula>
    </cfRule>
  </conditionalFormatting>
  <conditionalFormatting sqref="L29">
    <cfRule type="expression" dxfId="387" priority="388">
      <formula>$B29&gt;$D29</formula>
    </cfRule>
  </conditionalFormatting>
  <conditionalFormatting sqref="L29">
    <cfRule type="expression" dxfId="386" priority="387">
      <formula>$B29&lt;$D29</formula>
    </cfRule>
  </conditionalFormatting>
  <conditionalFormatting sqref="N29">
    <cfRule type="expression" dxfId="385" priority="386">
      <formula>$B29&lt;$D29</formula>
    </cfRule>
  </conditionalFormatting>
  <conditionalFormatting sqref="N29">
    <cfRule type="expression" dxfId="384" priority="385">
      <formula>$B29&gt;$D29</formula>
    </cfRule>
  </conditionalFormatting>
  <conditionalFormatting sqref="L30">
    <cfRule type="expression" dxfId="383" priority="384">
      <formula>$B30&gt;$D30</formula>
    </cfRule>
  </conditionalFormatting>
  <conditionalFormatting sqref="L30">
    <cfRule type="expression" dxfId="382" priority="383">
      <formula>$B30&lt;$D30</formula>
    </cfRule>
  </conditionalFormatting>
  <conditionalFormatting sqref="N30">
    <cfRule type="expression" dxfId="381" priority="382">
      <formula>$B30&lt;$D30</formula>
    </cfRule>
  </conditionalFormatting>
  <conditionalFormatting sqref="N30">
    <cfRule type="expression" dxfId="380" priority="381">
      <formula>$B30&gt;$D30</formula>
    </cfRule>
  </conditionalFormatting>
  <conditionalFormatting sqref="L31">
    <cfRule type="expression" dxfId="379" priority="380">
      <formula>$B31&gt;$D31</formula>
    </cfRule>
  </conditionalFormatting>
  <conditionalFormatting sqref="L31">
    <cfRule type="expression" dxfId="378" priority="379">
      <formula>$B31&lt;$D31</formula>
    </cfRule>
  </conditionalFormatting>
  <conditionalFormatting sqref="N31">
    <cfRule type="expression" dxfId="377" priority="378">
      <formula>$B31&lt;$D31</formula>
    </cfRule>
  </conditionalFormatting>
  <conditionalFormatting sqref="N31">
    <cfRule type="expression" dxfId="376" priority="377">
      <formula>$B31&gt;$D31</formula>
    </cfRule>
  </conditionalFormatting>
  <conditionalFormatting sqref="L32">
    <cfRule type="expression" dxfId="375" priority="376">
      <formula>$B32&gt;$D32</formula>
    </cfRule>
  </conditionalFormatting>
  <conditionalFormatting sqref="L32">
    <cfRule type="expression" dxfId="374" priority="375">
      <formula>$B32&lt;$D32</formula>
    </cfRule>
  </conditionalFormatting>
  <conditionalFormatting sqref="N32">
    <cfRule type="expression" dxfId="373" priority="374">
      <formula>$B32&lt;$D32</formula>
    </cfRule>
  </conditionalFormatting>
  <conditionalFormatting sqref="N32">
    <cfRule type="expression" dxfId="372" priority="373">
      <formula>$B32&gt;$D32</formula>
    </cfRule>
  </conditionalFormatting>
  <conditionalFormatting sqref="L33">
    <cfRule type="expression" dxfId="371" priority="372">
      <formula>$B33&gt;$D33</formula>
    </cfRule>
  </conditionalFormatting>
  <conditionalFormatting sqref="L33">
    <cfRule type="expression" dxfId="370" priority="371">
      <formula>$B33&lt;$D33</formula>
    </cfRule>
  </conditionalFormatting>
  <conditionalFormatting sqref="N33">
    <cfRule type="expression" dxfId="369" priority="370">
      <formula>$B33&lt;$D33</formula>
    </cfRule>
  </conditionalFormatting>
  <conditionalFormatting sqref="N33">
    <cfRule type="expression" dxfId="368" priority="369">
      <formula>$B33&gt;$D33</formula>
    </cfRule>
  </conditionalFormatting>
  <conditionalFormatting sqref="L34">
    <cfRule type="expression" dxfId="367" priority="368">
      <formula>$B34&gt;$D34</formula>
    </cfRule>
  </conditionalFormatting>
  <conditionalFormatting sqref="L34">
    <cfRule type="expression" dxfId="366" priority="367">
      <formula>$B34&lt;$D34</formula>
    </cfRule>
  </conditionalFormatting>
  <conditionalFormatting sqref="N34">
    <cfRule type="expression" dxfId="365" priority="366">
      <formula>$B34&lt;$D34</formula>
    </cfRule>
  </conditionalFormatting>
  <conditionalFormatting sqref="N34">
    <cfRule type="expression" dxfId="364" priority="365">
      <formula>$B34&gt;$D34</formula>
    </cfRule>
  </conditionalFormatting>
  <conditionalFormatting sqref="L35">
    <cfRule type="expression" dxfId="363" priority="364">
      <formula>$B35&gt;$D35</formula>
    </cfRule>
  </conditionalFormatting>
  <conditionalFormatting sqref="L35">
    <cfRule type="expression" dxfId="362" priority="363">
      <formula>$B35&lt;$D35</formula>
    </cfRule>
  </conditionalFormatting>
  <conditionalFormatting sqref="N35">
    <cfRule type="expression" dxfId="361" priority="362">
      <formula>$B35&lt;$D35</formula>
    </cfRule>
  </conditionalFormatting>
  <conditionalFormatting sqref="N35">
    <cfRule type="expression" dxfId="360" priority="361">
      <formula>$B35&gt;$D35</formula>
    </cfRule>
  </conditionalFormatting>
  <conditionalFormatting sqref="L36">
    <cfRule type="expression" dxfId="359" priority="360">
      <formula>$B36&gt;$D36</formula>
    </cfRule>
  </conditionalFormatting>
  <conditionalFormatting sqref="L36">
    <cfRule type="expression" dxfId="358" priority="359">
      <formula>$B36&lt;$D36</formula>
    </cfRule>
  </conditionalFormatting>
  <conditionalFormatting sqref="N36">
    <cfRule type="expression" dxfId="357" priority="358">
      <formula>$B36&lt;$D36</formula>
    </cfRule>
  </conditionalFormatting>
  <conditionalFormatting sqref="N36">
    <cfRule type="expression" dxfId="356" priority="357">
      <formula>$B36&gt;$D36</formula>
    </cfRule>
  </conditionalFormatting>
  <conditionalFormatting sqref="L38">
    <cfRule type="expression" dxfId="355" priority="356">
      <formula>$B38&gt;$D38</formula>
    </cfRule>
  </conditionalFormatting>
  <conditionalFormatting sqref="L38">
    <cfRule type="expression" dxfId="354" priority="355">
      <formula>$B38&lt;$D38</formula>
    </cfRule>
  </conditionalFormatting>
  <conditionalFormatting sqref="N38">
    <cfRule type="expression" dxfId="353" priority="354">
      <formula>$B38&lt;$D38</formula>
    </cfRule>
  </conditionalFormatting>
  <conditionalFormatting sqref="N38">
    <cfRule type="expression" dxfId="352" priority="353">
      <formula>$B38&gt;$D38</formula>
    </cfRule>
  </conditionalFormatting>
  <conditionalFormatting sqref="L39">
    <cfRule type="expression" dxfId="351" priority="352">
      <formula>$B39&gt;$D39</formula>
    </cfRule>
  </conditionalFormatting>
  <conditionalFormatting sqref="L39">
    <cfRule type="expression" dxfId="350" priority="351">
      <formula>$B39&lt;$D39</formula>
    </cfRule>
  </conditionalFormatting>
  <conditionalFormatting sqref="N39">
    <cfRule type="expression" dxfId="349" priority="350">
      <formula>$B39&lt;$D39</formula>
    </cfRule>
  </conditionalFormatting>
  <conditionalFormatting sqref="N39">
    <cfRule type="expression" dxfId="348" priority="349">
      <formula>$B39&gt;$D39</formula>
    </cfRule>
  </conditionalFormatting>
  <conditionalFormatting sqref="L40">
    <cfRule type="expression" dxfId="347" priority="348">
      <formula>$B40&gt;$D40</formula>
    </cfRule>
  </conditionalFormatting>
  <conditionalFormatting sqref="L40">
    <cfRule type="expression" dxfId="346" priority="347">
      <formula>$B40&lt;$D40</formula>
    </cfRule>
  </conditionalFormatting>
  <conditionalFormatting sqref="N40">
    <cfRule type="expression" dxfId="345" priority="346">
      <formula>$B40&lt;$D40</formula>
    </cfRule>
  </conditionalFormatting>
  <conditionalFormatting sqref="N40">
    <cfRule type="expression" dxfId="344" priority="345">
      <formula>$B40&gt;$D40</formula>
    </cfRule>
  </conditionalFormatting>
  <conditionalFormatting sqref="L41">
    <cfRule type="expression" dxfId="343" priority="344">
      <formula>$B41&gt;$D41</formula>
    </cfRule>
  </conditionalFormatting>
  <conditionalFormatting sqref="L41">
    <cfRule type="expression" dxfId="342" priority="343">
      <formula>$B41&lt;$D41</formula>
    </cfRule>
  </conditionalFormatting>
  <conditionalFormatting sqref="N41">
    <cfRule type="expression" dxfId="341" priority="342">
      <formula>$B41&lt;$D41</formula>
    </cfRule>
  </conditionalFormatting>
  <conditionalFormatting sqref="N41">
    <cfRule type="expression" dxfId="340" priority="341">
      <formula>$B41&gt;$D41</formula>
    </cfRule>
  </conditionalFormatting>
  <conditionalFormatting sqref="L42">
    <cfRule type="expression" dxfId="339" priority="340">
      <formula>$B42&gt;$D42</formula>
    </cfRule>
  </conditionalFormatting>
  <conditionalFormatting sqref="L42">
    <cfRule type="expression" dxfId="338" priority="339">
      <formula>$B42&lt;$D42</formula>
    </cfRule>
  </conditionalFormatting>
  <conditionalFormatting sqref="N42">
    <cfRule type="expression" dxfId="337" priority="338">
      <formula>$B42&lt;$D42</formula>
    </cfRule>
  </conditionalFormatting>
  <conditionalFormatting sqref="N42">
    <cfRule type="expression" dxfId="336" priority="337">
      <formula>$B42&gt;$D42</formula>
    </cfRule>
  </conditionalFormatting>
  <conditionalFormatting sqref="L43">
    <cfRule type="expression" dxfId="335" priority="336">
      <formula>$B43&gt;$D43</formula>
    </cfRule>
  </conditionalFormatting>
  <conditionalFormatting sqref="L43">
    <cfRule type="expression" dxfId="334" priority="335">
      <formula>$B43&lt;$D43</formula>
    </cfRule>
  </conditionalFormatting>
  <conditionalFormatting sqref="N43">
    <cfRule type="expression" dxfId="333" priority="334">
      <formula>$B43&lt;$D43</formula>
    </cfRule>
  </conditionalFormatting>
  <conditionalFormatting sqref="N43">
    <cfRule type="expression" dxfId="332" priority="333">
      <formula>$B43&gt;$D43</formula>
    </cfRule>
  </conditionalFormatting>
  <conditionalFormatting sqref="L44">
    <cfRule type="expression" dxfId="331" priority="332">
      <formula>$B44&gt;$D44</formula>
    </cfRule>
  </conditionalFormatting>
  <conditionalFormatting sqref="L44">
    <cfRule type="expression" dxfId="330" priority="331">
      <formula>$B44&lt;$D44</formula>
    </cfRule>
  </conditionalFormatting>
  <conditionalFormatting sqref="N44">
    <cfRule type="expression" dxfId="329" priority="330">
      <formula>$B44&lt;$D44</formula>
    </cfRule>
  </conditionalFormatting>
  <conditionalFormatting sqref="N44">
    <cfRule type="expression" dxfId="328" priority="329">
      <formula>$B44&gt;$D44</formula>
    </cfRule>
  </conditionalFormatting>
  <conditionalFormatting sqref="L45">
    <cfRule type="expression" dxfId="327" priority="328">
      <formula>$B45&gt;$D45</formula>
    </cfRule>
  </conditionalFormatting>
  <conditionalFormatting sqref="L45">
    <cfRule type="expression" dxfId="326" priority="327">
      <formula>$B45&lt;$D45</formula>
    </cfRule>
  </conditionalFormatting>
  <conditionalFormatting sqref="N45">
    <cfRule type="expression" dxfId="325" priority="326">
      <formula>$B45&lt;$D45</formula>
    </cfRule>
  </conditionalFormatting>
  <conditionalFormatting sqref="N45">
    <cfRule type="expression" dxfId="324" priority="325">
      <formula>$B45&gt;$D45</formula>
    </cfRule>
  </conditionalFormatting>
  <conditionalFormatting sqref="L47">
    <cfRule type="expression" dxfId="323" priority="324">
      <formula>$B47&gt;$D47</formula>
    </cfRule>
  </conditionalFormatting>
  <conditionalFormatting sqref="L47">
    <cfRule type="expression" dxfId="322" priority="323">
      <formula>$B47&lt;$D47</formula>
    </cfRule>
  </conditionalFormatting>
  <conditionalFormatting sqref="N47">
    <cfRule type="expression" dxfId="321" priority="322">
      <formula>$B47&lt;$D47</formula>
    </cfRule>
  </conditionalFormatting>
  <conditionalFormatting sqref="N47">
    <cfRule type="expression" dxfId="320" priority="321">
      <formula>$B47&gt;$D47</formula>
    </cfRule>
  </conditionalFormatting>
  <conditionalFormatting sqref="L48">
    <cfRule type="expression" dxfId="319" priority="320">
      <formula>$B48&gt;$D48</formula>
    </cfRule>
  </conditionalFormatting>
  <conditionalFormatting sqref="L48">
    <cfRule type="expression" dxfId="318" priority="319">
      <formula>$B48&lt;$D48</formula>
    </cfRule>
  </conditionalFormatting>
  <conditionalFormatting sqref="N48">
    <cfRule type="expression" dxfId="317" priority="318">
      <formula>$B48&lt;$D48</formula>
    </cfRule>
  </conditionalFormatting>
  <conditionalFormatting sqref="N48">
    <cfRule type="expression" dxfId="316" priority="317">
      <formula>$B48&gt;$D48</formula>
    </cfRule>
  </conditionalFormatting>
  <conditionalFormatting sqref="L49">
    <cfRule type="expression" dxfId="315" priority="316">
      <formula>$B49&gt;$D49</formula>
    </cfRule>
  </conditionalFormatting>
  <conditionalFormatting sqref="L49">
    <cfRule type="expression" dxfId="314" priority="315">
      <formula>$B49&lt;$D49</formula>
    </cfRule>
  </conditionalFormatting>
  <conditionalFormatting sqref="N49">
    <cfRule type="expression" dxfId="313" priority="314">
      <formula>$B49&lt;$D49</formula>
    </cfRule>
  </conditionalFormatting>
  <conditionalFormatting sqref="N49">
    <cfRule type="expression" dxfId="312" priority="313">
      <formula>$B49&gt;$D49</formula>
    </cfRule>
  </conditionalFormatting>
  <conditionalFormatting sqref="L50">
    <cfRule type="expression" dxfId="311" priority="312">
      <formula>$B50&gt;$D50</formula>
    </cfRule>
  </conditionalFormatting>
  <conditionalFormatting sqref="L50">
    <cfRule type="expression" dxfId="310" priority="311">
      <formula>$B50&lt;$D50</formula>
    </cfRule>
  </conditionalFormatting>
  <conditionalFormatting sqref="N50">
    <cfRule type="expression" dxfId="309" priority="310">
      <formula>$B50&lt;$D50</formula>
    </cfRule>
  </conditionalFormatting>
  <conditionalFormatting sqref="N50">
    <cfRule type="expression" dxfId="308" priority="309">
      <formula>$B50&gt;$D50</formula>
    </cfRule>
  </conditionalFormatting>
  <conditionalFormatting sqref="L51">
    <cfRule type="expression" dxfId="307" priority="308">
      <formula>$B51&gt;$D51</formula>
    </cfRule>
  </conditionalFormatting>
  <conditionalFormatting sqref="L51">
    <cfRule type="expression" dxfId="306" priority="307">
      <formula>$B51&lt;$D51</formula>
    </cfRule>
  </conditionalFormatting>
  <conditionalFormatting sqref="N51">
    <cfRule type="expression" dxfId="305" priority="306">
      <formula>$B51&lt;$D51</formula>
    </cfRule>
  </conditionalFormatting>
  <conditionalFormatting sqref="N51">
    <cfRule type="expression" dxfId="304" priority="305">
      <formula>$B51&gt;$D51</formula>
    </cfRule>
  </conditionalFormatting>
  <conditionalFormatting sqref="L52">
    <cfRule type="expression" dxfId="303" priority="304">
      <formula>$B52&gt;$D52</formula>
    </cfRule>
  </conditionalFormatting>
  <conditionalFormatting sqref="L52">
    <cfRule type="expression" dxfId="302" priority="303">
      <formula>$B52&lt;$D52</formula>
    </cfRule>
  </conditionalFormatting>
  <conditionalFormatting sqref="N52">
    <cfRule type="expression" dxfId="301" priority="302">
      <formula>$B52&lt;$D52</formula>
    </cfRule>
  </conditionalFormatting>
  <conditionalFormatting sqref="N52">
    <cfRule type="expression" dxfId="300" priority="301">
      <formula>$B52&gt;$D52</formula>
    </cfRule>
  </conditionalFormatting>
  <conditionalFormatting sqref="L53">
    <cfRule type="expression" dxfId="299" priority="300">
      <formula>$B53&gt;$D53</formula>
    </cfRule>
  </conditionalFormatting>
  <conditionalFormatting sqref="L53">
    <cfRule type="expression" dxfId="298" priority="299">
      <formula>$B53&lt;$D53</formula>
    </cfRule>
  </conditionalFormatting>
  <conditionalFormatting sqref="N53">
    <cfRule type="expression" dxfId="297" priority="298">
      <formula>$B53&lt;$D53</formula>
    </cfRule>
  </conditionalFormatting>
  <conditionalFormatting sqref="N53">
    <cfRule type="expression" dxfId="296" priority="297">
      <formula>$B53&gt;$D53</formula>
    </cfRule>
  </conditionalFormatting>
  <conditionalFormatting sqref="L54">
    <cfRule type="expression" dxfId="295" priority="296">
      <formula>$B54&gt;$D54</formula>
    </cfRule>
  </conditionalFormatting>
  <conditionalFormatting sqref="L54">
    <cfRule type="expression" dxfId="294" priority="295">
      <formula>$B54&lt;$D54</formula>
    </cfRule>
  </conditionalFormatting>
  <conditionalFormatting sqref="N54">
    <cfRule type="expression" dxfId="293" priority="294">
      <formula>$B54&lt;$D54</formula>
    </cfRule>
  </conditionalFormatting>
  <conditionalFormatting sqref="N54">
    <cfRule type="expression" dxfId="292" priority="293">
      <formula>$B54&gt;$D54</formula>
    </cfRule>
  </conditionalFormatting>
  <conditionalFormatting sqref="L56">
    <cfRule type="expression" dxfId="291" priority="292">
      <formula>$B56&gt;$D56</formula>
    </cfRule>
  </conditionalFormatting>
  <conditionalFormatting sqref="L56">
    <cfRule type="expression" dxfId="290" priority="291">
      <formula>$B56&lt;$D56</formula>
    </cfRule>
  </conditionalFormatting>
  <conditionalFormatting sqref="N56">
    <cfRule type="expression" dxfId="289" priority="290">
      <formula>$B56&lt;$D56</formula>
    </cfRule>
  </conditionalFormatting>
  <conditionalFormatting sqref="N56">
    <cfRule type="expression" dxfId="288" priority="289">
      <formula>$B56&gt;$D56</formula>
    </cfRule>
  </conditionalFormatting>
  <conditionalFormatting sqref="L57">
    <cfRule type="expression" dxfId="287" priority="288">
      <formula>$B57&gt;$D57</formula>
    </cfRule>
  </conditionalFormatting>
  <conditionalFormatting sqref="L57">
    <cfRule type="expression" dxfId="286" priority="287">
      <formula>$B57&lt;$D57</formula>
    </cfRule>
  </conditionalFormatting>
  <conditionalFormatting sqref="N57">
    <cfRule type="expression" dxfId="285" priority="286">
      <formula>$B57&lt;$D57</formula>
    </cfRule>
  </conditionalFormatting>
  <conditionalFormatting sqref="N57">
    <cfRule type="expression" dxfId="284" priority="285">
      <formula>$B57&gt;$D57</formula>
    </cfRule>
  </conditionalFormatting>
  <conditionalFormatting sqref="L58">
    <cfRule type="expression" dxfId="283" priority="284">
      <formula>$B58&gt;$D58</formula>
    </cfRule>
  </conditionalFormatting>
  <conditionalFormatting sqref="L58">
    <cfRule type="expression" dxfId="282" priority="283">
      <formula>$B58&lt;$D58</formula>
    </cfRule>
  </conditionalFormatting>
  <conditionalFormatting sqref="N58">
    <cfRule type="expression" dxfId="281" priority="282">
      <formula>$B58&lt;$D58</formula>
    </cfRule>
  </conditionalFormatting>
  <conditionalFormatting sqref="N58">
    <cfRule type="expression" dxfId="280" priority="281">
      <formula>$B58&gt;$D58</formula>
    </cfRule>
  </conditionalFormatting>
  <conditionalFormatting sqref="L59">
    <cfRule type="expression" dxfId="279" priority="280">
      <formula>$B59&gt;$D59</formula>
    </cfRule>
  </conditionalFormatting>
  <conditionalFormatting sqref="L59">
    <cfRule type="expression" dxfId="278" priority="279">
      <formula>$B59&lt;$D59</formula>
    </cfRule>
  </conditionalFormatting>
  <conditionalFormatting sqref="N59">
    <cfRule type="expression" dxfId="277" priority="278">
      <formula>$B59&lt;$D59</formula>
    </cfRule>
  </conditionalFormatting>
  <conditionalFormatting sqref="N59">
    <cfRule type="expression" dxfId="276" priority="277">
      <formula>$B59&gt;$D59</formula>
    </cfRule>
  </conditionalFormatting>
  <conditionalFormatting sqref="L60">
    <cfRule type="expression" dxfId="275" priority="276">
      <formula>$B60&gt;$D60</formula>
    </cfRule>
  </conditionalFormatting>
  <conditionalFormatting sqref="L60">
    <cfRule type="expression" dxfId="274" priority="275">
      <formula>$B60&lt;$D60</formula>
    </cfRule>
  </conditionalFormatting>
  <conditionalFormatting sqref="N60">
    <cfRule type="expression" dxfId="273" priority="274">
      <formula>$B60&lt;$D60</formula>
    </cfRule>
  </conditionalFormatting>
  <conditionalFormatting sqref="N60">
    <cfRule type="expression" dxfId="272" priority="273">
      <formula>$B60&gt;$D60</formula>
    </cfRule>
  </conditionalFormatting>
  <conditionalFormatting sqref="L61">
    <cfRule type="expression" dxfId="271" priority="272">
      <formula>$B61&gt;$D61</formula>
    </cfRule>
  </conditionalFormatting>
  <conditionalFormatting sqref="L61">
    <cfRule type="expression" dxfId="270" priority="271">
      <formula>$B61&lt;$D61</formula>
    </cfRule>
  </conditionalFormatting>
  <conditionalFormatting sqref="N61">
    <cfRule type="expression" dxfId="269" priority="270">
      <formula>$B61&lt;$D61</formula>
    </cfRule>
  </conditionalFormatting>
  <conditionalFormatting sqref="N61">
    <cfRule type="expression" dxfId="268" priority="269">
      <formula>$B61&gt;$D61</formula>
    </cfRule>
  </conditionalFormatting>
  <conditionalFormatting sqref="L62">
    <cfRule type="expression" dxfId="267" priority="268">
      <formula>$B62&gt;$D62</formula>
    </cfRule>
  </conditionalFormatting>
  <conditionalFormatting sqref="L62">
    <cfRule type="expression" dxfId="266" priority="267">
      <formula>$B62&lt;$D62</formula>
    </cfRule>
  </conditionalFormatting>
  <conditionalFormatting sqref="N62">
    <cfRule type="expression" dxfId="265" priority="266">
      <formula>$B62&lt;$D62</formula>
    </cfRule>
  </conditionalFormatting>
  <conditionalFormatting sqref="N62">
    <cfRule type="expression" dxfId="264" priority="265">
      <formula>$B62&gt;$D62</formula>
    </cfRule>
  </conditionalFormatting>
  <conditionalFormatting sqref="L63">
    <cfRule type="expression" dxfId="263" priority="264">
      <formula>$B63&gt;$D63</formula>
    </cfRule>
  </conditionalFormatting>
  <conditionalFormatting sqref="L63">
    <cfRule type="expression" dxfId="262" priority="263">
      <formula>$B63&lt;$D63</formula>
    </cfRule>
  </conditionalFormatting>
  <conditionalFormatting sqref="N63">
    <cfRule type="expression" dxfId="261" priority="262">
      <formula>$B63&lt;$D63</formula>
    </cfRule>
  </conditionalFormatting>
  <conditionalFormatting sqref="N63">
    <cfRule type="expression" dxfId="260" priority="261">
      <formula>$B63&gt;$D63</formula>
    </cfRule>
  </conditionalFormatting>
  <conditionalFormatting sqref="L65">
    <cfRule type="expression" dxfId="259" priority="260">
      <formula>$B65&gt;$D65</formula>
    </cfRule>
  </conditionalFormatting>
  <conditionalFormatting sqref="L65">
    <cfRule type="expression" dxfId="258" priority="259">
      <formula>$B65&lt;$D65</formula>
    </cfRule>
  </conditionalFormatting>
  <conditionalFormatting sqref="N65">
    <cfRule type="expression" dxfId="257" priority="258">
      <formula>$B65&lt;$D65</formula>
    </cfRule>
  </conditionalFormatting>
  <conditionalFormatting sqref="N65">
    <cfRule type="expression" dxfId="256" priority="257">
      <formula>$B65&gt;$D65</formula>
    </cfRule>
  </conditionalFormatting>
  <conditionalFormatting sqref="L66">
    <cfRule type="expression" dxfId="255" priority="256">
      <formula>$B66&gt;$D66</formula>
    </cfRule>
  </conditionalFormatting>
  <conditionalFormatting sqref="L66">
    <cfRule type="expression" dxfId="254" priority="255">
      <formula>$B66&lt;$D66</formula>
    </cfRule>
  </conditionalFormatting>
  <conditionalFormatting sqref="N66">
    <cfRule type="expression" dxfId="253" priority="254">
      <formula>$B66&lt;$D66</formula>
    </cfRule>
  </conditionalFormatting>
  <conditionalFormatting sqref="N66">
    <cfRule type="expression" dxfId="252" priority="253">
      <formula>$B66&gt;$D66</formula>
    </cfRule>
  </conditionalFormatting>
  <conditionalFormatting sqref="L67">
    <cfRule type="expression" dxfId="251" priority="252">
      <formula>$B67&gt;$D67</formula>
    </cfRule>
  </conditionalFormatting>
  <conditionalFormatting sqref="L67">
    <cfRule type="expression" dxfId="250" priority="251">
      <formula>$B67&lt;$D67</formula>
    </cfRule>
  </conditionalFormatting>
  <conditionalFormatting sqref="N67">
    <cfRule type="expression" dxfId="249" priority="250">
      <formula>$B67&lt;$D67</formula>
    </cfRule>
  </conditionalFormatting>
  <conditionalFormatting sqref="N67">
    <cfRule type="expression" dxfId="248" priority="249">
      <formula>$B67&gt;$D67</formula>
    </cfRule>
  </conditionalFormatting>
  <conditionalFormatting sqref="L68">
    <cfRule type="expression" dxfId="247" priority="248">
      <formula>$B68&gt;$D68</formula>
    </cfRule>
  </conditionalFormatting>
  <conditionalFormatting sqref="L68">
    <cfRule type="expression" dxfId="246" priority="247">
      <formula>$B68&lt;$D68</formula>
    </cfRule>
  </conditionalFormatting>
  <conditionalFormatting sqref="N68">
    <cfRule type="expression" dxfId="245" priority="246">
      <formula>$B68&lt;$D68</formula>
    </cfRule>
  </conditionalFormatting>
  <conditionalFormatting sqref="N68">
    <cfRule type="expression" dxfId="244" priority="245">
      <formula>$B68&gt;$D68</formula>
    </cfRule>
  </conditionalFormatting>
  <conditionalFormatting sqref="L69">
    <cfRule type="expression" dxfId="243" priority="244">
      <formula>$B69&gt;$D69</formula>
    </cfRule>
  </conditionalFormatting>
  <conditionalFormatting sqref="L69">
    <cfRule type="expression" dxfId="242" priority="243">
      <formula>$B69&lt;$D69</formula>
    </cfRule>
  </conditionalFormatting>
  <conditionalFormatting sqref="N69">
    <cfRule type="expression" dxfId="241" priority="242">
      <formula>$B69&lt;$D69</formula>
    </cfRule>
  </conditionalFormatting>
  <conditionalFormatting sqref="N69">
    <cfRule type="expression" dxfId="240" priority="241">
      <formula>$B69&gt;$D69</formula>
    </cfRule>
  </conditionalFormatting>
  <conditionalFormatting sqref="L70">
    <cfRule type="expression" dxfId="239" priority="240">
      <formula>$B70&gt;$D70</formula>
    </cfRule>
  </conditionalFormatting>
  <conditionalFormatting sqref="L70">
    <cfRule type="expression" dxfId="238" priority="239">
      <formula>$B70&lt;$D70</formula>
    </cfRule>
  </conditionalFormatting>
  <conditionalFormatting sqref="N70">
    <cfRule type="expression" dxfId="237" priority="238">
      <formula>$B70&lt;$D70</formula>
    </cfRule>
  </conditionalFormatting>
  <conditionalFormatting sqref="N70">
    <cfRule type="expression" dxfId="236" priority="237">
      <formula>$B70&gt;$D70</formula>
    </cfRule>
  </conditionalFormatting>
  <conditionalFormatting sqref="L71">
    <cfRule type="expression" dxfId="235" priority="236">
      <formula>$B71&gt;$D71</formula>
    </cfRule>
  </conditionalFormatting>
  <conditionalFormatting sqref="L71">
    <cfRule type="expression" dxfId="234" priority="235">
      <formula>$B71&lt;$D71</formula>
    </cfRule>
  </conditionalFormatting>
  <conditionalFormatting sqref="N71">
    <cfRule type="expression" dxfId="233" priority="234">
      <formula>$B71&lt;$D71</formula>
    </cfRule>
  </conditionalFormatting>
  <conditionalFormatting sqref="N71">
    <cfRule type="expression" dxfId="232" priority="233">
      <formula>$B71&gt;$D71</formula>
    </cfRule>
  </conditionalFormatting>
  <conditionalFormatting sqref="L72">
    <cfRule type="expression" dxfId="231" priority="232">
      <formula>$B72&gt;$D72</formula>
    </cfRule>
  </conditionalFormatting>
  <conditionalFormatting sqref="L72">
    <cfRule type="expression" dxfId="230" priority="231">
      <formula>$B72&lt;$D72</formula>
    </cfRule>
  </conditionalFormatting>
  <conditionalFormatting sqref="N72">
    <cfRule type="expression" dxfId="229" priority="230">
      <formula>$B72&lt;$D72</formula>
    </cfRule>
  </conditionalFormatting>
  <conditionalFormatting sqref="N72">
    <cfRule type="expression" dxfId="228" priority="229">
      <formula>$B72&gt;$D72</formula>
    </cfRule>
  </conditionalFormatting>
  <conditionalFormatting sqref="L74">
    <cfRule type="expression" dxfId="227" priority="228">
      <formula>$B74&gt;$D74</formula>
    </cfRule>
  </conditionalFormatting>
  <conditionalFormatting sqref="L74">
    <cfRule type="expression" dxfId="226" priority="227">
      <formula>$B74&lt;$D74</formula>
    </cfRule>
  </conditionalFormatting>
  <conditionalFormatting sqref="N74">
    <cfRule type="expression" dxfId="225" priority="226">
      <formula>$B74&lt;$D74</formula>
    </cfRule>
  </conditionalFormatting>
  <conditionalFormatting sqref="N74">
    <cfRule type="expression" dxfId="224" priority="225">
      <formula>$B74&gt;$D74</formula>
    </cfRule>
  </conditionalFormatting>
  <conditionalFormatting sqref="L75">
    <cfRule type="expression" dxfId="223" priority="224">
      <formula>$B75&gt;$D75</formula>
    </cfRule>
  </conditionalFormatting>
  <conditionalFormatting sqref="L75">
    <cfRule type="expression" dxfId="222" priority="223">
      <formula>$B75&lt;$D75</formula>
    </cfRule>
  </conditionalFormatting>
  <conditionalFormatting sqref="N75">
    <cfRule type="expression" dxfId="221" priority="222">
      <formula>$B75&lt;$D75</formula>
    </cfRule>
  </conditionalFormatting>
  <conditionalFormatting sqref="N75">
    <cfRule type="expression" dxfId="220" priority="221">
      <formula>$B75&gt;$D75</formula>
    </cfRule>
  </conditionalFormatting>
  <conditionalFormatting sqref="L76">
    <cfRule type="expression" dxfId="219" priority="220">
      <formula>$B76&gt;$D76</formula>
    </cfRule>
  </conditionalFormatting>
  <conditionalFormatting sqref="L76">
    <cfRule type="expression" dxfId="218" priority="219">
      <formula>$B76&lt;$D76</formula>
    </cfRule>
  </conditionalFormatting>
  <conditionalFormatting sqref="N76">
    <cfRule type="expression" dxfId="217" priority="218">
      <formula>$B76&lt;$D76</formula>
    </cfRule>
  </conditionalFormatting>
  <conditionalFormatting sqref="N76">
    <cfRule type="expression" dxfId="216" priority="217">
      <formula>$B76&gt;$D76</formula>
    </cfRule>
  </conditionalFormatting>
  <conditionalFormatting sqref="L77">
    <cfRule type="expression" dxfId="215" priority="216">
      <formula>$B77&gt;$D77</formula>
    </cfRule>
  </conditionalFormatting>
  <conditionalFormatting sqref="L77">
    <cfRule type="expression" dxfId="214" priority="215">
      <formula>$B77&lt;$D77</formula>
    </cfRule>
  </conditionalFormatting>
  <conditionalFormatting sqref="N77">
    <cfRule type="expression" dxfId="213" priority="214">
      <formula>$B77&lt;$D77</formula>
    </cfRule>
  </conditionalFormatting>
  <conditionalFormatting sqref="N77">
    <cfRule type="expression" dxfId="212" priority="213">
      <formula>$B77&gt;$D77</formula>
    </cfRule>
  </conditionalFormatting>
  <conditionalFormatting sqref="L78">
    <cfRule type="expression" dxfId="211" priority="212">
      <formula>$B78&gt;$D78</formula>
    </cfRule>
  </conditionalFormatting>
  <conditionalFormatting sqref="L78">
    <cfRule type="expression" dxfId="210" priority="211">
      <formula>$B78&lt;$D78</formula>
    </cfRule>
  </conditionalFormatting>
  <conditionalFormatting sqref="N78">
    <cfRule type="expression" dxfId="209" priority="210">
      <formula>$B78&lt;$D78</formula>
    </cfRule>
  </conditionalFormatting>
  <conditionalFormatting sqref="N78">
    <cfRule type="expression" dxfId="208" priority="209">
      <formula>$B78&gt;$D78</formula>
    </cfRule>
  </conditionalFormatting>
  <conditionalFormatting sqref="L79">
    <cfRule type="expression" dxfId="207" priority="208">
      <formula>$B79&gt;$D79</formula>
    </cfRule>
  </conditionalFormatting>
  <conditionalFormatting sqref="L79">
    <cfRule type="expression" dxfId="206" priority="207">
      <formula>$B79&lt;$D79</formula>
    </cfRule>
  </conditionalFormatting>
  <conditionalFormatting sqref="N79">
    <cfRule type="expression" dxfId="205" priority="206">
      <formula>$B79&lt;$D79</formula>
    </cfRule>
  </conditionalFormatting>
  <conditionalFormatting sqref="N79">
    <cfRule type="expression" dxfId="204" priority="205">
      <formula>$B79&gt;$D79</formula>
    </cfRule>
  </conditionalFormatting>
  <conditionalFormatting sqref="L80">
    <cfRule type="expression" dxfId="203" priority="204">
      <formula>$B80&gt;$D80</formula>
    </cfRule>
  </conditionalFormatting>
  <conditionalFormatting sqref="L80">
    <cfRule type="expression" dxfId="202" priority="203">
      <formula>$B80&lt;$D80</formula>
    </cfRule>
  </conditionalFormatting>
  <conditionalFormatting sqref="N80">
    <cfRule type="expression" dxfId="201" priority="202">
      <formula>$B80&lt;$D80</formula>
    </cfRule>
  </conditionalFormatting>
  <conditionalFormatting sqref="N80">
    <cfRule type="expression" dxfId="200" priority="201">
      <formula>$B80&gt;$D80</formula>
    </cfRule>
  </conditionalFormatting>
  <conditionalFormatting sqref="L81">
    <cfRule type="expression" dxfId="199" priority="200">
      <formula>$B81&gt;$D81</formula>
    </cfRule>
  </conditionalFormatting>
  <conditionalFormatting sqref="L81">
    <cfRule type="expression" dxfId="198" priority="199">
      <formula>$B81&lt;$D81</formula>
    </cfRule>
  </conditionalFormatting>
  <conditionalFormatting sqref="N81">
    <cfRule type="expression" dxfId="197" priority="198">
      <formula>$B81&lt;$D81</formula>
    </cfRule>
  </conditionalFormatting>
  <conditionalFormatting sqref="N81">
    <cfRule type="expression" dxfId="196" priority="197">
      <formula>$B81&gt;$D81</formula>
    </cfRule>
  </conditionalFormatting>
  <conditionalFormatting sqref="L83">
    <cfRule type="expression" dxfId="195" priority="196">
      <formula>$B83&gt;$D83</formula>
    </cfRule>
  </conditionalFormatting>
  <conditionalFormatting sqref="L83">
    <cfRule type="expression" dxfId="194" priority="195">
      <formula>$B83&lt;$D83</formula>
    </cfRule>
  </conditionalFormatting>
  <conditionalFormatting sqref="N83">
    <cfRule type="expression" dxfId="193" priority="194">
      <formula>$B83&lt;$D83</formula>
    </cfRule>
  </conditionalFormatting>
  <conditionalFormatting sqref="N83">
    <cfRule type="expression" dxfId="192" priority="193">
      <formula>$B83&gt;$D83</formula>
    </cfRule>
  </conditionalFormatting>
  <conditionalFormatting sqref="L84">
    <cfRule type="expression" dxfId="191" priority="192">
      <formula>$B84&gt;$D84</formula>
    </cfRule>
  </conditionalFormatting>
  <conditionalFormatting sqref="L84">
    <cfRule type="expression" dxfId="190" priority="191">
      <formula>$B84&lt;$D84</formula>
    </cfRule>
  </conditionalFormatting>
  <conditionalFormatting sqref="N84">
    <cfRule type="expression" dxfId="189" priority="190">
      <formula>$B84&lt;$D84</formula>
    </cfRule>
  </conditionalFormatting>
  <conditionalFormatting sqref="N84">
    <cfRule type="expression" dxfId="188" priority="189">
      <formula>$B84&gt;$D84</formula>
    </cfRule>
  </conditionalFormatting>
  <conditionalFormatting sqref="L85">
    <cfRule type="expression" dxfId="187" priority="188">
      <formula>$B85&gt;$D85</formula>
    </cfRule>
  </conditionalFormatting>
  <conditionalFormatting sqref="L85">
    <cfRule type="expression" dxfId="186" priority="187">
      <formula>$B85&lt;$D85</formula>
    </cfRule>
  </conditionalFormatting>
  <conditionalFormatting sqref="N85">
    <cfRule type="expression" dxfId="185" priority="186">
      <formula>$B85&lt;$D85</formula>
    </cfRule>
  </conditionalFormatting>
  <conditionalFormatting sqref="N85">
    <cfRule type="expression" dxfId="184" priority="185">
      <formula>$B85&gt;$D85</formula>
    </cfRule>
  </conditionalFormatting>
  <conditionalFormatting sqref="L86">
    <cfRule type="expression" dxfId="183" priority="184">
      <formula>$B86&gt;$D86</formula>
    </cfRule>
  </conditionalFormatting>
  <conditionalFormatting sqref="L86">
    <cfRule type="expression" dxfId="182" priority="183">
      <formula>$B86&lt;$D86</formula>
    </cfRule>
  </conditionalFormatting>
  <conditionalFormatting sqref="N86">
    <cfRule type="expression" dxfId="181" priority="182">
      <formula>$B86&lt;$D86</formula>
    </cfRule>
  </conditionalFormatting>
  <conditionalFormatting sqref="N86">
    <cfRule type="expression" dxfId="180" priority="181">
      <formula>$B86&gt;$D86</formula>
    </cfRule>
  </conditionalFormatting>
  <conditionalFormatting sqref="L87">
    <cfRule type="expression" dxfId="179" priority="180">
      <formula>$B87&gt;$D87</formula>
    </cfRule>
  </conditionalFormatting>
  <conditionalFormatting sqref="L87">
    <cfRule type="expression" dxfId="178" priority="179">
      <formula>$B87&lt;$D87</formula>
    </cfRule>
  </conditionalFormatting>
  <conditionalFormatting sqref="N87">
    <cfRule type="expression" dxfId="177" priority="178">
      <formula>$B87&lt;$D87</formula>
    </cfRule>
  </conditionalFormatting>
  <conditionalFormatting sqref="N87">
    <cfRule type="expression" dxfId="176" priority="177">
      <formula>$B87&gt;$D87</formula>
    </cfRule>
  </conditionalFormatting>
  <conditionalFormatting sqref="L88">
    <cfRule type="expression" dxfId="175" priority="176">
      <formula>$B88&gt;$D88</formula>
    </cfRule>
  </conditionalFormatting>
  <conditionalFormatting sqref="L88">
    <cfRule type="expression" dxfId="174" priority="175">
      <formula>$B88&lt;$D88</formula>
    </cfRule>
  </conditionalFormatting>
  <conditionalFormatting sqref="N88">
    <cfRule type="expression" dxfId="173" priority="174">
      <formula>$B88&lt;$D88</formula>
    </cfRule>
  </conditionalFormatting>
  <conditionalFormatting sqref="N88">
    <cfRule type="expression" dxfId="172" priority="173">
      <formula>$B88&gt;$D88</formula>
    </cfRule>
  </conditionalFormatting>
  <conditionalFormatting sqref="L89">
    <cfRule type="expression" dxfId="171" priority="172">
      <formula>$B89&gt;$D89</formula>
    </cfRule>
  </conditionalFormatting>
  <conditionalFormatting sqref="L89">
    <cfRule type="expression" dxfId="170" priority="171">
      <formula>$B89&lt;$D89</formula>
    </cfRule>
  </conditionalFormatting>
  <conditionalFormatting sqref="N89">
    <cfRule type="expression" dxfId="169" priority="170">
      <formula>$B89&lt;$D89</formula>
    </cfRule>
  </conditionalFormatting>
  <conditionalFormatting sqref="N89">
    <cfRule type="expression" dxfId="168" priority="169">
      <formula>$B89&gt;$D89</formula>
    </cfRule>
  </conditionalFormatting>
  <conditionalFormatting sqref="L90">
    <cfRule type="expression" dxfId="167" priority="168">
      <formula>$B90&gt;$D90</formula>
    </cfRule>
  </conditionalFormatting>
  <conditionalFormatting sqref="L90">
    <cfRule type="expression" dxfId="166" priority="167">
      <formula>$B90&lt;$D90</formula>
    </cfRule>
  </conditionalFormatting>
  <conditionalFormatting sqref="N90">
    <cfRule type="expression" dxfId="165" priority="166">
      <formula>$B90&lt;$D90</formula>
    </cfRule>
  </conditionalFormatting>
  <conditionalFormatting sqref="N90">
    <cfRule type="expression" dxfId="164" priority="165">
      <formula>$B90&gt;$D90</formula>
    </cfRule>
  </conditionalFormatting>
  <conditionalFormatting sqref="L92">
    <cfRule type="expression" dxfId="163" priority="164">
      <formula>$B92&gt;$D92</formula>
    </cfRule>
  </conditionalFormatting>
  <conditionalFormatting sqref="L92">
    <cfRule type="expression" dxfId="162" priority="163">
      <formula>$B92&lt;$D92</formula>
    </cfRule>
  </conditionalFormatting>
  <conditionalFormatting sqref="N92">
    <cfRule type="expression" dxfId="161" priority="162">
      <formula>$B92&lt;$D92</formula>
    </cfRule>
  </conditionalFormatting>
  <conditionalFormatting sqref="N92">
    <cfRule type="expression" dxfId="160" priority="161">
      <formula>$B92&gt;$D92</formula>
    </cfRule>
  </conditionalFormatting>
  <conditionalFormatting sqref="L93">
    <cfRule type="expression" dxfId="159" priority="160">
      <formula>$B93&gt;$D93</formula>
    </cfRule>
  </conditionalFormatting>
  <conditionalFormatting sqref="L93">
    <cfRule type="expression" dxfId="158" priority="159">
      <formula>$B93&lt;$D93</formula>
    </cfRule>
  </conditionalFormatting>
  <conditionalFormatting sqref="N93">
    <cfRule type="expression" dxfId="157" priority="158">
      <formula>$B93&lt;$D93</formula>
    </cfRule>
  </conditionalFormatting>
  <conditionalFormatting sqref="N93">
    <cfRule type="expression" dxfId="156" priority="157">
      <formula>$B93&gt;$D93</formula>
    </cfRule>
  </conditionalFormatting>
  <conditionalFormatting sqref="L94">
    <cfRule type="expression" dxfId="155" priority="156">
      <formula>$B94&gt;$D94</formula>
    </cfRule>
  </conditionalFormatting>
  <conditionalFormatting sqref="L94">
    <cfRule type="expression" dxfId="154" priority="155">
      <formula>$B94&lt;$D94</formula>
    </cfRule>
  </conditionalFormatting>
  <conditionalFormatting sqref="N94">
    <cfRule type="expression" dxfId="153" priority="154">
      <formula>$B94&lt;$D94</formula>
    </cfRule>
  </conditionalFormatting>
  <conditionalFormatting sqref="N94">
    <cfRule type="expression" dxfId="152" priority="153">
      <formula>$B94&gt;$D94</formula>
    </cfRule>
  </conditionalFormatting>
  <conditionalFormatting sqref="L95">
    <cfRule type="expression" dxfId="151" priority="152">
      <formula>$B95&gt;$D95</formula>
    </cfRule>
  </conditionalFormatting>
  <conditionalFormatting sqref="L95">
    <cfRule type="expression" dxfId="150" priority="151">
      <formula>$B95&lt;$D95</formula>
    </cfRule>
  </conditionalFormatting>
  <conditionalFormatting sqref="N95">
    <cfRule type="expression" dxfId="149" priority="150">
      <formula>$B95&lt;$D95</formula>
    </cfRule>
  </conditionalFormatting>
  <conditionalFormatting sqref="N95">
    <cfRule type="expression" dxfId="148" priority="149">
      <formula>$B95&gt;$D95</formula>
    </cfRule>
  </conditionalFormatting>
  <conditionalFormatting sqref="L96">
    <cfRule type="expression" dxfId="147" priority="148">
      <formula>$B96&gt;$D96</formula>
    </cfRule>
  </conditionalFormatting>
  <conditionalFormatting sqref="L96">
    <cfRule type="expression" dxfId="146" priority="147">
      <formula>$B96&lt;$D96</formula>
    </cfRule>
  </conditionalFormatting>
  <conditionalFormatting sqref="N96">
    <cfRule type="expression" dxfId="145" priority="146">
      <formula>$B96&lt;$D96</formula>
    </cfRule>
  </conditionalFormatting>
  <conditionalFormatting sqref="N96">
    <cfRule type="expression" dxfId="144" priority="145">
      <formula>$B96&gt;$D96</formula>
    </cfRule>
  </conditionalFormatting>
  <conditionalFormatting sqref="L97">
    <cfRule type="expression" dxfId="143" priority="144">
      <formula>$B97&gt;$D97</formula>
    </cfRule>
  </conditionalFormatting>
  <conditionalFormatting sqref="L97">
    <cfRule type="expression" dxfId="142" priority="143">
      <formula>$B97&lt;$D97</formula>
    </cfRule>
  </conditionalFormatting>
  <conditionalFormatting sqref="N97">
    <cfRule type="expression" dxfId="141" priority="142">
      <formula>$B97&lt;$D97</formula>
    </cfRule>
  </conditionalFormatting>
  <conditionalFormatting sqref="N97">
    <cfRule type="expression" dxfId="140" priority="141">
      <formula>$B97&gt;$D97</formula>
    </cfRule>
  </conditionalFormatting>
  <conditionalFormatting sqref="L98">
    <cfRule type="expression" dxfId="139" priority="140">
      <formula>$B98&gt;$D98</formula>
    </cfRule>
  </conditionalFormatting>
  <conditionalFormatting sqref="L98">
    <cfRule type="expression" dxfId="138" priority="139">
      <formula>$B98&lt;$D98</formula>
    </cfRule>
  </conditionalFormatting>
  <conditionalFormatting sqref="N98">
    <cfRule type="expression" dxfId="137" priority="138">
      <formula>$B98&lt;$D98</formula>
    </cfRule>
  </conditionalFormatting>
  <conditionalFormatting sqref="N98">
    <cfRule type="expression" dxfId="136" priority="137">
      <formula>$B98&gt;$D98</formula>
    </cfRule>
  </conditionalFormatting>
  <conditionalFormatting sqref="L99">
    <cfRule type="expression" dxfId="135" priority="136">
      <formula>$B99&gt;$D99</formula>
    </cfRule>
  </conditionalFormatting>
  <conditionalFormatting sqref="L99">
    <cfRule type="expression" dxfId="134" priority="135">
      <formula>$B99&lt;$D99</formula>
    </cfRule>
  </conditionalFormatting>
  <conditionalFormatting sqref="N99">
    <cfRule type="expression" dxfId="133" priority="134">
      <formula>$B99&lt;$D99</formula>
    </cfRule>
  </conditionalFormatting>
  <conditionalFormatting sqref="N99">
    <cfRule type="expression" dxfId="132" priority="133">
      <formula>$B99&gt;$D99</formula>
    </cfRule>
  </conditionalFormatting>
  <conditionalFormatting sqref="L101">
    <cfRule type="expression" dxfId="131" priority="132">
      <formula>$B101&gt;$D101</formula>
    </cfRule>
  </conditionalFormatting>
  <conditionalFormatting sqref="L101">
    <cfRule type="expression" dxfId="130" priority="131">
      <formula>$B101&lt;$D101</formula>
    </cfRule>
  </conditionalFormatting>
  <conditionalFormatting sqref="N101">
    <cfRule type="expression" dxfId="129" priority="130">
      <formula>$B101&lt;$D101</formula>
    </cfRule>
  </conditionalFormatting>
  <conditionalFormatting sqref="N101">
    <cfRule type="expression" dxfId="128" priority="129">
      <formula>$B101&gt;$D101</formula>
    </cfRule>
  </conditionalFormatting>
  <conditionalFormatting sqref="L102">
    <cfRule type="expression" dxfId="127" priority="128">
      <formula>$B102&gt;$D102</formula>
    </cfRule>
  </conditionalFormatting>
  <conditionalFormatting sqref="L102">
    <cfRule type="expression" dxfId="126" priority="127">
      <formula>$B102&lt;$D102</formula>
    </cfRule>
  </conditionalFormatting>
  <conditionalFormatting sqref="N102">
    <cfRule type="expression" dxfId="125" priority="126">
      <formula>$B102&lt;$D102</formula>
    </cfRule>
  </conditionalFormatting>
  <conditionalFormatting sqref="N102">
    <cfRule type="expression" dxfId="124" priority="125">
      <formula>$B102&gt;$D102</formula>
    </cfRule>
  </conditionalFormatting>
  <conditionalFormatting sqref="L103">
    <cfRule type="expression" dxfId="123" priority="124">
      <formula>$B103&gt;$D103</formula>
    </cfRule>
  </conditionalFormatting>
  <conditionalFormatting sqref="L103">
    <cfRule type="expression" dxfId="122" priority="123">
      <formula>$B103&lt;$D103</formula>
    </cfRule>
  </conditionalFormatting>
  <conditionalFormatting sqref="N103">
    <cfRule type="expression" dxfId="121" priority="122">
      <formula>$B103&lt;$D103</formula>
    </cfRule>
  </conditionalFormatting>
  <conditionalFormatting sqref="N103">
    <cfRule type="expression" dxfId="120" priority="121">
      <formula>$B103&gt;$D103</formula>
    </cfRule>
  </conditionalFormatting>
  <conditionalFormatting sqref="L104">
    <cfRule type="expression" dxfId="119" priority="120">
      <formula>$B104&gt;$D104</formula>
    </cfRule>
  </conditionalFormatting>
  <conditionalFormatting sqref="L104">
    <cfRule type="expression" dxfId="118" priority="119">
      <formula>$B104&lt;$D104</formula>
    </cfRule>
  </conditionalFormatting>
  <conditionalFormatting sqref="N104">
    <cfRule type="expression" dxfId="117" priority="118">
      <formula>$B104&lt;$D104</formula>
    </cfRule>
  </conditionalFormatting>
  <conditionalFormatting sqref="N104">
    <cfRule type="expression" dxfId="116" priority="117">
      <formula>$B104&gt;$D104</formula>
    </cfRule>
  </conditionalFormatting>
  <conditionalFormatting sqref="L105">
    <cfRule type="expression" dxfId="115" priority="116">
      <formula>$B105&gt;$D105</formula>
    </cfRule>
  </conditionalFormatting>
  <conditionalFormatting sqref="L105">
    <cfRule type="expression" dxfId="114" priority="115">
      <formula>$B105&lt;$D105</formula>
    </cfRule>
  </conditionalFormatting>
  <conditionalFormatting sqref="N105">
    <cfRule type="expression" dxfId="113" priority="114">
      <formula>$B105&lt;$D105</formula>
    </cfRule>
  </conditionalFormatting>
  <conditionalFormatting sqref="N105">
    <cfRule type="expression" dxfId="112" priority="113">
      <formula>$B105&gt;$D105</formula>
    </cfRule>
  </conditionalFormatting>
  <conditionalFormatting sqref="L106">
    <cfRule type="expression" dxfId="111" priority="112">
      <formula>$B106&gt;$D106</formula>
    </cfRule>
  </conditionalFormatting>
  <conditionalFormatting sqref="L106">
    <cfRule type="expression" dxfId="110" priority="111">
      <formula>$B106&lt;$D106</formula>
    </cfRule>
  </conditionalFormatting>
  <conditionalFormatting sqref="N106">
    <cfRule type="expression" dxfId="109" priority="110">
      <formula>$B106&lt;$D106</formula>
    </cfRule>
  </conditionalFormatting>
  <conditionalFormatting sqref="N106">
    <cfRule type="expression" dxfId="108" priority="109">
      <formula>$B106&gt;$D106</formula>
    </cfRule>
  </conditionalFormatting>
  <conditionalFormatting sqref="L107">
    <cfRule type="expression" dxfId="107" priority="108">
      <formula>$B107&gt;$D107</formula>
    </cfRule>
  </conditionalFormatting>
  <conditionalFormatting sqref="L107">
    <cfRule type="expression" dxfId="106" priority="107">
      <formula>$B107&lt;$D107</formula>
    </cfRule>
  </conditionalFormatting>
  <conditionalFormatting sqref="N107">
    <cfRule type="expression" dxfId="105" priority="106">
      <formula>$B107&lt;$D107</formula>
    </cfRule>
  </conditionalFormatting>
  <conditionalFormatting sqref="N107">
    <cfRule type="expression" dxfId="104" priority="105">
      <formula>$B107&gt;$D107</formula>
    </cfRule>
  </conditionalFormatting>
  <conditionalFormatting sqref="L108">
    <cfRule type="expression" dxfId="103" priority="104">
      <formula>$B108&gt;$D108</formula>
    </cfRule>
  </conditionalFormatting>
  <conditionalFormatting sqref="L108">
    <cfRule type="expression" dxfId="102" priority="103">
      <formula>$B108&lt;$D108</formula>
    </cfRule>
  </conditionalFormatting>
  <conditionalFormatting sqref="N108">
    <cfRule type="expression" dxfId="101" priority="102">
      <formula>$B108&lt;$D108</formula>
    </cfRule>
  </conditionalFormatting>
  <conditionalFormatting sqref="N108">
    <cfRule type="expression" dxfId="100" priority="101">
      <formula>$B108&gt;$D108</formula>
    </cfRule>
  </conditionalFormatting>
  <conditionalFormatting sqref="L110">
    <cfRule type="expression" dxfId="99" priority="100">
      <formula>$B110&gt;$D110</formula>
    </cfRule>
  </conditionalFormatting>
  <conditionalFormatting sqref="L110">
    <cfRule type="expression" dxfId="98" priority="99">
      <formula>$B110&lt;$D110</formula>
    </cfRule>
  </conditionalFormatting>
  <conditionalFormatting sqref="N110">
    <cfRule type="expression" dxfId="97" priority="98">
      <formula>$B110&lt;$D110</formula>
    </cfRule>
  </conditionalFormatting>
  <conditionalFormatting sqref="N110">
    <cfRule type="expression" dxfId="96" priority="97">
      <formula>$B110&gt;$D110</formula>
    </cfRule>
  </conditionalFormatting>
  <conditionalFormatting sqref="L111">
    <cfRule type="expression" dxfId="95" priority="96">
      <formula>$B111&gt;$D111</formula>
    </cfRule>
  </conditionalFormatting>
  <conditionalFormatting sqref="L111">
    <cfRule type="expression" dxfId="94" priority="95">
      <formula>$B111&lt;$D111</formula>
    </cfRule>
  </conditionalFormatting>
  <conditionalFormatting sqref="N111">
    <cfRule type="expression" dxfId="93" priority="94">
      <formula>$B111&lt;$D111</formula>
    </cfRule>
  </conditionalFormatting>
  <conditionalFormatting sqref="N111">
    <cfRule type="expression" dxfId="92" priority="93">
      <formula>$B111&gt;$D111</formula>
    </cfRule>
  </conditionalFormatting>
  <conditionalFormatting sqref="L112">
    <cfRule type="expression" dxfId="91" priority="92">
      <formula>$B112&gt;$D112</formula>
    </cfRule>
  </conditionalFormatting>
  <conditionalFormatting sqref="L112">
    <cfRule type="expression" dxfId="90" priority="91">
      <formula>$B112&lt;$D112</formula>
    </cfRule>
  </conditionalFormatting>
  <conditionalFormatting sqref="N112">
    <cfRule type="expression" dxfId="89" priority="90">
      <formula>$B112&lt;$D112</formula>
    </cfRule>
  </conditionalFormatting>
  <conditionalFormatting sqref="N112">
    <cfRule type="expression" dxfId="88" priority="89">
      <formula>$B112&gt;$D112</formula>
    </cfRule>
  </conditionalFormatting>
  <conditionalFormatting sqref="L113">
    <cfRule type="expression" dxfId="87" priority="88">
      <formula>$B113&gt;$D113</formula>
    </cfRule>
  </conditionalFormatting>
  <conditionalFormatting sqref="L113">
    <cfRule type="expression" dxfId="86" priority="87">
      <formula>$B113&lt;$D113</formula>
    </cfRule>
  </conditionalFormatting>
  <conditionalFormatting sqref="N113">
    <cfRule type="expression" dxfId="85" priority="86">
      <formula>$B113&lt;$D113</formula>
    </cfRule>
  </conditionalFormatting>
  <conditionalFormatting sqref="N113">
    <cfRule type="expression" dxfId="84" priority="85">
      <formula>$B113&gt;$D113</formula>
    </cfRule>
  </conditionalFormatting>
  <conditionalFormatting sqref="L114">
    <cfRule type="expression" dxfId="83" priority="84">
      <formula>$B114&gt;$D114</formula>
    </cfRule>
  </conditionalFormatting>
  <conditionalFormatting sqref="L114">
    <cfRule type="expression" dxfId="82" priority="83">
      <formula>$B114&lt;$D114</formula>
    </cfRule>
  </conditionalFormatting>
  <conditionalFormatting sqref="N114">
    <cfRule type="expression" dxfId="81" priority="82">
      <formula>$B114&lt;$D114</formula>
    </cfRule>
  </conditionalFormatting>
  <conditionalFormatting sqref="N114">
    <cfRule type="expression" dxfId="80" priority="81">
      <formula>$B114&gt;$D114</formula>
    </cfRule>
  </conditionalFormatting>
  <conditionalFormatting sqref="L115">
    <cfRule type="expression" dxfId="79" priority="80">
      <formula>$B115&gt;$D115</formula>
    </cfRule>
  </conditionalFormatting>
  <conditionalFormatting sqref="L115">
    <cfRule type="expression" dxfId="78" priority="79">
      <formula>$B115&lt;$D115</formula>
    </cfRule>
  </conditionalFormatting>
  <conditionalFormatting sqref="N115">
    <cfRule type="expression" dxfId="77" priority="78">
      <formula>$B115&lt;$D115</formula>
    </cfRule>
  </conditionalFormatting>
  <conditionalFormatting sqref="N115">
    <cfRule type="expression" dxfId="76" priority="77">
      <formula>$B115&gt;$D115</formula>
    </cfRule>
  </conditionalFormatting>
  <conditionalFormatting sqref="L116">
    <cfRule type="expression" dxfId="75" priority="76">
      <formula>$B116&gt;$D116</formula>
    </cfRule>
  </conditionalFormatting>
  <conditionalFormatting sqref="L116">
    <cfRule type="expression" dxfId="74" priority="75">
      <formula>$B116&lt;$D116</formula>
    </cfRule>
  </conditionalFormatting>
  <conditionalFormatting sqref="N116">
    <cfRule type="expression" dxfId="73" priority="74">
      <formula>$B116&lt;$D116</formula>
    </cfRule>
  </conditionalFormatting>
  <conditionalFormatting sqref="N116">
    <cfRule type="expression" dxfId="72" priority="73">
      <formula>$B116&gt;$D116</formula>
    </cfRule>
  </conditionalFormatting>
  <conditionalFormatting sqref="L117">
    <cfRule type="expression" dxfId="71" priority="72">
      <formula>$B117&gt;$D117</formula>
    </cfRule>
  </conditionalFormatting>
  <conditionalFormatting sqref="L117">
    <cfRule type="expression" dxfId="70" priority="71">
      <formula>$B117&lt;$D117</formula>
    </cfRule>
  </conditionalFormatting>
  <conditionalFormatting sqref="N117">
    <cfRule type="expression" dxfId="69" priority="70">
      <formula>$B117&lt;$D117</formula>
    </cfRule>
  </conditionalFormatting>
  <conditionalFormatting sqref="N117">
    <cfRule type="expression" dxfId="68" priority="69">
      <formula>$B117&gt;$D117</formula>
    </cfRule>
  </conditionalFormatting>
  <conditionalFormatting sqref="L119">
    <cfRule type="expression" dxfId="67" priority="68">
      <formula>$B119&gt;$D119</formula>
    </cfRule>
  </conditionalFormatting>
  <conditionalFormatting sqref="L119">
    <cfRule type="expression" dxfId="66" priority="67">
      <formula>$B119&lt;$D119</formula>
    </cfRule>
  </conditionalFormatting>
  <conditionalFormatting sqref="N119">
    <cfRule type="expression" dxfId="65" priority="66">
      <formula>$B119&lt;$D119</formula>
    </cfRule>
  </conditionalFormatting>
  <conditionalFormatting sqref="N119">
    <cfRule type="expression" dxfId="64" priority="65">
      <formula>$B119&gt;$D119</formula>
    </cfRule>
  </conditionalFormatting>
  <conditionalFormatting sqref="L120">
    <cfRule type="expression" dxfId="63" priority="64">
      <formula>$B120&gt;$D120</formula>
    </cfRule>
  </conditionalFormatting>
  <conditionalFormatting sqref="L120">
    <cfRule type="expression" dxfId="62" priority="63">
      <formula>$B120&lt;$D120</formula>
    </cfRule>
  </conditionalFormatting>
  <conditionalFormatting sqref="N120">
    <cfRule type="expression" dxfId="61" priority="62">
      <formula>$B120&lt;$D120</formula>
    </cfRule>
  </conditionalFormatting>
  <conditionalFormatting sqref="N120">
    <cfRule type="expression" dxfId="60" priority="61">
      <formula>$B120&gt;$D120</formula>
    </cfRule>
  </conditionalFormatting>
  <conditionalFormatting sqref="L121">
    <cfRule type="expression" dxfId="59" priority="60">
      <formula>$B121&gt;$D121</formula>
    </cfRule>
  </conditionalFormatting>
  <conditionalFormatting sqref="L121">
    <cfRule type="expression" dxfId="58" priority="59">
      <formula>$B121&lt;$D121</formula>
    </cfRule>
  </conditionalFormatting>
  <conditionalFormatting sqref="N121">
    <cfRule type="expression" dxfId="57" priority="58">
      <formula>$B121&lt;$D121</formula>
    </cfRule>
  </conditionalFormatting>
  <conditionalFormatting sqref="N121">
    <cfRule type="expression" dxfId="56" priority="57">
      <formula>$B121&gt;$D121</formula>
    </cfRule>
  </conditionalFormatting>
  <conditionalFormatting sqref="L122">
    <cfRule type="expression" dxfId="55" priority="56">
      <formula>$B122&gt;$D122</formula>
    </cfRule>
  </conditionalFormatting>
  <conditionalFormatting sqref="L122">
    <cfRule type="expression" dxfId="54" priority="55">
      <formula>$B122&lt;$D122</formula>
    </cfRule>
  </conditionalFormatting>
  <conditionalFormatting sqref="N122">
    <cfRule type="expression" dxfId="53" priority="54">
      <formula>$B122&lt;$D122</formula>
    </cfRule>
  </conditionalFormatting>
  <conditionalFormatting sqref="N122">
    <cfRule type="expression" dxfId="52" priority="53">
      <formula>$B122&gt;$D122</formula>
    </cfRule>
  </conditionalFormatting>
  <conditionalFormatting sqref="L123">
    <cfRule type="expression" dxfId="51" priority="52">
      <formula>$B123&gt;$D123</formula>
    </cfRule>
  </conditionalFormatting>
  <conditionalFormatting sqref="L123">
    <cfRule type="expression" dxfId="50" priority="51">
      <formula>$B123&lt;$D123</formula>
    </cfRule>
  </conditionalFormatting>
  <conditionalFormatting sqref="N123">
    <cfRule type="expression" dxfId="49" priority="50">
      <formula>$B123&lt;$D123</formula>
    </cfRule>
  </conditionalFormatting>
  <conditionalFormatting sqref="N123">
    <cfRule type="expression" dxfId="48" priority="49">
      <formula>$B123&gt;$D123</formula>
    </cfRule>
  </conditionalFormatting>
  <conditionalFormatting sqref="L124">
    <cfRule type="expression" dxfId="47" priority="48">
      <formula>$B124&gt;$D124</formula>
    </cfRule>
  </conditionalFormatting>
  <conditionalFormatting sqref="L124">
    <cfRule type="expression" dxfId="46" priority="47">
      <formula>$B124&lt;$D124</formula>
    </cfRule>
  </conditionalFormatting>
  <conditionalFormatting sqref="N124">
    <cfRule type="expression" dxfId="45" priority="46">
      <formula>$B124&lt;$D124</formula>
    </cfRule>
  </conditionalFormatting>
  <conditionalFormatting sqref="N124">
    <cfRule type="expression" dxfId="44" priority="45">
      <formula>$B124&gt;$D124</formula>
    </cfRule>
  </conditionalFormatting>
  <conditionalFormatting sqref="L125">
    <cfRule type="expression" dxfId="43" priority="44">
      <formula>$B125&gt;$D125</formula>
    </cfRule>
  </conditionalFormatting>
  <conditionalFormatting sqref="L125">
    <cfRule type="expression" dxfId="42" priority="43">
      <formula>$B125&lt;$D125</formula>
    </cfRule>
  </conditionalFormatting>
  <conditionalFormatting sqref="N125">
    <cfRule type="expression" dxfId="41" priority="42">
      <formula>$B125&lt;$D125</formula>
    </cfRule>
  </conditionalFormatting>
  <conditionalFormatting sqref="N125">
    <cfRule type="expression" dxfId="40" priority="41">
      <formula>$B125&gt;$D125</formula>
    </cfRule>
  </conditionalFormatting>
  <conditionalFormatting sqref="L126">
    <cfRule type="expression" dxfId="39" priority="40">
      <formula>$B126&gt;$D126</formula>
    </cfRule>
  </conditionalFormatting>
  <conditionalFormatting sqref="L126">
    <cfRule type="expression" dxfId="38" priority="39">
      <formula>$B126&lt;$D126</formula>
    </cfRule>
  </conditionalFormatting>
  <conditionalFormatting sqref="N126">
    <cfRule type="expression" dxfId="37" priority="38">
      <formula>$B126&lt;$D126</formula>
    </cfRule>
  </conditionalFormatting>
  <conditionalFormatting sqref="N126">
    <cfRule type="expression" dxfId="36" priority="37">
      <formula>$B126&gt;$D126</formula>
    </cfRule>
  </conditionalFormatting>
  <conditionalFormatting sqref="Q2">
    <cfRule type="expression" dxfId="35" priority="35">
      <formula>$C2&lt;$E2</formula>
    </cfRule>
    <cfRule type="expression" dxfId="34" priority="36">
      <formula>$C2&gt;$E2</formula>
    </cfRule>
  </conditionalFormatting>
  <conditionalFormatting sqref="S2">
    <cfRule type="expression" dxfId="33" priority="33">
      <formula>$C2&gt;$E2</formula>
    </cfRule>
    <cfRule type="expression" dxfId="32" priority="34">
      <formula>$C2&lt;$E2</formula>
    </cfRule>
  </conditionalFormatting>
  <conditionalFormatting sqref="Q3">
    <cfRule type="expression" dxfId="31" priority="31">
      <formula>$C3&lt;$E3</formula>
    </cfRule>
    <cfRule type="expression" dxfId="30" priority="32">
      <formula>$C3&gt;$E3</formula>
    </cfRule>
  </conditionalFormatting>
  <conditionalFormatting sqref="S3">
    <cfRule type="expression" dxfId="29" priority="29">
      <formula>$C3&gt;$E3</formula>
    </cfRule>
    <cfRule type="expression" dxfId="28" priority="30">
      <formula>$C3&lt;$E3</formula>
    </cfRule>
  </conditionalFormatting>
  <conditionalFormatting sqref="Q4">
    <cfRule type="expression" dxfId="27" priority="27">
      <formula>$C4&lt;$E4</formula>
    </cfRule>
    <cfRule type="expression" dxfId="26" priority="28">
      <formula>$C4&gt;$E4</formula>
    </cfRule>
  </conditionalFormatting>
  <conditionalFormatting sqref="S4">
    <cfRule type="expression" dxfId="25" priority="25">
      <formula>$C4&gt;$E4</formula>
    </cfRule>
    <cfRule type="expression" dxfId="24" priority="26">
      <formula>$C4&lt;$E4</formula>
    </cfRule>
  </conditionalFormatting>
  <conditionalFormatting sqref="Q6">
    <cfRule type="expression" dxfId="23" priority="23">
      <formula>$C6&lt;$E6</formula>
    </cfRule>
    <cfRule type="expression" dxfId="22" priority="24">
      <formula>$C6&gt;$E6</formula>
    </cfRule>
  </conditionalFormatting>
  <conditionalFormatting sqref="S6">
    <cfRule type="expression" dxfId="21" priority="21">
      <formula>$C6&gt;$E6</formula>
    </cfRule>
    <cfRule type="expression" dxfId="20" priority="22">
      <formula>$C6&lt;$E6</formula>
    </cfRule>
  </conditionalFormatting>
  <conditionalFormatting sqref="Q7">
    <cfRule type="expression" dxfId="19" priority="19">
      <formula>$C7&lt;$E7</formula>
    </cfRule>
    <cfRule type="expression" dxfId="18" priority="20">
      <formula>$C7&gt;$E7</formula>
    </cfRule>
  </conditionalFormatting>
  <conditionalFormatting sqref="S7">
    <cfRule type="expression" dxfId="17" priority="17">
      <formula>$C7&gt;$E7</formula>
    </cfRule>
    <cfRule type="expression" dxfId="16" priority="18">
      <formula>$C7&lt;$E7</formula>
    </cfRule>
  </conditionalFormatting>
  <conditionalFormatting sqref="Q8">
    <cfRule type="expression" dxfId="15" priority="15">
      <formula>$C8&lt;$E8</formula>
    </cfRule>
    <cfRule type="expression" dxfId="14" priority="16">
      <formula>$C8&gt;$E8</formula>
    </cfRule>
  </conditionalFormatting>
  <conditionalFormatting sqref="S8">
    <cfRule type="expression" dxfId="13" priority="13">
      <formula>$C8&gt;$E8</formula>
    </cfRule>
    <cfRule type="expression" dxfId="12" priority="14">
      <formula>$C8&lt;$E8</formula>
    </cfRule>
  </conditionalFormatting>
  <conditionalFormatting sqref="Q10">
    <cfRule type="expression" dxfId="11" priority="11">
      <formula>$C10&lt;$E10</formula>
    </cfRule>
    <cfRule type="expression" dxfId="10" priority="12">
      <formula>$C10&gt;$E10</formula>
    </cfRule>
  </conditionalFormatting>
  <conditionalFormatting sqref="S10">
    <cfRule type="expression" dxfId="9" priority="9">
      <formula>$C10&gt;$E10</formula>
    </cfRule>
    <cfRule type="expression" dxfId="8" priority="10">
      <formula>$C10&lt;$E10</formula>
    </cfRule>
  </conditionalFormatting>
  <conditionalFormatting sqref="Q11">
    <cfRule type="expression" dxfId="7" priority="7">
      <formula>$C11&lt;$E11</formula>
    </cfRule>
    <cfRule type="expression" dxfId="6" priority="8">
      <formula>$C11&gt;$E11</formula>
    </cfRule>
  </conditionalFormatting>
  <conditionalFormatting sqref="S11">
    <cfRule type="expression" dxfId="5" priority="5">
      <formula>$C11&gt;$E11</formula>
    </cfRule>
    <cfRule type="expression" dxfId="4" priority="6">
      <formula>$C11&lt;$E11</formula>
    </cfRule>
  </conditionalFormatting>
  <conditionalFormatting sqref="Q12">
    <cfRule type="expression" dxfId="3" priority="3">
      <formula>$C12&lt;$E12</formula>
    </cfRule>
    <cfRule type="expression" dxfId="2" priority="4">
      <formula>$C12&gt;$E12</formula>
    </cfRule>
  </conditionalFormatting>
  <conditionalFormatting sqref="S12">
    <cfRule type="expression" dxfId="1" priority="1">
      <formula>$C12&gt;$E12</formula>
    </cfRule>
    <cfRule type="expression" dxfId="0" priority="2">
      <formula>$C12&lt;$E12</formula>
    </cfRule>
  </conditionalFormatting>
  <dataValidations count="3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" xr:uid="{BED1EB9F-FEA4-4871-94A6-9866BDAF7B15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License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2022-04-15T18:19:38Z</dcterms:modified>
</cp:coreProperties>
</file>