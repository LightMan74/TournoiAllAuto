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132AFA80-39A3-4009-9148-BD8CB900AA40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/>
</calcChain>
</file>

<file path=xl/sharedStrings.xml><?xml version="1.0" encoding="utf-8"?>
<sst xmlns="http://schemas.openxmlformats.org/spreadsheetml/2006/main" count="2606" uniqueCount="68">
  <si>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</si>
  <si>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</si>
  <si>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</si>
  <si>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</si>
  <si>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</si>
  <si>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</si>
  <si>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</si>
  <si>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</si>
  <si>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</si>
  <si>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</si>
  <si>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</si>
  <si>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</si>
  <si>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</si>
  <si>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</si>
  <si>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</si>
  <si>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</si>
  <si>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</si>
  <si>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</si>
  <si>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</si>
  <si>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</si>
  <si>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</si>
  <si>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</si>
  <si>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</si>
  <si>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</si>
  <si>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</si>
  <si>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</si>
  <si>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</si>
  <si>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</si>
  <si>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</si>
  <si>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</si>
  <si>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</si>
  <si>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</si>
  <si>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</si>
  <si>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</si>
  <si>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</si>
  <si>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</si>
  <si>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</si>
  <si>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</si>
  <si>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</si>
  <si>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</si>
  <si>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</si>
  <si>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</si>
  <si>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</si>
  <si>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</si>
  <si>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</si>
  <si>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</si>
  <si>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</si>
  <si>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</si>
  <si>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</si>
  <si>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</si>
  <si>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</si>
  <si>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</si>
  <si>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1A</t>
  </si>
  <si>
    <t>2A</t>
  </si>
  <si>
    <t>3A</t>
  </si>
  <si>
    <t>4A</t>
  </si>
  <si>
    <t>5A</t>
  </si>
  <si>
    <t>6A</t>
  </si>
  <si>
    <t>7A</t>
  </si>
  <si>
    <t>8A</t>
  </si>
  <si>
    <t>NOTICE POUR L'HEURE
A DROITE DE L'HEURE DANS LA CELLULE
VIDE --&gt; MISE A L'HEURE AUTOMATIQUE DU MATCH
0 --&gt; HEURE ACTUEL
1 --&gt; LA CELLULE N'EST PAS MODIFIER
2 --&gt; HEURE DE DEPART REGLER DANS LES PARAMETRE</t>
  </si>
  <si>
    <t>211, 211, 211</t>
  </si>
  <si>
    <t>0, 204, 204</t>
  </si>
  <si>
    <t>0, 0, 0</t>
  </si>
  <si>
    <t>0, 204, 0</t>
  </si>
  <si>
    <t>Version 3.08</t>
  </si>
  <si>
    <t>255, 153, 0</t>
  </si>
  <si>
    <t>204, 204, 255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</si>
</sst>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5"/>
  <sheetViews>
    <sheetView tabSelected="1" workbookViewId="0">
      <selection activeCell="H32" sqref="H32"/>
    </sheetView>
  </sheetViews>
  <sheetFormatPr baseColWidth="10" defaultRowHeight="15" x14ac:dyDescent="0.25"/>
  <sheetData>
    <row r="1" spans="1:17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17" x14ac:dyDescent="0.25">
      <c r="A2" s="66"/>
      <c r="B2" s="66"/>
      <c r="C2" s="66"/>
      <c r="D2" s="66"/>
      <c r="E2" s="66"/>
      <c r="F2" s="66"/>
      <c r="G2" s="66"/>
      <c r="H2" s="66"/>
    </row>
    <row r="3" spans="1:17" x14ac:dyDescent="0.25">
      <c r="A3" s="66"/>
      <c r="B3" s="66"/>
      <c r="C3" s="66"/>
      <c r="D3" s="66"/>
      <c r="E3" s="66"/>
      <c r="F3" s="66"/>
      <c r="G3" s="66"/>
      <c r="H3" s="66"/>
    </row>
    <row r="4" spans="1:17" x14ac:dyDescent="0.25">
      <c r="A4" s="67" t="str">
        <f>Parametres!F16</f>
        <v>Version 3.08</v>
      </c>
      <c r="B4" s="67"/>
      <c r="C4" s="67"/>
      <c r="D4" s="67"/>
      <c r="E4" s="67"/>
      <c r="F4" s="67"/>
      <c r="G4" s="67"/>
      <c r="H4" s="67"/>
    </row>
    <row r="6" spans="1:17" x14ac:dyDescent="0.25">
      <c r="K6" s="72" t="s">
        <v>60</v>
      </c>
      <c r="L6" s="73"/>
      <c r="M6" s="73"/>
      <c r="N6" s="73"/>
      <c r="O6" s="73"/>
      <c r="P6" s="73"/>
      <c r="Q6" s="73"/>
    </row>
    <row r="7" spans="1:17" x14ac:dyDescent="0.25">
      <c r="K7" s="73"/>
      <c r="L7" s="73"/>
      <c r="M7" s="73"/>
      <c r="N7" s="73"/>
      <c r="O7" s="73"/>
      <c r="P7" s="73"/>
      <c r="Q7" s="73"/>
    </row>
    <row r="8" spans="1:17" x14ac:dyDescent="0.25">
      <c r="K8" s="73"/>
      <c r="L8" s="73"/>
      <c r="M8" s="73"/>
      <c r="N8" s="73"/>
      <c r="O8" s="73"/>
      <c r="P8" s="73"/>
      <c r="Q8" s="73"/>
    </row>
    <row r="9" spans="1:17" x14ac:dyDescent="0.25">
      <c r="K9" s="73"/>
      <c r="L9" s="73"/>
      <c r="M9" s="73"/>
      <c r="N9" s="73"/>
      <c r="O9" s="73"/>
      <c r="P9" s="73"/>
      <c r="Q9" s="73"/>
    </row>
    <row r="10" spans="1:17" x14ac:dyDescent="0.25">
      <c r="K10" s="73"/>
      <c r="L10" s="73"/>
      <c r="M10" s="73"/>
      <c r="N10" s="73"/>
      <c r="O10" s="73"/>
      <c r="P10" s="73"/>
      <c r="Q10" s="73"/>
    </row>
    <row r="11" spans="1:17" x14ac:dyDescent="0.25">
      <c r="K11" s="73"/>
      <c r="L11" s="73"/>
      <c r="M11" s="73"/>
      <c r="N11" s="73"/>
      <c r="O11" s="73"/>
      <c r="P11" s="73"/>
      <c r="Q11" s="73"/>
    </row>
    <row r="12" spans="1:17" x14ac:dyDescent="0.25">
      <c r="K12" s="73"/>
      <c r="L12" s="73"/>
      <c r="M12" s="73"/>
      <c r="N12" s="73"/>
      <c r="O12" s="73"/>
      <c r="P12" s="73"/>
      <c r="Q12" s="73"/>
    </row>
    <row r="13" spans="1:17" x14ac:dyDescent="0.25">
      <c r="K13" s="73"/>
      <c r="L13" s="73"/>
      <c r="M13" s="73"/>
      <c r="N13" s="73"/>
      <c r="O13" s="73"/>
      <c r="P13" s="73"/>
      <c r="Q13" s="73"/>
    </row>
    <row r="14" spans="1:17" x14ac:dyDescent="0.25">
      <c r="K14" s="73"/>
      <c r="L14" s="73"/>
      <c r="M14" s="73"/>
      <c r="N14" s="73"/>
      <c r="O14" s="73"/>
      <c r="P14" s="73"/>
      <c r="Q14" s="73"/>
    </row>
    <row r="15" spans="1:17" x14ac:dyDescent="0.25">
      <c r="K15" s="73"/>
      <c r="L15" s="73"/>
      <c r="M15" s="73"/>
      <c r="N15" s="73"/>
      <c r="O15" s="73"/>
      <c r="P15" s="73"/>
      <c r="Q15" s="73"/>
    </row>
    <row r="16" spans="1:17" x14ac:dyDescent="0.25">
      <c r="K16" s="73"/>
      <c r="L16" s="73"/>
      <c r="M16" s="73"/>
      <c r="N16" s="73"/>
      <c r="O16" s="73"/>
      <c r="P16" s="73"/>
      <c r="Q16" s="73"/>
    </row>
    <row r="17" spans="11:17" x14ac:dyDescent="0.25">
      <c r="K17" s="73"/>
      <c r="L17" s="73"/>
      <c r="M17" s="73"/>
      <c r="N17" s="73"/>
      <c r="O17" s="73"/>
      <c r="P17" s="73"/>
      <c r="Q17" s="73"/>
    </row>
    <row r="18" spans="11:17" x14ac:dyDescent="0.25">
      <c r="K18" s="73"/>
      <c r="L18" s="73"/>
      <c r="M18" s="73"/>
      <c r="N18" s="73"/>
      <c r="O18" s="73"/>
      <c r="P18" s="73"/>
      <c r="Q18" s="73"/>
    </row>
    <row r="19" spans="11:17" x14ac:dyDescent="0.25">
      <c r="K19" s="73"/>
      <c r="L19" s="73"/>
      <c r="M19" s="73"/>
      <c r="N19" s="73"/>
      <c r="O19" s="73"/>
      <c r="P19" s="73"/>
      <c r="Q19" s="73"/>
    </row>
    <row r="20" spans="11:17" x14ac:dyDescent="0.25">
      <c r="K20" s="73"/>
      <c r="L20" s="73"/>
      <c r="M20" s="73"/>
      <c r="N20" s="73"/>
      <c r="O20" s="73"/>
      <c r="P20" s="73"/>
      <c r="Q20" s="73"/>
    </row>
    <row r="21" spans="11:17" x14ac:dyDescent="0.25">
      <c r="K21" s="73"/>
      <c r="L21" s="73"/>
      <c r="M21" s="73"/>
      <c r="N21" s="73"/>
      <c r="O21" s="73"/>
      <c r="P21" s="73"/>
      <c r="Q21" s="73"/>
    </row>
    <row r="22" spans="11:17" x14ac:dyDescent="0.25">
      <c r="K22" s="73"/>
      <c r="L22" s="73"/>
      <c r="M22" s="73"/>
      <c r="N22" s="73"/>
      <c r="O22" s="73"/>
      <c r="P22" s="73"/>
      <c r="Q22" s="73"/>
    </row>
    <row r="23" spans="11:17" x14ac:dyDescent="0.25">
      <c r="K23" s="73"/>
      <c r="L23" s="73"/>
      <c r="M23" s="73"/>
      <c r="N23" s="73"/>
      <c r="O23" s="73"/>
      <c r="P23" s="73"/>
      <c r="Q23" s="73"/>
    </row>
    <row r="24" spans="11:17" x14ac:dyDescent="0.25">
      <c r="K24" s="73"/>
      <c r="L24" s="73"/>
      <c r="M24" s="73"/>
      <c r="N24" s="73"/>
      <c r="O24" s="73"/>
      <c r="P24" s="73"/>
      <c r="Q24" s="73"/>
    </row>
    <row r="25" spans="11:17" x14ac:dyDescent="0.25">
      <c r="K25" s="73"/>
      <c r="L25" s="73"/>
      <c r="M25" s="73"/>
      <c r="N25" s="73"/>
      <c r="O25" s="73"/>
      <c r="P25" s="73"/>
      <c r="Q25" s="73"/>
    </row>
  </sheetData>
  <mergeCells count="3">
    <mergeCell ref="A1:H3"/>
    <mergeCell ref="A4:H4"/>
    <mergeCell ref="K6:Q2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D41" sqref="D41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  <c r="H1" s="16" t="s">
        <v>52</v>
      </c>
      <c r="I1" s="16" t="s">
        <v>53</v>
      </c>
    </row>
    <row r="2" spans="1:27" ht="15.75" thickBot="1" x14ac:dyDescent="0.3">
      <c r="A2" s="7">
        <v>1.3888888888888888E-2</v>
      </c>
      <c r="C2" s="70"/>
      <c r="D2" s="28">
        <v>1</v>
      </c>
      <c r="E2" s="29">
        <v>4</v>
      </c>
      <c r="F2" s="23">
        <v>1</v>
      </c>
      <c r="H2" s="16" t="s">
        <v>54</v>
      </c>
      <c r="I2" s="16" t="s">
        <v>55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1</v>
      </c>
      <c r="H3" s="16" t="s">
        <v>56</v>
      </c>
      <c r="I3" s="16" t="s">
        <v>57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/>
      <c r="H4" s="16" t="s">
        <v>58</v>
      </c>
      <c r="I4" s="16" t="s">
        <v>59</v>
      </c>
    </row>
    <row r="5" spans="1:27" ht="15.75" thickBot="1" x14ac:dyDescent="0.3">
      <c r="A5" s="23">
        <v>1</v>
      </c>
      <c r="B5" s="2">
        <v>2</v>
      </c>
      <c r="C5" s="26" t="str">
        <f t="shared" si="0"/>
        <v/>
      </c>
      <c r="D5" s="30"/>
      <c r="E5" s="6"/>
      <c r="AA5"/>
    </row>
    <row r="6" spans="1:27" ht="15.75" thickBot="1" x14ac:dyDescent="0.3">
      <c r="B6" s="2">
        <v>3</v>
      </c>
      <c r="C6" s="26" t="str">
        <f t="shared" si="0"/>
        <v/>
      </c>
      <c r="D6" s="30"/>
      <c r="E6" s="6"/>
      <c r="H6" s="16" t="s">
        <v>52</v>
      </c>
      <c r="I6" s="16" t="s">
        <v>54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/>
      </c>
      <c r="D7" s="30"/>
      <c r="E7" s="6"/>
      <c r="H7" s="16" t="s">
        <v>53</v>
      </c>
      <c r="I7" s="16" t="s">
        <v>55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  <c r="H8" s="16" t="s">
        <v>56</v>
      </c>
      <c r="I8" s="16" t="s">
        <v>58</v>
      </c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H9" s="16" t="s">
        <v>57</v>
      </c>
      <c r="I9" s="16" t="s">
        <v>59</v>
      </c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52</v>
      </c>
      <c r="I11" s="16" t="s">
        <v>55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53</v>
      </c>
      <c r="I12" s="16" t="s">
        <v>54</v>
      </c>
      <c r="AA12"/>
    </row>
    <row r="13" spans="1:27" x14ac:dyDescent="0.25">
      <c r="A13" s="12">
        <f>A2</f>
        <v>1.3888888888888888E-2</v>
      </c>
      <c r="B13" s="2">
        <v>10</v>
      </c>
      <c r="C13" s="26" t="str">
        <f t="shared" si="0"/>
        <v/>
      </c>
      <c r="D13" s="30"/>
      <c r="E13" s="6"/>
      <c r="H13" s="16" t="s">
        <v>56</v>
      </c>
      <c r="I13" s="16" t="s">
        <v>59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57</v>
      </c>
      <c r="I14" s="16" t="s">
        <v>58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65</v>
      </c>
      <c r="H16" s="16" t="s">
        <v>52</v>
      </c>
      <c r="I16" s="16" t="s">
        <v>56</v>
      </c>
      <c r="AA16"/>
    </row>
    <row r="17" spans="1:27" x14ac:dyDescent="0.25">
      <c r="A17" s="37">
        <f>(counttour()/E2*(A2+A3)) + (ROUNDUP(IF(B31=TRUE,12*A5,12*A5*B30)/E2,0)*(A2+A3))</f>
        <v>0.15277777777777776</v>
      </c>
      <c r="B17" s="2">
        <v>14</v>
      </c>
      <c r="C17" s="26" t="str">
        <f t="shared" si="0"/>
        <v/>
      </c>
      <c r="D17" s="30"/>
      <c r="E17" s="6"/>
      <c r="H17" s="16" t="s">
        <v>53</v>
      </c>
      <c r="I17" s="16" t="s">
        <v>57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H18" s="16" t="s">
        <v>54</v>
      </c>
      <c r="I18" s="16" t="s">
        <v>58</v>
      </c>
      <c r="AA18"/>
    </row>
    <row r="19" spans="1:27" x14ac:dyDescent="0.25">
      <c r="A19" s="12">
        <f>A15+A17+A21</f>
        <v>0.54861111111111105</v>
      </c>
      <c r="B19" s="2">
        <v>16</v>
      </c>
      <c r="C19" s="26" t="str">
        <f t="shared" si="0"/>
        <v/>
      </c>
      <c r="D19" s="30"/>
      <c r="E19" s="6"/>
      <c r="F19" s="68"/>
      <c r="H19" s="16" t="s">
        <v>55</v>
      </c>
      <c r="I19" s="16" t="s">
        <v>59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H21" s="16" t="s">
        <v>52</v>
      </c>
      <c r="I21" s="16" t="s">
        <v>57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53</v>
      </c>
      <c r="I22" s="16" t="s">
        <v>56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54</v>
      </c>
      <c r="I23" s="16" t="s">
        <v>59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H24" s="16" t="s">
        <v>55</v>
      </c>
      <c r="I24" s="16" t="s">
        <v>58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H26" s="16" t="s">
        <v>52</v>
      </c>
      <c r="I26" s="16" t="s">
        <v>58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H27" s="16" t="s">
        <v>53</v>
      </c>
      <c r="I27" s="16" t="s">
        <v>59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H28" s="16" t="s">
        <v>54</v>
      </c>
      <c r="I28" s="16" t="s">
        <v>56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H29" s="16" t="s">
        <v>55</v>
      </c>
      <c r="I29" s="16" t="s">
        <v>57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69"/>
    </row>
    <row r="31" spans="1:27" x14ac:dyDescent="0.25">
      <c r="A31" s="11" t="s">
        <v>45</v>
      </c>
      <c r="B31" s="36" t="b">
        <v>1</v>
      </c>
      <c r="D31" s="11" t="s">
        <v>33</v>
      </c>
      <c r="F31" s="69"/>
      <c r="H31" s="16" t="s">
        <v>52</v>
      </c>
      <c r="I31" s="16" t="s">
        <v>59</v>
      </c>
    </row>
    <row r="32" spans="1:27" x14ac:dyDescent="0.25">
      <c r="A32" s="41">
        <v>0.35416666666666669</v>
      </c>
      <c r="B32" s="36" t="b">
        <v>0</v>
      </c>
      <c r="D32" s="29">
        <v>0</v>
      </c>
      <c r="H32" s="16" t="s">
        <v>53</v>
      </c>
      <c r="I32" s="16" t="s">
        <v>58</v>
      </c>
    </row>
    <row r="33" spans="1:9" x14ac:dyDescent="0.25">
      <c r="A33" s="11" t="s">
        <v>47</v>
      </c>
      <c r="B33" s="36" t="b">
        <v>1</v>
      </c>
      <c r="D33" s="11" t="s">
        <v>34</v>
      </c>
      <c r="F33" s="32"/>
      <c r="H33" s="16" t="s">
        <v>54</v>
      </c>
      <c r="I33" s="16" t="s">
        <v>57</v>
      </c>
    </row>
    <row r="34" spans="1:9" x14ac:dyDescent="0.25">
      <c r="A34" s="39">
        <f>(counttour()/E2*(A2+A3))+A32</f>
        <v>0.46111111111111114</v>
      </c>
      <c r="B34" s="36" t="b">
        <v>1</v>
      </c>
      <c r="D34" s="29">
        <v>0</v>
      </c>
      <c r="H34" s="16" t="s">
        <v>55</v>
      </c>
      <c r="I34" s="16" t="s">
        <v>56</v>
      </c>
    </row>
    <row r="35" spans="1:9" x14ac:dyDescent="0.25">
      <c r="A35" s="11" t="s">
        <v>48</v>
      </c>
      <c r="D35" s="11" t="s">
        <v>50</v>
      </c>
    </row>
    <row r="36" spans="1:9" x14ac:dyDescent="0.25">
      <c r="A36" s="41">
        <v>0.5625</v>
      </c>
      <c r="D36" s="29" t="b">
        <v>0</v>
      </c>
      <c r="E36" s="2" t="s">
        <v>35</v>
      </c>
    </row>
    <row r="37" spans="1:9" x14ac:dyDescent="0.25">
      <c r="A37" s="11" t="s">
        <v>32</v>
      </c>
    </row>
    <row r="38" spans="1:9" x14ac:dyDescent="0.25">
      <c r="A38" s="39">
        <f>A36+(ROUNDUP(IF(B31=TRUE,12*A5,12*A5*B30)/E2,0)*(A2+A3))</f>
        <v>0.60833333333333328</v>
      </c>
    </row>
    <row r="39" spans="1:9" ht="16.5" thickBot="1" x14ac:dyDescent="0.3">
      <c r="A39" s="14"/>
    </row>
    <row r="40" spans="1:9" x14ac:dyDescent="0.25">
      <c r="A40" s="3" t="s">
        <v>49</v>
      </c>
    </row>
    <row r="41" spans="1:9" x14ac:dyDescent="0.25">
      <c r="A41" s="29">
        <v>4</v>
      </c>
    </row>
    <row r="42" spans="1:9" ht="15.75" x14ac:dyDescent="0.25">
      <c r="A42" s="14"/>
    </row>
    <row r="43" spans="1:9" ht="15.75" x14ac:dyDescent="0.25">
      <c r="A43" s="14"/>
    </row>
    <row r="44" spans="1:9" x14ac:dyDescent="0.25">
      <c r="A44" s="18"/>
    </row>
    <row r="45" spans="1:9" x14ac:dyDescent="0.25">
      <c r="A45" s="18"/>
    </row>
    <row r="46" spans="1:9" x14ac:dyDescent="0.25">
      <c r="A46" s="17"/>
    </row>
    <row r="47" spans="1:9" x14ac:dyDescent="0.25">
      <c r="A47" s="13"/>
    </row>
    <row r="48" spans="1:9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13:I23 H25:I35 J1:J26 J28:J1048576 J161:J197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S16" sqref="S16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/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63</v>
      </c>
      <c r="L1" s="34" t="s">
        <v>61</v>
      </c>
      <c r="M1" s="34" t="s">
        <v>63</v>
      </c>
      <c r="N1" s="34" t="s">
        <v>62</v>
      </c>
      <c r="O1" s="34" t="s">
        <v>63</v>
      </c>
      <c r="P1" s="34" t="s">
        <v>67</v>
      </c>
      <c r="Q1" s="34" t="s">
        <v>63</v>
      </c>
      <c r="R1" s="34" t="s">
        <v>66</v>
      </c>
      <c r="S1" s="34" t="s">
        <v>63</v>
      </c>
      <c r="T1" s="34" t="s">
        <v>64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63</v>
      </c>
      <c r="AF1" s="34" t="s">
        <v>61</v>
      </c>
      <c r="AG1" s="34" t="s">
        <v>63</v>
      </c>
      <c r="AH1" s="34" t="s">
        <v>62</v>
      </c>
      <c r="AI1" s="34" t="s">
        <v>63</v>
      </c>
      <c r="AJ1" s="34" t="s">
        <v>67</v>
      </c>
      <c r="AK1" s="34" t="s">
        <v>63</v>
      </c>
      <c r="AL1" s="34" t="s">
        <v>66</v>
      </c>
      <c r="AM1" s="34" t="s">
        <v>63</v>
      </c>
      <c r="AN1" s="34" t="s">
        <v>64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63</v>
      </c>
      <c r="AZ1" s="34" t="s">
        <v>61</v>
      </c>
      <c r="BA1" s="34" t="s">
        <v>63</v>
      </c>
      <c r="BB1" s="34" t="s">
        <v>62</v>
      </c>
      <c r="BC1" s="34" t="s">
        <v>63</v>
      </c>
      <c r="BD1" s="34" t="s">
        <v>67</v>
      </c>
      <c r="BE1" s="34" t="s">
        <v>63</v>
      </c>
      <c r="BF1" s="34" t="s">
        <v>66</v>
      </c>
      <c r="BG1" s="34" t="s">
        <v>63</v>
      </c>
      <c r="BH1" s="34" t="s">
        <v>64</v>
      </c>
      <c r="BI1" s="34" t="s">
        <v>17</v>
      </c>
      <c r="BJ1" s="34" t="s">
        <v>16</v>
      </c>
      <c r="BK1" s="34" t="s">
        <v>17</v>
      </c>
      <c r="BL1" s="34" t="s">
        <v>18</v>
      </c>
      <c r="BM1" s="34" t="s">
        <v>17</v>
      </c>
      <c r="BN1" s="34" t="s">
        <v>19</v>
      </c>
      <c r="BO1" s="34" t="s">
        <v>17</v>
      </c>
      <c r="BP1" s="34" t="s">
        <v>20</v>
      </c>
      <c r="BQ1" s="34" t="s">
        <v>17</v>
      </c>
      <c r="BR1" s="34" t="s">
        <v>21</v>
      </c>
      <c r="BS1" s="34" t="s">
        <v>63</v>
      </c>
      <c r="BT1" s="34" t="s">
        <v>61</v>
      </c>
      <c r="BU1" s="34" t="s">
        <v>63</v>
      </c>
      <c r="BV1" s="34" t="s">
        <v>62</v>
      </c>
      <c r="BW1" s="34" t="s">
        <v>63</v>
      </c>
      <c r="BX1" s="34" t="s">
        <v>67</v>
      </c>
      <c r="BY1" s="34" t="s">
        <v>63</v>
      </c>
      <c r="BZ1" s="34" t="s">
        <v>66</v>
      </c>
      <c r="CA1" s="34" t="s">
        <v>63</v>
      </c>
      <c r="CB1" s="34" t="s">
        <v>64</v>
      </c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2023-06-08T23:55:47Z</dcterms:modified>
</cp:coreProperties>
</file>