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ED82BFAA-1AB3-46B1-8DB8-65E0A1D750DB}" xr6:coauthVersionLast="47" xr6:coauthVersionMax="47" xr10:uidLastSave="{00000000-0000-0000-0000-000000000000}"/>
  <bookViews>
    <workbookView xWindow="28695" yWindow="-12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  <sheet name="INSCRIPTS" sheetId="125" r:id="rId6"/>
    <sheet name="MATCHS" sheetId="126" r:id="rId7"/>
    <sheet name="CLASSEMENTS" sheetId="127" r:id="rId8"/>
    <sheet name="PHASE_FINAL_DM" sheetId="128" r:id="rId9"/>
    <sheet name="PHASE_FINAL_DH" sheetId="129" r:id="rId10"/>
    <sheet name="FINAL_MATCHS" sheetId="130" r:id="rId11"/>
    <sheet name="PLACE_FINAL_DM" sheetId="131" r:id="rId12"/>
    <sheet name="PLACE_FINAL_DH" sheetId="132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132" l="1"/>
  <c r="A18" i="132"/>
  <c r="A17" i="132"/>
  <c r="A16" i="132"/>
  <c r="A15" i="132"/>
  <c r="A14" i="132"/>
  <c r="A13" i="132"/>
  <c r="A12" i="132"/>
  <c r="A11" i="132"/>
  <c r="A10" i="132"/>
  <c r="A9" i="132"/>
  <c r="A8" i="132"/>
  <c r="A7" i="132"/>
  <c r="A6" i="132"/>
  <c r="A5" i="132"/>
  <c r="J9" i="132" s="1"/>
  <c r="A4" i="132"/>
  <c r="D8" i="132" s="1"/>
  <c r="A3" i="132"/>
  <c r="G7" i="132" s="1"/>
  <c r="A19" i="131"/>
  <c r="A18" i="131"/>
  <c r="A17" i="131"/>
  <c r="A16" i="131"/>
  <c r="A15" i="131"/>
  <c r="A14" i="131"/>
  <c r="A13" i="131"/>
  <c r="A12" i="131"/>
  <c r="A11" i="131"/>
  <c r="A10" i="131"/>
  <c r="A9" i="131"/>
  <c r="A8" i="131"/>
  <c r="A7" i="131"/>
  <c r="A6" i="131"/>
  <c r="A5" i="131"/>
  <c r="A4" i="131"/>
  <c r="A3" i="131"/>
  <c r="J9" i="131"/>
  <c r="D8" i="131"/>
  <c r="G7" i="131"/>
  <c r="D89" i="130"/>
  <c r="D81" i="130"/>
  <c r="D73" i="130"/>
  <c r="D65" i="130"/>
  <c r="D57" i="130"/>
  <c r="D49" i="130"/>
  <c r="D41" i="130"/>
  <c r="D33" i="130"/>
  <c r="D25" i="130"/>
  <c r="D17" i="130"/>
  <c r="D9" i="130"/>
  <c r="D1" i="130"/>
  <c r="E55" i="130"/>
  <c r="C55" i="130"/>
  <c r="F55" i="130"/>
  <c r="B55" i="130"/>
  <c r="E54" i="130"/>
  <c r="C54" i="130"/>
  <c r="F54" i="130"/>
  <c r="B54" i="130"/>
  <c r="E53" i="130"/>
  <c r="C53" i="130"/>
  <c r="F53" i="130"/>
  <c r="B53" i="130"/>
  <c r="E52" i="130"/>
  <c r="C52" i="130"/>
  <c r="F52" i="130"/>
  <c r="B52" i="130"/>
  <c r="E51" i="130"/>
  <c r="C51" i="130"/>
  <c r="F51" i="130"/>
  <c r="B51" i="130"/>
  <c r="E50" i="130"/>
  <c r="C50" i="130"/>
  <c r="F50" i="130"/>
  <c r="B50" i="130"/>
  <c r="E48" i="130"/>
  <c r="C48" i="130"/>
  <c r="F48" i="130"/>
  <c r="B48" i="130"/>
  <c r="E47" i="130"/>
  <c r="C47" i="130"/>
  <c r="F47" i="130"/>
  <c r="B47" i="130"/>
  <c r="E46" i="130"/>
  <c r="C46" i="130"/>
  <c r="F46" i="130"/>
  <c r="B46" i="130"/>
  <c r="E45" i="130"/>
  <c r="C45" i="130"/>
  <c r="F45" i="130"/>
  <c r="B45" i="130"/>
  <c r="E44" i="130"/>
  <c r="C44" i="130"/>
  <c r="F44" i="130"/>
  <c r="B44" i="130"/>
  <c r="E43" i="130"/>
  <c r="C43" i="130"/>
  <c r="F43" i="130"/>
  <c r="B43" i="130"/>
  <c r="E42" i="130"/>
  <c r="C42" i="130"/>
  <c r="F42" i="130"/>
  <c r="B42" i="130"/>
  <c r="E40" i="130"/>
  <c r="C40" i="130"/>
  <c r="F40" i="130"/>
  <c r="B40" i="130"/>
  <c r="E39" i="130"/>
  <c r="C39" i="130"/>
  <c r="F39" i="130"/>
  <c r="B39" i="130"/>
  <c r="E38" i="130"/>
  <c r="C38" i="130"/>
  <c r="F38" i="130"/>
  <c r="B38" i="130"/>
  <c r="E37" i="130"/>
  <c r="C37" i="130"/>
  <c r="F37" i="130"/>
  <c r="B37" i="130"/>
  <c r="E36" i="130"/>
  <c r="C36" i="130"/>
  <c r="F36" i="130"/>
  <c r="B36" i="130"/>
  <c r="E35" i="130"/>
  <c r="C35" i="130"/>
  <c r="F35" i="130"/>
  <c r="B35" i="130"/>
  <c r="E34" i="130"/>
  <c r="C34" i="130"/>
  <c r="F34" i="130"/>
  <c r="B34" i="130"/>
  <c r="E32" i="130"/>
  <c r="C32" i="130"/>
  <c r="F32" i="130"/>
  <c r="B32" i="130"/>
  <c r="E31" i="130"/>
  <c r="C31" i="130"/>
  <c r="F31" i="130"/>
  <c r="B31" i="130"/>
  <c r="E30" i="130"/>
  <c r="C30" i="130"/>
  <c r="F30" i="130"/>
  <c r="B30" i="130"/>
  <c r="E29" i="130"/>
  <c r="C29" i="130"/>
  <c r="F29" i="130"/>
  <c r="B29" i="130"/>
  <c r="E28" i="130"/>
  <c r="C28" i="130"/>
  <c r="F28" i="130"/>
  <c r="B28" i="130"/>
  <c r="E27" i="130"/>
  <c r="C27" i="130"/>
  <c r="F27" i="130"/>
  <c r="B27" i="130"/>
  <c r="E26" i="130"/>
  <c r="C26" i="130"/>
  <c r="F26" i="130"/>
  <c r="B26" i="130"/>
  <c r="E24" i="130"/>
  <c r="C24" i="130"/>
  <c r="F24" i="130"/>
  <c r="B24" i="130"/>
  <c r="E23" i="130"/>
  <c r="C23" i="130"/>
  <c r="F23" i="130"/>
  <c r="B23" i="130"/>
  <c r="E22" i="130"/>
  <c r="C22" i="130"/>
  <c r="F22" i="130"/>
  <c r="B22" i="130"/>
  <c r="E21" i="130"/>
  <c r="C21" i="130"/>
  <c r="F21" i="130"/>
  <c r="B21" i="130"/>
  <c r="E20" i="130"/>
  <c r="C20" i="130"/>
  <c r="F20" i="130"/>
  <c r="B20" i="130"/>
  <c r="E19" i="130"/>
  <c r="C19" i="130"/>
  <c r="F19" i="130"/>
  <c r="B19" i="130"/>
  <c r="E18" i="130"/>
  <c r="C18" i="130"/>
  <c r="F18" i="130"/>
  <c r="B18" i="130"/>
  <c r="E16" i="130"/>
  <c r="C16" i="130"/>
  <c r="F16" i="130"/>
  <c r="B16" i="130"/>
  <c r="E15" i="130"/>
  <c r="C15" i="130"/>
  <c r="F15" i="130"/>
  <c r="B15" i="130"/>
  <c r="E14" i="130"/>
  <c r="C14" i="130"/>
  <c r="F14" i="130"/>
  <c r="B14" i="130"/>
  <c r="E13" i="130"/>
  <c r="C13" i="130"/>
  <c r="F13" i="130"/>
  <c r="B13" i="130"/>
  <c r="E12" i="130"/>
  <c r="C12" i="130"/>
  <c r="F12" i="130"/>
  <c r="B12" i="130"/>
  <c r="E11" i="130"/>
  <c r="C11" i="130"/>
  <c r="F11" i="130"/>
  <c r="B11" i="130"/>
  <c r="E10" i="130"/>
  <c r="C10" i="130"/>
  <c r="F10" i="130"/>
  <c r="B10" i="130"/>
  <c r="E8" i="130"/>
  <c r="C8" i="130"/>
  <c r="F8" i="130"/>
  <c r="B8" i="130"/>
  <c r="E7" i="130"/>
  <c r="C7" i="130"/>
  <c r="F7" i="130"/>
  <c r="B7" i="130"/>
  <c r="E6" i="130"/>
  <c r="C6" i="130"/>
  <c r="F6" i="130"/>
  <c r="B6" i="130"/>
  <c r="E5" i="130"/>
  <c r="C5" i="130"/>
  <c r="F5" i="130"/>
  <c r="B5" i="130"/>
  <c r="E4" i="130"/>
  <c r="C4" i="130"/>
  <c r="F4" i="130"/>
  <c r="B4" i="130"/>
  <c r="E3" i="130"/>
  <c r="C3" i="130"/>
  <c r="F3" i="130"/>
  <c r="B3" i="130"/>
  <c r="E2" i="130"/>
  <c r="C2" i="130"/>
  <c r="F2" i="130"/>
  <c r="B2" i="130"/>
  <c r="C64" i="129"/>
  <c r="C63" i="129"/>
  <c r="C60" i="129"/>
  <c r="C59" i="129"/>
  <c r="F66" i="129"/>
  <c r="F65" i="129"/>
  <c r="F58" i="129"/>
  <c r="F57" i="129"/>
  <c r="K66" i="129"/>
  <c r="K65" i="129"/>
  <c r="K58" i="129"/>
  <c r="K57" i="129"/>
  <c r="N64" i="129"/>
  <c r="N63" i="129"/>
  <c r="N60" i="129"/>
  <c r="N59" i="129"/>
  <c r="C47" i="129"/>
  <c r="C46" i="129"/>
  <c r="C43" i="129"/>
  <c r="C42" i="129"/>
  <c r="F49" i="129"/>
  <c r="F48" i="129"/>
  <c r="F41" i="129"/>
  <c r="F40" i="129"/>
  <c r="K49" i="129"/>
  <c r="K48" i="129"/>
  <c r="K41" i="129"/>
  <c r="K40" i="129"/>
  <c r="N47" i="129"/>
  <c r="N46" i="129"/>
  <c r="N43" i="129"/>
  <c r="N42" i="129"/>
  <c r="C30" i="129"/>
  <c r="C29" i="129"/>
  <c r="C26" i="129"/>
  <c r="C25" i="129"/>
  <c r="F32" i="129"/>
  <c r="F31" i="129"/>
  <c r="F24" i="129"/>
  <c r="F23" i="129"/>
  <c r="K32" i="129"/>
  <c r="K31" i="129"/>
  <c r="K24" i="129"/>
  <c r="K23" i="129"/>
  <c r="N30" i="129"/>
  <c r="N29" i="129"/>
  <c r="N26" i="129"/>
  <c r="N25" i="129"/>
  <c r="C13" i="129"/>
  <c r="C12" i="129"/>
  <c r="C9" i="129"/>
  <c r="C8" i="129"/>
  <c r="F15" i="129"/>
  <c r="F14" i="129"/>
  <c r="F7" i="129"/>
  <c r="F6" i="129"/>
  <c r="K15" i="129"/>
  <c r="K14" i="129"/>
  <c r="K7" i="129"/>
  <c r="K6" i="129"/>
  <c r="N13" i="129"/>
  <c r="N12" i="129"/>
  <c r="N9" i="129"/>
  <c r="N8" i="129"/>
  <c r="C64" i="128"/>
  <c r="C63" i="128"/>
  <c r="C60" i="128"/>
  <c r="C59" i="128"/>
  <c r="F66" i="128"/>
  <c r="F65" i="128"/>
  <c r="F58" i="128"/>
  <c r="F57" i="128"/>
  <c r="K66" i="128"/>
  <c r="K65" i="128"/>
  <c r="K58" i="128"/>
  <c r="K57" i="128"/>
  <c r="N64" i="128"/>
  <c r="N63" i="128"/>
  <c r="N60" i="128"/>
  <c r="N59" i="128"/>
  <c r="C47" i="128"/>
  <c r="C46" i="128"/>
  <c r="C43" i="128"/>
  <c r="C42" i="128"/>
  <c r="F49" i="128"/>
  <c r="F48" i="128"/>
  <c r="F41" i="128"/>
  <c r="F40" i="128"/>
  <c r="K49" i="128"/>
  <c r="K48" i="128"/>
  <c r="K41" i="128"/>
  <c r="K40" i="128"/>
  <c r="N47" i="128"/>
  <c r="N46" i="128"/>
  <c r="N43" i="128"/>
  <c r="N42" i="128"/>
  <c r="C30" i="128"/>
  <c r="C29" i="128"/>
  <c r="C26" i="128"/>
  <c r="C25" i="128"/>
  <c r="F32" i="128"/>
  <c r="F31" i="128"/>
  <c r="F24" i="128"/>
  <c r="F23" i="128"/>
  <c r="K32" i="128"/>
  <c r="K31" i="128"/>
  <c r="K24" i="128"/>
  <c r="K23" i="128"/>
  <c r="N30" i="128"/>
  <c r="N29" i="128"/>
  <c r="N26" i="128"/>
  <c r="N25" i="128"/>
  <c r="C13" i="128"/>
  <c r="C12" i="128"/>
  <c r="C9" i="128"/>
  <c r="C8" i="128"/>
  <c r="F15" i="128"/>
  <c r="F14" i="128"/>
  <c r="F7" i="128"/>
  <c r="F6" i="128"/>
  <c r="K15" i="128"/>
  <c r="K14" i="128"/>
  <c r="K7" i="128"/>
  <c r="K6" i="128"/>
  <c r="N13" i="128"/>
  <c r="N12" i="128"/>
  <c r="N9" i="128"/>
  <c r="N8" i="128"/>
  <c r="N44" i="127"/>
  <c r="D44" i="127"/>
  <c r="N43" i="127"/>
  <c r="D43" i="127"/>
  <c r="N42" i="127"/>
  <c r="D42" i="127"/>
  <c r="N41" i="127"/>
  <c r="D41" i="127"/>
  <c r="N40" i="127"/>
  <c r="D40" i="127"/>
  <c r="N39" i="127"/>
  <c r="D39" i="127"/>
  <c r="N38" i="127"/>
  <c r="D38" i="127"/>
  <c r="N37" i="127"/>
  <c r="D37" i="127"/>
  <c r="N33" i="127"/>
  <c r="D33" i="127"/>
  <c r="N32" i="127"/>
  <c r="D32" i="127"/>
  <c r="N31" i="127"/>
  <c r="D31" i="127"/>
  <c r="N30" i="127"/>
  <c r="D30" i="127"/>
  <c r="N29" i="127"/>
  <c r="D29" i="127"/>
  <c r="N28" i="127"/>
  <c r="D28" i="127"/>
  <c r="N27" i="127"/>
  <c r="D27" i="127"/>
  <c r="N26" i="127"/>
  <c r="D26" i="127"/>
  <c r="N22" i="127"/>
  <c r="D22" i="127"/>
  <c r="N21" i="127"/>
  <c r="D21" i="127"/>
  <c r="N20" i="127"/>
  <c r="D20" i="127"/>
  <c r="N19" i="127"/>
  <c r="D19" i="127"/>
  <c r="N18" i="127"/>
  <c r="D18" i="127"/>
  <c r="N17" i="127"/>
  <c r="D17" i="127"/>
  <c r="N16" i="127"/>
  <c r="D16" i="127"/>
  <c r="N15" i="127"/>
  <c r="D15" i="127"/>
  <c r="N11" i="127"/>
  <c r="D11" i="127"/>
  <c r="N10" i="127"/>
  <c r="D10" i="127"/>
  <c r="N9" i="127"/>
  <c r="D9" i="127"/>
  <c r="N8" i="127"/>
  <c r="D8" i="127"/>
  <c r="N7" i="127"/>
  <c r="D7" i="127"/>
  <c r="N6" i="127"/>
  <c r="D6" i="127"/>
  <c r="N5" i="127"/>
  <c r="D5" i="127"/>
  <c r="N4" i="127"/>
  <c r="D4" i="127"/>
  <c r="F125" i="126"/>
  <c r="F108" i="126"/>
  <c r="F91" i="126"/>
  <c r="F74" i="126"/>
  <c r="F54" i="126"/>
  <c r="F37" i="126"/>
  <c r="F19" i="126"/>
  <c r="F126" i="126"/>
  <c r="F107" i="126"/>
  <c r="F92" i="126"/>
  <c r="F72" i="126"/>
  <c r="F55" i="126"/>
  <c r="F36" i="126"/>
  <c r="B19" i="126"/>
  <c r="F127" i="126"/>
  <c r="F110" i="126"/>
  <c r="F88" i="126"/>
  <c r="F71" i="126"/>
  <c r="B55" i="126"/>
  <c r="B37" i="126"/>
  <c r="F18" i="126"/>
  <c r="F128" i="126"/>
  <c r="F109" i="126"/>
  <c r="F90" i="126"/>
  <c r="F70" i="126"/>
  <c r="B54" i="126"/>
  <c r="B36" i="126"/>
  <c r="B18" i="126"/>
  <c r="B128" i="126"/>
  <c r="B110" i="126"/>
  <c r="B92" i="126"/>
  <c r="B74" i="126"/>
  <c r="F52" i="126"/>
  <c r="F35" i="126"/>
  <c r="F16" i="126"/>
  <c r="B127" i="126"/>
  <c r="B109" i="126"/>
  <c r="B91" i="126"/>
  <c r="B72" i="126"/>
  <c r="F53" i="126"/>
  <c r="F34" i="126"/>
  <c r="B16" i="126"/>
  <c r="B126" i="126"/>
  <c r="B108" i="126"/>
  <c r="B90" i="126"/>
  <c r="B71" i="126"/>
  <c r="B53" i="126"/>
  <c r="B35" i="126"/>
  <c r="F15" i="126"/>
  <c r="B125" i="126"/>
  <c r="B107" i="126"/>
  <c r="B88" i="126"/>
  <c r="B70" i="126"/>
  <c r="B52" i="126"/>
  <c r="B34" i="126"/>
  <c r="B15" i="126"/>
  <c r="F120" i="126"/>
  <c r="F103" i="126"/>
  <c r="F86" i="126"/>
  <c r="F69" i="126"/>
  <c r="F50" i="126"/>
  <c r="F32" i="126"/>
  <c r="F14" i="126"/>
  <c r="F122" i="126"/>
  <c r="F102" i="126"/>
  <c r="F87" i="126"/>
  <c r="F68" i="126"/>
  <c r="F51" i="126"/>
  <c r="F31" i="126"/>
  <c r="B14" i="126"/>
  <c r="F123" i="126"/>
  <c r="F106" i="126"/>
  <c r="F84" i="126"/>
  <c r="F67" i="126"/>
  <c r="B51" i="126"/>
  <c r="B32" i="126"/>
  <c r="F13" i="126"/>
  <c r="F124" i="126"/>
  <c r="F104" i="126"/>
  <c r="F85" i="126"/>
  <c r="F66" i="126"/>
  <c r="B50" i="126"/>
  <c r="B31" i="126"/>
  <c r="B13" i="126"/>
  <c r="B124" i="126"/>
  <c r="B106" i="126"/>
  <c r="B87" i="126"/>
  <c r="B69" i="126"/>
  <c r="F47" i="126"/>
  <c r="F30" i="126"/>
  <c r="F12" i="126"/>
  <c r="B123" i="126"/>
  <c r="B104" i="126"/>
  <c r="B86" i="126"/>
  <c r="B68" i="126"/>
  <c r="F48" i="126"/>
  <c r="F29" i="126"/>
  <c r="B12" i="126"/>
  <c r="B122" i="126"/>
  <c r="B103" i="126"/>
  <c r="B85" i="126"/>
  <c r="B67" i="126"/>
  <c r="B48" i="126"/>
  <c r="B30" i="126"/>
  <c r="F11" i="126"/>
  <c r="B120" i="126"/>
  <c r="B102" i="126"/>
  <c r="B84" i="126"/>
  <c r="B66" i="126"/>
  <c r="B47" i="126"/>
  <c r="B29" i="126"/>
  <c r="B11" i="126"/>
  <c r="F116" i="126"/>
  <c r="F99" i="126"/>
  <c r="F82" i="126"/>
  <c r="F64" i="126"/>
  <c r="F45" i="126"/>
  <c r="F28" i="126"/>
  <c r="F10" i="126"/>
  <c r="F117" i="126"/>
  <c r="F98" i="126"/>
  <c r="F83" i="126"/>
  <c r="F63" i="126"/>
  <c r="F46" i="126"/>
  <c r="F27" i="126"/>
  <c r="B10" i="126"/>
  <c r="F118" i="126"/>
  <c r="F101" i="126"/>
  <c r="F79" i="126"/>
  <c r="F62" i="126"/>
  <c r="B46" i="126"/>
  <c r="B28" i="126"/>
  <c r="F8" i="126"/>
  <c r="F119" i="126"/>
  <c r="F100" i="126"/>
  <c r="F80" i="126"/>
  <c r="F61" i="126"/>
  <c r="B45" i="126"/>
  <c r="B27" i="126"/>
  <c r="B8" i="126"/>
  <c r="B119" i="126"/>
  <c r="B101" i="126"/>
  <c r="B83" i="126"/>
  <c r="B64" i="126"/>
  <c r="F43" i="126"/>
  <c r="F26" i="126"/>
  <c r="F7" i="126"/>
  <c r="B118" i="126"/>
  <c r="B100" i="126"/>
  <c r="B82" i="126"/>
  <c r="B63" i="126"/>
  <c r="F44" i="126"/>
  <c r="F24" i="126"/>
  <c r="B7" i="126"/>
  <c r="B117" i="126"/>
  <c r="B99" i="126"/>
  <c r="B80" i="126"/>
  <c r="B62" i="126"/>
  <c r="B44" i="126"/>
  <c r="B26" i="126"/>
  <c r="F6" i="126"/>
  <c r="B116" i="126"/>
  <c r="B98" i="126"/>
  <c r="B79" i="126"/>
  <c r="B61" i="126"/>
  <c r="B43" i="126"/>
  <c r="B24" i="126"/>
  <c r="B6" i="126"/>
  <c r="F111" i="126"/>
  <c r="F94" i="126"/>
  <c r="F77" i="126"/>
  <c r="F60" i="126"/>
  <c r="F40" i="126"/>
  <c r="F23" i="126"/>
  <c r="F5" i="126"/>
  <c r="F112" i="126"/>
  <c r="F93" i="126"/>
  <c r="F78" i="126"/>
  <c r="F59" i="126"/>
  <c r="F42" i="126"/>
  <c r="F22" i="126"/>
  <c r="B5" i="126"/>
  <c r="F114" i="126"/>
  <c r="F96" i="126"/>
  <c r="F75" i="126"/>
  <c r="F58" i="126"/>
  <c r="B42" i="126"/>
  <c r="B23" i="126"/>
  <c r="F4" i="126"/>
  <c r="F115" i="126"/>
  <c r="F95" i="126"/>
  <c r="F76" i="126"/>
  <c r="F56" i="126"/>
  <c r="B40" i="126"/>
  <c r="B22" i="126"/>
  <c r="B4" i="126"/>
  <c r="B115" i="126"/>
  <c r="B96" i="126"/>
  <c r="B78" i="126"/>
  <c r="B60" i="126"/>
  <c r="F38" i="126"/>
  <c r="F21" i="126"/>
  <c r="F3" i="126"/>
  <c r="B114" i="126"/>
  <c r="B95" i="126"/>
  <c r="B77" i="126"/>
  <c r="B59" i="126"/>
  <c r="F39" i="126"/>
  <c r="F20" i="126"/>
  <c r="B3" i="126"/>
  <c r="B112" i="126"/>
  <c r="B94" i="126"/>
  <c r="B76" i="126"/>
  <c r="B58" i="126"/>
  <c r="B39" i="126"/>
  <c r="B21" i="126"/>
  <c r="F2" i="126"/>
  <c r="B111" i="126"/>
  <c r="B93" i="126"/>
  <c r="B75" i="126"/>
  <c r="B56" i="126"/>
  <c r="B38" i="126"/>
  <c r="B20" i="126"/>
  <c r="B2" i="126"/>
  <c r="D889" i="126"/>
  <c r="D881" i="126"/>
  <c r="D873" i="126"/>
  <c r="D865" i="126"/>
  <c r="D857" i="126"/>
  <c r="D849" i="126"/>
  <c r="D841" i="126"/>
  <c r="D833" i="126"/>
  <c r="D825" i="126"/>
  <c r="D817" i="126"/>
  <c r="D809" i="126"/>
  <c r="D801" i="126"/>
  <c r="D793" i="126"/>
  <c r="D785" i="126"/>
  <c r="D777" i="126"/>
  <c r="D769" i="126"/>
  <c r="D761" i="126"/>
  <c r="D753" i="126"/>
  <c r="D745" i="126"/>
  <c r="D737" i="126"/>
  <c r="D729" i="126"/>
  <c r="D721" i="126"/>
  <c r="D713" i="126"/>
  <c r="D705" i="126"/>
  <c r="D697" i="126"/>
  <c r="D689" i="126"/>
  <c r="D681" i="126"/>
  <c r="D673" i="126"/>
  <c r="D665" i="126"/>
  <c r="D657" i="126"/>
  <c r="D649" i="126"/>
  <c r="D641" i="126"/>
  <c r="D633" i="126"/>
  <c r="D625" i="126"/>
  <c r="D617" i="126"/>
  <c r="D609" i="126"/>
  <c r="D601" i="126"/>
  <c r="D593" i="126"/>
  <c r="D585" i="126"/>
  <c r="D577" i="126"/>
  <c r="D569" i="126"/>
  <c r="D561" i="126"/>
  <c r="D553" i="126"/>
  <c r="D545" i="126"/>
  <c r="D537" i="126"/>
  <c r="D529" i="126"/>
  <c r="D521" i="126"/>
  <c r="D513" i="126"/>
  <c r="D505" i="126"/>
  <c r="D497" i="126"/>
  <c r="D489" i="126"/>
  <c r="D481" i="126"/>
  <c r="D473" i="126"/>
  <c r="D465" i="126"/>
  <c r="D457" i="126"/>
  <c r="D449" i="126"/>
  <c r="D441" i="126"/>
  <c r="D433" i="126"/>
  <c r="D425" i="126"/>
  <c r="D417" i="126"/>
  <c r="D409" i="126"/>
  <c r="D401" i="126"/>
  <c r="D393" i="126"/>
  <c r="D385" i="126"/>
  <c r="D377" i="126"/>
  <c r="D369" i="126"/>
  <c r="D361" i="126"/>
  <c r="D353" i="126"/>
  <c r="D345" i="126"/>
  <c r="D337" i="126"/>
  <c r="D329" i="126"/>
  <c r="D321" i="126"/>
  <c r="D313" i="126"/>
  <c r="D305" i="126"/>
  <c r="D297" i="126"/>
  <c r="D289" i="126"/>
  <c r="D281" i="126"/>
  <c r="D273" i="126"/>
  <c r="D265" i="126"/>
  <c r="D257" i="126"/>
  <c r="D249" i="126"/>
  <c r="D241" i="126"/>
  <c r="D233" i="126"/>
  <c r="D225" i="126"/>
  <c r="D217" i="126"/>
  <c r="D209" i="126"/>
  <c r="D201" i="126"/>
  <c r="D193" i="126"/>
  <c r="D185" i="126"/>
  <c r="D177" i="126"/>
  <c r="D169" i="126"/>
  <c r="D161" i="126"/>
  <c r="D153" i="126"/>
  <c r="D145" i="126"/>
  <c r="D137" i="126"/>
  <c r="D129" i="126"/>
  <c r="D121" i="126"/>
  <c r="D113" i="126"/>
  <c r="D105" i="126"/>
  <c r="D97" i="126"/>
  <c r="D89" i="126"/>
  <c r="D81" i="126"/>
  <c r="D73" i="126"/>
  <c r="D65" i="126"/>
  <c r="D57" i="126"/>
  <c r="D49" i="126"/>
  <c r="D41" i="126"/>
  <c r="D33" i="126"/>
  <c r="D25" i="126"/>
  <c r="D17" i="126"/>
  <c r="D9" i="126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G44" i="127"/>
  <c r="F43" i="127"/>
  <c r="I41" i="127"/>
  <c r="E40" i="127"/>
  <c r="H38" i="127"/>
  <c r="G33" i="127"/>
  <c r="F32" i="127"/>
  <c r="I30" i="127"/>
  <c r="E29" i="127"/>
  <c r="H27" i="127"/>
  <c r="G22" i="127"/>
  <c r="F21" i="127"/>
  <c r="I19" i="127"/>
  <c r="E18" i="127"/>
  <c r="H16" i="127"/>
  <c r="G11" i="127"/>
  <c r="F10" i="127"/>
  <c r="I8" i="127"/>
  <c r="E7" i="127"/>
  <c r="H5" i="127"/>
  <c r="E10" i="127"/>
  <c r="H8" i="127"/>
  <c r="G6" i="127"/>
  <c r="F5" i="127"/>
  <c r="E41" i="127"/>
  <c r="F33" i="127"/>
  <c r="E30" i="127"/>
  <c r="G26" i="127"/>
  <c r="I20" i="127"/>
  <c r="H17" i="127"/>
  <c r="I9" i="127"/>
  <c r="H6" i="127"/>
  <c r="E28" i="127"/>
  <c r="E17" i="127"/>
  <c r="I7" i="127"/>
  <c r="E42" i="127"/>
  <c r="I32" i="127"/>
  <c r="H29" i="127"/>
  <c r="F26" i="127"/>
  <c r="H18" i="127"/>
  <c r="H7" i="127"/>
  <c r="I44" i="127"/>
  <c r="E43" i="127"/>
  <c r="H41" i="127"/>
  <c r="G39" i="127"/>
  <c r="F38" i="127"/>
  <c r="I33" i="127"/>
  <c r="E32" i="127"/>
  <c r="H30" i="127"/>
  <c r="G28" i="127"/>
  <c r="F27" i="127"/>
  <c r="I22" i="127"/>
  <c r="E21" i="127"/>
  <c r="H19" i="127"/>
  <c r="G17" i="127"/>
  <c r="F16" i="127"/>
  <c r="I11" i="127"/>
  <c r="H44" i="127"/>
  <c r="G42" i="127"/>
  <c r="F41" i="127"/>
  <c r="I39" i="127"/>
  <c r="E38" i="127"/>
  <c r="H33" i="127"/>
  <c r="G31" i="127"/>
  <c r="F30" i="127"/>
  <c r="I28" i="127"/>
  <c r="E27" i="127"/>
  <c r="H22" i="127"/>
  <c r="G20" i="127"/>
  <c r="F19" i="127"/>
  <c r="I17" i="127"/>
  <c r="E16" i="127"/>
  <c r="H11" i="127"/>
  <c r="G9" i="127"/>
  <c r="F8" i="127"/>
  <c r="I6" i="127"/>
  <c r="E5" i="127"/>
  <c r="I42" i="127"/>
  <c r="H39" i="127"/>
  <c r="G37" i="127"/>
  <c r="I31" i="127"/>
  <c r="H28" i="127"/>
  <c r="F22" i="127"/>
  <c r="E19" i="127"/>
  <c r="F11" i="127"/>
  <c r="E8" i="127"/>
  <c r="G4" i="127"/>
  <c r="F20" i="127"/>
  <c r="H15" i="127"/>
  <c r="E6" i="127"/>
  <c r="G38" i="127"/>
  <c r="G27" i="127"/>
  <c r="G16" i="127"/>
  <c r="F4" i="127"/>
  <c r="F44" i="127"/>
  <c r="G15" i="127"/>
  <c r="H26" i="127"/>
  <c r="G10" i="127"/>
  <c r="H40" i="127"/>
  <c r="E20" i="127"/>
  <c r="G5" i="127"/>
  <c r="E44" i="127"/>
  <c r="H42" i="127"/>
  <c r="G40" i="127"/>
  <c r="F39" i="127"/>
  <c r="I37" i="127"/>
  <c r="E33" i="127"/>
  <c r="H31" i="127"/>
  <c r="G29" i="127"/>
  <c r="F28" i="127"/>
  <c r="I26" i="127"/>
  <c r="E22" i="127"/>
  <c r="H20" i="127"/>
  <c r="G18" i="127"/>
  <c r="F17" i="127"/>
  <c r="I15" i="127"/>
  <c r="E11" i="127"/>
  <c r="H9" i="127"/>
  <c r="G7" i="127"/>
  <c r="F6" i="127"/>
  <c r="I4" i="127"/>
  <c r="G43" i="127"/>
  <c r="F42" i="127"/>
  <c r="I40" i="127"/>
  <c r="E39" i="127"/>
  <c r="H37" i="127"/>
  <c r="G32" i="127"/>
  <c r="F31" i="127"/>
  <c r="I29" i="127"/>
  <c r="G21" i="127"/>
  <c r="I18" i="127"/>
  <c r="F9" i="127"/>
  <c r="H4" i="127"/>
  <c r="I43" i="127"/>
  <c r="F37" i="127"/>
  <c r="E31" i="127"/>
  <c r="I21" i="127"/>
  <c r="F15" i="127"/>
  <c r="E9" i="127"/>
  <c r="H43" i="127"/>
  <c r="G41" i="127"/>
  <c r="F40" i="127"/>
  <c r="I38" i="127"/>
  <c r="E37" i="127"/>
  <c r="H32" i="127"/>
  <c r="G30" i="127"/>
  <c r="F29" i="127"/>
  <c r="I27" i="127"/>
  <c r="E26" i="127"/>
  <c r="H21" i="127"/>
  <c r="G19" i="127"/>
  <c r="F18" i="127"/>
  <c r="I16" i="127"/>
  <c r="E15" i="127"/>
  <c r="H10" i="127"/>
  <c r="G8" i="127"/>
  <c r="F7" i="127"/>
  <c r="I5" i="127"/>
  <c r="E4" i="127"/>
  <c r="I10" i="127"/>
  <c r="J44" i="127" l="1"/>
  <c r="J43" i="127"/>
  <c r="J42" i="127"/>
  <c r="J41" i="127"/>
  <c r="J40" i="127"/>
  <c r="J39" i="127"/>
  <c r="J38" i="127"/>
  <c r="J37" i="127"/>
  <c r="J33" i="127"/>
  <c r="J32" i="127"/>
  <c r="J31" i="127"/>
  <c r="J30" i="127"/>
  <c r="J29" i="127"/>
  <c r="J28" i="127"/>
  <c r="J27" i="127"/>
  <c r="J26" i="127"/>
  <c r="J22" i="127"/>
  <c r="J21" i="127"/>
  <c r="J20" i="127"/>
  <c r="J19" i="127"/>
  <c r="J18" i="127"/>
  <c r="J17" i="127"/>
  <c r="J16" i="127"/>
  <c r="J15" i="127"/>
  <c r="J11" i="127"/>
  <c r="J10" i="127"/>
  <c r="J9" i="127"/>
  <c r="J8" i="127"/>
  <c r="J7" i="127"/>
  <c r="J6" i="127"/>
  <c r="J5" i="127"/>
  <c r="J4" i="127"/>
  <c r="E3" i="1"/>
  <c r="A38" i="1"/>
  <c r="A19" i="1" l="1"/>
</calcChain>
</file>

<file path=xl/sharedStrings.xml><?xml version="1.0" encoding="utf-8"?>
<sst xmlns="http://schemas.openxmlformats.org/spreadsheetml/2006/main" count="3472" uniqueCount="155">
  <si>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</si>
  <si>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</si>
  <si>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</si>
  <si>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</si>
  <si>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</si>
  <si>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</si>
  <si>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</si>
  <si>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</si>
  <si>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</si>
  <si>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</si>
  <si>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</si>
  <si>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</si>
  <si>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</si>
  <si>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</si>
  <si>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</si>
  <si>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</si>
  <si>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</si>
  <si>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</si>
  <si>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</si>
  <si>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</si>
  <si>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</si>
  <si>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</si>
  <si>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</si>
  <si>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</si>
  <si>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</si>
  <si>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</si>
  <si>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</si>
  <si>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</si>
  <si>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</si>
  <si>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</si>
  <si>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</si>
  <si>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</si>
  <si>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</si>
  <si>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</si>
  <si>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</si>
  <si>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</si>
  <si>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</si>
  <si>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</si>
  <si>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</si>
  <si>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</si>
  <si>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</si>
  <si>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</si>
  <si>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</si>
  <si>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</si>
  <si>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</si>
  <si>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</si>
  <si>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</si>
  <si>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</si>
  <si>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</si>
  <si>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</si>
  <si>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</si>
  <si>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</si>
  <si>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DM</t>
  </si>
  <si>
    <t>DH</t>
  </si>
  <si>
    <t>00:30</t>
  </si>
  <si>
    <t>08:30</t>
  </si>
  <si>
    <t>0</t>
  </si>
  <si>
    <t>A</t>
  </si>
  <si>
    <t>B</t>
  </si>
  <si>
    <t>C</t>
  </si>
  <si>
    <t>D</t>
  </si>
  <si>
    <t>1A</t>
  </si>
  <si>
    <t>2A</t>
  </si>
  <si>
    <t>3A</t>
  </si>
  <si>
    <t>4A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</si>
  <si>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</si>
  <si>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</si>
  <si>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</si>
  <si>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</si>
  <si>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</si>
  <si>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</si>
  <si>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</si>
  <si>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</si>
  <si>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</si>
  <si>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</si>
  <si>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</si>
  <si>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</si>
  <si>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</si>
  <si>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</si>
  <si>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</si>
  <si>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</si>
  <si>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</si>
  <si>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</si>
  <si>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</si>
  <si>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</si>
  <si>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</si>
  <si>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</si>
  <si>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</si>
  <si>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</si>
  <si>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</si>
  <si>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</si>
  <si>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</si>
  <si>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</si>
  <si>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 DM 1</t>
  </si>
  <si>
    <t>2 DM 2</t>
  </si>
  <si>
    <t>3 DM 3</t>
  </si>
  <si>
    <t>4 DM 4</t>
  </si>
  <si>
    <t>5 DH 5</t>
  </si>
  <si>
    <t>6 DH 6</t>
  </si>
  <si>
    <t>7 DH 7</t>
  </si>
  <si>
    <t>1 DH 1</t>
  </si>
  <si>
    <t>5 DM 5</t>
  </si>
  <si>
    <t>2 DH 2</t>
  </si>
  <si>
    <t>6 DM 6</t>
  </si>
  <si>
    <t>3 DH 3</t>
  </si>
  <si>
    <t>7 DM 7</t>
  </si>
  <si>
    <t>4 DH 4</t>
  </si>
  <si>
    <t>Lettre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</si>
  <si>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</si>
  <si>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</si>
  <si>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</si>
  <si>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</si>
  <si>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</si>
  <si>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</si>
  <si>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</si>
  <si>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</si>
  <si>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Ordre Ph</t>
  </si>
  <si>
    <t>PHASE FINAL DM</t>
  </si>
  <si>
    <t>PHASE FINAL DH</t>
  </si>
  <si>
    <t>PHASE FINAL 1</t>
  </si>
  <si>
    <t>TERRAIN 1</t>
  </si>
  <si>
    <t>TERRAIN 2</t>
  </si>
  <si>
    <t>TERRAIN 3</t>
  </si>
  <si>
    <t>TERRAIN 4</t>
  </si>
  <si>
    <t>PHASE FINAL 2</t>
  </si>
  <si>
    <t>TERRAIN 5</t>
  </si>
  <si>
    <t>TERRAIN 6</t>
  </si>
  <si>
    <t>TERRAIN 7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</si>
  <si>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</si>
  <si>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</si>
  <si>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</si>
  <si>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</si>
  <si>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</si>
  <si>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</si>
  <si>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</si>
  <si>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</si>
  <si>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CLASSEMENT FINAL DM</t>
  </si>
  <si>
    <t>CLASSEMENT FINAL DH</t>
  </si>
  <si>
    <t>1--21--18--19</t>
  </si>
  <si>
    <t>2--9--21--21</t>
  </si>
  <si>
    <t>1--15--21--17</t>
  </si>
  <si>
    <t>2--21--13--21</t>
  </si>
  <si>
    <t>2--21--21--0</t>
  </si>
  <si>
    <t>0--6--8--0</t>
  </si>
  <si>
    <t>0--19--19--0</t>
  </si>
  <si>
    <t>1--53</t>
  </si>
  <si>
    <t>2--55</t>
  </si>
  <si>
    <t>1--58</t>
  </si>
  <si>
    <t>2--51</t>
  </si>
  <si>
    <t>2--42</t>
  </si>
  <si>
    <t>0--14</t>
  </si>
  <si>
    <t>0--38</t>
  </si>
  <si>
    <t>0--6</t>
  </si>
  <si>
    <t>0--3--3--0</t>
  </si>
  <si>
    <t>Version 3.01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</si>
</sst>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12" fillId="5" borderId="30" xfId="0" applyFont="1" applyFill="1" applyBorder="1" applyAlignment="1">
      <alignment horizontal="center" vertical="center"/>
    </xf>
    <xf numFmtId="0" fontId="12" fillId="5" borderId="34" xfId="0" applyFont="1" applyFill="1" applyBorder="1" applyAlignment="1">
      <alignment horizontal="center" vertical="center"/>
    </xf>
    <xf numFmtId="0" fontId="15" fillId="6" borderId="35" xfId="0" applyFont="1" applyFill="1" applyBorder="1" applyAlignment="1" applyProtection="1">
      <alignment horizontal="center" vertical="center"/>
      <protection locked="0"/>
    </xf>
    <xf numFmtId="0" fontId="15" fillId="6" borderId="36" xfId="0" applyFont="1" applyFill="1" applyBorder="1" applyAlignment="1" applyProtection="1">
      <alignment horizontal="center" vertical="center"/>
      <protection locked="0"/>
    </xf>
    <xf numFmtId="0" fontId="15" fillId="6" borderId="37" xfId="0" applyFont="1" applyFill="1" applyBorder="1" applyAlignment="1" applyProtection="1">
      <alignment horizontal="center" vertical="center"/>
      <protection locked="0"/>
    </xf>
    <xf numFmtId="0" fontId="15" fillId="7" borderId="35" xfId="0" applyFont="1" applyFill="1" applyBorder="1" applyAlignment="1" applyProtection="1">
      <alignment horizontal="center" vertical="center"/>
      <protection locked="0"/>
    </xf>
    <xf numFmtId="0" fontId="15" fillId="7" borderId="36" xfId="0" applyFont="1" applyFill="1" applyBorder="1" applyAlignment="1" applyProtection="1">
      <alignment horizontal="center" vertical="center"/>
      <protection locked="0"/>
    </xf>
    <xf numFmtId="0" fontId="15" fillId="7" borderId="37" xfId="0" applyFont="1" applyFill="1" applyBorder="1" applyAlignment="1" applyProtection="1">
      <alignment horizontal="center" vertical="center"/>
      <protection locked="0"/>
    </xf>
    <xf numFmtId="0" fontId="15" fillId="8" borderId="35" xfId="0" applyFont="1" applyFill="1" applyBorder="1" applyAlignment="1" applyProtection="1">
      <alignment horizontal="center" vertical="center"/>
      <protection locked="0"/>
    </xf>
    <xf numFmtId="0" fontId="15" fillId="8" borderId="36" xfId="0" applyFont="1" applyFill="1" applyBorder="1" applyAlignment="1" applyProtection="1">
      <alignment horizontal="center" vertical="center"/>
      <protection locked="0"/>
    </xf>
    <xf numFmtId="0" fontId="15" fillId="8" borderId="37" xfId="0" applyFont="1" applyFill="1" applyBorder="1" applyAlignment="1" applyProtection="1">
      <alignment horizontal="center" vertical="center"/>
      <protection locked="0"/>
    </xf>
    <xf numFmtId="0" fontId="15" fillId="9" borderId="35" xfId="0" applyFont="1" applyFill="1" applyBorder="1" applyAlignment="1" applyProtection="1">
      <alignment horizontal="center" vertical="center"/>
      <protection locked="0"/>
    </xf>
    <xf numFmtId="0" fontId="15" fillId="9" borderId="36" xfId="0" applyFont="1" applyFill="1" applyBorder="1" applyAlignment="1" applyProtection="1">
      <alignment horizontal="center" vertical="center"/>
      <protection locked="0"/>
    </xf>
    <xf numFmtId="0" fontId="15" fillId="9" borderId="37" xfId="0" applyFont="1" applyFill="1" applyBorder="1" applyAlignment="1" applyProtection="1">
      <alignment horizontal="center" vertical="center"/>
      <protection locked="0"/>
    </xf>
    <xf numFmtId="0" fontId="16" fillId="10" borderId="0" xfId="0" applyFont="1" applyFill="1" applyAlignment="1">
      <alignment horizontal="center" vertical="center"/>
    </xf>
    <xf numFmtId="20" fontId="16" fillId="10" borderId="0" xfId="0" applyNumberFormat="1" applyFont="1" applyFill="1" applyAlignment="1">
      <alignment horizontal="center" vertical="center"/>
    </xf>
    <xf numFmtId="0" fontId="16" fillId="10" borderId="38" xfId="0" applyFont="1" applyFill="1" applyBorder="1" applyAlignment="1">
      <alignment horizontal="center" vertical="center"/>
    </xf>
    <xf numFmtId="0" fontId="13" fillId="6" borderId="41" xfId="0" applyFont="1" applyFill="1" applyBorder="1" applyAlignment="1">
      <alignment horizontal="center" vertical="center"/>
    </xf>
    <xf numFmtId="0" fontId="13" fillId="7" borderId="41" xfId="0" applyFont="1" applyFill="1" applyBorder="1" applyAlignment="1">
      <alignment horizontal="center" vertical="center"/>
    </xf>
    <xf numFmtId="0" fontId="13" fillId="8" borderId="41" xfId="0" applyFont="1" applyFill="1" applyBorder="1" applyAlignment="1">
      <alignment horizontal="center" vertical="center"/>
    </xf>
    <xf numFmtId="0" fontId="13" fillId="9" borderId="41" xfId="0" applyFont="1" applyFill="1" applyBorder="1" applyAlignment="1">
      <alignment horizontal="center" vertical="center"/>
    </xf>
    <xf numFmtId="0" fontId="16" fillId="10" borderId="0" xfId="0" applyFont="1" applyFill="1" applyAlignment="1" applyProtection="1">
      <alignment horizontal="center" vertical="center"/>
      <protection locked="0"/>
    </xf>
    <xf numFmtId="0" fontId="12" fillId="0" borderId="40" xfId="0" applyFont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3" fillId="4" borderId="0" xfId="0" applyFont="1" applyFill="1"/>
    <xf numFmtId="0" fontId="17" fillId="5" borderId="39" xfId="0" applyFont="1" applyFill="1" applyBorder="1" applyAlignment="1">
      <alignment horizontal="center" vertical="center"/>
    </xf>
    <xf numFmtId="0" fontId="18" fillId="5" borderId="39" xfId="0" applyFont="1" applyFill="1" applyBorder="1" applyAlignment="1">
      <alignment horizontal="center" vertical="center" wrapText="1"/>
    </xf>
    <xf numFmtId="0" fontId="15" fillId="6" borderId="41" xfId="0" applyFont="1" applyFill="1" applyBorder="1" applyAlignment="1" applyProtection="1">
      <alignment horizontal="center" vertical="center"/>
      <protection locked="0"/>
    </xf>
    <xf numFmtId="0" fontId="15" fillId="7" borderId="41" xfId="0" applyFont="1" applyFill="1" applyBorder="1" applyAlignment="1" applyProtection="1">
      <alignment horizontal="center" vertical="center"/>
      <protection locked="0"/>
    </xf>
    <xf numFmtId="0" fontId="15" fillId="8" borderId="41" xfId="0" applyFont="1" applyFill="1" applyBorder="1" applyAlignment="1" applyProtection="1">
      <alignment horizontal="center" vertical="center"/>
      <protection locked="0"/>
    </xf>
    <xf numFmtId="0" fontId="15" fillId="9" borderId="41" xfId="0" applyFont="1" applyFill="1" applyBorder="1" applyAlignment="1" applyProtection="1">
      <alignment horizontal="center" vertical="center"/>
      <protection locked="0"/>
    </xf>
    <xf numFmtId="1" fontId="0" fillId="4" borderId="0" xfId="0" applyNumberFormat="1" applyFill="1"/>
    <xf numFmtId="1" fontId="17" fillId="5" borderId="39" xfId="0" applyNumberFormat="1" applyFont="1" applyFill="1" applyBorder="1" applyAlignment="1">
      <alignment horizontal="center" vertical="center"/>
    </xf>
    <xf numFmtId="1" fontId="15" fillId="6" borderId="41" xfId="0" applyNumberFormat="1" applyFont="1" applyFill="1" applyBorder="1" applyAlignment="1" applyProtection="1">
      <alignment horizontal="center" vertical="center"/>
      <protection locked="0"/>
    </xf>
    <xf numFmtId="1" fontId="15" fillId="7" borderId="41" xfId="0" applyNumberFormat="1" applyFont="1" applyFill="1" applyBorder="1" applyAlignment="1" applyProtection="1">
      <alignment horizontal="center" vertical="center"/>
      <protection locked="0"/>
    </xf>
    <xf numFmtId="1" fontId="15" fillId="8" borderId="41" xfId="0" applyNumberFormat="1" applyFont="1" applyFill="1" applyBorder="1" applyAlignment="1" applyProtection="1">
      <alignment horizontal="center" vertical="center"/>
      <protection locked="0"/>
    </xf>
    <xf numFmtId="1" fontId="15" fillId="9" borderId="41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2" fillId="5" borderId="3" xfId="0" applyFont="1" applyFill="1" applyBorder="1" applyAlignment="1" applyProtection="1">
      <alignment horizontal="center" vertical="center"/>
      <protection locked="0"/>
    </xf>
    <xf numFmtId="0" fontId="12" fillId="5" borderId="10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11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6" fillId="11" borderId="42" xfId="0" applyFont="1" applyFill="1" applyBorder="1" applyAlignment="1">
      <alignment horizontal="center" vertical="center"/>
    </xf>
    <xf numFmtId="0" fontId="16" fillId="11" borderId="45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6" borderId="3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14" fillId="8" borderId="33" xfId="0" applyFont="1" applyFill="1" applyBorder="1" applyAlignment="1">
      <alignment horizontal="center" vertical="center"/>
    </xf>
    <xf numFmtId="0" fontId="14" fillId="9" borderId="31" xfId="0" applyFont="1" applyFill="1" applyBorder="1" applyAlignment="1">
      <alignment horizontal="center" vertical="center"/>
    </xf>
    <xf numFmtId="0" fontId="14" fillId="9" borderId="32" xfId="0" applyFont="1" applyFill="1" applyBorder="1" applyAlignment="1">
      <alignment horizontal="center" vertical="center"/>
    </xf>
    <xf numFmtId="0" fontId="14" fillId="9" borderId="33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42" xfId="0" applyFont="1" applyFill="1" applyBorder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11" borderId="42" xfId="0" applyFont="1" applyFill="1" applyBorder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22" fillId="11" borderId="44" xfId="0" applyFont="1" applyFill="1" applyBorder="1" applyAlignment="1">
      <alignment horizontal="center"/>
    </xf>
    <xf numFmtId="0" fontId="22" fillId="11" borderId="0" xfId="0" applyFont="1" applyFill="1" applyAlignment="1">
      <alignment horizontal="center"/>
    </xf>
    <xf numFmtId="0" fontId="22" fillId="11" borderId="43" xfId="0" applyFont="1" applyFill="1" applyBorder="1" applyAlignment="1">
      <alignment horizontal="center"/>
    </xf>
    <xf numFmtId="0" fontId="22" fillId="11" borderId="42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640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64513" name="C4PPinscrip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128</xdr:row>
          <xdr:rowOff>0</xdr:rowOff>
        </xdr:to>
        <xdr:sp macro="" textlink="">
          <xdr:nvSpPr>
            <xdr:cNvPr id="65537" name="MAJHEUREB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6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128</xdr:row>
          <xdr:rowOff>0</xdr:rowOff>
        </xdr:to>
        <xdr:sp macro="" textlink="">
          <xdr:nvSpPr>
            <xdr:cNvPr id="65538" name="C4PPMatch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6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66561" name="TRIPOU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7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66562" name="ValiderOrdrePhaseFina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7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44</xdr:row>
          <xdr:rowOff>0</xdr:rowOff>
        </xdr:to>
        <xdr:sp macro="" textlink="">
          <xdr:nvSpPr>
            <xdr:cNvPr id="66563" name="C4PPClassement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7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7585" name="C4PPph14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8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8609" name="C4PPph14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9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69633" name="MAJHEUREB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A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69634" name="C4PPMatchph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A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70657" name="C4PPphfinalh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B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71681" name="C4PPphfinalh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113" t="s">
        <v>13</v>
      </c>
      <c r="B1" s="114"/>
      <c r="C1" s="114"/>
      <c r="D1" s="114"/>
      <c r="E1" s="114"/>
      <c r="F1" s="114"/>
      <c r="G1" s="114"/>
      <c r="H1" s="114"/>
      <c r="I1" s="114"/>
      <c r="J1" s="114"/>
      <c r="K1" s="115"/>
    </row>
    <row r="2" spans="1:11" ht="15" customHeight="1" x14ac:dyDescent="0.2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8"/>
    </row>
    <row r="3" spans="1:11" ht="15" customHeight="1" x14ac:dyDescent="0.25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8"/>
    </row>
    <row r="4" spans="1:11" ht="15" customHeight="1" x14ac:dyDescent="0.25">
      <c r="A4" s="116"/>
      <c r="B4" s="117"/>
      <c r="C4" s="117"/>
      <c r="D4" s="117"/>
      <c r="E4" s="117"/>
      <c r="F4" s="117"/>
      <c r="G4" s="117"/>
      <c r="H4" s="117"/>
      <c r="I4" s="117"/>
      <c r="J4" s="117"/>
      <c r="K4" s="118"/>
    </row>
    <row r="5" spans="1:11" ht="15" customHeight="1" x14ac:dyDescent="0.25">
      <c r="A5" s="116"/>
      <c r="B5" s="117"/>
      <c r="C5" s="117"/>
      <c r="D5" s="117"/>
      <c r="E5" s="117"/>
      <c r="F5" s="117"/>
      <c r="G5" s="117"/>
      <c r="H5" s="117"/>
      <c r="I5" s="117"/>
      <c r="J5" s="117"/>
      <c r="K5" s="118"/>
    </row>
    <row r="6" spans="1:11" ht="15" customHeight="1" x14ac:dyDescent="0.25">
      <c r="A6" s="116"/>
      <c r="B6" s="117"/>
      <c r="C6" s="117"/>
      <c r="D6" s="117"/>
      <c r="E6" s="117"/>
      <c r="F6" s="117"/>
      <c r="G6" s="117"/>
      <c r="H6" s="117"/>
      <c r="I6" s="117"/>
      <c r="J6" s="117"/>
      <c r="K6" s="118"/>
    </row>
    <row r="7" spans="1:11" ht="15" customHeight="1" x14ac:dyDescent="0.25">
      <c r="A7" s="116"/>
      <c r="B7" s="117"/>
      <c r="C7" s="117"/>
      <c r="D7" s="117"/>
      <c r="E7" s="117"/>
      <c r="F7" s="117"/>
      <c r="G7" s="117"/>
      <c r="H7" s="117"/>
      <c r="I7" s="117"/>
      <c r="J7" s="117"/>
      <c r="K7" s="118"/>
    </row>
    <row r="8" spans="1:11" ht="15" customHeight="1" x14ac:dyDescent="0.25">
      <c r="A8" s="116"/>
      <c r="B8" s="117"/>
      <c r="C8" s="117"/>
      <c r="D8" s="117"/>
      <c r="E8" s="117"/>
      <c r="F8" s="117"/>
      <c r="G8" s="117"/>
      <c r="H8" s="117"/>
      <c r="I8" s="117"/>
      <c r="J8" s="117"/>
      <c r="K8" s="118"/>
    </row>
    <row r="9" spans="1:11" ht="15" customHeight="1" x14ac:dyDescent="0.25">
      <c r="A9" s="116"/>
      <c r="B9" s="117"/>
      <c r="C9" s="117"/>
      <c r="D9" s="117"/>
      <c r="E9" s="117"/>
      <c r="F9" s="117"/>
      <c r="G9" s="117"/>
      <c r="H9" s="117"/>
      <c r="I9" s="117"/>
      <c r="J9" s="117"/>
      <c r="K9" s="118"/>
    </row>
    <row r="10" spans="1:11" ht="15" customHeight="1" x14ac:dyDescent="0.25">
      <c r="A10" s="116"/>
      <c r="B10" s="117"/>
      <c r="C10" s="117"/>
      <c r="D10" s="117"/>
      <c r="E10" s="117"/>
      <c r="F10" s="117"/>
      <c r="G10" s="117"/>
      <c r="H10" s="117"/>
      <c r="I10" s="117"/>
      <c r="J10" s="117"/>
      <c r="K10" s="118"/>
    </row>
    <row r="11" spans="1:11" ht="15" customHeight="1" x14ac:dyDescent="0.25">
      <c r="A11" s="116"/>
      <c r="B11" s="117"/>
      <c r="C11" s="117"/>
      <c r="D11" s="117"/>
      <c r="E11" s="117"/>
      <c r="F11" s="117"/>
      <c r="G11" s="117"/>
      <c r="H11" s="117"/>
      <c r="I11" s="117"/>
      <c r="J11" s="117"/>
      <c r="K11" s="118"/>
    </row>
    <row r="12" spans="1:11" ht="15" customHeight="1" x14ac:dyDescent="0.25">
      <c r="A12" s="116"/>
      <c r="B12" s="117"/>
      <c r="C12" s="117"/>
      <c r="D12" s="117"/>
      <c r="E12" s="117"/>
      <c r="F12" s="117"/>
      <c r="G12" s="117"/>
      <c r="H12" s="117"/>
      <c r="I12" s="117"/>
      <c r="J12" s="117"/>
      <c r="K12" s="118"/>
    </row>
    <row r="13" spans="1:11" ht="15" customHeight="1" x14ac:dyDescent="0.25">
      <c r="A13" s="116"/>
      <c r="B13" s="117"/>
      <c r="C13" s="117"/>
      <c r="D13" s="117"/>
      <c r="E13" s="117"/>
      <c r="F13" s="117"/>
      <c r="G13" s="117"/>
      <c r="H13" s="117"/>
      <c r="I13" s="117"/>
      <c r="J13" s="117"/>
      <c r="K13" s="118"/>
    </row>
    <row r="14" spans="1:11" ht="15" customHeight="1" x14ac:dyDescent="0.25">
      <c r="A14" s="116"/>
      <c r="B14" s="117"/>
      <c r="C14" s="117"/>
      <c r="D14" s="117"/>
      <c r="E14" s="117"/>
      <c r="F14" s="117"/>
      <c r="G14" s="117"/>
      <c r="H14" s="117"/>
      <c r="I14" s="117"/>
      <c r="J14" s="117"/>
      <c r="K14" s="118"/>
    </row>
    <row r="15" spans="1:11" ht="15" customHeight="1" x14ac:dyDescent="0.25">
      <c r="A15" s="116"/>
      <c r="B15" s="117"/>
      <c r="C15" s="117"/>
      <c r="D15" s="117"/>
      <c r="E15" s="117"/>
      <c r="F15" s="117"/>
      <c r="G15" s="117"/>
      <c r="H15" s="117"/>
      <c r="I15" s="117"/>
      <c r="J15" s="117"/>
      <c r="K15" s="118"/>
    </row>
    <row r="16" spans="1:11" ht="15" customHeight="1" x14ac:dyDescent="0.25">
      <c r="A16" s="116"/>
      <c r="B16" s="117"/>
      <c r="C16" s="117"/>
      <c r="D16" s="117"/>
      <c r="E16" s="117"/>
      <c r="F16" s="117"/>
      <c r="G16" s="117"/>
      <c r="H16" s="117"/>
      <c r="I16" s="117"/>
      <c r="J16" s="117"/>
      <c r="K16" s="118"/>
    </row>
    <row r="17" spans="1:11" ht="15" customHeight="1" x14ac:dyDescent="0.25">
      <c r="A17" s="116"/>
      <c r="B17" s="117"/>
      <c r="C17" s="117"/>
      <c r="D17" s="117"/>
      <c r="E17" s="117"/>
      <c r="F17" s="117"/>
      <c r="G17" s="117"/>
      <c r="H17" s="117"/>
      <c r="I17" s="117"/>
      <c r="J17" s="117"/>
      <c r="K17" s="118"/>
    </row>
    <row r="18" spans="1:11" ht="15" customHeight="1" x14ac:dyDescent="0.25">
      <c r="A18" s="116"/>
      <c r="B18" s="117"/>
      <c r="C18" s="117"/>
      <c r="D18" s="117"/>
      <c r="E18" s="117"/>
      <c r="F18" s="117"/>
      <c r="G18" s="117"/>
      <c r="H18" s="117"/>
      <c r="I18" s="117"/>
      <c r="J18" s="117"/>
      <c r="K18" s="118"/>
    </row>
    <row r="19" spans="1:11" ht="15" customHeight="1" x14ac:dyDescent="0.25">
      <c r="A19" s="116"/>
      <c r="B19" s="117"/>
      <c r="C19" s="117"/>
      <c r="D19" s="117"/>
      <c r="E19" s="117"/>
      <c r="F19" s="117"/>
      <c r="G19" s="117"/>
      <c r="H19" s="117"/>
      <c r="I19" s="117"/>
      <c r="J19" s="117"/>
      <c r="K19" s="118"/>
    </row>
    <row r="20" spans="1:11" ht="15" customHeight="1" x14ac:dyDescent="0.25">
      <c r="A20" s="116"/>
      <c r="B20" s="117"/>
      <c r="C20" s="117"/>
      <c r="D20" s="117"/>
      <c r="E20" s="117"/>
      <c r="F20" s="117"/>
      <c r="G20" s="117"/>
      <c r="H20" s="117"/>
      <c r="I20" s="117"/>
      <c r="J20" s="117"/>
      <c r="K20" s="118"/>
    </row>
    <row r="21" spans="1:11" ht="15" customHeight="1" x14ac:dyDescent="0.25">
      <c r="A21" s="116"/>
      <c r="B21" s="117"/>
      <c r="C21" s="117"/>
      <c r="D21" s="117"/>
      <c r="E21" s="117"/>
      <c r="F21" s="117"/>
      <c r="G21" s="117"/>
      <c r="H21" s="117"/>
      <c r="I21" s="117"/>
      <c r="J21" s="117"/>
      <c r="K21" s="118"/>
    </row>
    <row r="22" spans="1:11" ht="15" customHeight="1" x14ac:dyDescent="0.25">
      <c r="A22" s="116"/>
      <c r="B22" s="117"/>
      <c r="C22" s="117"/>
      <c r="D22" s="117"/>
      <c r="E22" s="117"/>
      <c r="F22" s="117"/>
      <c r="G22" s="117"/>
      <c r="H22" s="117"/>
      <c r="I22" s="117"/>
      <c r="J22" s="117"/>
      <c r="K22" s="118"/>
    </row>
    <row r="23" spans="1:11" ht="15" customHeight="1" x14ac:dyDescent="0.25">
      <c r="A23" s="110" t="s">
        <v>15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2"/>
    </row>
    <row r="24" spans="1:11" ht="15" customHeight="1" x14ac:dyDescent="0.25">
      <c r="A24" s="110"/>
      <c r="B24" s="111"/>
      <c r="C24" s="111"/>
      <c r="D24" s="111"/>
      <c r="E24" s="111"/>
      <c r="F24" s="111"/>
      <c r="G24" s="111"/>
      <c r="H24" s="111"/>
      <c r="I24" s="111"/>
      <c r="J24" s="111"/>
      <c r="K24" s="112"/>
    </row>
    <row r="25" spans="1:11" ht="15" customHeight="1" x14ac:dyDescent="0.25">
      <c r="A25" s="110"/>
      <c r="B25" s="111"/>
      <c r="C25" s="111"/>
      <c r="D25" s="111"/>
      <c r="E25" s="111"/>
      <c r="F25" s="111"/>
      <c r="G25" s="111"/>
      <c r="H25" s="111"/>
      <c r="I25" s="111"/>
      <c r="J25" s="111"/>
      <c r="K25" s="112"/>
    </row>
    <row r="26" spans="1:11" ht="15" customHeight="1" x14ac:dyDescent="0.25">
      <c r="A26" s="110"/>
      <c r="B26" s="111"/>
      <c r="C26" s="111"/>
      <c r="D26" s="111"/>
      <c r="E26" s="111"/>
      <c r="F26" s="111"/>
      <c r="G26" s="111"/>
      <c r="H26" s="111"/>
      <c r="I26" s="111"/>
      <c r="J26" s="111"/>
      <c r="K26" s="112"/>
    </row>
    <row r="27" spans="1:11" ht="15" customHeight="1" x14ac:dyDescent="0.25">
      <c r="A27" s="95"/>
      <c r="B27" s="96"/>
      <c r="C27" s="96"/>
      <c r="D27" s="96"/>
      <c r="E27" s="96"/>
      <c r="F27" s="96"/>
      <c r="G27" s="96"/>
      <c r="H27" s="96"/>
      <c r="I27" s="96"/>
      <c r="J27" s="96"/>
      <c r="K27" s="97"/>
    </row>
    <row r="28" spans="1:11" ht="15" customHeight="1" thickBot="1" x14ac:dyDescent="0.3">
      <c r="A28" s="98"/>
      <c r="B28" s="99"/>
      <c r="C28" s="99"/>
      <c r="D28" s="99"/>
      <c r="E28" s="99"/>
      <c r="F28" s="99"/>
      <c r="G28" s="99"/>
      <c r="H28" s="99"/>
      <c r="I28" s="99"/>
      <c r="J28" s="99"/>
      <c r="K28" s="100"/>
    </row>
    <row r="29" spans="1:11" ht="15" customHeight="1" x14ac:dyDescent="0.25">
      <c r="A29" s="101" t="s">
        <v>14</v>
      </c>
      <c r="B29" s="102"/>
      <c r="C29" s="102"/>
      <c r="D29" s="102"/>
      <c r="E29" s="102"/>
      <c r="F29" s="102"/>
      <c r="G29" s="102"/>
      <c r="H29" s="102"/>
      <c r="I29" s="102"/>
      <c r="J29" s="102"/>
      <c r="K29" s="103"/>
    </row>
    <row r="30" spans="1:11" ht="15" customHeight="1" x14ac:dyDescent="0.25">
      <c r="A30" s="104"/>
      <c r="B30" s="105"/>
      <c r="C30" s="105"/>
      <c r="D30" s="105"/>
      <c r="E30" s="105"/>
      <c r="F30" s="105"/>
      <c r="G30" s="105"/>
      <c r="H30" s="105"/>
      <c r="I30" s="105"/>
      <c r="J30" s="105"/>
      <c r="K30" s="106"/>
    </row>
    <row r="31" spans="1:11" ht="15" customHeight="1" thickBot="1" x14ac:dyDescent="0.3">
      <c r="A31" s="107"/>
      <c r="B31" s="108"/>
      <c r="C31" s="108"/>
      <c r="D31" s="108"/>
      <c r="E31" s="108"/>
      <c r="F31" s="108"/>
      <c r="G31" s="108"/>
      <c r="H31" s="108"/>
      <c r="I31" s="108"/>
      <c r="J31" s="108"/>
      <c r="K31" s="10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G28" sqref="G28"/>
    </sheetView>
  </sheetViews>
  <sheetFormatPr baseColWidth="10" defaultRowHeight="15" x14ac:dyDescent="0.25"/>
  <sheetData>
    <row r="1" spans="1:8" x14ac:dyDescent="0.25">
      <c r="A1" s="119" t="s">
        <v>36</v>
      </c>
      <c r="B1" s="119"/>
      <c r="C1" s="119"/>
      <c r="D1" s="119"/>
      <c r="E1" s="119"/>
      <c r="F1" s="119"/>
      <c r="G1" s="119"/>
      <c r="H1" s="119"/>
    </row>
    <row r="2" spans="1:8" x14ac:dyDescent="0.25">
      <c r="A2" s="119"/>
      <c r="B2" s="119"/>
      <c r="C2" s="119"/>
      <c r="D2" s="119"/>
      <c r="E2" s="119"/>
      <c r="F2" s="119"/>
      <c r="G2" s="119"/>
      <c r="H2" s="119"/>
    </row>
    <row r="3" spans="1:8" x14ac:dyDescent="0.25">
      <c r="A3" s="119"/>
      <c r="B3" s="119"/>
      <c r="C3" s="119"/>
      <c r="D3" s="119"/>
      <c r="E3" s="119"/>
      <c r="F3" s="119"/>
      <c r="G3" s="119"/>
      <c r="H3" s="119"/>
    </row>
    <row r="4" spans="1:8" x14ac:dyDescent="0.25">
      <c r="A4" s="120" t="str">
        <f>Parametres!F16</f>
        <v>Version 3.01</v>
      </c>
      <c r="B4" s="120"/>
      <c r="C4" s="120"/>
      <c r="D4" s="120"/>
      <c r="E4" s="120"/>
      <c r="F4" s="120"/>
      <c r="G4" s="120"/>
      <c r="H4" s="120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>
      <selection activeCell="G17" sqref="G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123"/>
      <c r="D1" s="24" t="s">
        <v>37</v>
      </c>
      <c r="E1" s="40" t="s">
        <v>38</v>
      </c>
      <c r="F1" s="3" t="s">
        <v>40</v>
      </c>
      <c r="H1" s="16" t="s">
        <v>61</v>
      </c>
      <c r="I1" s="16" t="s">
        <v>62</v>
      </c>
      <c r="J1" s="16" t="s">
        <v>52</v>
      </c>
    </row>
    <row r="2" spans="1:27" ht="15.75" thickBot="1" x14ac:dyDescent="0.3">
      <c r="A2" s="7" t="s">
        <v>54</v>
      </c>
      <c r="C2" s="123"/>
      <c r="D2" s="28">
        <v>4</v>
      </c>
      <c r="E2" s="29" t="s">
        <v>9</v>
      </c>
      <c r="F2" s="23">
        <v>3</v>
      </c>
      <c r="H2" s="16" t="s">
        <v>63</v>
      </c>
      <c r="I2" s="16" t="s">
        <v>64</v>
      </c>
      <c r="J2" s="16" t="s">
        <v>52</v>
      </c>
    </row>
    <row r="3" spans="1:27" ht="15.75" thickBot="1" x14ac:dyDescent="0.3">
      <c r="A3" s="8">
        <v>1.3888888888888889E-3</v>
      </c>
      <c r="C3" s="124"/>
      <c r="D3" s="4" t="s">
        <v>39</v>
      </c>
      <c r="E3" s="38" t="str">
        <f>"Nbre de Catégories : " &amp; B30</f>
        <v>Nbre de Catégories : 2</v>
      </c>
      <c r="H3" s="16" t="s">
        <v>65</v>
      </c>
      <c r="I3" s="16" t="s">
        <v>66</v>
      </c>
      <c r="J3" s="16" t="s">
        <v>52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52</v>
      </c>
      <c r="H4" s="16" t="s">
        <v>67</v>
      </c>
      <c r="I4" s="16" t="s">
        <v>68</v>
      </c>
      <c r="J4" s="16" t="s">
        <v>52</v>
      </c>
      <c r="AA4" s="2" t="s">
        <v>52</v>
      </c>
    </row>
    <row r="5" spans="1:27" ht="15.75" thickBot="1" x14ac:dyDescent="0.3">
      <c r="A5" s="23">
        <v>4</v>
      </c>
      <c r="B5" s="2">
        <v>2</v>
      </c>
      <c r="C5" s="26" t="str">
        <f t="shared" si="0"/>
        <v>B</v>
      </c>
      <c r="D5" s="30">
        <v>8</v>
      </c>
      <c r="E5" s="6" t="s">
        <v>53</v>
      </c>
      <c r="H5" s="16" t="s">
        <v>69</v>
      </c>
      <c r="I5" s="16" t="s">
        <v>70</v>
      </c>
      <c r="J5" s="16" t="s">
        <v>53</v>
      </c>
      <c r="AA5" t="s">
        <v>53</v>
      </c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52</v>
      </c>
      <c r="H6" s="16" t="s">
        <v>71</v>
      </c>
      <c r="I6" s="16" t="s">
        <v>72</v>
      </c>
      <c r="J6" s="16" t="s">
        <v>53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53</v>
      </c>
      <c r="H7" s="16" t="s">
        <v>73</v>
      </c>
      <c r="I7" s="16" t="s">
        <v>74</v>
      </c>
      <c r="J7" s="16" t="s">
        <v>53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75</v>
      </c>
      <c r="I9" s="16" t="s">
        <v>76</v>
      </c>
      <c r="J9" s="16" t="s">
        <v>53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H10" s="16" t="s">
        <v>77</v>
      </c>
      <c r="I10" s="16" t="s">
        <v>78</v>
      </c>
      <c r="J10" s="16" t="s">
        <v>52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79</v>
      </c>
      <c r="I11" s="16" t="s">
        <v>80</v>
      </c>
      <c r="J11" s="16" t="s">
        <v>52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81</v>
      </c>
      <c r="I12" s="16" t="s">
        <v>82</v>
      </c>
      <c r="J12" s="16" t="s">
        <v>52</v>
      </c>
      <c r="AA12"/>
    </row>
    <row r="13" spans="1:27" x14ac:dyDescent="0.25">
      <c r="A13" s="12" t="str">
        <f>A2</f>
        <v>00:30</v>
      </c>
      <c r="B13" s="2">
        <v>10</v>
      </c>
      <c r="C13" s="26" t="str">
        <f t="shared" si="0"/>
        <v/>
      </c>
      <c r="D13" s="30"/>
      <c r="E13" s="6"/>
      <c r="H13" s="16" t="s">
        <v>83</v>
      </c>
      <c r="I13" s="16" t="s">
        <v>84</v>
      </c>
      <c r="J13" s="16" t="s">
        <v>52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85</v>
      </c>
      <c r="I14" s="16" t="s">
        <v>86</v>
      </c>
      <c r="J14" s="16" t="s">
        <v>53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87</v>
      </c>
      <c r="I15" s="16" t="s">
        <v>88</v>
      </c>
      <c r="J15" s="16" t="s">
        <v>53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154</v>
      </c>
      <c r="AA16"/>
    </row>
    <row r="17" spans="1:27" x14ac:dyDescent="0.25">
      <c r="A17" s="37">
        <f>(counttour()/E2*(A2+A3)) + (ROUNDUP(IF(B31=TRUE,12*A5,12*A5*B30)/E2,0)*(A2+A3))</f>
        <v>0.51111111111111107</v>
      </c>
      <c r="B17" s="2">
        <v>14</v>
      </c>
      <c r="C17" s="26" t="str">
        <f t="shared" si="0"/>
        <v/>
      </c>
      <c r="D17" s="30"/>
      <c r="E17" s="6"/>
      <c r="H17" s="16" t="s">
        <v>89</v>
      </c>
      <c r="I17" s="16" t="s">
        <v>90</v>
      </c>
      <c r="J17" s="16" t="s">
        <v>53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121" t="s">
        <v>41</v>
      </c>
      <c r="H18" s="16" t="s">
        <v>91</v>
      </c>
      <c r="I18" s="16" t="s">
        <v>92</v>
      </c>
      <c r="J18" s="16" t="s">
        <v>53</v>
      </c>
      <c r="AA18"/>
    </row>
    <row r="19" spans="1:27" x14ac:dyDescent="0.25">
      <c r="A19" s="12">
        <f>A15+A17+A21</f>
        <v>0.90694444444444444</v>
      </c>
      <c r="B19" s="2">
        <v>16</v>
      </c>
      <c r="C19" s="26" t="str">
        <f t="shared" si="0"/>
        <v/>
      </c>
      <c r="D19" s="30"/>
      <c r="E19" s="6"/>
      <c r="F19" s="121"/>
      <c r="H19" s="16" t="s">
        <v>61</v>
      </c>
      <c r="I19" s="16" t="s">
        <v>63</v>
      </c>
      <c r="J19" s="16" t="s">
        <v>52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121"/>
      <c r="H20" s="16" t="s">
        <v>62</v>
      </c>
      <c r="I20" s="16" t="s">
        <v>64</v>
      </c>
      <c r="J20" s="16" t="s">
        <v>52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121"/>
      <c r="H21" s="16" t="s">
        <v>65</v>
      </c>
      <c r="I21" s="16" t="s">
        <v>67</v>
      </c>
      <c r="J21" s="16" t="s">
        <v>52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66</v>
      </c>
      <c r="I22" s="16" t="s">
        <v>68</v>
      </c>
      <c r="J22" s="16" t="s">
        <v>52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69</v>
      </c>
      <c r="I23" s="16" t="s">
        <v>71</v>
      </c>
      <c r="J23" s="16" t="s">
        <v>53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122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122"/>
      <c r="H25" s="16" t="s">
        <v>70</v>
      </c>
      <c r="I25" s="16" t="s">
        <v>72</v>
      </c>
      <c r="J25" s="16" t="s">
        <v>53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122"/>
      <c r="H26" s="16" t="s">
        <v>73</v>
      </c>
      <c r="I26" s="16" t="s">
        <v>75</v>
      </c>
      <c r="J26" s="16" t="s">
        <v>53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122"/>
      <c r="H27" s="16" t="s">
        <v>74</v>
      </c>
      <c r="I27" s="16" t="s">
        <v>76</v>
      </c>
      <c r="J27" s="16" t="s">
        <v>53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122"/>
      <c r="H28" s="16" t="s">
        <v>77</v>
      </c>
      <c r="I28" s="16" t="s">
        <v>79</v>
      </c>
      <c r="J28" s="16" t="s">
        <v>52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122" t="s">
        <v>51</v>
      </c>
      <c r="H29" s="16" t="s">
        <v>78</v>
      </c>
      <c r="I29" s="16" t="s">
        <v>80</v>
      </c>
      <c r="J29" s="16" t="s">
        <v>52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2</v>
      </c>
      <c r="E30" s="33"/>
      <c r="F30" s="122"/>
      <c r="H30" s="16" t="s">
        <v>81</v>
      </c>
      <c r="I30" s="16" t="s">
        <v>83</v>
      </c>
      <c r="J30" s="16" t="s">
        <v>52</v>
      </c>
    </row>
    <row r="31" spans="1:27" x14ac:dyDescent="0.25">
      <c r="A31" s="11" t="s">
        <v>45</v>
      </c>
      <c r="B31" s="36" t="b">
        <v>1</v>
      </c>
      <c r="D31" s="11" t="s">
        <v>33</v>
      </c>
      <c r="F31" s="122"/>
      <c r="H31" s="16" t="s">
        <v>82</v>
      </c>
      <c r="I31" s="16" t="s">
        <v>84</v>
      </c>
      <c r="J31" s="16" t="s">
        <v>52</v>
      </c>
    </row>
    <row r="32" spans="1:27" x14ac:dyDescent="0.25">
      <c r="A32" s="41" t="s">
        <v>55</v>
      </c>
      <c r="B32" s="36" t="b">
        <v>0</v>
      </c>
      <c r="D32" s="29">
        <v>0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85</v>
      </c>
      <c r="I33" s="16" t="s">
        <v>87</v>
      </c>
      <c r="J33" s="16" t="s">
        <v>53</v>
      </c>
    </row>
    <row r="34" spans="1:10" x14ac:dyDescent="0.25">
      <c r="A34" s="39">
        <f>(counttour()/E2*(A2+A3))+A32</f>
        <v>0.70972222222222214</v>
      </c>
      <c r="B34" s="36" t="b">
        <v>1</v>
      </c>
      <c r="D34" s="29">
        <v>0</v>
      </c>
      <c r="H34" s="16" t="s">
        <v>86</v>
      </c>
      <c r="I34" s="16" t="s">
        <v>88</v>
      </c>
      <c r="J34" s="16" t="s">
        <v>53</v>
      </c>
    </row>
    <row r="35" spans="1:10" x14ac:dyDescent="0.25">
      <c r="A35" s="11" t="s">
        <v>48</v>
      </c>
      <c r="D35" s="11" t="s">
        <v>50</v>
      </c>
      <c r="H35" s="16" t="s">
        <v>89</v>
      </c>
      <c r="I35" s="16" t="s">
        <v>91</v>
      </c>
      <c r="J35" s="16" t="s">
        <v>53</v>
      </c>
    </row>
    <row r="36" spans="1:10" x14ac:dyDescent="0.25">
      <c r="A36" s="41" t="s">
        <v>56</v>
      </c>
      <c r="D36" s="29" t="b">
        <v>1</v>
      </c>
      <c r="E36" s="2" t="s">
        <v>35</v>
      </c>
      <c r="H36" s="16" t="s">
        <v>90</v>
      </c>
      <c r="I36" s="16" t="s">
        <v>92</v>
      </c>
      <c r="J36" s="16" t="s">
        <v>53</v>
      </c>
    </row>
    <row r="37" spans="1:10" x14ac:dyDescent="0.25">
      <c r="A37" s="11" t="s">
        <v>32</v>
      </c>
      <c r="H37" s="16" t="s">
        <v>61</v>
      </c>
      <c r="I37" s="16" t="s">
        <v>64</v>
      </c>
      <c r="J37" s="16" t="s">
        <v>52</v>
      </c>
    </row>
    <row r="38" spans="1:10" x14ac:dyDescent="0.25">
      <c r="A38" s="39">
        <f>A36+(ROUNDUP(IF(B31=TRUE,12*A5,12*A5*B30)/E2,0)*(A2+A3))</f>
        <v>0.15555555555555553</v>
      </c>
      <c r="H38" s="16" t="s">
        <v>62</v>
      </c>
      <c r="I38" s="16" t="s">
        <v>63</v>
      </c>
      <c r="J38" s="16" t="s">
        <v>52</v>
      </c>
    </row>
    <row r="39" spans="1:10" ht="16.5" thickBot="1" x14ac:dyDescent="0.3">
      <c r="A39" s="14"/>
      <c r="H39" s="16" t="s">
        <v>65</v>
      </c>
      <c r="I39" s="16" t="s">
        <v>68</v>
      </c>
      <c r="J39" s="16" t="s">
        <v>52</v>
      </c>
    </row>
    <row r="40" spans="1:10" x14ac:dyDescent="0.25">
      <c r="A40" s="3" t="s">
        <v>49</v>
      </c>
    </row>
    <row r="41" spans="1:10" x14ac:dyDescent="0.25">
      <c r="A41" s="29" t="s">
        <v>9</v>
      </c>
      <c r="H41" s="16" t="s">
        <v>66</v>
      </c>
      <c r="I41" s="16" t="s">
        <v>67</v>
      </c>
      <c r="J41" s="16" t="s">
        <v>52</v>
      </c>
    </row>
    <row r="42" spans="1:10" ht="15.75" x14ac:dyDescent="0.25">
      <c r="A42" s="14"/>
      <c r="H42" s="16" t="s">
        <v>69</v>
      </c>
      <c r="I42" s="16" t="s">
        <v>72</v>
      </c>
      <c r="J42" s="16" t="s">
        <v>53</v>
      </c>
    </row>
    <row r="43" spans="1:10" ht="15.75" x14ac:dyDescent="0.25">
      <c r="A43" s="14"/>
      <c r="H43" s="16" t="s">
        <v>70</v>
      </c>
      <c r="I43" s="16" t="s">
        <v>71</v>
      </c>
      <c r="J43" s="16" t="s">
        <v>53</v>
      </c>
    </row>
    <row r="44" spans="1:10" x14ac:dyDescent="0.25">
      <c r="A44" s="18"/>
      <c r="H44" s="16" t="s">
        <v>73</v>
      </c>
      <c r="I44" s="16" t="s">
        <v>76</v>
      </c>
      <c r="J44" s="16" t="s">
        <v>53</v>
      </c>
    </row>
    <row r="45" spans="1:10" x14ac:dyDescent="0.25">
      <c r="A45" s="18"/>
      <c r="H45" s="16" t="s">
        <v>74</v>
      </c>
      <c r="I45" s="16" t="s">
        <v>75</v>
      </c>
      <c r="J45" s="16" t="s">
        <v>53</v>
      </c>
    </row>
    <row r="46" spans="1:10" x14ac:dyDescent="0.25">
      <c r="A46" s="17"/>
      <c r="H46" s="16" t="s">
        <v>77</v>
      </c>
      <c r="I46" s="16" t="s">
        <v>80</v>
      </c>
      <c r="J46" s="16" t="s">
        <v>52</v>
      </c>
    </row>
    <row r="47" spans="1:10" x14ac:dyDescent="0.25">
      <c r="A47" s="13"/>
      <c r="H47" s="16" t="s">
        <v>78</v>
      </c>
      <c r="I47" s="16" t="s">
        <v>79</v>
      </c>
      <c r="J47" s="16" t="s">
        <v>52</v>
      </c>
    </row>
    <row r="48" spans="1:10" ht="15.75" x14ac:dyDescent="0.25">
      <c r="A48" s="14"/>
    </row>
    <row r="49" spans="1:10" ht="15.75" x14ac:dyDescent="0.25">
      <c r="A49" s="14"/>
      <c r="H49" s="16" t="s">
        <v>81</v>
      </c>
      <c r="I49" s="16" t="s">
        <v>84</v>
      </c>
      <c r="J49" s="16" t="s">
        <v>52</v>
      </c>
    </row>
    <row r="50" spans="1:10" ht="15.75" x14ac:dyDescent="0.25">
      <c r="A50" s="14"/>
      <c r="H50" s="16" t="s">
        <v>82</v>
      </c>
      <c r="I50" s="16" t="s">
        <v>83</v>
      </c>
      <c r="J50" s="16" t="s">
        <v>52</v>
      </c>
    </row>
    <row r="51" spans="1:10" ht="15.75" x14ac:dyDescent="0.25">
      <c r="A51" s="14"/>
      <c r="H51" s="16" t="s">
        <v>85</v>
      </c>
      <c r="I51" s="16" t="s">
        <v>88</v>
      </c>
      <c r="J51" s="16" t="s">
        <v>53</v>
      </c>
    </row>
    <row r="52" spans="1:10" ht="15.75" x14ac:dyDescent="0.25">
      <c r="A52" s="14"/>
      <c r="H52" s="16" t="s">
        <v>86</v>
      </c>
      <c r="I52" s="16" t="s">
        <v>87</v>
      </c>
      <c r="J52" s="16" t="s">
        <v>53</v>
      </c>
    </row>
    <row r="53" spans="1:10" ht="15.75" x14ac:dyDescent="0.25">
      <c r="A53" s="14"/>
      <c r="H53" s="16" t="s">
        <v>89</v>
      </c>
      <c r="I53" s="16" t="s">
        <v>92</v>
      </c>
      <c r="J53" s="16" t="s">
        <v>53</v>
      </c>
    </row>
    <row r="54" spans="1:10" ht="15.75" x14ac:dyDescent="0.25">
      <c r="A54" s="14"/>
      <c r="H54" s="16" t="s">
        <v>90</v>
      </c>
      <c r="I54" s="16" t="s">
        <v>91</v>
      </c>
      <c r="J54" s="16" t="s">
        <v>53</v>
      </c>
    </row>
    <row r="55" spans="1:10" ht="15.75" x14ac:dyDescent="0.25">
      <c r="A55" s="14"/>
      <c r="H55" s="16" t="s">
        <v>61</v>
      </c>
      <c r="I55" s="16" t="s">
        <v>65</v>
      </c>
      <c r="J55" s="16" t="s">
        <v>52</v>
      </c>
    </row>
    <row r="56" spans="1:10" x14ac:dyDescent="0.25">
      <c r="A56" s="13"/>
    </row>
    <row r="57" spans="1:10" x14ac:dyDescent="0.25">
      <c r="A57" s="17"/>
      <c r="H57" s="16" t="s">
        <v>62</v>
      </c>
      <c r="I57" s="16" t="s">
        <v>66</v>
      </c>
      <c r="J57" s="16" t="s">
        <v>52</v>
      </c>
    </row>
    <row r="58" spans="1:10" x14ac:dyDescent="0.25">
      <c r="A58" s="13"/>
      <c r="H58" s="16" t="s">
        <v>63</v>
      </c>
      <c r="I58" s="16" t="s">
        <v>67</v>
      </c>
      <c r="J58" s="16" t="s">
        <v>52</v>
      </c>
    </row>
    <row r="59" spans="1:10" ht="15.75" x14ac:dyDescent="0.25">
      <c r="A59" s="14"/>
      <c r="H59" s="16" t="s">
        <v>64</v>
      </c>
      <c r="I59" s="16" t="s">
        <v>68</v>
      </c>
      <c r="J59" s="16" t="s">
        <v>52</v>
      </c>
    </row>
    <row r="60" spans="1:10" ht="15.75" x14ac:dyDescent="0.25">
      <c r="A60" s="14"/>
      <c r="H60" s="16" t="s">
        <v>69</v>
      </c>
      <c r="I60" s="16" t="s">
        <v>73</v>
      </c>
      <c r="J60" s="16" t="s">
        <v>53</v>
      </c>
    </row>
    <row r="61" spans="1:10" ht="15.75" x14ac:dyDescent="0.25">
      <c r="A61" s="14"/>
      <c r="H61" s="16" t="s">
        <v>70</v>
      </c>
      <c r="I61" s="16" t="s">
        <v>74</v>
      </c>
      <c r="J61" s="16" t="s">
        <v>53</v>
      </c>
    </row>
    <row r="62" spans="1:10" ht="15.75" x14ac:dyDescent="0.25">
      <c r="A62" s="14"/>
      <c r="H62" s="16" t="s">
        <v>71</v>
      </c>
      <c r="I62" s="16" t="s">
        <v>75</v>
      </c>
      <c r="J62" s="16" t="s">
        <v>53</v>
      </c>
    </row>
    <row r="63" spans="1:10" ht="15.75" x14ac:dyDescent="0.25">
      <c r="A63" s="14"/>
      <c r="H63" s="16" t="s">
        <v>72</v>
      </c>
      <c r="I63" s="16" t="s">
        <v>76</v>
      </c>
      <c r="J63" s="16" t="s">
        <v>53</v>
      </c>
    </row>
    <row r="64" spans="1:10" ht="15.75" x14ac:dyDescent="0.25">
      <c r="A64" s="14"/>
    </row>
    <row r="65" spans="1:10" ht="15.75" x14ac:dyDescent="0.25">
      <c r="A65" s="14"/>
      <c r="H65" s="16" t="s">
        <v>77</v>
      </c>
      <c r="I65" s="16" t="s">
        <v>81</v>
      </c>
      <c r="J65" s="16" t="s">
        <v>52</v>
      </c>
    </row>
    <row r="66" spans="1:10" ht="15.75" x14ac:dyDescent="0.25">
      <c r="A66" s="14"/>
      <c r="H66" s="16" t="s">
        <v>78</v>
      </c>
      <c r="I66" s="16" t="s">
        <v>82</v>
      </c>
      <c r="J66" s="16" t="s">
        <v>52</v>
      </c>
    </row>
    <row r="67" spans="1:10" x14ac:dyDescent="0.25">
      <c r="A67" s="13"/>
      <c r="H67" s="16" t="s">
        <v>79</v>
      </c>
      <c r="I67" s="16" t="s">
        <v>83</v>
      </c>
      <c r="J67" s="16" t="s">
        <v>52</v>
      </c>
    </row>
    <row r="68" spans="1:10" x14ac:dyDescent="0.25">
      <c r="A68" s="17"/>
      <c r="H68" s="16" t="s">
        <v>80</v>
      </c>
      <c r="I68" s="16" t="s">
        <v>84</v>
      </c>
      <c r="J68" s="16" t="s">
        <v>52</v>
      </c>
    </row>
    <row r="69" spans="1:10" x14ac:dyDescent="0.25">
      <c r="A69" s="13"/>
      <c r="H69" s="16" t="s">
        <v>85</v>
      </c>
      <c r="I69" s="16" t="s">
        <v>89</v>
      </c>
      <c r="J69" s="16" t="s">
        <v>53</v>
      </c>
    </row>
    <row r="70" spans="1:10" ht="15.75" x14ac:dyDescent="0.25">
      <c r="A70" s="14"/>
      <c r="H70" s="16" t="s">
        <v>86</v>
      </c>
      <c r="I70" s="16" t="s">
        <v>90</v>
      </c>
      <c r="J70" s="16" t="s">
        <v>53</v>
      </c>
    </row>
    <row r="71" spans="1:10" ht="15.75" x14ac:dyDescent="0.25">
      <c r="A71" s="14"/>
      <c r="H71" s="16" t="s">
        <v>87</v>
      </c>
      <c r="I71" s="16" t="s">
        <v>91</v>
      </c>
      <c r="J71" s="16" t="s">
        <v>53</v>
      </c>
    </row>
    <row r="72" spans="1:10" ht="15.75" x14ac:dyDescent="0.25">
      <c r="A72" s="14"/>
    </row>
    <row r="73" spans="1:10" ht="15.75" x14ac:dyDescent="0.25">
      <c r="A73" s="14"/>
      <c r="H73" s="16" t="s">
        <v>88</v>
      </c>
      <c r="I73" s="16" t="s">
        <v>92</v>
      </c>
      <c r="J73" s="16" t="s">
        <v>53</v>
      </c>
    </row>
    <row r="74" spans="1:10" ht="15.75" x14ac:dyDescent="0.25">
      <c r="A74" s="14"/>
      <c r="H74" s="16" t="s">
        <v>61</v>
      </c>
      <c r="I74" s="16" t="s">
        <v>66</v>
      </c>
      <c r="J74" s="16" t="s">
        <v>52</v>
      </c>
    </row>
    <row r="75" spans="1:10" ht="15.75" x14ac:dyDescent="0.25">
      <c r="A75" s="14"/>
      <c r="H75" s="16" t="s">
        <v>62</v>
      </c>
      <c r="I75" s="16" t="s">
        <v>65</v>
      </c>
      <c r="J75" s="16" t="s">
        <v>52</v>
      </c>
    </row>
    <row r="76" spans="1:10" ht="15.75" x14ac:dyDescent="0.25">
      <c r="A76" s="14"/>
      <c r="H76" s="16" t="s">
        <v>63</v>
      </c>
      <c r="I76" s="16" t="s">
        <v>68</v>
      </c>
      <c r="J76" s="16" t="s">
        <v>52</v>
      </c>
    </row>
    <row r="77" spans="1:10" ht="15.75" x14ac:dyDescent="0.25">
      <c r="A77" s="14"/>
      <c r="H77" s="16" t="s">
        <v>64</v>
      </c>
      <c r="I77" s="16" t="s">
        <v>67</v>
      </c>
      <c r="J77" s="16" t="s">
        <v>52</v>
      </c>
    </row>
    <row r="78" spans="1:10" x14ac:dyDescent="0.25">
      <c r="A78" s="13"/>
      <c r="H78" s="16" t="s">
        <v>69</v>
      </c>
      <c r="I78" s="16" t="s">
        <v>74</v>
      </c>
      <c r="J78" s="16" t="s">
        <v>53</v>
      </c>
    </row>
    <row r="79" spans="1:10" x14ac:dyDescent="0.25">
      <c r="A79" s="17"/>
      <c r="H79" s="16" t="s">
        <v>70</v>
      </c>
      <c r="I79" s="16" t="s">
        <v>73</v>
      </c>
      <c r="J79" s="16" t="s">
        <v>53</v>
      </c>
    </row>
    <row r="80" spans="1:10" x14ac:dyDescent="0.25">
      <c r="A80" s="13"/>
    </row>
    <row r="81" spans="1:10" ht="15.75" x14ac:dyDescent="0.25">
      <c r="A81" s="14"/>
      <c r="H81" s="16" t="s">
        <v>71</v>
      </c>
      <c r="I81" s="16" t="s">
        <v>76</v>
      </c>
      <c r="J81" s="16" t="s">
        <v>53</v>
      </c>
    </row>
    <row r="82" spans="1:10" ht="15.75" x14ac:dyDescent="0.25">
      <c r="A82" s="14"/>
      <c r="H82" s="16" t="s">
        <v>72</v>
      </c>
      <c r="I82" s="16" t="s">
        <v>75</v>
      </c>
      <c r="J82" s="16" t="s">
        <v>53</v>
      </c>
    </row>
    <row r="83" spans="1:10" ht="15.75" x14ac:dyDescent="0.25">
      <c r="A83" s="14"/>
      <c r="H83" s="16" t="s">
        <v>77</v>
      </c>
      <c r="I83" s="16" t="s">
        <v>82</v>
      </c>
      <c r="J83" s="16" t="s">
        <v>52</v>
      </c>
    </row>
    <row r="84" spans="1:10" ht="15.75" x14ac:dyDescent="0.25">
      <c r="A84" s="14"/>
      <c r="H84" s="16" t="s">
        <v>78</v>
      </c>
      <c r="I84" s="16" t="s">
        <v>81</v>
      </c>
      <c r="J84" s="16" t="s">
        <v>52</v>
      </c>
    </row>
    <row r="85" spans="1:10" ht="15.75" x14ac:dyDescent="0.25">
      <c r="A85" s="14"/>
      <c r="H85" s="16" t="s">
        <v>79</v>
      </c>
      <c r="I85" s="16" t="s">
        <v>84</v>
      </c>
      <c r="J85" s="16" t="s">
        <v>52</v>
      </c>
    </row>
    <row r="86" spans="1:10" ht="15.75" x14ac:dyDescent="0.25">
      <c r="A86" s="14"/>
      <c r="H86" s="16" t="s">
        <v>80</v>
      </c>
      <c r="I86" s="16" t="s">
        <v>83</v>
      </c>
      <c r="J86" s="16" t="s">
        <v>52</v>
      </c>
    </row>
    <row r="87" spans="1:10" ht="15.75" x14ac:dyDescent="0.25">
      <c r="A87" s="14"/>
      <c r="H87" s="16" t="s">
        <v>85</v>
      </c>
      <c r="I87" s="16" t="s">
        <v>90</v>
      </c>
      <c r="J87" s="16" t="s">
        <v>53</v>
      </c>
    </row>
    <row r="88" spans="1:10" ht="15.75" x14ac:dyDescent="0.25">
      <c r="A88" s="14"/>
    </row>
    <row r="89" spans="1:10" x14ac:dyDescent="0.25">
      <c r="A89" s="18"/>
      <c r="H89" s="16" t="s">
        <v>86</v>
      </c>
      <c r="I89" s="16" t="s">
        <v>89</v>
      </c>
      <c r="J89" s="16" t="s">
        <v>53</v>
      </c>
    </row>
    <row r="90" spans="1:10" x14ac:dyDescent="0.25">
      <c r="A90" s="18"/>
      <c r="H90" s="16" t="s">
        <v>87</v>
      </c>
      <c r="I90" s="16" t="s">
        <v>92</v>
      </c>
      <c r="J90" s="16" t="s">
        <v>53</v>
      </c>
    </row>
    <row r="91" spans="1:10" x14ac:dyDescent="0.25">
      <c r="A91" s="18"/>
      <c r="H91" s="16" t="s">
        <v>88</v>
      </c>
      <c r="I91" s="16" t="s">
        <v>91</v>
      </c>
      <c r="J91" s="16" t="s">
        <v>53</v>
      </c>
    </row>
    <row r="92" spans="1:10" x14ac:dyDescent="0.25">
      <c r="A92" s="18"/>
      <c r="H92" s="16" t="s">
        <v>61</v>
      </c>
      <c r="I92" s="16" t="s">
        <v>67</v>
      </c>
      <c r="J92" s="16" t="s">
        <v>52</v>
      </c>
    </row>
    <row r="93" spans="1:10" x14ac:dyDescent="0.25">
      <c r="A93" s="18"/>
      <c r="H93" s="16" t="s">
        <v>62</v>
      </c>
      <c r="I93" s="16" t="s">
        <v>68</v>
      </c>
      <c r="J93" s="16" t="s">
        <v>52</v>
      </c>
    </row>
    <row r="94" spans="1:10" x14ac:dyDescent="0.25">
      <c r="A94" s="18"/>
      <c r="H94" s="16" t="s">
        <v>63</v>
      </c>
      <c r="I94" s="16" t="s">
        <v>65</v>
      </c>
      <c r="J94" s="16" t="s">
        <v>52</v>
      </c>
    </row>
    <row r="95" spans="1:10" x14ac:dyDescent="0.25">
      <c r="A95" s="18"/>
      <c r="H95" s="16" t="s">
        <v>64</v>
      </c>
      <c r="I95" s="16" t="s">
        <v>66</v>
      </c>
      <c r="J95" s="16" t="s">
        <v>52</v>
      </c>
    </row>
    <row r="96" spans="1:10" x14ac:dyDescent="0.25">
      <c r="A96" s="18"/>
    </row>
    <row r="97" spans="1:10" x14ac:dyDescent="0.25">
      <c r="A97" s="18"/>
      <c r="H97" s="16" t="s">
        <v>69</v>
      </c>
      <c r="I97" s="16" t="s">
        <v>75</v>
      </c>
      <c r="J97" s="16" t="s">
        <v>53</v>
      </c>
    </row>
    <row r="98" spans="1:10" x14ac:dyDescent="0.25">
      <c r="A98" s="18"/>
      <c r="H98" s="16" t="s">
        <v>70</v>
      </c>
      <c r="I98" s="16" t="s">
        <v>76</v>
      </c>
      <c r="J98" s="16" t="s">
        <v>53</v>
      </c>
    </row>
    <row r="99" spans="1:10" x14ac:dyDescent="0.25">
      <c r="A99" s="18"/>
      <c r="H99" s="16" t="s">
        <v>71</v>
      </c>
      <c r="I99" s="16" t="s">
        <v>73</v>
      </c>
      <c r="J99" s="16" t="s">
        <v>53</v>
      </c>
    </row>
    <row r="100" spans="1:10" x14ac:dyDescent="0.25">
      <c r="A100" s="18"/>
      <c r="H100" s="16" t="s">
        <v>72</v>
      </c>
      <c r="I100" s="16" t="s">
        <v>74</v>
      </c>
      <c r="J100" s="16" t="s">
        <v>53</v>
      </c>
    </row>
    <row r="101" spans="1:10" x14ac:dyDescent="0.25">
      <c r="A101" s="18"/>
      <c r="H101" s="16" t="s">
        <v>77</v>
      </c>
      <c r="I101" s="16" t="s">
        <v>83</v>
      </c>
      <c r="J101" s="16" t="s">
        <v>52</v>
      </c>
    </row>
    <row r="102" spans="1:10" x14ac:dyDescent="0.25">
      <c r="A102" s="18"/>
      <c r="H102" s="16" t="s">
        <v>78</v>
      </c>
      <c r="I102" s="16" t="s">
        <v>84</v>
      </c>
      <c r="J102" s="16" t="s">
        <v>52</v>
      </c>
    </row>
    <row r="103" spans="1:10" x14ac:dyDescent="0.25">
      <c r="A103" s="18"/>
      <c r="H103" s="16" t="s">
        <v>79</v>
      </c>
      <c r="I103" s="16" t="s">
        <v>81</v>
      </c>
      <c r="J103" s="16" t="s">
        <v>52</v>
      </c>
    </row>
    <row r="104" spans="1:10" x14ac:dyDescent="0.25">
      <c r="A104" s="18"/>
    </row>
    <row r="105" spans="1:10" x14ac:dyDescent="0.25">
      <c r="A105" s="18"/>
      <c r="H105" s="16" t="s">
        <v>80</v>
      </c>
      <c r="I105" s="16" t="s">
        <v>82</v>
      </c>
      <c r="J105" s="16" t="s">
        <v>52</v>
      </c>
    </row>
    <row r="106" spans="1:10" x14ac:dyDescent="0.25">
      <c r="A106" s="18"/>
      <c r="H106" s="16" t="s">
        <v>85</v>
      </c>
      <c r="I106" s="16" t="s">
        <v>91</v>
      </c>
      <c r="J106" s="16" t="s">
        <v>53</v>
      </c>
    </row>
    <row r="107" spans="1:10" x14ac:dyDescent="0.25">
      <c r="A107" s="18"/>
      <c r="H107" s="16" t="s">
        <v>86</v>
      </c>
      <c r="I107" s="16" t="s">
        <v>92</v>
      </c>
      <c r="J107" s="16" t="s">
        <v>53</v>
      </c>
    </row>
    <row r="108" spans="1:10" x14ac:dyDescent="0.25">
      <c r="A108" s="18"/>
      <c r="H108" s="16" t="s">
        <v>87</v>
      </c>
      <c r="I108" s="16" t="s">
        <v>89</v>
      </c>
      <c r="J108" s="16" t="s">
        <v>53</v>
      </c>
    </row>
    <row r="109" spans="1:10" x14ac:dyDescent="0.25">
      <c r="A109" s="18"/>
      <c r="H109" s="16" t="s">
        <v>88</v>
      </c>
      <c r="I109" s="16" t="s">
        <v>90</v>
      </c>
      <c r="J109" s="16" t="s">
        <v>53</v>
      </c>
    </row>
    <row r="110" spans="1:10" x14ac:dyDescent="0.25">
      <c r="A110" s="18"/>
      <c r="H110" s="16" t="s">
        <v>61</v>
      </c>
      <c r="I110" s="16" t="s">
        <v>68</v>
      </c>
      <c r="J110" s="16" t="s">
        <v>52</v>
      </c>
    </row>
    <row r="111" spans="1:10" x14ac:dyDescent="0.25">
      <c r="A111" s="18"/>
      <c r="H111" s="16" t="s">
        <v>62</v>
      </c>
      <c r="I111" s="16" t="s">
        <v>67</v>
      </c>
      <c r="J111" s="16" t="s">
        <v>52</v>
      </c>
    </row>
    <row r="112" spans="1:10" x14ac:dyDescent="0.25">
      <c r="A112" s="18"/>
    </row>
    <row r="113" spans="1:10" x14ac:dyDescent="0.25">
      <c r="A113" s="18"/>
      <c r="H113" s="16" t="s">
        <v>63</v>
      </c>
      <c r="I113" s="16" t="s">
        <v>66</v>
      </c>
      <c r="J113" s="16" t="s">
        <v>52</v>
      </c>
    </row>
    <row r="114" spans="1:10" x14ac:dyDescent="0.25">
      <c r="A114" s="18"/>
      <c r="H114" s="16" t="s">
        <v>64</v>
      </c>
      <c r="I114" s="16" t="s">
        <v>65</v>
      </c>
      <c r="J114" s="16" t="s">
        <v>52</v>
      </c>
    </row>
    <row r="115" spans="1:10" x14ac:dyDescent="0.25">
      <c r="A115" s="18"/>
      <c r="H115" s="16" t="s">
        <v>69</v>
      </c>
      <c r="I115" s="16" t="s">
        <v>76</v>
      </c>
      <c r="J115" s="16" t="s">
        <v>53</v>
      </c>
    </row>
    <row r="116" spans="1:10" x14ac:dyDescent="0.25">
      <c r="A116" s="18"/>
      <c r="H116" s="16" t="s">
        <v>70</v>
      </c>
      <c r="I116" s="16" t="s">
        <v>75</v>
      </c>
      <c r="J116" s="16" t="s">
        <v>53</v>
      </c>
    </row>
    <row r="117" spans="1:10" x14ac:dyDescent="0.25">
      <c r="A117" s="18"/>
      <c r="H117" s="16" t="s">
        <v>71</v>
      </c>
      <c r="I117" s="16" t="s">
        <v>74</v>
      </c>
      <c r="J117" s="16" t="s">
        <v>53</v>
      </c>
    </row>
    <row r="118" spans="1:10" x14ac:dyDescent="0.25">
      <c r="A118" s="18"/>
      <c r="H118" s="16" t="s">
        <v>72</v>
      </c>
      <c r="I118" s="16" t="s">
        <v>73</v>
      </c>
      <c r="J118" s="16" t="s">
        <v>53</v>
      </c>
    </row>
    <row r="119" spans="1:10" x14ac:dyDescent="0.25">
      <c r="A119" s="18"/>
      <c r="H119" s="16" t="s">
        <v>77</v>
      </c>
      <c r="I119" s="16" t="s">
        <v>84</v>
      </c>
      <c r="J119" s="16" t="s">
        <v>52</v>
      </c>
    </row>
    <row r="120" spans="1:10" x14ac:dyDescent="0.25">
      <c r="A120" s="18"/>
    </row>
    <row r="121" spans="1:10" x14ac:dyDescent="0.25">
      <c r="A121" s="18"/>
      <c r="H121" s="16" t="s">
        <v>78</v>
      </c>
      <c r="I121" s="16" t="s">
        <v>83</v>
      </c>
      <c r="J121" s="16" t="s">
        <v>52</v>
      </c>
    </row>
    <row r="122" spans="1:10" x14ac:dyDescent="0.25">
      <c r="A122" s="18"/>
      <c r="H122" s="16" t="s">
        <v>79</v>
      </c>
      <c r="I122" s="16" t="s">
        <v>82</v>
      </c>
      <c r="J122" s="16" t="s">
        <v>52</v>
      </c>
    </row>
    <row r="123" spans="1:10" x14ac:dyDescent="0.25">
      <c r="A123" s="18"/>
      <c r="H123" s="16" t="s">
        <v>80</v>
      </c>
      <c r="I123" s="16" t="s">
        <v>81</v>
      </c>
      <c r="J123" s="16" t="s">
        <v>52</v>
      </c>
    </row>
    <row r="124" spans="1:10" x14ac:dyDescent="0.25">
      <c r="A124" s="18"/>
      <c r="H124" s="16" t="s">
        <v>85</v>
      </c>
      <c r="I124" s="16" t="s">
        <v>92</v>
      </c>
      <c r="J124" s="16" t="s">
        <v>53</v>
      </c>
    </row>
    <row r="125" spans="1:10" x14ac:dyDescent="0.25">
      <c r="A125" s="18"/>
      <c r="H125" s="16" t="s">
        <v>86</v>
      </c>
      <c r="I125" s="16" t="s">
        <v>91</v>
      </c>
      <c r="J125" s="16" t="s">
        <v>53</v>
      </c>
    </row>
    <row r="126" spans="1:10" x14ac:dyDescent="0.25">
      <c r="A126" s="18"/>
      <c r="H126" s="16" t="s">
        <v>87</v>
      </c>
      <c r="I126" s="16" t="s">
        <v>90</v>
      </c>
      <c r="J126" s="16" t="s">
        <v>53</v>
      </c>
    </row>
    <row r="127" spans="1:10" x14ac:dyDescent="0.25">
      <c r="A127" s="18"/>
      <c r="H127" s="16" t="s">
        <v>88</v>
      </c>
      <c r="I127" s="16" t="s">
        <v>89</v>
      </c>
      <c r="J127" s="16" t="s">
        <v>53</v>
      </c>
    </row>
    <row r="128" spans="1:10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J24" sqref="J24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45A4-73B1-412B-A4A9-8EC426CA0BBB}">
  <sheetPr codeName="Feuil15"/>
  <dimension ref="B1:C36"/>
  <sheetViews>
    <sheetView workbookViewId="0"/>
  </sheetViews>
  <sheetFormatPr baseColWidth="10" defaultRowHeight="15" x14ac:dyDescent="0.25"/>
  <cols>
    <col min="1" max="2" width="11.42578125" style="42"/>
    <col min="3" max="3" width="75.7109375" style="42" customWidth="1"/>
    <col min="4" max="16384" width="11.42578125" style="42"/>
  </cols>
  <sheetData>
    <row r="1" spans="2:3" ht="15.75" thickBot="1" x14ac:dyDescent="0.3">
      <c r="B1" s="43"/>
      <c r="C1" s="44" t="s">
        <v>52</v>
      </c>
    </row>
    <row r="2" spans="2:3" ht="15.75" x14ac:dyDescent="0.25">
      <c r="B2" s="125" t="s">
        <v>57</v>
      </c>
      <c r="C2" s="45" t="s">
        <v>61</v>
      </c>
    </row>
    <row r="3" spans="2:3" ht="15.75" x14ac:dyDescent="0.25">
      <c r="B3" s="126"/>
      <c r="C3" s="46" t="s">
        <v>62</v>
      </c>
    </row>
    <row r="4" spans="2:3" ht="15.75" x14ac:dyDescent="0.25">
      <c r="B4" s="126"/>
      <c r="C4" s="46" t="s">
        <v>63</v>
      </c>
    </row>
    <row r="5" spans="2:3" ht="15.75" x14ac:dyDescent="0.25">
      <c r="B5" s="126"/>
      <c r="C5" s="46" t="s">
        <v>64</v>
      </c>
    </row>
    <row r="6" spans="2:3" ht="15.75" x14ac:dyDescent="0.25">
      <c r="B6" s="126"/>
      <c r="C6" s="46" t="s">
        <v>65</v>
      </c>
    </row>
    <row r="7" spans="2:3" ht="15.75" x14ac:dyDescent="0.25">
      <c r="B7" s="126"/>
      <c r="C7" s="46" t="s">
        <v>66</v>
      </c>
    </row>
    <row r="8" spans="2:3" ht="15.75" x14ac:dyDescent="0.25">
      <c r="B8" s="126"/>
      <c r="C8" s="46" t="s">
        <v>67</v>
      </c>
    </row>
    <row r="9" spans="2:3" ht="16.5" thickBot="1" x14ac:dyDescent="0.3">
      <c r="B9" s="127"/>
      <c r="C9" s="47" t="s">
        <v>68</v>
      </c>
    </row>
    <row r="10" spans="2:3" ht="15.75" thickBot="1" x14ac:dyDescent="0.3">
      <c r="B10" s="43"/>
      <c r="C10" s="44" t="s">
        <v>53</v>
      </c>
    </row>
    <row r="11" spans="2:3" ht="15.75" x14ac:dyDescent="0.25">
      <c r="B11" s="128" t="s">
        <v>58</v>
      </c>
      <c r="C11" s="48" t="s">
        <v>69</v>
      </c>
    </row>
    <row r="12" spans="2:3" ht="15.75" x14ac:dyDescent="0.25">
      <c r="B12" s="129"/>
      <c r="C12" s="49" t="s">
        <v>70</v>
      </c>
    </row>
    <row r="13" spans="2:3" ht="15.75" x14ac:dyDescent="0.25">
      <c r="B13" s="129"/>
      <c r="C13" s="49" t="s">
        <v>71</v>
      </c>
    </row>
    <row r="14" spans="2:3" ht="15.75" x14ac:dyDescent="0.25">
      <c r="B14" s="129"/>
      <c r="C14" s="49" t="s">
        <v>72</v>
      </c>
    </row>
    <row r="15" spans="2:3" ht="15.75" x14ac:dyDescent="0.25">
      <c r="B15" s="129"/>
      <c r="C15" s="49" t="s">
        <v>73</v>
      </c>
    </row>
    <row r="16" spans="2:3" ht="15.75" x14ac:dyDescent="0.25">
      <c r="B16" s="129"/>
      <c r="C16" s="49" t="s">
        <v>74</v>
      </c>
    </row>
    <row r="17" spans="2:3" ht="15.75" x14ac:dyDescent="0.25">
      <c r="B17" s="129"/>
      <c r="C17" s="49" t="s">
        <v>75</v>
      </c>
    </row>
    <row r="18" spans="2:3" ht="16.5" thickBot="1" x14ac:dyDescent="0.3">
      <c r="B18" s="130"/>
      <c r="C18" s="50" t="s">
        <v>76</v>
      </c>
    </row>
    <row r="19" spans="2:3" ht="15.75" thickBot="1" x14ac:dyDescent="0.3">
      <c r="B19" s="43"/>
      <c r="C19" s="44" t="s">
        <v>52</v>
      </c>
    </row>
    <row r="20" spans="2:3" ht="15.75" x14ac:dyDescent="0.25">
      <c r="B20" s="131" t="s">
        <v>59</v>
      </c>
      <c r="C20" s="51" t="s">
        <v>77</v>
      </c>
    </row>
    <row r="21" spans="2:3" ht="15.75" x14ac:dyDescent="0.25">
      <c r="B21" s="132"/>
      <c r="C21" s="52" t="s">
        <v>78</v>
      </c>
    </row>
    <row r="22" spans="2:3" ht="15.75" x14ac:dyDescent="0.25">
      <c r="B22" s="132"/>
      <c r="C22" s="52" t="s">
        <v>79</v>
      </c>
    </row>
    <row r="23" spans="2:3" ht="15.75" x14ac:dyDescent="0.25">
      <c r="B23" s="132"/>
      <c r="C23" s="52" t="s">
        <v>80</v>
      </c>
    </row>
    <row r="24" spans="2:3" ht="15.75" x14ac:dyDescent="0.25">
      <c r="B24" s="132"/>
      <c r="C24" s="52" t="s">
        <v>81</v>
      </c>
    </row>
    <row r="25" spans="2:3" ht="15.75" x14ac:dyDescent="0.25">
      <c r="B25" s="132"/>
      <c r="C25" s="52" t="s">
        <v>82</v>
      </c>
    </row>
    <row r="26" spans="2:3" ht="15.75" x14ac:dyDescent="0.25">
      <c r="B26" s="132"/>
      <c r="C26" s="52" t="s">
        <v>83</v>
      </c>
    </row>
    <row r="27" spans="2:3" ht="16.5" thickBot="1" x14ac:dyDescent="0.3">
      <c r="B27" s="133"/>
      <c r="C27" s="53" t="s">
        <v>84</v>
      </c>
    </row>
    <row r="28" spans="2:3" ht="15.75" thickBot="1" x14ac:dyDescent="0.3">
      <c r="B28" s="43"/>
      <c r="C28" s="44" t="s">
        <v>53</v>
      </c>
    </row>
    <row r="29" spans="2:3" ht="15.75" x14ac:dyDescent="0.25">
      <c r="B29" s="134" t="s">
        <v>60</v>
      </c>
      <c r="C29" s="54" t="s">
        <v>85</v>
      </c>
    </row>
    <row r="30" spans="2:3" ht="15.75" x14ac:dyDescent="0.25">
      <c r="B30" s="135"/>
      <c r="C30" s="55" t="s">
        <v>86</v>
      </c>
    </row>
    <row r="31" spans="2:3" ht="15.75" x14ac:dyDescent="0.25">
      <c r="B31" s="135"/>
      <c r="C31" s="55" t="s">
        <v>87</v>
      </c>
    </row>
    <row r="32" spans="2:3" ht="15.75" x14ac:dyDescent="0.25">
      <c r="B32" s="135"/>
      <c r="C32" s="55" t="s">
        <v>88</v>
      </c>
    </row>
    <row r="33" spans="2:3" ht="15.75" x14ac:dyDescent="0.25">
      <c r="B33" s="135"/>
      <c r="C33" s="55" t="s">
        <v>89</v>
      </c>
    </row>
    <row r="34" spans="2:3" ht="15.75" x14ac:dyDescent="0.25">
      <c r="B34" s="135"/>
      <c r="C34" s="55" t="s">
        <v>90</v>
      </c>
    </row>
    <row r="35" spans="2:3" ht="15.75" x14ac:dyDescent="0.25">
      <c r="B35" s="135"/>
      <c r="C35" s="55" t="s">
        <v>91</v>
      </c>
    </row>
    <row r="36" spans="2:3" ht="16.5" thickBot="1" x14ac:dyDescent="0.3">
      <c r="B36" s="136"/>
      <c r="C36" s="56" t="s">
        <v>92</v>
      </c>
    </row>
  </sheetData>
  <mergeCells count="4">
    <mergeCell ref="B2:B9"/>
    <mergeCell ref="B11:B18"/>
    <mergeCell ref="B20:B27"/>
    <mergeCell ref="B29:B3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C4PPinscript">
              <controlPr defaultSize="0" print="0" autoFill="0" autoPict="0" macro="[0]!'copyimage &quot;B2:C36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C71C8-B052-444F-93C3-15892D0B75C4}">
  <sheetPr codeName="Feuil16"/>
  <dimension ref="A1:O889"/>
  <sheetViews>
    <sheetView topLeftCell="B1" workbookViewId="0">
      <selection activeCell="C6" sqref="C6"/>
    </sheetView>
  </sheetViews>
  <sheetFormatPr baseColWidth="10" defaultRowHeight="15" x14ac:dyDescent="0.25"/>
  <cols>
    <col min="1" max="1" width="0" style="42" hidden="1" customWidth="1"/>
    <col min="2" max="2" width="43.5703125" style="42" customWidth="1"/>
    <col min="3" max="3" width="6" style="66" customWidth="1"/>
    <col min="4" max="4" width="16.7109375" style="42" customWidth="1"/>
    <col min="5" max="5" width="6" style="66" customWidth="1"/>
    <col min="6" max="6" width="43.5703125" style="42" customWidth="1"/>
    <col min="7" max="7" width="6" style="42" hidden="1" customWidth="1"/>
    <col min="8" max="12" width="11.42578125" style="42"/>
    <col min="13" max="13" width="11.42578125" style="67"/>
    <col min="14" max="14" width="11.42578125" style="42"/>
    <col min="15" max="15" width="11.42578125" style="67"/>
    <col min="16" max="16384" width="11.42578125" style="42"/>
  </cols>
  <sheetData>
    <row r="1" spans="1:15" x14ac:dyDescent="0.25">
      <c r="A1" s="57"/>
      <c r="B1" s="57"/>
      <c r="C1" s="64"/>
      <c r="D1" s="58">
        <v>0.35416666666666669</v>
      </c>
      <c r="E1" s="64"/>
      <c r="F1" s="57"/>
      <c r="G1" s="57"/>
    </row>
    <row r="2" spans="1:15" x14ac:dyDescent="0.25">
      <c r="A2" s="60" t="s">
        <v>61</v>
      </c>
      <c r="B2" s="60" t="str">
        <f>INSCRIPTS!C2</f>
        <v>1A</v>
      </c>
      <c r="C2" s="65" t="s">
        <v>147</v>
      </c>
      <c r="D2" s="59" t="s">
        <v>93</v>
      </c>
      <c r="E2" s="65" t="s">
        <v>148</v>
      </c>
      <c r="F2" s="60" t="str">
        <f>INSCRIPTS!C3</f>
        <v>2A</v>
      </c>
      <c r="G2" s="60" t="s">
        <v>62</v>
      </c>
      <c r="M2" s="67" t="s">
        <v>138</v>
      </c>
      <c r="O2" s="67" t="s">
        <v>139</v>
      </c>
    </row>
    <row r="3" spans="1:15" x14ac:dyDescent="0.25">
      <c r="A3" s="60" t="s">
        <v>63</v>
      </c>
      <c r="B3" s="60" t="str">
        <f>INSCRIPTS!C4</f>
        <v>3A</v>
      </c>
      <c r="C3" s="65" t="s">
        <v>145</v>
      </c>
      <c r="D3" s="59" t="s">
        <v>94</v>
      </c>
      <c r="E3" s="65" t="s">
        <v>146</v>
      </c>
      <c r="F3" s="60" t="str">
        <f>INSCRIPTS!C5</f>
        <v>4A</v>
      </c>
      <c r="G3" s="60" t="s">
        <v>64</v>
      </c>
      <c r="M3" s="67" t="s">
        <v>140</v>
      </c>
      <c r="O3" s="67" t="s">
        <v>141</v>
      </c>
    </row>
    <row r="4" spans="1:15" x14ac:dyDescent="0.25">
      <c r="A4" s="60" t="s">
        <v>65</v>
      </c>
      <c r="B4" s="60" t="str">
        <f>INSCRIPTS!C6</f>
        <v>5A</v>
      </c>
      <c r="C4" s="65" t="s">
        <v>149</v>
      </c>
      <c r="D4" s="59" t="s">
        <v>95</v>
      </c>
      <c r="E4" s="65" t="s">
        <v>150</v>
      </c>
      <c r="F4" s="60" t="str">
        <f>INSCRIPTS!C7</f>
        <v>6A</v>
      </c>
      <c r="G4" s="60" t="s">
        <v>66</v>
      </c>
      <c r="M4" s="67" t="s">
        <v>142</v>
      </c>
      <c r="O4" s="67" t="s">
        <v>143</v>
      </c>
    </row>
    <row r="5" spans="1:15" x14ac:dyDescent="0.25">
      <c r="A5" s="60" t="s">
        <v>67</v>
      </c>
      <c r="B5" s="60" t="str">
        <f>INSCRIPTS!C8</f>
        <v>7A</v>
      </c>
      <c r="C5" s="65" t="s">
        <v>151</v>
      </c>
      <c r="D5" s="59" t="s">
        <v>96</v>
      </c>
      <c r="E5" s="65" t="s">
        <v>149</v>
      </c>
      <c r="F5" s="60" t="str">
        <f>INSCRIPTS!C9</f>
        <v>8A</v>
      </c>
      <c r="G5" s="60" t="s">
        <v>68</v>
      </c>
      <c r="M5" s="67" t="s">
        <v>144</v>
      </c>
      <c r="O5" s="67" t="s">
        <v>142</v>
      </c>
    </row>
    <row r="6" spans="1:15" x14ac:dyDescent="0.25">
      <c r="A6" s="61" t="s">
        <v>69</v>
      </c>
      <c r="B6" s="61" t="str">
        <f>INSCRIPTS!C11</f>
        <v>1B</v>
      </c>
      <c r="C6" s="65" t="s">
        <v>152</v>
      </c>
      <c r="D6" s="59" t="s">
        <v>97</v>
      </c>
      <c r="E6" s="65" t="s">
        <v>149</v>
      </c>
      <c r="F6" s="61" t="str">
        <f>INSCRIPTS!C12</f>
        <v>2B</v>
      </c>
      <c r="G6" s="61" t="s">
        <v>70</v>
      </c>
      <c r="M6" s="67" t="s">
        <v>153</v>
      </c>
      <c r="O6" s="67" t="s">
        <v>142</v>
      </c>
    </row>
    <row r="7" spans="1:15" x14ac:dyDescent="0.25">
      <c r="A7" s="61" t="s">
        <v>71</v>
      </c>
      <c r="B7" s="61" t="str">
        <f>INSCRIPTS!C13</f>
        <v>3B</v>
      </c>
      <c r="C7" s="65"/>
      <c r="D7" s="59" t="s">
        <v>98</v>
      </c>
      <c r="E7" s="65"/>
      <c r="F7" s="61" t="str">
        <f>INSCRIPTS!C14</f>
        <v>4B</v>
      </c>
      <c r="G7" s="61" t="s">
        <v>72</v>
      </c>
    </row>
    <row r="8" spans="1:15" x14ac:dyDescent="0.25">
      <c r="A8" s="61" t="s">
        <v>73</v>
      </c>
      <c r="B8" s="61" t="str">
        <f>INSCRIPTS!C15</f>
        <v>5B</v>
      </c>
      <c r="C8" s="65"/>
      <c r="D8" s="59" t="s">
        <v>99</v>
      </c>
      <c r="E8" s="65"/>
      <c r="F8" s="61" t="str">
        <f>INSCRIPTS!C16</f>
        <v>6B</v>
      </c>
      <c r="G8" s="61" t="s">
        <v>74</v>
      </c>
    </row>
    <row r="9" spans="1:15" x14ac:dyDescent="0.25">
      <c r="A9" s="57"/>
      <c r="B9" s="57"/>
      <c r="C9" s="64"/>
      <c r="D9" s="58">
        <f>0.354166666666667 + "00:30:00"</f>
        <v>0.37500000000000033</v>
      </c>
      <c r="E9" s="64"/>
      <c r="F9" s="57"/>
      <c r="G9" s="57"/>
    </row>
    <row r="10" spans="1:15" x14ac:dyDescent="0.25">
      <c r="A10" s="61" t="s">
        <v>75</v>
      </c>
      <c r="B10" s="61" t="str">
        <f>INSCRIPTS!C17</f>
        <v>7B</v>
      </c>
      <c r="C10" s="65"/>
      <c r="D10" s="59" t="s">
        <v>100</v>
      </c>
      <c r="E10" s="65"/>
      <c r="F10" s="61" t="str">
        <f>INSCRIPTS!C18</f>
        <v>8B</v>
      </c>
      <c r="G10" s="61" t="s">
        <v>76</v>
      </c>
    </row>
    <row r="11" spans="1:15" x14ac:dyDescent="0.25">
      <c r="A11" s="62" t="s">
        <v>77</v>
      </c>
      <c r="B11" s="62" t="str">
        <f>INSCRIPTS!C20</f>
        <v>1C</v>
      </c>
      <c r="C11" s="65"/>
      <c r="D11" s="59" t="s">
        <v>94</v>
      </c>
      <c r="E11" s="65"/>
      <c r="F11" s="62" t="str">
        <f>INSCRIPTS!C21</f>
        <v>2C</v>
      </c>
      <c r="G11" s="62" t="s">
        <v>78</v>
      </c>
    </row>
    <row r="12" spans="1:15" x14ac:dyDescent="0.25">
      <c r="A12" s="62" t="s">
        <v>79</v>
      </c>
      <c r="B12" s="62" t="str">
        <f>INSCRIPTS!C22</f>
        <v>3C</v>
      </c>
      <c r="C12" s="65"/>
      <c r="D12" s="59" t="s">
        <v>95</v>
      </c>
      <c r="E12" s="65"/>
      <c r="F12" s="62" t="str">
        <f>INSCRIPTS!C23</f>
        <v>4C</v>
      </c>
      <c r="G12" s="62" t="s">
        <v>80</v>
      </c>
    </row>
    <row r="13" spans="1:15" x14ac:dyDescent="0.25">
      <c r="A13" s="62" t="s">
        <v>81</v>
      </c>
      <c r="B13" s="62" t="str">
        <f>INSCRIPTS!C24</f>
        <v>5C</v>
      </c>
      <c r="C13" s="65"/>
      <c r="D13" s="59" t="s">
        <v>96</v>
      </c>
      <c r="E13" s="65"/>
      <c r="F13" s="62" t="str">
        <f>INSCRIPTS!C25</f>
        <v>6C</v>
      </c>
      <c r="G13" s="62" t="s">
        <v>82</v>
      </c>
    </row>
    <row r="14" spans="1:15" x14ac:dyDescent="0.25">
      <c r="A14" s="62" t="s">
        <v>83</v>
      </c>
      <c r="B14" s="62" t="str">
        <f>INSCRIPTS!C26</f>
        <v>7C</v>
      </c>
      <c r="C14" s="65"/>
      <c r="D14" s="59" t="s">
        <v>101</v>
      </c>
      <c r="E14" s="65"/>
      <c r="F14" s="62" t="str">
        <f>INSCRIPTS!C27</f>
        <v>8C</v>
      </c>
      <c r="G14" s="62" t="s">
        <v>84</v>
      </c>
    </row>
    <row r="15" spans="1:15" x14ac:dyDescent="0.25">
      <c r="A15" s="63" t="s">
        <v>85</v>
      </c>
      <c r="B15" s="63" t="str">
        <f>INSCRIPTS!C29</f>
        <v>1D</v>
      </c>
      <c r="C15" s="65"/>
      <c r="D15" s="59" t="s">
        <v>98</v>
      </c>
      <c r="E15" s="65"/>
      <c r="F15" s="63" t="str">
        <f>INSCRIPTS!C30</f>
        <v>2D</v>
      </c>
      <c r="G15" s="63" t="s">
        <v>86</v>
      </c>
    </row>
    <row r="16" spans="1:15" x14ac:dyDescent="0.25">
      <c r="A16" s="63" t="s">
        <v>87</v>
      </c>
      <c r="B16" s="63" t="str">
        <f>INSCRIPTS!C31</f>
        <v>3D</v>
      </c>
      <c r="C16" s="65"/>
      <c r="D16" s="59" t="s">
        <v>99</v>
      </c>
      <c r="E16" s="65"/>
      <c r="F16" s="63" t="str">
        <f>INSCRIPTS!C32</f>
        <v>4D</v>
      </c>
      <c r="G16" s="63" t="s">
        <v>88</v>
      </c>
    </row>
    <row r="17" spans="1:7" x14ac:dyDescent="0.25">
      <c r="A17" s="57"/>
      <c r="B17" s="57"/>
      <c r="C17" s="64"/>
      <c r="D17" s="58">
        <f>0.375 + "00:30:00"</f>
        <v>0.39583333333333331</v>
      </c>
      <c r="E17" s="64"/>
      <c r="F17" s="57"/>
      <c r="G17" s="57"/>
    </row>
    <row r="18" spans="1:7" x14ac:dyDescent="0.25">
      <c r="A18" s="63" t="s">
        <v>89</v>
      </c>
      <c r="B18" s="63" t="str">
        <f>INSCRIPTS!C33</f>
        <v>5D</v>
      </c>
      <c r="C18" s="65"/>
      <c r="D18" s="59" t="s">
        <v>100</v>
      </c>
      <c r="E18" s="65"/>
      <c r="F18" s="63" t="str">
        <f>INSCRIPTS!C34</f>
        <v>6D</v>
      </c>
      <c r="G18" s="63" t="s">
        <v>90</v>
      </c>
    </row>
    <row r="19" spans="1:7" x14ac:dyDescent="0.25">
      <c r="A19" s="63" t="s">
        <v>91</v>
      </c>
      <c r="B19" s="63" t="str">
        <f>INSCRIPTS!C35</f>
        <v>7D</v>
      </c>
      <c r="C19" s="65"/>
      <c r="D19" s="59" t="s">
        <v>102</v>
      </c>
      <c r="E19" s="65"/>
      <c r="F19" s="63" t="str">
        <f>INSCRIPTS!C36</f>
        <v>8D</v>
      </c>
      <c r="G19" s="63" t="s">
        <v>92</v>
      </c>
    </row>
    <row r="20" spans="1:7" x14ac:dyDescent="0.25">
      <c r="A20" s="60" t="s">
        <v>61</v>
      </c>
      <c r="B20" s="60" t="str">
        <f>INSCRIPTS!C2</f>
        <v>1A</v>
      </c>
      <c r="C20" s="65"/>
      <c r="D20" s="59" t="s">
        <v>95</v>
      </c>
      <c r="E20" s="65"/>
      <c r="F20" s="60" t="str">
        <f>INSCRIPTS!C4</f>
        <v>3A</v>
      </c>
      <c r="G20" s="60" t="s">
        <v>63</v>
      </c>
    </row>
    <row r="21" spans="1:7" x14ac:dyDescent="0.25">
      <c r="A21" s="60" t="s">
        <v>62</v>
      </c>
      <c r="B21" s="60" t="str">
        <f>INSCRIPTS!C3</f>
        <v>2A</v>
      </c>
      <c r="C21" s="65"/>
      <c r="D21" s="59" t="s">
        <v>96</v>
      </c>
      <c r="E21" s="65"/>
      <c r="F21" s="60" t="str">
        <f>INSCRIPTS!C5</f>
        <v>4A</v>
      </c>
      <c r="G21" s="60" t="s">
        <v>64</v>
      </c>
    </row>
    <row r="22" spans="1:7" x14ac:dyDescent="0.25">
      <c r="A22" s="60" t="s">
        <v>65</v>
      </c>
      <c r="B22" s="60" t="str">
        <f>INSCRIPTS!C6</f>
        <v>5A</v>
      </c>
      <c r="C22" s="65"/>
      <c r="D22" s="59" t="s">
        <v>101</v>
      </c>
      <c r="E22" s="65"/>
      <c r="F22" s="60" t="str">
        <f>INSCRIPTS!C8</f>
        <v>7A</v>
      </c>
      <c r="G22" s="60" t="s">
        <v>67</v>
      </c>
    </row>
    <row r="23" spans="1:7" x14ac:dyDescent="0.25">
      <c r="A23" s="60" t="s">
        <v>66</v>
      </c>
      <c r="B23" s="60" t="str">
        <f>INSCRIPTS!C7</f>
        <v>6A</v>
      </c>
      <c r="C23" s="65"/>
      <c r="D23" s="59" t="s">
        <v>103</v>
      </c>
      <c r="E23" s="65"/>
      <c r="F23" s="60" t="str">
        <f>INSCRIPTS!C9</f>
        <v>8A</v>
      </c>
      <c r="G23" s="60" t="s">
        <v>68</v>
      </c>
    </row>
    <row r="24" spans="1:7" x14ac:dyDescent="0.25">
      <c r="A24" s="61" t="s">
        <v>69</v>
      </c>
      <c r="B24" s="61" t="str">
        <f>INSCRIPTS!C11</f>
        <v>1B</v>
      </c>
      <c r="C24" s="65"/>
      <c r="D24" s="59" t="s">
        <v>99</v>
      </c>
      <c r="E24" s="65"/>
      <c r="F24" s="61" t="str">
        <f>INSCRIPTS!C13</f>
        <v>3B</v>
      </c>
      <c r="G24" s="61" t="s">
        <v>71</v>
      </c>
    </row>
    <row r="25" spans="1:7" x14ac:dyDescent="0.25">
      <c r="A25" s="57"/>
      <c r="B25" s="57"/>
      <c r="C25" s="64"/>
      <c r="D25" s="58">
        <f>0.395833333333333 + "00:30:00"</f>
        <v>0.4166666666666663</v>
      </c>
      <c r="E25" s="64"/>
      <c r="F25" s="57"/>
      <c r="G25" s="57"/>
    </row>
    <row r="26" spans="1:7" x14ac:dyDescent="0.25">
      <c r="A26" s="61" t="s">
        <v>70</v>
      </c>
      <c r="B26" s="61" t="str">
        <f>INSCRIPTS!C12</f>
        <v>2B</v>
      </c>
      <c r="C26" s="65"/>
      <c r="D26" s="59" t="s">
        <v>100</v>
      </c>
      <c r="E26" s="65"/>
      <c r="F26" s="61" t="str">
        <f>INSCRIPTS!C14</f>
        <v>4B</v>
      </c>
      <c r="G26" s="61" t="s">
        <v>72</v>
      </c>
    </row>
    <row r="27" spans="1:7" x14ac:dyDescent="0.25">
      <c r="A27" s="61" t="s">
        <v>73</v>
      </c>
      <c r="B27" s="61" t="str">
        <f>INSCRIPTS!C15</f>
        <v>5B</v>
      </c>
      <c r="C27" s="65"/>
      <c r="D27" s="59" t="s">
        <v>102</v>
      </c>
      <c r="E27" s="65"/>
      <c r="F27" s="61" t="str">
        <f>INSCRIPTS!C17</f>
        <v>7B</v>
      </c>
      <c r="G27" s="61" t="s">
        <v>75</v>
      </c>
    </row>
    <row r="28" spans="1:7" x14ac:dyDescent="0.25">
      <c r="A28" s="61" t="s">
        <v>74</v>
      </c>
      <c r="B28" s="61" t="str">
        <f>INSCRIPTS!C16</f>
        <v>6B</v>
      </c>
      <c r="C28" s="65"/>
      <c r="D28" s="59" t="s">
        <v>104</v>
      </c>
      <c r="E28" s="65"/>
      <c r="F28" s="61" t="str">
        <f>INSCRIPTS!C18</f>
        <v>8B</v>
      </c>
      <c r="G28" s="61" t="s">
        <v>76</v>
      </c>
    </row>
    <row r="29" spans="1:7" x14ac:dyDescent="0.25">
      <c r="A29" s="62" t="s">
        <v>77</v>
      </c>
      <c r="B29" s="62" t="str">
        <f>INSCRIPTS!C20</f>
        <v>1C</v>
      </c>
      <c r="C29" s="65"/>
      <c r="D29" s="59" t="s">
        <v>96</v>
      </c>
      <c r="E29" s="65"/>
      <c r="F29" s="62" t="str">
        <f>INSCRIPTS!C22</f>
        <v>3C</v>
      </c>
      <c r="G29" s="62" t="s">
        <v>79</v>
      </c>
    </row>
    <row r="30" spans="1:7" x14ac:dyDescent="0.25">
      <c r="A30" s="62" t="s">
        <v>78</v>
      </c>
      <c r="B30" s="62" t="str">
        <f>INSCRIPTS!C21</f>
        <v>2C</v>
      </c>
      <c r="C30" s="65"/>
      <c r="D30" s="59" t="s">
        <v>101</v>
      </c>
      <c r="E30" s="65"/>
      <c r="F30" s="62" t="str">
        <f>INSCRIPTS!C23</f>
        <v>4C</v>
      </c>
      <c r="G30" s="62" t="s">
        <v>80</v>
      </c>
    </row>
    <row r="31" spans="1:7" x14ac:dyDescent="0.25">
      <c r="A31" s="62" t="s">
        <v>81</v>
      </c>
      <c r="B31" s="62" t="str">
        <f>INSCRIPTS!C24</f>
        <v>5C</v>
      </c>
      <c r="C31" s="65"/>
      <c r="D31" s="59" t="s">
        <v>103</v>
      </c>
      <c r="E31" s="65"/>
      <c r="F31" s="62" t="str">
        <f>INSCRIPTS!C26</f>
        <v>7C</v>
      </c>
      <c r="G31" s="62" t="s">
        <v>83</v>
      </c>
    </row>
    <row r="32" spans="1:7" x14ac:dyDescent="0.25">
      <c r="A32" s="62" t="s">
        <v>82</v>
      </c>
      <c r="B32" s="62" t="str">
        <f>INSCRIPTS!C25</f>
        <v>6C</v>
      </c>
      <c r="C32" s="65"/>
      <c r="D32" s="59" t="s">
        <v>105</v>
      </c>
      <c r="E32" s="65"/>
      <c r="F32" s="62" t="str">
        <f>INSCRIPTS!C27</f>
        <v>8C</v>
      </c>
      <c r="G32" s="62" t="s">
        <v>84</v>
      </c>
    </row>
    <row r="33" spans="1:7" x14ac:dyDescent="0.25">
      <c r="A33" s="57"/>
      <c r="B33" s="57"/>
      <c r="C33" s="64"/>
      <c r="D33" s="58">
        <f>0.416666666666666 + "00:30:00"</f>
        <v>0.43749999999999933</v>
      </c>
      <c r="E33" s="64"/>
      <c r="F33" s="57"/>
      <c r="G33" s="57"/>
    </row>
    <row r="34" spans="1:7" x14ac:dyDescent="0.25">
      <c r="A34" s="63" t="s">
        <v>85</v>
      </c>
      <c r="B34" s="63" t="str">
        <f>INSCRIPTS!C29</f>
        <v>1D</v>
      </c>
      <c r="C34" s="65"/>
      <c r="D34" s="59" t="s">
        <v>100</v>
      </c>
      <c r="E34" s="65"/>
      <c r="F34" s="63" t="str">
        <f>INSCRIPTS!C31</f>
        <v>3D</v>
      </c>
      <c r="G34" s="63" t="s">
        <v>87</v>
      </c>
    </row>
    <row r="35" spans="1:7" x14ac:dyDescent="0.25">
      <c r="A35" s="63" t="s">
        <v>86</v>
      </c>
      <c r="B35" s="63" t="str">
        <f>INSCRIPTS!C30</f>
        <v>2D</v>
      </c>
      <c r="C35" s="65"/>
      <c r="D35" s="59" t="s">
        <v>102</v>
      </c>
      <c r="E35" s="65"/>
      <c r="F35" s="63" t="str">
        <f>INSCRIPTS!C32</f>
        <v>4D</v>
      </c>
      <c r="G35" s="63" t="s">
        <v>88</v>
      </c>
    </row>
    <row r="36" spans="1:7" x14ac:dyDescent="0.25">
      <c r="A36" s="63" t="s">
        <v>89</v>
      </c>
      <c r="B36" s="63" t="str">
        <f>INSCRIPTS!C33</f>
        <v>5D</v>
      </c>
      <c r="C36" s="65"/>
      <c r="D36" s="59" t="s">
        <v>104</v>
      </c>
      <c r="E36" s="65"/>
      <c r="F36" s="63" t="str">
        <f>INSCRIPTS!C35</f>
        <v>7D</v>
      </c>
      <c r="G36" s="63" t="s">
        <v>91</v>
      </c>
    </row>
    <row r="37" spans="1:7" x14ac:dyDescent="0.25">
      <c r="A37" s="63" t="s">
        <v>90</v>
      </c>
      <c r="B37" s="63" t="str">
        <f>INSCRIPTS!C34</f>
        <v>6D</v>
      </c>
      <c r="C37" s="65"/>
      <c r="D37" s="59" t="s">
        <v>106</v>
      </c>
      <c r="E37" s="65"/>
      <c r="F37" s="63" t="str">
        <f>INSCRIPTS!C36</f>
        <v>8D</v>
      </c>
      <c r="G37" s="63" t="s">
        <v>92</v>
      </c>
    </row>
    <row r="38" spans="1:7" x14ac:dyDescent="0.25">
      <c r="A38" s="60" t="s">
        <v>61</v>
      </c>
      <c r="B38" s="60" t="str">
        <f>INSCRIPTS!C2</f>
        <v>1A</v>
      </c>
      <c r="C38" s="65"/>
      <c r="D38" s="59" t="s">
        <v>101</v>
      </c>
      <c r="E38" s="65"/>
      <c r="F38" s="60" t="str">
        <f>INSCRIPTS!C5</f>
        <v>4A</v>
      </c>
      <c r="G38" s="60" t="s">
        <v>64</v>
      </c>
    </row>
    <row r="39" spans="1:7" x14ac:dyDescent="0.25">
      <c r="A39" s="60" t="s">
        <v>62</v>
      </c>
      <c r="B39" s="60" t="str">
        <f>INSCRIPTS!C3</f>
        <v>2A</v>
      </c>
      <c r="C39" s="65"/>
      <c r="D39" s="59" t="s">
        <v>103</v>
      </c>
      <c r="E39" s="65"/>
      <c r="F39" s="60" t="str">
        <f>INSCRIPTS!C4</f>
        <v>3A</v>
      </c>
      <c r="G39" s="60" t="s">
        <v>63</v>
      </c>
    </row>
    <row r="40" spans="1:7" x14ac:dyDescent="0.25">
      <c r="A40" s="60" t="s">
        <v>65</v>
      </c>
      <c r="B40" s="60" t="str">
        <f>INSCRIPTS!C6</f>
        <v>5A</v>
      </c>
      <c r="C40" s="65"/>
      <c r="D40" s="59" t="s">
        <v>105</v>
      </c>
      <c r="E40" s="65"/>
      <c r="F40" s="60" t="str">
        <f>INSCRIPTS!C9</f>
        <v>8A</v>
      </c>
      <c r="G40" s="60" t="s">
        <v>68</v>
      </c>
    </row>
    <row r="41" spans="1:7" x14ac:dyDescent="0.25">
      <c r="A41" s="57"/>
      <c r="B41" s="57"/>
      <c r="C41" s="64"/>
      <c r="D41" s="58">
        <f>0.437499999999999 + "00:30:00"</f>
        <v>0.45833333333333232</v>
      </c>
      <c r="E41" s="64"/>
      <c r="F41" s="57"/>
      <c r="G41" s="57"/>
    </row>
    <row r="42" spans="1:7" x14ac:dyDescent="0.25">
      <c r="A42" s="60" t="s">
        <v>66</v>
      </c>
      <c r="B42" s="60" t="str">
        <f>INSCRIPTS!C7</f>
        <v>6A</v>
      </c>
      <c r="C42" s="65"/>
      <c r="D42" s="59" t="s">
        <v>93</v>
      </c>
      <c r="E42" s="65"/>
      <c r="F42" s="60" t="str">
        <f>INSCRIPTS!C8</f>
        <v>7A</v>
      </c>
      <c r="G42" s="60" t="s">
        <v>67</v>
      </c>
    </row>
    <row r="43" spans="1:7" x14ac:dyDescent="0.25">
      <c r="A43" s="61" t="s">
        <v>69</v>
      </c>
      <c r="B43" s="61" t="str">
        <f>INSCRIPTS!C11</f>
        <v>1B</v>
      </c>
      <c r="C43" s="65"/>
      <c r="D43" s="59" t="s">
        <v>102</v>
      </c>
      <c r="E43" s="65"/>
      <c r="F43" s="61" t="str">
        <f>INSCRIPTS!C14</f>
        <v>4B</v>
      </c>
      <c r="G43" s="61" t="s">
        <v>72</v>
      </c>
    </row>
    <row r="44" spans="1:7" x14ac:dyDescent="0.25">
      <c r="A44" s="61" t="s">
        <v>70</v>
      </c>
      <c r="B44" s="61" t="str">
        <f>INSCRIPTS!C12</f>
        <v>2B</v>
      </c>
      <c r="C44" s="65"/>
      <c r="D44" s="59" t="s">
        <v>104</v>
      </c>
      <c r="E44" s="65"/>
      <c r="F44" s="61" t="str">
        <f>INSCRIPTS!C13</f>
        <v>3B</v>
      </c>
      <c r="G44" s="61" t="s">
        <v>71</v>
      </c>
    </row>
    <row r="45" spans="1:7" x14ac:dyDescent="0.25">
      <c r="A45" s="61" t="s">
        <v>73</v>
      </c>
      <c r="B45" s="61" t="str">
        <f>INSCRIPTS!C15</f>
        <v>5B</v>
      </c>
      <c r="C45" s="65"/>
      <c r="D45" s="59" t="s">
        <v>106</v>
      </c>
      <c r="E45" s="65"/>
      <c r="F45" s="61" t="str">
        <f>INSCRIPTS!C18</f>
        <v>8B</v>
      </c>
      <c r="G45" s="61" t="s">
        <v>76</v>
      </c>
    </row>
    <row r="46" spans="1:7" x14ac:dyDescent="0.25">
      <c r="A46" s="61" t="s">
        <v>74</v>
      </c>
      <c r="B46" s="61" t="str">
        <f>INSCRIPTS!C16</f>
        <v>6B</v>
      </c>
      <c r="C46" s="65"/>
      <c r="D46" s="59" t="s">
        <v>97</v>
      </c>
      <c r="E46" s="65"/>
      <c r="F46" s="61" t="str">
        <f>INSCRIPTS!C17</f>
        <v>7B</v>
      </c>
      <c r="G46" s="61" t="s">
        <v>75</v>
      </c>
    </row>
    <row r="47" spans="1:7" x14ac:dyDescent="0.25">
      <c r="A47" s="62" t="s">
        <v>77</v>
      </c>
      <c r="B47" s="62" t="str">
        <f>INSCRIPTS!C20</f>
        <v>1C</v>
      </c>
      <c r="C47" s="65"/>
      <c r="D47" s="59" t="s">
        <v>103</v>
      </c>
      <c r="E47" s="65"/>
      <c r="F47" s="62" t="str">
        <f>INSCRIPTS!C23</f>
        <v>4C</v>
      </c>
      <c r="G47" s="62" t="s">
        <v>80</v>
      </c>
    </row>
    <row r="48" spans="1:7" x14ac:dyDescent="0.25">
      <c r="A48" s="62" t="s">
        <v>78</v>
      </c>
      <c r="B48" s="62" t="str">
        <f>INSCRIPTS!C21</f>
        <v>2C</v>
      </c>
      <c r="C48" s="65"/>
      <c r="D48" s="59" t="s">
        <v>105</v>
      </c>
      <c r="E48" s="65"/>
      <c r="F48" s="62" t="str">
        <f>INSCRIPTS!C22</f>
        <v>3C</v>
      </c>
      <c r="G48" s="62" t="s">
        <v>79</v>
      </c>
    </row>
    <row r="49" spans="1:7" x14ac:dyDescent="0.25">
      <c r="A49" s="57"/>
      <c r="B49" s="57"/>
      <c r="C49" s="64"/>
      <c r="D49" s="58">
        <f>0.458333333333332 + "00:30:00"</f>
        <v>0.4791666666666653</v>
      </c>
      <c r="E49" s="64"/>
      <c r="F49" s="57"/>
      <c r="G49" s="57"/>
    </row>
    <row r="50" spans="1:7" x14ac:dyDescent="0.25">
      <c r="A50" s="62" t="s">
        <v>81</v>
      </c>
      <c r="B50" s="62" t="str">
        <f>INSCRIPTS!C24</f>
        <v>5C</v>
      </c>
      <c r="C50" s="65"/>
      <c r="D50" s="59" t="s">
        <v>93</v>
      </c>
      <c r="E50" s="65"/>
      <c r="F50" s="62" t="str">
        <f>INSCRIPTS!C27</f>
        <v>8C</v>
      </c>
      <c r="G50" s="62" t="s">
        <v>84</v>
      </c>
    </row>
    <row r="51" spans="1:7" x14ac:dyDescent="0.25">
      <c r="A51" s="62" t="s">
        <v>82</v>
      </c>
      <c r="B51" s="62" t="str">
        <f>INSCRIPTS!C25</f>
        <v>6C</v>
      </c>
      <c r="C51" s="65"/>
      <c r="D51" s="59" t="s">
        <v>94</v>
      </c>
      <c r="E51" s="65"/>
      <c r="F51" s="62" t="str">
        <f>INSCRIPTS!C26</f>
        <v>7C</v>
      </c>
      <c r="G51" s="62" t="s">
        <v>83</v>
      </c>
    </row>
    <row r="52" spans="1:7" x14ac:dyDescent="0.25">
      <c r="A52" s="63" t="s">
        <v>85</v>
      </c>
      <c r="B52" s="63" t="str">
        <f>INSCRIPTS!C29</f>
        <v>1D</v>
      </c>
      <c r="C52" s="65"/>
      <c r="D52" s="59" t="s">
        <v>104</v>
      </c>
      <c r="E52" s="65"/>
      <c r="F52" s="63" t="str">
        <f>INSCRIPTS!C32</f>
        <v>4D</v>
      </c>
      <c r="G52" s="63" t="s">
        <v>88</v>
      </c>
    </row>
    <row r="53" spans="1:7" x14ac:dyDescent="0.25">
      <c r="A53" s="63" t="s">
        <v>86</v>
      </c>
      <c r="B53" s="63" t="str">
        <f>INSCRIPTS!C30</f>
        <v>2D</v>
      </c>
      <c r="C53" s="65"/>
      <c r="D53" s="59" t="s">
        <v>106</v>
      </c>
      <c r="E53" s="65"/>
      <c r="F53" s="63" t="str">
        <f>INSCRIPTS!C31</f>
        <v>3D</v>
      </c>
      <c r="G53" s="63" t="s">
        <v>87</v>
      </c>
    </row>
    <row r="54" spans="1:7" x14ac:dyDescent="0.25">
      <c r="A54" s="63" t="s">
        <v>89</v>
      </c>
      <c r="B54" s="63" t="str">
        <f>INSCRIPTS!C33</f>
        <v>5D</v>
      </c>
      <c r="C54" s="65"/>
      <c r="D54" s="59" t="s">
        <v>97</v>
      </c>
      <c r="E54" s="65"/>
      <c r="F54" s="63" t="str">
        <f>INSCRIPTS!C36</f>
        <v>8D</v>
      </c>
      <c r="G54" s="63" t="s">
        <v>92</v>
      </c>
    </row>
    <row r="55" spans="1:7" x14ac:dyDescent="0.25">
      <c r="A55" s="63" t="s">
        <v>90</v>
      </c>
      <c r="B55" s="63" t="str">
        <f>INSCRIPTS!C34</f>
        <v>6D</v>
      </c>
      <c r="C55" s="65"/>
      <c r="D55" s="59" t="s">
        <v>98</v>
      </c>
      <c r="E55" s="65"/>
      <c r="F55" s="63" t="str">
        <f>INSCRIPTS!C35</f>
        <v>7D</v>
      </c>
      <c r="G55" s="63" t="s">
        <v>91</v>
      </c>
    </row>
    <row r="56" spans="1:7" x14ac:dyDescent="0.25">
      <c r="A56" s="60" t="s">
        <v>61</v>
      </c>
      <c r="B56" s="60" t="str">
        <f>INSCRIPTS!C2</f>
        <v>1A</v>
      </c>
      <c r="C56" s="65"/>
      <c r="D56" s="59" t="s">
        <v>105</v>
      </c>
      <c r="E56" s="65"/>
      <c r="F56" s="60" t="str">
        <f>INSCRIPTS!C6</f>
        <v>5A</v>
      </c>
      <c r="G56" s="60" t="s">
        <v>65</v>
      </c>
    </row>
    <row r="57" spans="1:7" x14ac:dyDescent="0.25">
      <c r="A57" s="57"/>
      <c r="B57" s="57"/>
      <c r="C57" s="64"/>
      <c r="D57" s="58">
        <f>0.479166666666665 + "00:30:00"</f>
        <v>0.49999999999999833</v>
      </c>
      <c r="E57" s="64"/>
      <c r="F57" s="57"/>
      <c r="G57" s="57"/>
    </row>
    <row r="58" spans="1:7" x14ac:dyDescent="0.25">
      <c r="A58" s="60" t="s">
        <v>62</v>
      </c>
      <c r="B58" s="60" t="str">
        <f>INSCRIPTS!C3</f>
        <v>2A</v>
      </c>
      <c r="C58" s="65"/>
      <c r="D58" s="59" t="s">
        <v>93</v>
      </c>
      <c r="E58" s="65"/>
      <c r="F58" s="60" t="str">
        <f>INSCRIPTS!C7</f>
        <v>6A</v>
      </c>
      <c r="G58" s="60" t="s">
        <v>66</v>
      </c>
    </row>
    <row r="59" spans="1:7" x14ac:dyDescent="0.25">
      <c r="A59" s="60" t="s">
        <v>63</v>
      </c>
      <c r="B59" s="60" t="str">
        <f>INSCRIPTS!C4</f>
        <v>3A</v>
      </c>
      <c r="C59" s="65"/>
      <c r="D59" s="59" t="s">
        <v>94</v>
      </c>
      <c r="E59" s="65"/>
      <c r="F59" s="60" t="str">
        <f>INSCRIPTS!C8</f>
        <v>7A</v>
      </c>
      <c r="G59" s="60" t="s">
        <v>67</v>
      </c>
    </row>
    <row r="60" spans="1:7" x14ac:dyDescent="0.25">
      <c r="A60" s="60" t="s">
        <v>64</v>
      </c>
      <c r="B60" s="60" t="str">
        <f>INSCRIPTS!C5</f>
        <v>4A</v>
      </c>
      <c r="C60" s="65"/>
      <c r="D60" s="59" t="s">
        <v>95</v>
      </c>
      <c r="E60" s="65"/>
      <c r="F60" s="60" t="str">
        <f>INSCRIPTS!C9</f>
        <v>8A</v>
      </c>
      <c r="G60" s="60" t="s">
        <v>68</v>
      </c>
    </row>
    <row r="61" spans="1:7" x14ac:dyDescent="0.25">
      <c r="A61" s="61" t="s">
        <v>69</v>
      </c>
      <c r="B61" s="61" t="str">
        <f>INSCRIPTS!C11</f>
        <v>1B</v>
      </c>
      <c r="C61" s="65"/>
      <c r="D61" s="59" t="s">
        <v>106</v>
      </c>
      <c r="E61" s="65"/>
      <c r="F61" s="61" t="str">
        <f>INSCRIPTS!C15</f>
        <v>5B</v>
      </c>
      <c r="G61" s="61" t="s">
        <v>73</v>
      </c>
    </row>
    <row r="62" spans="1:7" x14ac:dyDescent="0.25">
      <c r="A62" s="61" t="s">
        <v>70</v>
      </c>
      <c r="B62" s="61" t="str">
        <f>INSCRIPTS!C12</f>
        <v>2B</v>
      </c>
      <c r="C62" s="65"/>
      <c r="D62" s="59" t="s">
        <v>97</v>
      </c>
      <c r="E62" s="65"/>
      <c r="F62" s="61" t="str">
        <f>INSCRIPTS!C16</f>
        <v>6B</v>
      </c>
      <c r="G62" s="61" t="s">
        <v>74</v>
      </c>
    </row>
    <row r="63" spans="1:7" x14ac:dyDescent="0.25">
      <c r="A63" s="61" t="s">
        <v>71</v>
      </c>
      <c r="B63" s="61" t="str">
        <f>INSCRIPTS!C13</f>
        <v>3B</v>
      </c>
      <c r="C63" s="65"/>
      <c r="D63" s="59" t="s">
        <v>98</v>
      </c>
      <c r="E63" s="65"/>
      <c r="F63" s="61" t="str">
        <f>INSCRIPTS!C17</f>
        <v>7B</v>
      </c>
      <c r="G63" s="61" t="s">
        <v>75</v>
      </c>
    </row>
    <row r="64" spans="1:7" x14ac:dyDescent="0.25">
      <c r="A64" s="61" t="s">
        <v>72</v>
      </c>
      <c r="B64" s="61" t="str">
        <f>INSCRIPTS!C14</f>
        <v>4B</v>
      </c>
      <c r="C64" s="65"/>
      <c r="D64" s="59" t="s">
        <v>99</v>
      </c>
      <c r="E64" s="65"/>
      <c r="F64" s="61" t="str">
        <f>INSCRIPTS!C18</f>
        <v>8B</v>
      </c>
      <c r="G64" s="61" t="s">
        <v>76</v>
      </c>
    </row>
    <row r="65" spans="1:7" x14ac:dyDescent="0.25">
      <c r="A65" s="57"/>
      <c r="B65" s="57"/>
      <c r="C65" s="64"/>
      <c r="D65" s="58">
        <f>0.499999999999998 + "00:30:00"</f>
        <v>0.52083333333333137</v>
      </c>
      <c r="E65" s="64"/>
      <c r="F65" s="57"/>
      <c r="G65" s="57"/>
    </row>
    <row r="66" spans="1:7" x14ac:dyDescent="0.25">
      <c r="A66" s="62" t="s">
        <v>77</v>
      </c>
      <c r="B66" s="62" t="str">
        <f>INSCRIPTS!C20</f>
        <v>1C</v>
      </c>
      <c r="C66" s="65"/>
      <c r="D66" s="59" t="s">
        <v>93</v>
      </c>
      <c r="E66" s="65"/>
      <c r="F66" s="62" t="str">
        <f>INSCRIPTS!C24</f>
        <v>5C</v>
      </c>
      <c r="G66" s="62" t="s">
        <v>81</v>
      </c>
    </row>
    <row r="67" spans="1:7" x14ac:dyDescent="0.25">
      <c r="A67" s="62" t="s">
        <v>78</v>
      </c>
      <c r="B67" s="62" t="str">
        <f>INSCRIPTS!C21</f>
        <v>2C</v>
      </c>
      <c r="C67" s="65"/>
      <c r="D67" s="59" t="s">
        <v>94</v>
      </c>
      <c r="E67" s="65"/>
      <c r="F67" s="62" t="str">
        <f>INSCRIPTS!C25</f>
        <v>6C</v>
      </c>
      <c r="G67" s="62" t="s">
        <v>82</v>
      </c>
    </row>
    <row r="68" spans="1:7" x14ac:dyDescent="0.25">
      <c r="A68" s="62" t="s">
        <v>79</v>
      </c>
      <c r="B68" s="62" t="str">
        <f>INSCRIPTS!C22</f>
        <v>3C</v>
      </c>
      <c r="C68" s="65"/>
      <c r="D68" s="59" t="s">
        <v>95</v>
      </c>
      <c r="E68" s="65"/>
      <c r="F68" s="62" t="str">
        <f>INSCRIPTS!C26</f>
        <v>7C</v>
      </c>
      <c r="G68" s="62" t="s">
        <v>83</v>
      </c>
    </row>
    <row r="69" spans="1:7" x14ac:dyDescent="0.25">
      <c r="A69" s="62" t="s">
        <v>80</v>
      </c>
      <c r="B69" s="62" t="str">
        <f>INSCRIPTS!C23</f>
        <v>4C</v>
      </c>
      <c r="C69" s="65"/>
      <c r="D69" s="59" t="s">
        <v>96</v>
      </c>
      <c r="E69" s="65"/>
      <c r="F69" s="62" t="str">
        <f>INSCRIPTS!C27</f>
        <v>8C</v>
      </c>
      <c r="G69" s="62" t="s">
        <v>84</v>
      </c>
    </row>
    <row r="70" spans="1:7" x14ac:dyDescent="0.25">
      <c r="A70" s="63" t="s">
        <v>85</v>
      </c>
      <c r="B70" s="63" t="str">
        <f>INSCRIPTS!C29</f>
        <v>1D</v>
      </c>
      <c r="C70" s="65"/>
      <c r="D70" s="59" t="s">
        <v>97</v>
      </c>
      <c r="E70" s="65"/>
      <c r="F70" s="63" t="str">
        <f>INSCRIPTS!C33</f>
        <v>5D</v>
      </c>
      <c r="G70" s="63" t="s">
        <v>89</v>
      </c>
    </row>
    <row r="71" spans="1:7" x14ac:dyDescent="0.25">
      <c r="A71" s="63" t="s">
        <v>86</v>
      </c>
      <c r="B71" s="63" t="str">
        <f>INSCRIPTS!C30</f>
        <v>2D</v>
      </c>
      <c r="C71" s="65"/>
      <c r="D71" s="59" t="s">
        <v>98</v>
      </c>
      <c r="E71" s="65"/>
      <c r="F71" s="63" t="str">
        <f>INSCRIPTS!C34</f>
        <v>6D</v>
      </c>
      <c r="G71" s="63" t="s">
        <v>90</v>
      </c>
    </row>
    <row r="72" spans="1:7" x14ac:dyDescent="0.25">
      <c r="A72" s="63" t="s">
        <v>87</v>
      </c>
      <c r="B72" s="63" t="str">
        <f>INSCRIPTS!C31</f>
        <v>3D</v>
      </c>
      <c r="C72" s="65"/>
      <c r="D72" s="59" t="s">
        <v>99</v>
      </c>
      <c r="E72" s="65"/>
      <c r="F72" s="63" t="str">
        <f>INSCRIPTS!C35</f>
        <v>7D</v>
      </c>
      <c r="G72" s="63" t="s">
        <v>91</v>
      </c>
    </row>
    <row r="73" spans="1:7" x14ac:dyDescent="0.25">
      <c r="A73" s="57"/>
      <c r="B73" s="57"/>
      <c r="C73" s="64"/>
      <c r="D73" s="58">
        <f>0.520833333333331 + "00:30:00"</f>
        <v>0.54166666666666441</v>
      </c>
      <c r="E73" s="64"/>
      <c r="F73" s="57"/>
      <c r="G73" s="57"/>
    </row>
    <row r="74" spans="1:7" x14ac:dyDescent="0.25">
      <c r="A74" s="63" t="s">
        <v>88</v>
      </c>
      <c r="B74" s="63" t="str">
        <f>INSCRIPTS!C32</f>
        <v>4D</v>
      </c>
      <c r="C74" s="65"/>
      <c r="D74" s="59" t="s">
        <v>100</v>
      </c>
      <c r="E74" s="65"/>
      <c r="F74" s="63" t="str">
        <f>INSCRIPTS!C36</f>
        <v>8D</v>
      </c>
      <c r="G74" s="63" t="s">
        <v>92</v>
      </c>
    </row>
    <row r="75" spans="1:7" x14ac:dyDescent="0.25">
      <c r="A75" s="60" t="s">
        <v>61</v>
      </c>
      <c r="B75" s="60" t="str">
        <f>INSCRIPTS!C2</f>
        <v>1A</v>
      </c>
      <c r="C75" s="65"/>
      <c r="D75" s="59" t="s">
        <v>94</v>
      </c>
      <c r="E75" s="65"/>
      <c r="F75" s="60" t="str">
        <f>INSCRIPTS!C7</f>
        <v>6A</v>
      </c>
      <c r="G75" s="60" t="s">
        <v>66</v>
      </c>
    </row>
    <row r="76" spans="1:7" x14ac:dyDescent="0.25">
      <c r="A76" s="60" t="s">
        <v>62</v>
      </c>
      <c r="B76" s="60" t="str">
        <f>INSCRIPTS!C3</f>
        <v>2A</v>
      </c>
      <c r="C76" s="65"/>
      <c r="D76" s="59" t="s">
        <v>95</v>
      </c>
      <c r="E76" s="65"/>
      <c r="F76" s="60" t="str">
        <f>INSCRIPTS!C6</f>
        <v>5A</v>
      </c>
      <c r="G76" s="60" t="s">
        <v>65</v>
      </c>
    </row>
    <row r="77" spans="1:7" x14ac:dyDescent="0.25">
      <c r="A77" s="60" t="s">
        <v>63</v>
      </c>
      <c r="B77" s="60" t="str">
        <f>INSCRIPTS!C4</f>
        <v>3A</v>
      </c>
      <c r="C77" s="65"/>
      <c r="D77" s="59" t="s">
        <v>96</v>
      </c>
      <c r="E77" s="65"/>
      <c r="F77" s="60" t="str">
        <f>INSCRIPTS!C9</f>
        <v>8A</v>
      </c>
      <c r="G77" s="60" t="s">
        <v>68</v>
      </c>
    </row>
    <row r="78" spans="1:7" x14ac:dyDescent="0.25">
      <c r="A78" s="60" t="s">
        <v>64</v>
      </c>
      <c r="B78" s="60" t="str">
        <f>INSCRIPTS!C5</f>
        <v>4A</v>
      </c>
      <c r="C78" s="65"/>
      <c r="D78" s="59" t="s">
        <v>101</v>
      </c>
      <c r="E78" s="65"/>
      <c r="F78" s="60" t="str">
        <f>INSCRIPTS!C8</f>
        <v>7A</v>
      </c>
      <c r="G78" s="60" t="s">
        <v>67</v>
      </c>
    </row>
    <row r="79" spans="1:7" x14ac:dyDescent="0.25">
      <c r="A79" s="61" t="s">
        <v>69</v>
      </c>
      <c r="B79" s="61" t="str">
        <f>INSCRIPTS!C11</f>
        <v>1B</v>
      </c>
      <c r="C79" s="65"/>
      <c r="D79" s="59" t="s">
        <v>98</v>
      </c>
      <c r="E79" s="65"/>
      <c r="F79" s="61" t="str">
        <f>INSCRIPTS!C16</f>
        <v>6B</v>
      </c>
      <c r="G79" s="61" t="s">
        <v>74</v>
      </c>
    </row>
    <row r="80" spans="1:7" x14ac:dyDescent="0.25">
      <c r="A80" s="61" t="s">
        <v>70</v>
      </c>
      <c r="B80" s="61" t="str">
        <f>INSCRIPTS!C12</f>
        <v>2B</v>
      </c>
      <c r="C80" s="65"/>
      <c r="D80" s="59" t="s">
        <v>99</v>
      </c>
      <c r="E80" s="65"/>
      <c r="F80" s="61" t="str">
        <f>INSCRIPTS!C15</f>
        <v>5B</v>
      </c>
      <c r="G80" s="61" t="s">
        <v>73</v>
      </c>
    </row>
    <row r="81" spans="1:7" x14ac:dyDescent="0.25">
      <c r="A81" s="57"/>
      <c r="B81" s="57"/>
      <c r="C81" s="64"/>
      <c r="D81" s="58">
        <f>0.541666666666664 + "00:30:00"</f>
        <v>0.56249999999999734</v>
      </c>
      <c r="E81" s="64"/>
      <c r="F81" s="57"/>
      <c r="G81" s="57"/>
    </row>
    <row r="82" spans="1:7" x14ac:dyDescent="0.25">
      <c r="A82" s="61" t="s">
        <v>71</v>
      </c>
      <c r="B82" s="61" t="str">
        <f>INSCRIPTS!C13</f>
        <v>3B</v>
      </c>
      <c r="C82" s="65"/>
      <c r="D82" s="59" t="s">
        <v>100</v>
      </c>
      <c r="E82" s="65"/>
      <c r="F82" s="61" t="str">
        <f>INSCRIPTS!C18</f>
        <v>8B</v>
      </c>
      <c r="G82" s="61" t="s">
        <v>76</v>
      </c>
    </row>
    <row r="83" spans="1:7" x14ac:dyDescent="0.25">
      <c r="A83" s="61" t="s">
        <v>72</v>
      </c>
      <c r="B83" s="61" t="str">
        <f>INSCRIPTS!C14</f>
        <v>4B</v>
      </c>
      <c r="C83" s="65"/>
      <c r="D83" s="59" t="s">
        <v>102</v>
      </c>
      <c r="E83" s="65"/>
      <c r="F83" s="61" t="str">
        <f>INSCRIPTS!C17</f>
        <v>7B</v>
      </c>
      <c r="G83" s="61" t="s">
        <v>75</v>
      </c>
    </row>
    <row r="84" spans="1:7" x14ac:dyDescent="0.25">
      <c r="A84" s="62" t="s">
        <v>77</v>
      </c>
      <c r="B84" s="62" t="str">
        <f>INSCRIPTS!C20</f>
        <v>1C</v>
      </c>
      <c r="C84" s="65"/>
      <c r="D84" s="59" t="s">
        <v>95</v>
      </c>
      <c r="E84" s="65"/>
      <c r="F84" s="62" t="str">
        <f>INSCRIPTS!C25</f>
        <v>6C</v>
      </c>
      <c r="G84" s="62" t="s">
        <v>82</v>
      </c>
    </row>
    <row r="85" spans="1:7" x14ac:dyDescent="0.25">
      <c r="A85" s="62" t="s">
        <v>78</v>
      </c>
      <c r="B85" s="62" t="str">
        <f>INSCRIPTS!C21</f>
        <v>2C</v>
      </c>
      <c r="C85" s="65"/>
      <c r="D85" s="59" t="s">
        <v>96</v>
      </c>
      <c r="E85" s="65"/>
      <c r="F85" s="62" t="str">
        <f>INSCRIPTS!C24</f>
        <v>5C</v>
      </c>
      <c r="G85" s="62" t="s">
        <v>81</v>
      </c>
    </row>
    <row r="86" spans="1:7" x14ac:dyDescent="0.25">
      <c r="A86" s="62" t="s">
        <v>79</v>
      </c>
      <c r="B86" s="62" t="str">
        <f>INSCRIPTS!C22</f>
        <v>3C</v>
      </c>
      <c r="C86" s="65"/>
      <c r="D86" s="59" t="s">
        <v>101</v>
      </c>
      <c r="E86" s="65"/>
      <c r="F86" s="62" t="str">
        <f>INSCRIPTS!C27</f>
        <v>8C</v>
      </c>
      <c r="G86" s="62" t="s">
        <v>84</v>
      </c>
    </row>
    <row r="87" spans="1:7" x14ac:dyDescent="0.25">
      <c r="A87" s="62" t="s">
        <v>80</v>
      </c>
      <c r="B87" s="62" t="str">
        <f>INSCRIPTS!C23</f>
        <v>4C</v>
      </c>
      <c r="C87" s="65"/>
      <c r="D87" s="59" t="s">
        <v>103</v>
      </c>
      <c r="E87" s="65"/>
      <c r="F87" s="62" t="str">
        <f>INSCRIPTS!C26</f>
        <v>7C</v>
      </c>
      <c r="G87" s="62" t="s">
        <v>83</v>
      </c>
    </row>
    <row r="88" spans="1:7" x14ac:dyDescent="0.25">
      <c r="A88" s="63" t="s">
        <v>85</v>
      </c>
      <c r="B88" s="63" t="str">
        <f>INSCRIPTS!C29</f>
        <v>1D</v>
      </c>
      <c r="C88" s="65"/>
      <c r="D88" s="59" t="s">
        <v>99</v>
      </c>
      <c r="E88" s="65"/>
      <c r="F88" s="63" t="str">
        <f>INSCRIPTS!C34</f>
        <v>6D</v>
      </c>
      <c r="G88" s="63" t="s">
        <v>90</v>
      </c>
    </row>
    <row r="89" spans="1:7" x14ac:dyDescent="0.25">
      <c r="A89" s="57"/>
      <c r="B89" s="57"/>
      <c r="C89" s="64"/>
      <c r="D89" s="58">
        <f>0.562499999999997 + "00:30:00"</f>
        <v>0.58333333333333037</v>
      </c>
      <c r="E89" s="64"/>
      <c r="F89" s="57"/>
      <c r="G89" s="57"/>
    </row>
    <row r="90" spans="1:7" x14ac:dyDescent="0.25">
      <c r="A90" s="63" t="s">
        <v>86</v>
      </c>
      <c r="B90" s="63" t="str">
        <f>INSCRIPTS!C30</f>
        <v>2D</v>
      </c>
      <c r="C90" s="65"/>
      <c r="D90" s="59" t="s">
        <v>100</v>
      </c>
      <c r="E90" s="65"/>
      <c r="F90" s="63" t="str">
        <f>INSCRIPTS!C33</f>
        <v>5D</v>
      </c>
      <c r="G90" s="63" t="s">
        <v>89</v>
      </c>
    </row>
    <row r="91" spans="1:7" x14ac:dyDescent="0.25">
      <c r="A91" s="63" t="s">
        <v>87</v>
      </c>
      <c r="B91" s="63" t="str">
        <f>INSCRIPTS!C31</f>
        <v>3D</v>
      </c>
      <c r="C91" s="65"/>
      <c r="D91" s="59" t="s">
        <v>102</v>
      </c>
      <c r="E91" s="65"/>
      <c r="F91" s="63" t="str">
        <f>INSCRIPTS!C36</f>
        <v>8D</v>
      </c>
      <c r="G91" s="63" t="s">
        <v>92</v>
      </c>
    </row>
    <row r="92" spans="1:7" x14ac:dyDescent="0.25">
      <c r="A92" s="63" t="s">
        <v>88</v>
      </c>
      <c r="B92" s="63" t="str">
        <f>INSCRIPTS!C32</f>
        <v>4D</v>
      </c>
      <c r="C92" s="65"/>
      <c r="D92" s="59" t="s">
        <v>104</v>
      </c>
      <c r="E92" s="65"/>
      <c r="F92" s="63" t="str">
        <f>INSCRIPTS!C35</f>
        <v>7D</v>
      </c>
      <c r="G92" s="63" t="s">
        <v>91</v>
      </c>
    </row>
    <row r="93" spans="1:7" x14ac:dyDescent="0.25">
      <c r="A93" s="60" t="s">
        <v>61</v>
      </c>
      <c r="B93" s="60" t="str">
        <f>INSCRIPTS!C2</f>
        <v>1A</v>
      </c>
      <c r="C93" s="65"/>
      <c r="D93" s="59" t="s">
        <v>96</v>
      </c>
      <c r="E93" s="65"/>
      <c r="F93" s="60" t="str">
        <f>INSCRIPTS!C8</f>
        <v>7A</v>
      </c>
      <c r="G93" s="60" t="s">
        <v>67</v>
      </c>
    </row>
    <row r="94" spans="1:7" x14ac:dyDescent="0.25">
      <c r="A94" s="60" t="s">
        <v>62</v>
      </c>
      <c r="B94" s="60" t="str">
        <f>INSCRIPTS!C3</f>
        <v>2A</v>
      </c>
      <c r="C94" s="65"/>
      <c r="D94" s="59" t="s">
        <v>101</v>
      </c>
      <c r="E94" s="65"/>
      <c r="F94" s="60" t="str">
        <f>INSCRIPTS!C9</f>
        <v>8A</v>
      </c>
      <c r="G94" s="60" t="s">
        <v>68</v>
      </c>
    </row>
    <row r="95" spans="1:7" x14ac:dyDescent="0.25">
      <c r="A95" s="60" t="s">
        <v>63</v>
      </c>
      <c r="B95" s="60" t="str">
        <f>INSCRIPTS!C4</f>
        <v>3A</v>
      </c>
      <c r="C95" s="65"/>
      <c r="D95" s="59" t="s">
        <v>103</v>
      </c>
      <c r="E95" s="65"/>
      <c r="F95" s="60" t="str">
        <f>INSCRIPTS!C6</f>
        <v>5A</v>
      </c>
      <c r="G95" s="60" t="s">
        <v>65</v>
      </c>
    </row>
    <row r="96" spans="1:7" x14ac:dyDescent="0.25">
      <c r="A96" s="60" t="s">
        <v>64</v>
      </c>
      <c r="B96" s="60" t="str">
        <f>INSCRIPTS!C5</f>
        <v>4A</v>
      </c>
      <c r="C96" s="65"/>
      <c r="D96" s="59" t="s">
        <v>105</v>
      </c>
      <c r="E96" s="65"/>
      <c r="F96" s="60" t="str">
        <f>INSCRIPTS!C7</f>
        <v>6A</v>
      </c>
      <c r="G96" s="60" t="s">
        <v>66</v>
      </c>
    </row>
    <row r="97" spans="1:7" x14ac:dyDescent="0.25">
      <c r="A97" s="57"/>
      <c r="B97" s="57"/>
      <c r="C97" s="64"/>
      <c r="D97" s="58">
        <f>0.58333333333333 + "00:30:00"</f>
        <v>0.60416666666666341</v>
      </c>
      <c r="E97" s="64"/>
      <c r="F97" s="57"/>
      <c r="G97" s="57"/>
    </row>
    <row r="98" spans="1:7" x14ac:dyDescent="0.25">
      <c r="A98" s="61" t="s">
        <v>69</v>
      </c>
      <c r="B98" s="61" t="str">
        <f>INSCRIPTS!C11</f>
        <v>1B</v>
      </c>
      <c r="C98" s="65"/>
      <c r="D98" s="59" t="s">
        <v>100</v>
      </c>
      <c r="E98" s="65"/>
      <c r="F98" s="61" t="str">
        <f>INSCRIPTS!C17</f>
        <v>7B</v>
      </c>
      <c r="G98" s="61" t="s">
        <v>75</v>
      </c>
    </row>
    <row r="99" spans="1:7" x14ac:dyDescent="0.25">
      <c r="A99" s="61" t="s">
        <v>70</v>
      </c>
      <c r="B99" s="61" t="str">
        <f>INSCRIPTS!C12</f>
        <v>2B</v>
      </c>
      <c r="C99" s="65"/>
      <c r="D99" s="59" t="s">
        <v>102</v>
      </c>
      <c r="E99" s="65"/>
      <c r="F99" s="61" t="str">
        <f>INSCRIPTS!C18</f>
        <v>8B</v>
      </c>
      <c r="G99" s="61" t="s">
        <v>76</v>
      </c>
    </row>
    <row r="100" spans="1:7" x14ac:dyDescent="0.25">
      <c r="A100" s="61" t="s">
        <v>71</v>
      </c>
      <c r="B100" s="61" t="str">
        <f>INSCRIPTS!C13</f>
        <v>3B</v>
      </c>
      <c r="C100" s="65"/>
      <c r="D100" s="59" t="s">
        <v>104</v>
      </c>
      <c r="E100" s="65"/>
      <c r="F100" s="61" t="str">
        <f>INSCRIPTS!C15</f>
        <v>5B</v>
      </c>
      <c r="G100" s="61" t="s">
        <v>73</v>
      </c>
    </row>
    <row r="101" spans="1:7" x14ac:dyDescent="0.25">
      <c r="A101" s="61" t="s">
        <v>72</v>
      </c>
      <c r="B101" s="61" t="str">
        <f>INSCRIPTS!C14</f>
        <v>4B</v>
      </c>
      <c r="C101" s="65"/>
      <c r="D101" s="59" t="s">
        <v>106</v>
      </c>
      <c r="E101" s="65"/>
      <c r="F101" s="61" t="str">
        <f>INSCRIPTS!C16</f>
        <v>6B</v>
      </c>
      <c r="G101" s="61" t="s">
        <v>74</v>
      </c>
    </row>
    <row r="102" spans="1:7" x14ac:dyDescent="0.25">
      <c r="A102" s="62" t="s">
        <v>77</v>
      </c>
      <c r="B102" s="62" t="str">
        <f>INSCRIPTS!C20</f>
        <v>1C</v>
      </c>
      <c r="C102" s="65"/>
      <c r="D102" s="59" t="s">
        <v>101</v>
      </c>
      <c r="E102" s="65"/>
      <c r="F102" s="62" t="str">
        <f>INSCRIPTS!C26</f>
        <v>7C</v>
      </c>
      <c r="G102" s="62" t="s">
        <v>83</v>
      </c>
    </row>
    <row r="103" spans="1:7" x14ac:dyDescent="0.25">
      <c r="A103" s="62" t="s">
        <v>78</v>
      </c>
      <c r="B103" s="62" t="str">
        <f>INSCRIPTS!C21</f>
        <v>2C</v>
      </c>
      <c r="C103" s="65"/>
      <c r="D103" s="59" t="s">
        <v>103</v>
      </c>
      <c r="E103" s="65"/>
      <c r="F103" s="62" t="str">
        <f>INSCRIPTS!C27</f>
        <v>8C</v>
      </c>
      <c r="G103" s="62" t="s">
        <v>84</v>
      </c>
    </row>
    <row r="104" spans="1:7" x14ac:dyDescent="0.25">
      <c r="A104" s="62" t="s">
        <v>79</v>
      </c>
      <c r="B104" s="62" t="str">
        <f>INSCRIPTS!C22</f>
        <v>3C</v>
      </c>
      <c r="C104" s="65"/>
      <c r="D104" s="59" t="s">
        <v>105</v>
      </c>
      <c r="E104" s="65"/>
      <c r="F104" s="62" t="str">
        <f>INSCRIPTS!C24</f>
        <v>5C</v>
      </c>
      <c r="G104" s="62" t="s">
        <v>81</v>
      </c>
    </row>
    <row r="105" spans="1:7" x14ac:dyDescent="0.25">
      <c r="A105" s="57"/>
      <c r="B105" s="57"/>
      <c r="C105" s="64"/>
      <c r="D105" s="58">
        <f>0.604166666666663 + "00:30:00"</f>
        <v>0.62499999999999634</v>
      </c>
      <c r="E105" s="64"/>
      <c r="F105" s="57"/>
      <c r="G105" s="57"/>
    </row>
    <row r="106" spans="1:7" x14ac:dyDescent="0.25">
      <c r="A106" s="62" t="s">
        <v>80</v>
      </c>
      <c r="B106" s="62" t="str">
        <f>INSCRIPTS!C23</f>
        <v>4C</v>
      </c>
      <c r="C106" s="65"/>
      <c r="D106" s="59" t="s">
        <v>93</v>
      </c>
      <c r="E106" s="65"/>
      <c r="F106" s="62" t="str">
        <f>INSCRIPTS!C25</f>
        <v>6C</v>
      </c>
      <c r="G106" s="62" t="s">
        <v>82</v>
      </c>
    </row>
    <row r="107" spans="1:7" x14ac:dyDescent="0.25">
      <c r="A107" s="63" t="s">
        <v>85</v>
      </c>
      <c r="B107" s="63" t="str">
        <f>INSCRIPTS!C29</f>
        <v>1D</v>
      </c>
      <c r="C107" s="65"/>
      <c r="D107" s="59" t="s">
        <v>102</v>
      </c>
      <c r="E107" s="65"/>
      <c r="F107" s="63" t="str">
        <f>INSCRIPTS!C35</f>
        <v>7D</v>
      </c>
      <c r="G107" s="63" t="s">
        <v>91</v>
      </c>
    </row>
    <row r="108" spans="1:7" x14ac:dyDescent="0.25">
      <c r="A108" s="63" t="s">
        <v>86</v>
      </c>
      <c r="B108" s="63" t="str">
        <f>INSCRIPTS!C30</f>
        <v>2D</v>
      </c>
      <c r="C108" s="65"/>
      <c r="D108" s="59" t="s">
        <v>104</v>
      </c>
      <c r="E108" s="65"/>
      <c r="F108" s="63" t="str">
        <f>INSCRIPTS!C36</f>
        <v>8D</v>
      </c>
      <c r="G108" s="63" t="s">
        <v>92</v>
      </c>
    </row>
    <row r="109" spans="1:7" x14ac:dyDescent="0.25">
      <c r="A109" s="63" t="s">
        <v>87</v>
      </c>
      <c r="B109" s="63" t="str">
        <f>INSCRIPTS!C31</f>
        <v>3D</v>
      </c>
      <c r="C109" s="65"/>
      <c r="D109" s="59" t="s">
        <v>106</v>
      </c>
      <c r="E109" s="65"/>
      <c r="F109" s="63" t="str">
        <f>INSCRIPTS!C33</f>
        <v>5D</v>
      </c>
      <c r="G109" s="63" t="s">
        <v>89</v>
      </c>
    </row>
    <row r="110" spans="1:7" x14ac:dyDescent="0.25">
      <c r="A110" s="63" t="s">
        <v>88</v>
      </c>
      <c r="B110" s="63" t="str">
        <f>INSCRIPTS!C32</f>
        <v>4D</v>
      </c>
      <c r="C110" s="65"/>
      <c r="D110" s="59" t="s">
        <v>97</v>
      </c>
      <c r="E110" s="65"/>
      <c r="F110" s="63" t="str">
        <f>INSCRIPTS!C34</f>
        <v>6D</v>
      </c>
      <c r="G110" s="63" t="s">
        <v>90</v>
      </c>
    </row>
    <row r="111" spans="1:7" x14ac:dyDescent="0.25">
      <c r="A111" s="60" t="s">
        <v>61</v>
      </c>
      <c r="B111" s="60" t="str">
        <f>INSCRIPTS!C2</f>
        <v>1A</v>
      </c>
      <c r="C111" s="65"/>
      <c r="D111" s="59" t="s">
        <v>103</v>
      </c>
      <c r="E111" s="65"/>
      <c r="F111" s="60" t="str">
        <f>INSCRIPTS!C9</f>
        <v>8A</v>
      </c>
      <c r="G111" s="60" t="s">
        <v>68</v>
      </c>
    </row>
    <row r="112" spans="1:7" x14ac:dyDescent="0.25">
      <c r="A112" s="60" t="s">
        <v>62</v>
      </c>
      <c r="B112" s="60" t="str">
        <f>INSCRIPTS!C3</f>
        <v>2A</v>
      </c>
      <c r="C112" s="65"/>
      <c r="D112" s="59" t="s">
        <v>105</v>
      </c>
      <c r="E112" s="65"/>
      <c r="F112" s="60" t="str">
        <f>INSCRIPTS!C8</f>
        <v>7A</v>
      </c>
      <c r="G112" s="60" t="s">
        <v>67</v>
      </c>
    </row>
    <row r="113" spans="1:7" x14ac:dyDescent="0.25">
      <c r="A113" s="57"/>
      <c r="B113" s="57"/>
      <c r="C113" s="64"/>
      <c r="D113" s="58">
        <f>0.624999999999996 + "00:30:00"</f>
        <v>0.64583333333332937</v>
      </c>
      <c r="E113" s="64"/>
      <c r="F113" s="57"/>
      <c r="G113" s="57"/>
    </row>
    <row r="114" spans="1:7" x14ac:dyDescent="0.25">
      <c r="A114" s="60" t="s">
        <v>63</v>
      </c>
      <c r="B114" s="60" t="str">
        <f>INSCRIPTS!C4</f>
        <v>3A</v>
      </c>
      <c r="C114" s="65"/>
      <c r="D114" s="59" t="s">
        <v>93</v>
      </c>
      <c r="E114" s="65"/>
      <c r="F114" s="60" t="str">
        <f>INSCRIPTS!C7</f>
        <v>6A</v>
      </c>
      <c r="G114" s="60" t="s">
        <v>66</v>
      </c>
    </row>
    <row r="115" spans="1:7" x14ac:dyDescent="0.25">
      <c r="A115" s="60" t="s">
        <v>64</v>
      </c>
      <c r="B115" s="60" t="str">
        <f>INSCRIPTS!C5</f>
        <v>4A</v>
      </c>
      <c r="C115" s="65"/>
      <c r="D115" s="59" t="s">
        <v>94</v>
      </c>
      <c r="E115" s="65"/>
      <c r="F115" s="60" t="str">
        <f>INSCRIPTS!C6</f>
        <v>5A</v>
      </c>
      <c r="G115" s="60" t="s">
        <v>65</v>
      </c>
    </row>
    <row r="116" spans="1:7" x14ac:dyDescent="0.25">
      <c r="A116" s="61" t="s">
        <v>69</v>
      </c>
      <c r="B116" s="61" t="str">
        <f>INSCRIPTS!C11</f>
        <v>1B</v>
      </c>
      <c r="C116" s="65"/>
      <c r="D116" s="59" t="s">
        <v>104</v>
      </c>
      <c r="E116" s="65"/>
      <c r="F116" s="61" t="str">
        <f>INSCRIPTS!C18</f>
        <v>8B</v>
      </c>
      <c r="G116" s="61" t="s">
        <v>76</v>
      </c>
    </row>
    <row r="117" spans="1:7" x14ac:dyDescent="0.25">
      <c r="A117" s="61" t="s">
        <v>70</v>
      </c>
      <c r="B117" s="61" t="str">
        <f>INSCRIPTS!C12</f>
        <v>2B</v>
      </c>
      <c r="C117" s="65"/>
      <c r="D117" s="59" t="s">
        <v>106</v>
      </c>
      <c r="E117" s="65"/>
      <c r="F117" s="61" t="str">
        <f>INSCRIPTS!C17</f>
        <v>7B</v>
      </c>
      <c r="G117" s="61" t="s">
        <v>75</v>
      </c>
    </row>
    <row r="118" spans="1:7" x14ac:dyDescent="0.25">
      <c r="A118" s="61" t="s">
        <v>71</v>
      </c>
      <c r="B118" s="61" t="str">
        <f>INSCRIPTS!C13</f>
        <v>3B</v>
      </c>
      <c r="C118" s="65"/>
      <c r="D118" s="59" t="s">
        <v>97</v>
      </c>
      <c r="E118" s="65"/>
      <c r="F118" s="61" t="str">
        <f>INSCRIPTS!C16</f>
        <v>6B</v>
      </c>
      <c r="G118" s="61" t="s">
        <v>74</v>
      </c>
    </row>
    <row r="119" spans="1:7" x14ac:dyDescent="0.25">
      <c r="A119" s="61" t="s">
        <v>72</v>
      </c>
      <c r="B119" s="61" t="str">
        <f>INSCRIPTS!C14</f>
        <v>4B</v>
      </c>
      <c r="C119" s="65"/>
      <c r="D119" s="59" t="s">
        <v>98</v>
      </c>
      <c r="E119" s="65"/>
      <c r="F119" s="61" t="str">
        <f>INSCRIPTS!C15</f>
        <v>5B</v>
      </c>
      <c r="G119" s="61" t="s">
        <v>73</v>
      </c>
    </row>
    <row r="120" spans="1:7" x14ac:dyDescent="0.25">
      <c r="A120" s="62" t="s">
        <v>77</v>
      </c>
      <c r="B120" s="62" t="str">
        <f>INSCRIPTS!C20</f>
        <v>1C</v>
      </c>
      <c r="C120" s="65"/>
      <c r="D120" s="59" t="s">
        <v>105</v>
      </c>
      <c r="E120" s="65"/>
      <c r="F120" s="62" t="str">
        <f>INSCRIPTS!C27</f>
        <v>8C</v>
      </c>
      <c r="G120" s="62" t="s">
        <v>84</v>
      </c>
    </row>
    <row r="121" spans="1:7" x14ac:dyDescent="0.25">
      <c r="A121" s="57"/>
      <c r="B121" s="57"/>
      <c r="C121" s="64"/>
      <c r="D121" s="58">
        <f>0.645833333333329 + "00:30:00"</f>
        <v>0.66666666666666241</v>
      </c>
      <c r="E121" s="64"/>
      <c r="F121" s="57"/>
      <c r="G121" s="57"/>
    </row>
    <row r="122" spans="1:7" x14ac:dyDescent="0.25">
      <c r="A122" s="62" t="s">
        <v>78</v>
      </c>
      <c r="B122" s="62" t="str">
        <f>INSCRIPTS!C21</f>
        <v>2C</v>
      </c>
      <c r="C122" s="65"/>
      <c r="D122" s="59" t="s">
        <v>93</v>
      </c>
      <c r="E122" s="65"/>
      <c r="F122" s="62" t="str">
        <f>INSCRIPTS!C26</f>
        <v>7C</v>
      </c>
      <c r="G122" s="62" t="s">
        <v>83</v>
      </c>
    </row>
    <row r="123" spans="1:7" x14ac:dyDescent="0.25">
      <c r="A123" s="62" t="s">
        <v>79</v>
      </c>
      <c r="B123" s="62" t="str">
        <f>INSCRIPTS!C22</f>
        <v>3C</v>
      </c>
      <c r="C123" s="65"/>
      <c r="D123" s="59" t="s">
        <v>94</v>
      </c>
      <c r="E123" s="65"/>
      <c r="F123" s="62" t="str">
        <f>INSCRIPTS!C25</f>
        <v>6C</v>
      </c>
      <c r="G123" s="62" t="s">
        <v>82</v>
      </c>
    </row>
    <row r="124" spans="1:7" x14ac:dyDescent="0.25">
      <c r="A124" s="62" t="s">
        <v>80</v>
      </c>
      <c r="B124" s="62" t="str">
        <f>INSCRIPTS!C23</f>
        <v>4C</v>
      </c>
      <c r="C124" s="65"/>
      <c r="D124" s="59" t="s">
        <v>95</v>
      </c>
      <c r="E124" s="65"/>
      <c r="F124" s="62" t="str">
        <f>INSCRIPTS!C24</f>
        <v>5C</v>
      </c>
      <c r="G124" s="62" t="s">
        <v>81</v>
      </c>
    </row>
    <row r="125" spans="1:7" x14ac:dyDescent="0.25">
      <c r="A125" s="63" t="s">
        <v>85</v>
      </c>
      <c r="B125" s="63" t="str">
        <f>INSCRIPTS!C29</f>
        <v>1D</v>
      </c>
      <c r="C125" s="65"/>
      <c r="D125" s="59" t="s">
        <v>106</v>
      </c>
      <c r="E125" s="65"/>
      <c r="F125" s="63" t="str">
        <f>INSCRIPTS!C36</f>
        <v>8D</v>
      </c>
      <c r="G125" s="63" t="s">
        <v>92</v>
      </c>
    </row>
    <row r="126" spans="1:7" x14ac:dyDescent="0.25">
      <c r="A126" s="63" t="s">
        <v>86</v>
      </c>
      <c r="B126" s="63" t="str">
        <f>INSCRIPTS!C30</f>
        <v>2D</v>
      </c>
      <c r="C126" s="65"/>
      <c r="D126" s="59" t="s">
        <v>97</v>
      </c>
      <c r="E126" s="65"/>
      <c r="F126" s="63" t="str">
        <f>INSCRIPTS!C35</f>
        <v>7D</v>
      </c>
      <c r="G126" s="63" t="s">
        <v>91</v>
      </c>
    </row>
    <row r="127" spans="1:7" x14ac:dyDescent="0.25">
      <c r="A127" s="63" t="s">
        <v>87</v>
      </c>
      <c r="B127" s="63" t="str">
        <f>INSCRIPTS!C31</f>
        <v>3D</v>
      </c>
      <c r="C127" s="65"/>
      <c r="D127" s="59" t="s">
        <v>98</v>
      </c>
      <c r="E127" s="65"/>
      <c r="F127" s="63" t="str">
        <f>INSCRIPTS!C34</f>
        <v>6D</v>
      </c>
      <c r="G127" s="63" t="s">
        <v>90</v>
      </c>
    </row>
    <row r="128" spans="1:7" x14ac:dyDescent="0.25">
      <c r="A128" s="63" t="s">
        <v>88</v>
      </c>
      <c r="B128" s="63" t="str">
        <f>INSCRIPTS!C32</f>
        <v>4D</v>
      </c>
      <c r="C128" s="65"/>
      <c r="D128" s="59" t="s">
        <v>99</v>
      </c>
      <c r="E128" s="65"/>
      <c r="F128" s="63" t="str">
        <f>INSCRIPTS!C33</f>
        <v>5D</v>
      </c>
      <c r="G128" s="63" t="s">
        <v>89</v>
      </c>
    </row>
    <row r="129" spans="1:7" x14ac:dyDescent="0.25">
      <c r="A129" s="57"/>
      <c r="B129" s="57"/>
      <c r="C129" s="64"/>
      <c r="D129" s="58">
        <f>0.666666666666662 + "00:30:00"</f>
        <v>0.68749999999999534</v>
      </c>
      <c r="E129" s="64"/>
      <c r="F129" s="57"/>
      <c r="G129" s="57"/>
    </row>
    <row r="137" spans="1:7" x14ac:dyDescent="0.25">
      <c r="D137" s="42">
        <f>0.687499999999995 + "00:30:00"</f>
        <v>0.70833333333332837</v>
      </c>
    </row>
    <row r="145" spans="4:4" x14ac:dyDescent="0.25">
      <c r="D145" s="42">
        <f>0.708333333333328 + "00:30:00"</f>
        <v>0.72916666666666141</v>
      </c>
    </row>
    <row r="153" spans="4:4" x14ac:dyDescent="0.25">
      <c r="D153" s="42">
        <f>0.729166666666661 + "00:30:00"</f>
        <v>0.74999999999999434</v>
      </c>
    </row>
    <row r="161" spans="4:4" x14ac:dyDescent="0.25">
      <c r="D161" s="42">
        <f>0.749999999999994 + "00:30:00"</f>
        <v>0.77083333333332738</v>
      </c>
    </row>
    <row r="169" spans="4:4" x14ac:dyDescent="0.25">
      <c r="D169" s="42">
        <f>0.770833333333327 + "00:30:00"</f>
        <v>0.79166666666666041</v>
      </c>
    </row>
    <row r="177" spans="4:4" x14ac:dyDescent="0.25">
      <c r="D177" s="42">
        <f>0.79166666666666 + "00:30:00"</f>
        <v>0.81249999999999334</v>
      </c>
    </row>
    <row r="185" spans="4:4" x14ac:dyDescent="0.25">
      <c r="D185" s="42">
        <f>0.812499999999993 + "00:30:00"</f>
        <v>0.83333333333332638</v>
      </c>
    </row>
    <row r="193" spans="4:4" x14ac:dyDescent="0.25">
      <c r="D193" s="42">
        <f>0.833333333333326 + "00:30:00"</f>
        <v>0.85416666666665941</v>
      </c>
    </row>
    <row r="201" spans="4:4" x14ac:dyDescent="0.25">
      <c r="D201" s="42">
        <f>0.854166666666659 + "00:30:00"</f>
        <v>0.87499999999999234</v>
      </c>
    </row>
    <row r="209" spans="4:4" x14ac:dyDescent="0.25">
      <c r="D209" s="42">
        <f>0.874999999999992 + "00:30:00"</f>
        <v>0.89583333333332538</v>
      </c>
    </row>
    <row r="217" spans="4:4" x14ac:dyDescent="0.25">
      <c r="D217" s="42">
        <f>0.895833333333325 + "00:30:00"</f>
        <v>0.91666666666665841</v>
      </c>
    </row>
    <row r="225" spans="4:4" x14ac:dyDescent="0.25">
      <c r="D225" s="42">
        <f>0.916666666666658 + "00:30:00"</f>
        <v>0.93749999999999134</v>
      </c>
    </row>
    <row r="233" spans="4:4" x14ac:dyDescent="0.25">
      <c r="D233" s="42">
        <f>0.937499999999991 + "00:30:00"</f>
        <v>0.95833333333332438</v>
      </c>
    </row>
    <row r="241" spans="4:4" x14ac:dyDescent="0.25">
      <c r="D241" s="42">
        <f>0.958333333333324 + "00:30:00"</f>
        <v>0.97916666666665741</v>
      </c>
    </row>
    <row r="249" spans="4:4" x14ac:dyDescent="0.25">
      <c r="D249" s="42">
        <f>0.979166666666657 + "00:30:00"</f>
        <v>0.99999999999999034</v>
      </c>
    </row>
    <row r="257" spans="4:4" x14ac:dyDescent="0.25">
      <c r="D257" s="42">
        <f>0.99999999999999 + "00:30:00"</f>
        <v>1.0208333333333233</v>
      </c>
    </row>
    <row r="265" spans="4:4" x14ac:dyDescent="0.25">
      <c r="D265" s="42">
        <f>1.02083333333332 + "00:30:00"</f>
        <v>1.0416666666666532</v>
      </c>
    </row>
    <row r="273" spans="4:4" x14ac:dyDescent="0.25">
      <c r="D273" s="42">
        <f>1.04166666666665 + "00:30:00"</f>
        <v>1.0624999999999833</v>
      </c>
    </row>
    <row r="281" spans="4:4" x14ac:dyDescent="0.25">
      <c r="D281" s="42">
        <f>1.06249999999998 + "00:30:00"</f>
        <v>1.0833333333333133</v>
      </c>
    </row>
    <row r="289" spans="4:4" x14ac:dyDescent="0.25">
      <c r="D289" s="42">
        <f>1.08333333333331 + "00:30:00"</f>
        <v>1.1041666666666432</v>
      </c>
    </row>
    <row r="297" spans="4:4" x14ac:dyDescent="0.25">
      <c r="D297" s="42">
        <f>1.10416666666664 + "00:30:00"</f>
        <v>1.1249999999999734</v>
      </c>
    </row>
    <row r="305" spans="4:4" x14ac:dyDescent="0.25">
      <c r="D305" s="42">
        <f>1.12499999999997 + "00:30:00"</f>
        <v>1.1458333333333033</v>
      </c>
    </row>
    <row r="313" spans="4:4" x14ac:dyDescent="0.25">
      <c r="D313" s="42">
        <f>1.1458333333333 + "00:30:00"</f>
        <v>1.1666666666666332</v>
      </c>
    </row>
    <row r="321" spans="4:4" x14ac:dyDescent="0.25">
      <c r="D321" s="42">
        <f>1.16666666666663 + "00:30:00"</f>
        <v>1.1874999999999634</v>
      </c>
    </row>
    <row r="329" spans="4:4" x14ac:dyDescent="0.25">
      <c r="D329" s="42">
        <f>1.18749999999996 + "00:30:00"</f>
        <v>1.2083333333332933</v>
      </c>
    </row>
    <row r="337" spans="4:4" x14ac:dyDescent="0.25">
      <c r="D337" s="42">
        <f>1.20833333333329 + "00:30:00"</f>
        <v>1.2291666666666232</v>
      </c>
    </row>
    <row r="345" spans="4:4" x14ac:dyDescent="0.25">
      <c r="D345" s="42">
        <f>1.22916666666662 + "00:30:00"</f>
        <v>1.2499999999999531</v>
      </c>
    </row>
    <row r="353" spans="4:4" x14ac:dyDescent="0.25">
      <c r="D353" s="42">
        <f>1.24999999999995 + "00:30:00"</f>
        <v>1.2708333333332833</v>
      </c>
    </row>
    <row r="361" spans="4:4" x14ac:dyDescent="0.25">
      <c r="D361" s="42">
        <f>1.27083333333328 + "00:30:00"</f>
        <v>1.2916666666666132</v>
      </c>
    </row>
    <row r="369" spans="4:4" x14ac:dyDescent="0.25">
      <c r="D369" s="42">
        <f>1.29166666666661 + "00:30:00"</f>
        <v>1.3124999999999432</v>
      </c>
    </row>
    <row r="377" spans="4:4" x14ac:dyDescent="0.25">
      <c r="D377" s="42">
        <f>1.31249999999994 + "00:30:00"</f>
        <v>1.3333333333332733</v>
      </c>
    </row>
    <row r="385" spans="4:4" x14ac:dyDescent="0.25">
      <c r="D385" s="42">
        <f>1.33333333333327 + "00:30:00"</f>
        <v>1.3541666666666032</v>
      </c>
    </row>
    <row r="393" spans="4:4" x14ac:dyDescent="0.25">
      <c r="D393" s="42">
        <f>1.3541666666666 + "00:30:00"</f>
        <v>1.3749999999999332</v>
      </c>
    </row>
    <row r="401" spans="4:4" x14ac:dyDescent="0.25">
      <c r="D401" s="42">
        <f>1.37499999999993 + "00:30:00"</f>
        <v>1.3958333333332633</v>
      </c>
    </row>
    <row r="409" spans="4:4" x14ac:dyDescent="0.25">
      <c r="D409" s="42">
        <f>1.39583333333326 + "00:30:00"</f>
        <v>1.4166666666665932</v>
      </c>
    </row>
    <row r="417" spans="4:4" x14ac:dyDescent="0.25">
      <c r="D417" s="42">
        <f>1.41666666666659 + "00:30:00"</f>
        <v>1.4374999999999232</v>
      </c>
    </row>
    <row r="425" spans="4:4" x14ac:dyDescent="0.25">
      <c r="D425" s="42">
        <f>1.43749999999992 + "00:30:00"</f>
        <v>1.4583333333332533</v>
      </c>
    </row>
    <row r="433" spans="4:4" x14ac:dyDescent="0.25">
      <c r="D433" s="42">
        <f>1.45833333333325 + "00:30:00"</f>
        <v>1.4791666666665833</v>
      </c>
    </row>
    <row r="441" spans="4:4" x14ac:dyDescent="0.25">
      <c r="D441" s="42">
        <f>1.47916666666658 + "00:30:00"</f>
        <v>1.4999999999999132</v>
      </c>
    </row>
    <row r="449" spans="4:4" x14ac:dyDescent="0.25">
      <c r="D449" s="42">
        <f>1.49999999999991 + "00:30:00"</f>
        <v>1.5208333333332433</v>
      </c>
    </row>
    <row r="457" spans="4:4" x14ac:dyDescent="0.25">
      <c r="D457" s="42">
        <f>1.52083333333324 + "00:30:00"</f>
        <v>1.5416666666665733</v>
      </c>
    </row>
    <row r="465" spans="4:4" x14ac:dyDescent="0.25">
      <c r="D465" s="42">
        <f>1.54166666666657 + "00:30:00"</f>
        <v>1.5624999999999032</v>
      </c>
    </row>
    <row r="473" spans="4:4" x14ac:dyDescent="0.25">
      <c r="D473" s="42">
        <f>1.5624999999999 + "00:30:00"</f>
        <v>1.5833333333332333</v>
      </c>
    </row>
    <row r="481" spans="4:4" x14ac:dyDescent="0.25">
      <c r="D481" s="42">
        <f>1.58333333333323 + "00:30:00"</f>
        <v>1.6041666666665633</v>
      </c>
    </row>
    <row r="489" spans="4:4" x14ac:dyDescent="0.25">
      <c r="D489" s="42">
        <f>1.60416666666656 + "00:30:00"</f>
        <v>1.6249999999998932</v>
      </c>
    </row>
    <row r="497" spans="4:4" x14ac:dyDescent="0.25">
      <c r="D497" s="42">
        <f>1.62499999999989 + "00:30:00"</f>
        <v>1.6458333333332233</v>
      </c>
    </row>
    <row r="505" spans="4:4" x14ac:dyDescent="0.25">
      <c r="D505" s="42">
        <f>1.64583333333322 + "00:30:00"</f>
        <v>1.6666666666665533</v>
      </c>
    </row>
    <row r="513" spans="4:4" x14ac:dyDescent="0.25">
      <c r="D513" s="42">
        <f>1.66666666666655 + "00:30:00"</f>
        <v>1.6874999999998832</v>
      </c>
    </row>
    <row r="521" spans="4:4" x14ac:dyDescent="0.25">
      <c r="D521" s="42">
        <f>1.68749999999988 + "00:30:00"</f>
        <v>1.7083333333332134</v>
      </c>
    </row>
    <row r="529" spans="4:4" x14ac:dyDescent="0.25">
      <c r="D529" s="42">
        <f>1.70833333333321 + "00:30:00"</f>
        <v>1.7291666666665433</v>
      </c>
    </row>
    <row r="537" spans="4:4" x14ac:dyDescent="0.25">
      <c r="D537" s="42">
        <f>1.72916666666654 + "00:30:00"</f>
        <v>1.7499999999998732</v>
      </c>
    </row>
    <row r="545" spans="4:4" x14ac:dyDescent="0.25">
      <c r="D545" s="42">
        <f>1.74999999999987 + "00:30:00"</f>
        <v>1.7708333333332034</v>
      </c>
    </row>
    <row r="553" spans="4:4" x14ac:dyDescent="0.25">
      <c r="D553" s="42">
        <f>1.7708333333332 + "00:30:00"</f>
        <v>1.7916666666665333</v>
      </c>
    </row>
    <row r="561" spans="4:4" x14ac:dyDescent="0.25">
      <c r="D561" s="42">
        <f>1.79166666666653 + "00:30:00"</f>
        <v>1.8124999999998632</v>
      </c>
    </row>
    <row r="569" spans="4:4" x14ac:dyDescent="0.25">
      <c r="D569" s="42">
        <f>1.81249999999986 + "00:30:00"</f>
        <v>1.8333333333331931</v>
      </c>
    </row>
    <row r="577" spans="4:4" x14ac:dyDescent="0.25">
      <c r="D577" s="42">
        <f>1.83333333333319 + "00:30:00"</f>
        <v>1.8541666666665233</v>
      </c>
    </row>
    <row r="585" spans="4:4" x14ac:dyDescent="0.25">
      <c r="D585" s="42">
        <f>1.85416666666652 + "00:30:00"</f>
        <v>1.8749999999998532</v>
      </c>
    </row>
    <row r="593" spans="4:4" x14ac:dyDescent="0.25">
      <c r="D593" s="42">
        <f>1.87499999999985 + "00:30:00"</f>
        <v>1.8958333333331832</v>
      </c>
    </row>
    <row r="601" spans="4:4" x14ac:dyDescent="0.25">
      <c r="D601" s="42">
        <f>1.89583333333318 + "00:30:00"</f>
        <v>1.9166666666665133</v>
      </c>
    </row>
    <row r="609" spans="4:4" x14ac:dyDescent="0.25">
      <c r="D609" s="42">
        <f>1.91666666666651 + "00:30:00"</f>
        <v>1.9374999999998432</v>
      </c>
    </row>
    <row r="617" spans="4:4" x14ac:dyDescent="0.25">
      <c r="D617" s="42">
        <f>1.93749999999984 + "00:30:00"</f>
        <v>1.9583333333331732</v>
      </c>
    </row>
    <row r="625" spans="4:4" x14ac:dyDescent="0.25">
      <c r="D625" s="42">
        <f>1.95833333333317 + "00:30:00"</f>
        <v>1.9791666666665033</v>
      </c>
    </row>
    <row r="633" spans="4:4" x14ac:dyDescent="0.25">
      <c r="D633" s="42">
        <f>1.9791666666665 + "00:30:00"</f>
        <v>1.9999999999998332</v>
      </c>
    </row>
    <row r="641" spans="4:4" x14ac:dyDescent="0.25">
      <c r="D641" s="42">
        <f>1.99999999999983 + "00:30:00"</f>
        <v>2.0208333333331634</v>
      </c>
    </row>
    <row r="649" spans="4:4" x14ac:dyDescent="0.25">
      <c r="D649" s="42">
        <f>2.02083333333316 + "00:30:00"</f>
        <v>2.0416666666664933</v>
      </c>
    </row>
    <row r="657" spans="4:4" x14ac:dyDescent="0.25">
      <c r="D657" s="42">
        <f>2.04166666666649 + "00:30:00"</f>
        <v>2.0624999999998237</v>
      </c>
    </row>
    <row r="665" spans="4:4" x14ac:dyDescent="0.25">
      <c r="D665" s="42">
        <f>2.06249999999982 + "00:30:00"</f>
        <v>2.0833333333331536</v>
      </c>
    </row>
    <row r="673" spans="4:4" x14ac:dyDescent="0.25">
      <c r="D673" s="42">
        <f>2.08333333333315 + "00:30:00"</f>
        <v>2.1041666666664836</v>
      </c>
    </row>
    <row r="681" spans="4:4" x14ac:dyDescent="0.25">
      <c r="D681" s="42">
        <f>2.10416666666648 + "00:30:00"</f>
        <v>2.1249999999998135</v>
      </c>
    </row>
    <row r="689" spans="4:4" x14ac:dyDescent="0.25">
      <c r="D689" s="42">
        <f>2.12499999999981 + "00:30:00"</f>
        <v>2.1458333333331434</v>
      </c>
    </row>
    <row r="697" spans="4:4" x14ac:dyDescent="0.25">
      <c r="D697" s="42">
        <f>2.14583333333314 + "00:30:00"</f>
        <v>2.1666666666664733</v>
      </c>
    </row>
    <row r="705" spans="4:4" x14ac:dyDescent="0.25">
      <c r="D705" s="42">
        <f>2.16666666666647 + "00:30:00"</f>
        <v>2.1874999999998033</v>
      </c>
    </row>
    <row r="713" spans="4:4" x14ac:dyDescent="0.25">
      <c r="D713" s="42">
        <f>2.1874999999998 + "00:30:00"</f>
        <v>2.2083333333331336</v>
      </c>
    </row>
    <row r="721" spans="4:4" x14ac:dyDescent="0.25">
      <c r="D721" s="42">
        <f>2.20833333333313 + "00:30:00"</f>
        <v>2.2291666666664636</v>
      </c>
    </row>
    <row r="729" spans="4:4" x14ac:dyDescent="0.25">
      <c r="D729" s="42">
        <f>2.22916666666646 + "00:30:00"</f>
        <v>2.2499999999997935</v>
      </c>
    </row>
    <row r="737" spans="4:4" x14ac:dyDescent="0.25">
      <c r="D737" s="42">
        <f>2.24999999999979 + "00:30:00"</f>
        <v>2.2708333333331234</v>
      </c>
    </row>
    <row r="745" spans="4:4" x14ac:dyDescent="0.25">
      <c r="D745" s="42">
        <f>2.27083333333312 + "00:30:00"</f>
        <v>2.2916666666664534</v>
      </c>
    </row>
    <row r="753" spans="4:4" x14ac:dyDescent="0.25">
      <c r="D753" s="42">
        <f>2.29166666666645 + "00:30:00"</f>
        <v>2.3124999999997833</v>
      </c>
    </row>
    <row r="761" spans="4:4" x14ac:dyDescent="0.25">
      <c r="D761" s="42">
        <f>2.31249999999978 + "00:30:00"</f>
        <v>2.3333333333331137</v>
      </c>
    </row>
    <row r="769" spans="4:4" x14ac:dyDescent="0.25">
      <c r="D769" s="42">
        <f>2.33333333333311 + "00:30:00"</f>
        <v>2.3541666666664436</v>
      </c>
    </row>
    <row r="777" spans="4:4" x14ac:dyDescent="0.25">
      <c r="D777" s="42">
        <f>2.35416666666644 + "00:30:00"</f>
        <v>2.3749999999997735</v>
      </c>
    </row>
    <row r="785" spans="4:4" x14ac:dyDescent="0.25">
      <c r="D785" s="42">
        <f>2.37499999999977 + "00:30:00"</f>
        <v>2.3958333333331034</v>
      </c>
    </row>
    <row r="793" spans="4:4" x14ac:dyDescent="0.25">
      <c r="D793" s="42">
        <f>2.3958333333331 + "00:30:00"</f>
        <v>2.4166666666664334</v>
      </c>
    </row>
    <row r="801" spans="4:4" x14ac:dyDescent="0.25">
      <c r="D801" s="42">
        <f>2.41666666666643 + "00:30:00"</f>
        <v>2.4374999999997633</v>
      </c>
    </row>
    <row r="809" spans="4:4" x14ac:dyDescent="0.25">
      <c r="D809" s="42">
        <f>2.43749999999976 + "00:30:00"</f>
        <v>2.4583333333330937</v>
      </c>
    </row>
    <row r="817" spans="4:4" x14ac:dyDescent="0.25">
      <c r="D817" s="42">
        <f>2.45833333333309 + "00:30:00"</f>
        <v>2.4791666666664236</v>
      </c>
    </row>
    <row r="825" spans="4:4" x14ac:dyDescent="0.25">
      <c r="D825" s="42">
        <f>2.47916666666642 + "00:30:00"</f>
        <v>2.4999999999997535</v>
      </c>
    </row>
    <row r="833" spans="4:4" x14ac:dyDescent="0.25">
      <c r="D833" s="42">
        <f>2.49999999999975 + "00:30:00"</f>
        <v>2.5208333333330835</v>
      </c>
    </row>
    <row r="841" spans="4:4" x14ac:dyDescent="0.25">
      <c r="D841" s="42">
        <f>2.52083333333308 + "00:30:00"</f>
        <v>2.5416666666664134</v>
      </c>
    </row>
    <row r="849" spans="4:4" x14ac:dyDescent="0.25">
      <c r="D849" s="42">
        <f>2.54166666666641 + "00:30:00"</f>
        <v>2.5624999999997433</v>
      </c>
    </row>
    <row r="857" spans="4:4" x14ac:dyDescent="0.25">
      <c r="D857" s="42">
        <f>2.56249999999974 + "00:30:00"</f>
        <v>2.5833333333330737</v>
      </c>
    </row>
    <row r="865" spans="4:4" x14ac:dyDescent="0.25">
      <c r="D865" s="42">
        <f>2.58333333333307 + "00:30:00"</f>
        <v>2.6041666666664036</v>
      </c>
    </row>
    <row r="873" spans="4:4" x14ac:dyDescent="0.25">
      <c r="D873" s="42">
        <f>2.6041666666664 + "00:30:00"</f>
        <v>2.6249999999997335</v>
      </c>
    </row>
    <row r="881" spans="4:4" x14ac:dyDescent="0.25">
      <c r="D881" s="42">
        <f>2.62499999999973 + "00:30:00"</f>
        <v>2.6458333333330635</v>
      </c>
    </row>
    <row r="889" spans="4:4" x14ac:dyDescent="0.25">
      <c r="D889" s="42">
        <f>2.64583333333306 + "00:30:00"</f>
        <v>2.6666666666663934</v>
      </c>
    </row>
  </sheetData>
  <conditionalFormatting sqref="C2">
    <cfRule type="expression" dxfId="639" priority="448">
      <formula>$C2&gt;$E2</formula>
    </cfRule>
    <cfRule type="expression" dxfId="638" priority="447">
      <formula>$C2&lt;$E2</formula>
    </cfRule>
  </conditionalFormatting>
  <conditionalFormatting sqref="E2">
    <cfRule type="expression" dxfId="637" priority="446">
      <formula>$C2&lt;$E2</formula>
    </cfRule>
    <cfRule type="expression" dxfId="636" priority="445">
      <formula>$C2&gt;$E2</formula>
    </cfRule>
  </conditionalFormatting>
  <conditionalFormatting sqref="C3">
    <cfRule type="expression" dxfId="635" priority="444">
      <formula>$C3&gt;$E3</formula>
    </cfRule>
    <cfRule type="expression" dxfId="634" priority="443">
      <formula>$C3&lt;$E3</formula>
    </cfRule>
  </conditionalFormatting>
  <conditionalFormatting sqref="E3">
    <cfRule type="expression" dxfId="633" priority="442">
      <formula>$C3&lt;$E3</formula>
    </cfRule>
    <cfRule type="expression" dxfId="632" priority="441">
      <formula>$C3&gt;$E3</formula>
    </cfRule>
  </conditionalFormatting>
  <conditionalFormatting sqref="C4">
    <cfRule type="expression" dxfId="631" priority="440">
      <formula>$C4&gt;$E4</formula>
    </cfRule>
    <cfRule type="expression" dxfId="630" priority="439">
      <formula>$C4&lt;$E4</formula>
    </cfRule>
  </conditionalFormatting>
  <conditionalFormatting sqref="E4">
    <cfRule type="expression" dxfId="629" priority="438">
      <formula>$C4&lt;$E4</formula>
    </cfRule>
    <cfRule type="expression" dxfId="628" priority="437">
      <formula>$C4&gt;$E4</formula>
    </cfRule>
  </conditionalFormatting>
  <conditionalFormatting sqref="C5">
    <cfRule type="expression" dxfId="627" priority="436">
      <formula>$C5&gt;$E5</formula>
    </cfRule>
    <cfRule type="expression" dxfId="626" priority="435">
      <formula>$C5&lt;$E5</formula>
    </cfRule>
  </conditionalFormatting>
  <conditionalFormatting sqref="E5">
    <cfRule type="expression" dxfId="625" priority="434">
      <formula>$C5&lt;$E5</formula>
    </cfRule>
    <cfRule type="expression" dxfId="624" priority="433">
      <formula>$C5&gt;$E5</formula>
    </cfRule>
  </conditionalFormatting>
  <conditionalFormatting sqref="C6">
    <cfRule type="expression" dxfId="623" priority="432">
      <formula>$C6&gt;$E6</formula>
    </cfRule>
    <cfRule type="expression" dxfId="622" priority="431">
      <formula>$C6&lt;$E6</formula>
    </cfRule>
  </conditionalFormatting>
  <conditionalFormatting sqref="E6">
    <cfRule type="expression" dxfId="621" priority="430">
      <formula>$C6&lt;$E6</formula>
    </cfRule>
    <cfRule type="expression" dxfId="620" priority="429">
      <formula>$C6&gt;$E6</formula>
    </cfRule>
  </conditionalFormatting>
  <conditionalFormatting sqref="C7">
    <cfRule type="expression" dxfId="619" priority="428">
      <formula>$C7&gt;$E7</formula>
    </cfRule>
    <cfRule type="expression" dxfId="618" priority="427">
      <formula>$C7&lt;$E7</formula>
    </cfRule>
  </conditionalFormatting>
  <conditionalFormatting sqref="E7">
    <cfRule type="expression" dxfId="617" priority="426">
      <formula>$C7&lt;$E7</formula>
    </cfRule>
    <cfRule type="expression" dxfId="616" priority="425">
      <formula>$C7&gt;$E7</formula>
    </cfRule>
  </conditionalFormatting>
  <conditionalFormatting sqref="C8">
    <cfRule type="expression" dxfId="615" priority="424">
      <formula>$C8&gt;$E8</formula>
    </cfRule>
    <cfRule type="expression" dxfId="614" priority="423">
      <formula>$C8&lt;$E8</formula>
    </cfRule>
  </conditionalFormatting>
  <conditionalFormatting sqref="E8">
    <cfRule type="expression" dxfId="613" priority="422">
      <formula>$C8&lt;$E8</formula>
    </cfRule>
    <cfRule type="expression" dxfId="612" priority="421">
      <formula>$C8&gt;$E8</formula>
    </cfRule>
  </conditionalFormatting>
  <conditionalFormatting sqref="C10">
    <cfRule type="expression" dxfId="611" priority="420">
      <formula>$C10&gt;$E10</formula>
    </cfRule>
    <cfRule type="expression" dxfId="610" priority="419">
      <formula>$C10&lt;$E10</formula>
    </cfRule>
  </conditionalFormatting>
  <conditionalFormatting sqref="E10">
    <cfRule type="expression" dxfId="609" priority="418">
      <formula>$C10&lt;$E10</formula>
    </cfRule>
    <cfRule type="expression" dxfId="608" priority="417">
      <formula>$C10&gt;$E10</formula>
    </cfRule>
  </conditionalFormatting>
  <conditionalFormatting sqref="C11">
    <cfRule type="expression" dxfId="607" priority="416">
      <formula>$C11&gt;$E11</formula>
    </cfRule>
    <cfRule type="expression" dxfId="606" priority="415">
      <formula>$C11&lt;$E11</formula>
    </cfRule>
  </conditionalFormatting>
  <conditionalFormatting sqref="E11">
    <cfRule type="expression" dxfId="605" priority="414">
      <formula>$C11&lt;$E11</formula>
    </cfRule>
    <cfRule type="expression" dxfId="604" priority="413">
      <formula>$C11&gt;$E11</formula>
    </cfRule>
  </conditionalFormatting>
  <conditionalFormatting sqref="C12">
    <cfRule type="expression" dxfId="603" priority="412">
      <formula>$C12&gt;$E12</formula>
    </cfRule>
    <cfRule type="expression" dxfId="602" priority="411">
      <formula>$C12&lt;$E12</formula>
    </cfRule>
  </conditionalFormatting>
  <conditionalFormatting sqref="E12">
    <cfRule type="expression" dxfId="601" priority="410">
      <formula>$C12&lt;$E12</formula>
    </cfRule>
    <cfRule type="expression" dxfId="600" priority="409">
      <formula>$C12&gt;$E12</formula>
    </cfRule>
  </conditionalFormatting>
  <conditionalFormatting sqref="C13">
    <cfRule type="expression" dxfId="599" priority="408">
      <formula>$C13&gt;$E13</formula>
    </cfRule>
  </conditionalFormatting>
  <conditionalFormatting sqref="C13">
    <cfRule type="expression" dxfId="598" priority="407">
      <formula>$C13&lt;$E13</formula>
    </cfRule>
  </conditionalFormatting>
  <conditionalFormatting sqref="E13">
    <cfRule type="expression" dxfId="597" priority="406">
      <formula>$C13&lt;$E13</formula>
    </cfRule>
  </conditionalFormatting>
  <conditionalFormatting sqref="E13">
    <cfRule type="expression" dxfId="596" priority="405">
      <formula>$C13&gt;$E13</formula>
    </cfRule>
  </conditionalFormatting>
  <conditionalFormatting sqref="C14">
    <cfRule type="expression" dxfId="595" priority="404">
      <formula>$C14&gt;$E14</formula>
    </cfRule>
  </conditionalFormatting>
  <conditionalFormatting sqref="C14">
    <cfRule type="expression" dxfId="594" priority="403">
      <formula>$C14&lt;$E14</formula>
    </cfRule>
  </conditionalFormatting>
  <conditionalFormatting sqref="E14">
    <cfRule type="expression" dxfId="593" priority="402">
      <formula>$C14&lt;$E14</formula>
    </cfRule>
  </conditionalFormatting>
  <conditionalFormatting sqref="E14">
    <cfRule type="expression" dxfId="592" priority="401">
      <formula>$C14&gt;$E14</formula>
    </cfRule>
  </conditionalFormatting>
  <conditionalFormatting sqref="C15">
    <cfRule type="expression" dxfId="591" priority="400">
      <formula>$C15&gt;$E15</formula>
    </cfRule>
  </conditionalFormatting>
  <conditionalFormatting sqref="C15">
    <cfRule type="expression" dxfId="590" priority="399">
      <formula>$C15&lt;$E15</formula>
    </cfRule>
  </conditionalFormatting>
  <conditionalFormatting sqref="E15">
    <cfRule type="expression" dxfId="589" priority="398">
      <formula>$C15&lt;$E15</formula>
    </cfRule>
  </conditionalFormatting>
  <conditionalFormatting sqref="E15">
    <cfRule type="expression" dxfId="588" priority="397">
      <formula>$C15&gt;$E15</formula>
    </cfRule>
  </conditionalFormatting>
  <conditionalFormatting sqref="C16">
    <cfRule type="expression" dxfId="587" priority="396">
      <formula>$C16&gt;$E16</formula>
    </cfRule>
  </conditionalFormatting>
  <conditionalFormatting sqref="C16">
    <cfRule type="expression" dxfId="586" priority="395">
      <formula>$C16&lt;$E16</formula>
    </cfRule>
  </conditionalFormatting>
  <conditionalFormatting sqref="E16">
    <cfRule type="expression" dxfId="585" priority="394">
      <formula>$C16&lt;$E16</formula>
    </cfRule>
  </conditionalFormatting>
  <conditionalFormatting sqref="E16">
    <cfRule type="expression" dxfId="584" priority="393">
      <formula>$C16&gt;$E16</formula>
    </cfRule>
  </conditionalFormatting>
  <conditionalFormatting sqref="C18">
    <cfRule type="expression" dxfId="583" priority="392">
      <formula>$C18&gt;$E18</formula>
    </cfRule>
  </conditionalFormatting>
  <conditionalFormatting sqref="C18">
    <cfRule type="expression" dxfId="582" priority="391">
      <formula>$C18&lt;$E18</formula>
    </cfRule>
  </conditionalFormatting>
  <conditionalFormatting sqref="E18">
    <cfRule type="expression" dxfId="581" priority="390">
      <formula>$C18&lt;$E18</formula>
    </cfRule>
  </conditionalFormatting>
  <conditionalFormatting sqref="E18">
    <cfRule type="expression" dxfId="580" priority="389">
      <formula>$C18&gt;$E18</formula>
    </cfRule>
  </conditionalFormatting>
  <conditionalFormatting sqref="C19">
    <cfRule type="expression" dxfId="579" priority="388">
      <formula>$C19&gt;$E19</formula>
    </cfRule>
  </conditionalFormatting>
  <conditionalFormatting sqref="C19">
    <cfRule type="expression" dxfId="578" priority="387">
      <formula>$C19&lt;$E19</formula>
    </cfRule>
  </conditionalFormatting>
  <conditionalFormatting sqref="E19">
    <cfRule type="expression" dxfId="577" priority="386">
      <formula>$C19&lt;$E19</formula>
    </cfRule>
  </conditionalFormatting>
  <conditionalFormatting sqref="E19">
    <cfRule type="expression" dxfId="576" priority="385">
      <formula>$C19&gt;$E19</formula>
    </cfRule>
  </conditionalFormatting>
  <conditionalFormatting sqref="C20">
    <cfRule type="expression" dxfId="575" priority="384">
      <formula>$C20&gt;$E20</formula>
    </cfRule>
  </conditionalFormatting>
  <conditionalFormatting sqref="C20">
    <cfRule type="expression" dxfId="574" priority="383">
      <formula>$C20&lt;$E20</formula>
    </cfRule>
  </conditionalFormatting>
  <conditionalFormatting sqref="E20">
    <cfRule type="expression" dxfId="573" priority="382">
      <formula>$C20&lt;$E20</formula>
    </cfRule>
  </conditionalFormatting>
  <conditionalFormatting sqref="E20">
    <cfRule type="expression" dxfId="572" priority="381">
      <formula>$C20&gt;$E20</formula>
    </cfRule>
  </conditionalFormatting>
  <conditionalFormatting sqref="C21">
    <cfRule type="expression" dxfId="571" priority="380">
      <formula>$C21&gt;$E21</formula>
    </cfRule>
  </conditionalFormatting>
  <conditionalFormatting sqref="C21">
    <cfRule type="expression" dxfId="570" priority="379">
      <formula>$C21&lt;$E21</formula>
    </cfRule>
  </conditionalFormatting>
  <conditionalFormatting sqref="E21">
    <cfRule type="expression" dxfId="569" priority="378">
      <formula>$C21&lt;$E21</formula>
    </cfRule>
  </conditionalFormatting>
  <conditionalFormatting sqref="E21">
    <cfRule type="expression" dxfId="568" priority="377">
      <formula>$C21&gt;$E21</formula>
    </cfRule>
  </conditionalFormatting>
  <conditionalFormatting sqref="C22">
    <cfRule type="expression" dxfId="567" priority="376">
      <formula>$C22&gt;$E22</formula>
    </cfRule>
  </conditionalFormatting>
  <conditionalFormatting sqref="C22">
    <cfRule type="expression" dxfId="566" priority="375">
      <formula>$C22&lt;$E22</formula>
    </cfRule>
  </conditionalFormatting>
  <conditionalFormatting sqref="E22">
    <cfRule type="expression" dxfId="565" priority="374">
      <formula>$C22&lt;$E22</formula>
    </cfRule>
  </conditionalFormatting>
  <conditionalFormatting sqref="E22">
    <cfRule type="expression" dxfId="564" priority="373">
      <formula>$C22&gt;$E22</formula>
    </cfRule>
  </conditionalFormatting>
  <conditionalFormatting sqref="C23">
    <cfRule type="expression" dxfId="563" priority="372">
      <formula>$C23&gt;$E23</formula>
    </cfRule>
  </conditionalFormatting>
  <conditionalFormatting sqref="C23">
    <cfRule type="expression" dxfId="562" priority="371">
      <formula>$C23&lt;$E23</formula>
    </cfRule>
  </conditionalFormatting>
  <conditionalFormatting sqref="E23">
    <cfRule type="expression" dxfId="561" priority="370">
      <formula>$C23&lt;$E23</formula>
    </cfRule>
  </conditionalFormatting>
  <conditionalFormatting sqref="E23">
    <cfRule type="expression" dxfId="560" priority="369">
      <formula>$C23&gt;$E23</formula>
    </cfRule>
  </conditionalFormatting>
  <conditionalFormatting sqref="C24">
    <cfRule type="expression" dxfId="559" priority="368">
      <formula>$C24&gt;$E24</formula>
    </cfRule>
  </conditionalFormatting>
  <conditionalFormatting sqref="C24">
    <cfRule type="expression" dxfId="558" priority="367">
      <formula>$C24&lt;$E24</formula>
    </cfRule>
  </conditionalFormatting>
  <conditionalFormatting sqref="E24">
    <cfRule type="expression" dxfId="557" priority="366">
      <formula>$C24&lt;$E24</formula>
    </cfRule>
  </conditionalFormatting>
  <conditionalFormatting sqref="E24">
    <cfRule type="expression" dxfId="556" priority="365">
      <formula>$C24&gt;$E24</formula>
    </cfRule>
  </conditionalFormatting>
  <conditionalFormatting sqref="C26">
    <cfRule type="expression" dxfId="555" priority="364">
      <formula>$C26&gt;$E26</formula>
    </cfRule>
  </conditionalFormatting>
  <conditionalFormatting sqref="C26">
    <cfRule type="expression" dxfId="554" priority="363">
      <formula>$C26&lt;$E26</formula>
    </cfRule>
  </conditionalFormatting>
  <conditionalFormatting sqref="E26">
    <cfRule type="expression" dxfId="553" priority="362">
      <formula>$C26&lt;$E26</formula>
    </cfRule>
  </conditionalFormatting>
  <conditionalFormatting sqref="E26">
    <cfRule type="expression" dxfId="552" priority="361">
      <formula>$C26&gt;$E26</formula>
    </cfRule>
  </conditionalFormatting>
  <conditionalFormatting sqref="C27">
    <cfRule type="expression" dxfId="551" priority="360">
      <formula>$C27&gt;$E27</formula>
    </cfRule>
  </conditionalFormatting>
  <conditionalFormatting sqref="C27">
    <cfRule type="expression" dxfId="550" priority="359">
      <formula>$C27&lt;$E27</formula>
    </cfRule>
  </conditionalFormatting>
  <conditionalFormatting sqref="E27">
    <cfRule type="expression" dxfId="549" priority="358">
      <formula>$C27&lt;$E27</formula>
    </cfRule>
  </conditionalFormatting>
  <conditionalFormatting sqref="E27">
    <cfRule type="expression" dxfId="548" priority="357">
      <formula>$C27&gt;$E27</formula>
    </cfRule>
  </conditionalFormatting>
  <conditionalFormatting sqref="C28">
    <cfRule type="expression" dxfId="547" priority="356">
      <formula>$C28&gt;$E28</formula>
    </cfRule>
  </conditionalFormatting>
  <conditionalFormatting sqref="C28">
    <cfRule type="expression" dxfId="546" priority="355">
      <formula>$C28&lt;$E28</formula>
    </cfRule>
  </conditionalFormatting>
  <conditionalFormatting sqref="E28">
    <cfRule type="expression" dxfId="545" priority="354">
      <formula>$C28&lt;$E28</formula>
    </cfRule>
  </conditionalFormatting>
  <conditionalFormatting sqref="E28">
    <cfRule type="expression" dxfId="544" priority="353">
      <formula>$C28&gt;$E28</formula>
    </cfRule>
  </conditionalFormatting>
  <conditionalFormatting sqref="C29">
    <cfRule type="expression" dxfId="543" priority="352">
      <formula>$C29&gt;$E29</formula>
    </cfRule>
  </conditionalFormatting>
  <conditionalFormatting sqref="C29">
    <cfRule type="expression" dxfId="542" priority="351">
      <formula>$C29&lt;$E29</formula>
    </cfRule>
  </conditionalFormatting>
  <conditionalFormatting sqref="E29">
    <cfRule type="expression" dxfId="541" priority="350">
      <formula>$C29&lt;$E29</formula>
    </cfRule>
  </conditionalFormatting>
  <conditionalFormatting sqref="E29">
    <cfRule type="expression" dxfId="540" priority="349">
      <formula>$C29&gt;$E29</formula>
    </cfRule>
  </conditionalFormatting>
  <conditionalFormatting sqref="C30">
    <cfRule type="expression" dxfId="539" priority="348">
      <formula>$C30&gt;$E30</formula>
    </cfRule>
  </conditionalFormatting>
  <conditionalFormatting sqref="C30">
    <cfRule type="expression" dxfId="538" priority="347">
      <formula>$C30&lt;$E30</formula>
    </cfRule>
  </conditionalFormatting>
  <conditionalFormatting sqref="E30">
    <cfRule type="expression" dxfId="537" priority="346">
      <formula>$C30&lt;$E30</formula>
    </cfRule>
  </conditionalFormatting>
  <conditionalFormatting sqref="E30">
    <cfRule type="expression" dxfId="536" priority="345">
      <formula>$C30&gt;$E30</formula>
    </cfRule>
  </conditionalFormatting>
  <conditionalFormatting sqref="C31">
    <cfRule type="expression" dxfId="535" priority="344">
      <formula>$C31&gt;$E31</formula>
    </cfRule>
  </conditionalFormatting>
  <conditionalFormatting sqref="C31">
    <cfRule type="expression" dxfId="534" priority="343">
      <formula>$C31&lt;$E31</formula>
    </cfRule>
  </conditionalFormatting>
  <conditionalFormatting sqref="E31">
    <cfRule type="expression" dxfId="533" priority="342">
      <formula>$C31&lt;$E31</formula>
    </cfRule>
  </conditionalFormatting>
  <conditionalFormatting sqref="E31">
    <cfRule type="expression" dxfId="532" priority="341">
      <formula>$C31&gt;$E31</formula>
    </cfRule>
  </conditionalFormatting>
  <conditionalFormatting sqref="C32">
    <cfRule type="expression" dxfId="531" priority="340">
      <formula>$C32&gt;$E32</formula>
    </cfRule>
  </conditionalFormatting>
  <conditionalFormatting sqref="C32">
    <cfRule type="expression" dxfId="530" priority="339">
      <formula>$C32&lt;$E32</formula>
    </cfRule>
  </conditionalFormatting>
  <conditionalFormatting sqref="E32">
    <cfRule type="expression" dxfId="529" priority="338">
      <formula>$C32&lt;$E32</formula>
    </cfRule>
  </conditionalFormatting>
  <conditionalFormatting sqref="E32">
    <cfRule type="expression" dxfId="528" priority="337">
      <formula>$C32&gt;$E32</formula>
    </cfRule>
  </conditionalFormatting>
  <conditionalFormatting sqref="C34">
    <cfRule type="expression" dxfId="527" priority="336">
      <formula>$C34&gt;$E34</formula>
    </cfRule>
  </conditionalFormatting>
  <conditionalFormatting sqref="C34">
    <cfRule type="expression" dxfId="526" priority="335">
      <formula>$C34&lt;$E34</formula>
    </cfRule>
  </conditionalFormatting>
  <conditionalFormatting sqref="E34">
    <cfRule type="expression" dxfId="525" priority="334">
      <formula>$C34&lt;$E34</formula>
    </cfRule>
  </conditionalFormatting>
  <conditionalFormatting sqref="E34">
    <cfRule type="expression" dxfId="524" priority="333">
      <formula>$C34&gt;$E34</formula>
    </cfRule>
  </conditionalFormatting>
  <conditionalFormatting sqref="C35">
    <cfRule type="expression" dxfId="523" priority="332">
      <formula>$C35&gt;$E35</formula>
    </cfRule>
  </conditionalFormatting>
  <conditionalFormatting sqref="C35">
    <cfRule type="expression" dxfId="522" priority="331">
      <formula>$C35&lt;$E35</formula>
    </cfRule>
  </conditionalFormatting>
  <conditionalFormatting sqref="E35">
    <cfRule type="expression" dxfId="521" priority="330">
      <formula>$C35&lt;$E35</formula>
    </cfRule>
  </conditionalFormatting>
  <conditionalFormatting sqref="E35">
    <cfRule type="expression" dxfId="520" priority="329">
      <formula>$C35&gt;$E35</formula>
    </cfRule>
  </conditionalFormatting>
  <conditionalFormatting sqref="C36">
    <cfRule type="expression" dxfId="519" priority="328">
      <formula>$C36&gt;$E36</formula>
    </cfRule>
  </conditionalFormatting>
  <conditionalFormatting sqref="C36">
    <cfRule type="expression" dxfId="518" priority="327">
      <formula>$C36&lt;$E36</formula>
    </cfRule>
  </conditionalFormatting>
  <conditionalFormatting sqref="E36">
    <cfRule type="expression" dxfId="517" priority="326">
      <formula>$C36&lt;$E36</formula>
    </cfRule>
  </conditionalFormatting>
  <conditionalFormatting sqref="E36">
    <cfRule type="expression" dxfId="516" priority="325">
      <formula>$C36&gt;$E36</formula>
    </cfRule>
  </conditionalFormatting>
  <conditionalFormatting sqref="C37">
    <cfRule type="expression" dxfId="515" priority="324">
      <formula>$C37&gt;$E37</formula>
    </cfRule>
  </conditionalFormatting>
  <conditionalFormatting sqref="C37">
    <cfRule type="expression" dxfId="514" priority="323">
      <formula>$C37&lt;$E37</formula>
    </cfRule>
  </conditionalFormatting>
  <conditionalFormatting sqref="E37">
    <cfRule type="expression" dxfId="513" priority="322">
      <formula>$C37&lt;$E37</formula>
    </cfRule>
  </conditionalFormatting>
  <conditionalFormatting sqref="E37">
    <cfRule type="expression" dxfId="512" priority="321">
      <formula>$C37&gt;$E37</formula>
    </cfRule>
  </conditionalFormatting>
  <conditionalFormatting sqref="C38">
    <cfRule type="expression" dxfId="511" priority="320">
      <formula>$C38&gt;$E38</formula>
    </cfRule>
  </conditionalFormatting>
  <conditionalFormatting sqref="C38">
    <cfRule type="expression" dxfId="510" priority="319">
      <formula>$C38&lt;$E38</formula>
    </cfRule>
  </conditionalFormatting>
  <conditionalFormatting sqref="E38">
    <cfRule type="expression" dxfId="509" priority="318">
      <formula>$C38&lt;$E38</formula>
    </cfRule>
  </conditionalFormatting>
  <conditionalFormatting sqref="E38">
    <cfRule type="expression" dxfId="508" priority="317">
      <formula>$C38&gt;$E38</formula>
    </cfRule>
  </conditionalFormatting>
  <conditionalFormatting sqref="C39">
    <cfRule type="expression" dxfId="507" priority="316">
      <formula>$C39&gt;$E39</formula>
    </cfRule>
  </conditionalFormatting>
  <conditionalFormatting sqref="C39">
    <cfRule type="expression" dxfId="506" priority="315">
      <formula>$C39&lt;$E39</formula>
    </cfRule>
  </conditionalFormatting>
  <conditionalFormatting sqref="E39">
    <cfRule type="expression" dxfId="505" priority="314">
      <formula>$C39&lt;$E39</formula>
    </cfRule>
  </conditionalFormatting>
  <conditionalFormatting sqref="E39">
    <cfRule type="expression" dxfId="504" priority="313">
      <formula>$C39&gt;$E39</formula>
    </cfRule>
  </conditionalFormatting>
  <conditionalFormatting sqref="C40">
    <cfRule type="expression" dxfId="503" priority="312">
      <formula>$C40&gt;$E40</formula>
    </cfRule>
  </conditionalFormatting>
  <conditionalFormatting sqref="C40">
    <cfRule type="expression" dxfId="502" priority="311">
      <formula>$C40&lt;$E40</formula>
    </cfRule>
  </conditionalFormatting>
  <conditionalFormatting sqref="E40">
    <cfRule type="expression" dxfId="501" priority="310">
      <formula>$C40&lt;$E40</formula>
    </cfRule>
  </conditionalFormatting>
  <conditionalFormatting sqref="E40">
    <cfRule type="expression" dxfId="500" priority="309">
      <formula>$C40&gt;$E40</formula>
    </cfRule>
  </conditionalFormatting>
  <conditionalFormatting sqref="C42">
    <cfRule type="expression" dxfId="499" priority="308">
      <formula>$C42&gt;$E42</formula>
    </cfRule>
  </conditionalFormatting>
  <conditionalFormatting sqref="C42">
    <cfRule type="expression" dxfId="498" priority="307">
      <formula>$C42&lt;$E42</formula>
    </cfRule>
  </conditionalFormatting>
  <conditionalFormatting sqref="E42">
    <cfRule type="expression" dxfId="497" priority="306">
      <formula>$C42&lt;$E42</formula>
    </cfRule>
  </conditionalFormatting>
  <conditionalFormatting sqref="E42">
    <cfRule type="expression" dxfId="496" priority="305">
      <formula>$C42&gt;$E42</formula>
    </cfRule>
  </conditionalFormatting>
  <conditionalFormatting sqref="C43">
    <cfRule type="expression" dxfId="495" priority="304">
      <formula>$C43&gt;$E43</formula>
    </cfRule>
  </conditionalFormatting>
  <conditionalFormatting sqref="C43">
    <cfRule type="expression" dxfId="494" priority="303">
      <formula>$C43&lt;$E43</formula>
    </cfRule>
  </conditionalFormatting>
  <conditionalFormatting sqref="E43">
    <cfRule type="expression" dxfId="493" priority="302">
      <formula>$C43&lt;$E43</formula>
    </cfRule>
  </conditionalFormatting>
  <conditionalFormatting sqref="E43">
    <cfRule type="expression" dxfId="492" priority="301">
      <formula>$C43&gt;$E43</formula>
    </cfRule>
  </conditionalFormatting>
  <conditionalFormatting sqref="C44">
    <cfRule type="expression" dxfId="491" priority="300">
      <formula>$C44&gt;$E44</formula>
    </cfRule>
  </conditionalFormatting>
  <conditionalFormatting sqref="C44">
    <cfRule type="expression" dxfId="490" priority="299">
      <formula>$C44&lt;$E44</formula>
    </cfRule>
  </conditionalFormatting>
  <conditionalFormatting sqref="E44">
    <cfRule type="expression" dxfId="489" priority="298">
      <formula>$C44&lt;$E44</formula>
    </cfRule>
  </conditionalFormatting>
  <conditionalFormatting sqref="E44">
    <cfRule type="expression" dxfId="488" priority="297">
      <formula>$C44&gt;$E44</formula>
    </cfRule>
  </conditionalFormatting>
  <conditionalFormatting sqref="C45">
    <cfRule type="expression" dxfId="487" priority="296">
      <formula>$C45&gt;$E45</formula>
    </cfRule>
  </conditionalFormatting>
  <conditionalFormatting sqref="C45">
    <cfRule type="expression" dxfId="486" priority="295">
      <formula>$C45&lt;$E45</formula>
    </cfRule>
  </conditionalFormatting>
  <conditionalFormatting sqref="E45">
    <cfRule type="expression" dxfId="485" priority="294">
      <formula>$C45&lt;$E45</formula>
    </cfRule>
  </conditionalFormatting>
  <conditionalFormatting sqref="E45">
    <cfRule type="expression" dxfId="484" priority="293">
      <formula>$C45&gt;$E45</formula>
    </cfRule>
  </conditionalFormatting>
  <conditionalFormatting sqref="C46">
    <cfRule type="expression" dxfId="483" priority="292">
      <formula>$C46&gt;$E46</formula>
    </cfRule>
  </conditionalFormatting>
  <conditionalFormatting sqref="C46">
    <cfRule type="expression" dxfId="482" priority="291">
      <formula>$C46&lt;$E46</formula>
    </cfRule>
  </conditionalFormatting>
  <conditionalFormatting sqref="E46">
    <cfRule type="expression" dxfId="481" priority="290">
      <formula>$C46&lt;$E46</formula>
    </cfRule>
  </conditionalFormatting>
  <conditionalFormatting sqref="E46">
    <cfRule type="expression" dxfId="480" priority="289">
      <formula>$C46&gt;$E46</formula>
    </cfRule>
  </conditionalFormatting>
  <conditionalFormatting sqref="C47">
    <cfRule type="expression" dxfId="479" priority="288">
      <formula>$C47&gt;$E47</formula>
    </cfRule>
  </conditionalFormatting>
  <conditionalFormatting sqref="C47">
    <cfRule type="expression" dxfId="478" priority="287">
      <formula>$C47&lt;$E47</formula>
    </cfRule>
  </conditionalFormatting>
  <conditionalFormatting sqref="E47">
    <cfRule type="expression" dxfId="477" priority="286">
      <formula>$C47&lt;$E47</formula>
    </cfRule>
  </conditionalFormatting>
  <conditionalFormatting sqref="E47">
    <cfRule type="expression" dxfId="476" priority="285">
      <formula>$C47&gt;$E47</formula>
    </cfRule>
  </conditionalFormatting>
  <conditionalFormatting sqref="C48">
    <cfRule type="expression" dxfId="475" priority="284">
      <formula>$C48&gt;$E48</formula>
    </cfRule>
  </conditionalFormatting>
  <conditionalFormatting sqref="C48">
    <cfRule type="expression" dxfId="474" priority="283">
      <formula>$C48&lt;$E48</formula>
    </cfRule>
  </conditionalFormatting>
  <conditionalFormatting sqref="E48">
    <cfRule type="expression" dxfId="473" priority="282">
      <formula>$C48&lt;$E48</formula>
    </cfRule>
  </conditionalFormatting>
  <conditionalFormatting sqref="E48">
    <cfRule type="expression" dxfId="472" priority="281">
      <formula>$C48&gt;$E48</formula>
    </cfRule>
  </conditionalFormatting>
  <conditionalFormatting sqref="C50">
    <cfRule type="expression" dxfId="471" priority="280">
      <formula>$C50&gt;$E50</formula>
    </cfRule>
  </conditionalFormatting>
  <conditionalFormatting sqref="C50">
    <cfRule type="expression" dxfId="470" priority="279">
      <formula>$C50&lt;$E50</formula>
    </cfRule>
  </conditionalFormatting>
  <conditionalFormatting sqref="E50">
    <cfRule type="expression" dxfId="469" priority="278">
      <formula>$C50&lt;$E50</formula>
    </cfRule>
  </conditionalFormatting>
  <conditionalFormatting sqref="E50">
    <cfRule type="expression" dxfId="468" priority="277">
      <formula>$C50&gt;$E50</formula>
    </cfRule>
  </conditionalFormatting>
  <conditionalFormatting sqref="C51">
    <cfRule type="expression" dxfId="467" priority="276">
      <formula>$C51&gt;$E51</formula>
    </cfRule>
  </conditionalFormatting>
  <conditionalFormatting sqref="C51">
    <cfRule type="expression" dxfId="466" priority="275">
      <formula>$C51&lt;$E51</formula>
    </cfRule>
  </conditionalFormatting>
  <conditionalFormatting sqref="E51">
    <cfRule type="expression" dxfId="465" priority="274">
      <formula>$C51&lt;$E51</formula>
    </cfRule>
  </conditionalFormatting>
  <conditionalFormatting sqref="E51">
    <cfRule type="expression" dxfId="464" priority="273">
      <formula>$C51&gt;$E51</formula>
    </cfRule>
  </conditionalFormatting>
  <conditionalFormatting sqref="C52">
    <cfRule type="expression" dxfId="463" priority="272">
      <formula>$C52&gt;$E52</formula>
    </cfRule>
  </conditionalFormatting>
  <conditionalFormatting sqref="C52">
    <cfRule type="expression" dxfId="462" priority="271">
      <formula>$C52&lt;$E52</formula>
    </cfRule>
  </conditionalFormatting>
  <conditionalFormatting sqref="E52">
    <cfRule type="expression" dxfId="461" priority="270">
      <formula>$C52&lt;$E52</formula>
    </cfRule>
  </conditionalFormatting>
  <conditionalFormatting sqref="E52">
    <cfRule type="expression" dxfId="460" priority="269">
      <formula>$C52&gt;$E52</formula>
    </cfRule>
  </conditionalFormatting>
  <conditionalFormatting sqref="C53">
    <cfRule type="expression" dxfId="459" priority="268">
      <formula>$C53&gt;$E53</formula>
    </cfRule>
  </conditionalFormatting>
  <conditionalFormatting sqref="C53">
    <cfRule type="expression" dxfId="458" priority="267">
      <formula>$C53&lt;$E53</formula>
    </cfRule>
  </conditionalFormatting>
  <conditionalFormatting sqref="E53">
    <cfRule type="expression" dxfId="457" priority="266">
      <formula>$C53&lt;$E53</formula>
    </cfRule>
  </conditionalFormatting>
  <conditionalFormatting sqref="E53">
    <cfRule type="expression" dxfId="456" priority="265">
      <formula>$C53&gt;$E53</formula>
    </cfRule>
  </conditionalFormatting>
  <conditionalFormatting sqref="C54">
    <cfRule type="expression" dxfId="455" priority="264">
      <formula>$C54&gt;$E54</formula>
    </cfRule>
  </conditionalFormatting>
  <conditionalFormatting sqref="C54">
    <cfRule type="expression" dxfId="454" priority="263">
      <formula>$C54&lt;$E54</formula>
    </cfRule>
  </conditionalFormatting>
  <conditionalFormatting sqref="E54">
    <cfRule type="expression" dxfId="453" priority="262">
      <formula>$C54&lt;$E54</formula>
    </cfRule>
  </conditionalFormatting>
  <conditionalFormatting sqref="E54">
    <cfRule type="expression" dxfId="452" priority="261">
      <formula>$C54&gt;$E54</formula>
    </cfRule>
  </conditionalFormatting>
  <conditionalFormatting sqref="C55">
    <cfRule type="expression" dxfId="451" priority="260">
      <formula>$C55&gt;$E55</formula>
    </cfRule>
  </conditionalFormatting>
  <conditionalFormatting sqref="C55">
    <cfRule type="expression" dxfId="450" priority="259">
      <formula>$C55&lt;$E55</formula>
    </cfRule>
  </conditionalFormatting>
  <conditionalFormatting sqref="E55">
    <cfRule type="expression" dxfId="449" priority="258">
      <formula>$C55&lt;$E55</formula>
    </cfRule>
  </conditionalFormatting>
  <conditionalFormatting sqref="E55">
    <cfRule type="expression" dxfId="448" priority="257">
      <formula>$C55&gt;$E55</formula>
    </cfRule>
  </conditionalFormatting>
  <conditionalFormatting sqref="C56">
    <cfRule type="expression" dxfId="447" priority="256">
      <formula>$C56&gt;$E56</formula>
    </cfRule>
  </conditionalFormatting>
  <conditionalFormatting sqref="C56">
    <cfRule type="expression" dxfId="446" priority="255">
      <formula>$C56&lt;$E56</formula>
    </cfRule>
  </conditionalFormatting>
  <conditionalFormatting sqref="E56">
    <cfRule type="expression" dxfId="445" priority="254">
      <formula>$C56&lt;$E56</formula>
    </cfRule>
  </conditionalFormatting>
  <conditionalFormatting sqref="E56">
    <cfRule type="expression" dxfId="444" priority="253">
      <formula>$C56&gt;$E56</formula>
    </cfRule>
  </conditionalFormatting>
  <conditionalFormatting sqref="C58">
    <cfRule type="expression" dxfId="443" priority="252">
      <formula>$C58&gt;$E58</formula>
    </cfRule>
  </conditionalFormatting>
  <conditionalFormatting sqref="C58">
    <cfRule type="expression" dxfId="442" priority="251">
      <formula>$C58&lt;$E58</formula>
    </cfRule>
  </conditionalFormatting>
  <conditionalFormatting sqref="E58">
    <cfRule type="expression" dxfId="441" priority="250">
      <formula>$C58&lt;$E58</formula>
    </cfRule>
  </conditionalFormatting>
  <conditionalFormatting sqref="E58">
    <cfRule type="expression" dxfId="440" priority="249">
      <formula>$C58&gt;$E58</formula>
    </cfRule>
  </conditionalFormatting>
  <conditionalFormatting sqref="C59">
    <cfRule type="expression" dxfId="439" priority="248">
      <formula>$C59&gt;$E59</formula>
    </cfRule>
  </conditionalFormatting>
  <conditionalFormatting sqref="C59">
    <cfRule type="expression" dxfId="438" priority="247">
      <formula>$C59&lt;$E59</formula>
    </cfRule>
  </conditionalFormatting>
  <conditionalFormatting sqref="E59">
    <cfRule type="expression" dxfId="437" priority="246">
      <formula>$C59&lt;$E59</formula>
    </cfRule>
  </conditionalFormatting>
  <conditionalFormatting sqref="E59">
    <cfRule type="expression" dxfId="436" priority="245">
      <formula>$C59&gt;$E59</formula>
    </cfRule>
  </conditionalFormatting>
  <conditionalFormatting sqref="C60">
    <cfRule type="expression" dxfId="435" priority="244">
      <formula>$C60&gt;$E60</formula>
    </cfRule>
  </conditionalFormatting>
  <conditionalFormatting sqref="C60">
    <cfRule type="expression" dxfId="434" priority="243">
      <formula>$C60&lt;$E60</formula>
    </cfRule>
  </conditionalFormatting>
  <conditionalFormatting sqref="E60">
    <cfRule type="expression" dxfId="433" priority="242">
      <formula>$C60&lt;$E60</formula>
    </cfRule>
  </conditionalFormatting>
  <conditionalFormatting sqref="E60">
    <cfRule type="expression" dxfId="432" priority="241">
      <formula>$C60&gt;$E60</formula>
    </cfRule>
  </conditionalFormatting>
  <conditionalFormatting sqref="C61">
    <cfRule type="expression" dxfId="431" priority="240">
      <formula>$C61&gt;$E61</formula>
    </cfRule>
  </conditionalFormatting>
  <conditionalFormatting sqref="C61">
    <cfRule type="expression" dxfId="430" priority="239">
      <formula>$C61&lt;$E61</formula>
    </cfRule>
  </conditionalFormatting>
  <conditionalFormatting sqref="E61">
    <cfRule type="expression" dxfId="429" priority="238">
      <formula>$C61&lt;$E61</formula>
    </cfRule>
  </conditionalFormatting>
  <conditionalFormatting sqref="E61">
    <cfRule type="expression" dxfId="428" priority="237">
      <formula>$C61&gt;$E61</formula>
    </cfRule>
  </conditionalFormatting>
  <conditionalFormatting sqref="C62">
    <cfRule type="expression" dxfId="427" priority="236">
      <formula>$C62&gt;$E62</formula>
    </cfRule>
  </conditionalFormatting>
  <conditionalFormatting sqref="C62">
    <cfRule type="expression" dxfId="426" priority="235">
      <formula>$C62&lt;$E62</formula>
    </cfRule>
  </conditionalFormatting>
  <conditionalFormatting sqref="E62">
    <cfRule type="expression" dxfId="425" priority="234">
      <formula>$C62&lt;$E62</formula>
    </cfRule>
  </conditionalFormatting>
  <conditionalFormatting sqref="E62">
    <cfRule type="expression" dxfId="424" priority="233">
      <formula>$C62&gt;$E62</formula>
    </cfRule>
  </conditionalFormatting>
  <conditionalFormatting sqref="C63">
    <cfRule type="expression" dxfId="423" priority="232">
      <formula>$C63&gt;$E63</formula>
    </cfRule>
  </conditionalFormatting>
  <conditionalFormatting sqref="C63">
    <cfRule type="expression" dxfId="422" priority="231">
      <formula>$C63&lt;$E63</formula>
    </cfRule>
  </conditionalFormatting>
  <conditionalFormatting sqref="E63">
    <cfRule type="expression" dxfId="421" priority="230">
      <formula>$C63&lt;$E63</formula>
    </cfRule>
  </conditionalFormatting>
  <conditionalFormatting sqref="E63">
    <cfRule type="expression" dxfId="420" priority="229">
      <formula>$C63&gt;$E63</formula>
    </cfRule>
  </conditionalFormatting>
  <conditionalFormatting sqref="C64">
    <cfRule type="expression" dxfId="419" priority="228">
      <formula>$C64&gt;$E64</formula>
    </cfRule>
  </conditionalFormatting>
  <conditionalFormatting sqref="C64">
    <cfRule type="expression" dxfId="418" priority="227">
      <formula>$C64&lt;$E64</formula>
    </cfRule>
  </conditionalFormatting>
  <conditionalFormatting sqref="E64">
    <cfRule type="expression" dxfId="417" priority="226">
      <formula>$C64&lt;$E64</formula>
    </cfRule>
  </conditionalFormatting>
  <conditionalFormatting sqref="E64">
    <cfRule type="expression" dxfId="416" priority="225">
      <formula>$C64&gt;$E64</formula>
    </cfRule>
  </conditionalFormatting>
  <conditionalFormatting sqref="C66">
    <cfRule type="expression" dxfId="415" priority="224">
      <formula>$C66&gt;$E66</formula>
    </cfRule>
  </conditionalFormatting>
  <conditionalFormatting sqref="C66">
    <cfRule type="expression" dxfId="414" priority="223">
      <formula>$C66&lt;$E66</formula>
    </cfRule>
  </conditionalFormatting>
  <conditionalFormatting sqref="E66">
    <cfRule type="expression" dxfId="413" priority="222">
      <formula>$C66&lt;$E66</formula>
    </cfRule>
  </conditionalFormatting>
  <conditionalFormatting sqref="E66">
    <cfRule type="expression" dxfId="412" priority="221">
      <formula>$C66&gt;$E66</formula>
    </cfRule>
  </conditionalFormatting>
  <conditionalFormatting sqref="C67">
    <cfRule type="expression" dxfId="411" priority="220">
      <formula>$C67&gt;$E67</formula>
    </cfRule>
  </conditionalFormatting>
  <conditionalFormatting sqref="C67">
    <cfRule type="expression" dxfId="410" priority="219">
      <formula>$C67&lt;$E67</formula>
    </cfRule>
  </conditionalFormatting>
  <conditionalFormatting sqref="E67">
    <cfRule type="expression" dxfId="409" priority="218">
      <formula>$C67&lt;$E67</formula>
    </cfRule>
  </conditionalFormatting>
  <conditionalFormatting sqref="E67">
    <cfRule type="expression" dxfId="408" priority="217">
      <formula>$C67&gt;$E67</formula>
    </cfRule>
  </conditionalFormatting>
  <conditionalFormatting sqref="C68">
    <cfRule type="expression" dxfId="407" priority="216">
      <formula>$C68&gt;$E68</formula>
    </cfRule>
  </conditionalFormatting>
  <conditionalFormatting sqref="C68">
    <cfRule type="expression" dxfId="406" priority="215">
      <formula>$C68&lt;$E68</formula>
    </cfRule>
  </conditionalFormatting>
  <conditionalFormatting sqref="E68">
    <cfRule type="expression" dxfId="405" priority="214">
      <formula>$C68&lt;$E68</formula>
    </cfRule>
  </conditionalFormatting>
  <conditionalFormatting sqref="E68">
    <cfRule type="expression" dxfId="404" priority="213">
      <formula>$C68&gt;$E68</formula>
    </cfRule>
  </conditionalFormatting>
  <conditionalFormatting sqref="C69">
    <cfRule type="expression" dxfId="403" priority="212">
      <formula>$C69&gt;$E69</formula>
    </cfRule>
  </conditionalFormatting>
  <conditionalFormatting sqref="C69">
    <cfRule type="expression" dxfId="402" priority="211">
      <formula>$C69&lt;$E69</formula>
    </cfRule>
  </conditionalFormatting>
  <conditionalFormatting sqref="E69">
    <cfRule type="expression" dxfId="401" priority="210">
      <formula>$C69&lt;$E69</formula>
    </cfRule>
  </conditionalFormatting>
  <conditionalFormatting sqref="E69">
    <cfRule type="expression" dxfId="400" priority="209">
      <formula>$C69&gt;$E69</formula>
    </cfRule>
  </conditionalFormatting>
  <conditionalFormatting sqref="C70">
    <cfRule type="expression" dxfId="399" priority="208">
      <formula>$C70&gt;$E70</formula>
    </cfRule>
  </conditionalFormatting>
  <conditionalFormatting sqref="C70">
    <cfRule type="expression" dxfId="398" priority="207">
      <formula>$C70&lt;$E70</formula>
    </cfRule>
  </conditionalFormatting>
  <conditionalFormatting sqref="E70">
    <cfRule type="expression" dxfId="397" priority="206">
      <formula>$C70&lt;$E70</formula>
    </cfRule>
  </conditionalFormatting>
  <conditionalFormatting sqref="E70">
    <cfRule type="expression" dxfId="396" priority="205">
      <formula>$C70&gt;$E70</formula>
    </cfRule>
  </conditionalFormatting>
  <conditionalFormatting sqref="C71">
    <cfRule type="expression" dxfId="395" priority="204">
      <formula>$C71&gt;$E71</formula>
    </cfRule>
  </conditionalFormatting>
  <conditionalFormatting sqref="C71">
    <cfRule type="expression" dxfId="394" priority="203">
      <formula>$C71&lt;$E71</formula>
    </cfRule>
  </conditionalFormatting>
  <conditionalFormatting sqref="E71">
    <cfRule type="expression" dxfId="393" priority="202">
      <formula>$C71&lt;$E71</formula>
    </cfRule>
  </conditionalFormatting>
  <conditionalFormatting sqref="E71">
    <cfRule type="expression" dxfId="392" priority="201">
      <formula>$C71&gt;$E71</formula>
    </cfRule>
  </conditionalFormatting>
  <conditionalFormatting sqref="C72">
    <cfRule type="expression" dxfId="391" priority="200">
      <formula>$C72&gt;$E72</formula>
    </cfRule>
  </conditionalFormatting>
  <conditionalFormatting sqref="C72">
    <cfRule type="expression" dxfId="390" priority="199">
      <formula>$C72&lt;$E72</formula>
    </cfRule>
  </conditionalFormatting>
  <conditionalFormatting sqref="E72">
    <cfRule type="expression" dxfId="389" priority="198">
      <formula>$C72&lt;$E72</formula>
    </cfRule>
  </conditionalFormatting>
  <conditionalFormatting sqref="E72">
    <cfRule type="expression" dxfId="388" priority="197">
      <formula>$C72&gt;$E72</formula>
    </cfRule>
  </conditionalFormatting>
  <conditionalFormatting sqref="C74">
    <cfRule type="expression" dxfId="387" priority="196">
      <formula>$C74&gt;$E74</formula>
    </cfRule>
  </conditionalFormatting>
  <conditionalFormatting sqref="C74">
    <cfRule type="expression" dxfId="386" priority="195">
      <formula>$C74&lt;$E74</formula>
    </cfRule>
  </conditionalFormatting>
  <conditionalFormatting sqref="E74">
    <cfRule type="expression" dxfId="385" priority="194">
      <formula>$C74&lt;$E74</formula>
    </cfRule>
  </conditionalFormatting>
  <conditionalFormatting sqref="E74">
    <cfRule type="expression" dxfId="384" priority="193">
      <formula>$C74&gt;$E74</formula>
    </cfRule>
  </conditionalFormatting>
  <conditionalFormatting sqref="C75">
    <cfRule type="expression" dxfId="383" priority="192">
      <formula>$C75&gt;$E75</formula>
    </cfRule>
  </conditionalFormatting>
  <conditionalFormatting sqref="C75">
    <cfRule type="expression" dxfId="382" priority="191">
      <formula>$C75&lt;$E75</formula>
    </cfRule>
  </conditionalFormatting>
  <conditionalFormatting sqref="E75">
    <cfRule type="expression" dxfId="381" priority="190">
      <formula>$C75&lt;$E75</formula>
    </cfRule>
  </conditionalFormatting>
  <conditionalFormatting sqref="E75">
    <cfRule type="expression" dxfId="380" priority="189">
      <formula>$C75&gt;$E75</formula>
    </cfRule>
  </conditionalFormatting>
  <conditionalFormatting sqref="C76">
    <cfRule type="expression" dxfId="379" priority="188">
      <formula>$C76&gt;$E76</formula>
    </cfRule>
  </conditionalFormatting>
  <conditionalFormatting sqref="C76">
    <cfRule type="expression" dxfId="378" priority="187">
      <formula>$C76&lt;$E76</formula>
    </cfRule>
  </conditionalFormatting>
  <conditionalFormatting sqref="E76">
    <cfRule type="expression" dxfId="377" priority="186">
      <formula>$C76&lt;$E76</formula>
    </cfRule>
  </conditionalFormatting>
  <conditionalFormatting sqref="E76">
    <cfRule type="expression" dxfId="376" priority="185">
      <formula>$C76&gt;$E76</formula>
    </cfRule>
  </conditionalFormatting>
  <conditionalFormatting sqref="C77">
    <cfRule type="expression" dxfId="375" priority="184">
      <formula>$C77&gt;$E77</formula>
    </cfRule>
  </conditionalFormatting>
  <conditionalFormatting sqref="C77">
    <cfRule type="expression" dxfId="374" priority="183">
      <formula>$C77&lt;$E77</formula>
    </cfRule>
  </conditionalFormatting>
  <conditionalFormatting sqref="E77">
    <cfRule type="expression" dxfId="373" priority="182">
      <formula>$C77&lt;$E77</formula>
    </cfRule>
  </conditionalFormatting>
  <conditionalFormatting sqref="E77">
    <cfRule type="expression" dxfId="372" priority="181">
      <formula>$C77&gt;$E77</formula>
    </cfRule>
  </conditionalFormatting>
  <conditionalFormatting sqref="C78">
    <cfRule type="expression" dxfId="371" priority="180">
      <formula>$C78&gt;$E78</formula>
    </cfRule>
  </conditionalFormatting>
  <conditionalFormatting sqref="C78">
    <cfRule type="expression" dxfId="370" priority="179">
      <formula>$C78&lt;$E78</formula>
    </cfRule>
  </conditionalFormatting>
  <conditionalFormatting sqref="E78">
    <cfRule type="expression" dxfId="369" priority="178">
      <formula>$C78&lt;$E78</formula>
    </cfRule>
  </conditionalFormatting>
  <conditionalFormatting sqref="E78">
    <cfRule type="expression" dxfId="368" priority="177">
      <formula>$C78&gt;$E78</formula>
    </cfRule>
  </conditionalFormatting>
  <conditionalFormatting sqref="C79">
    <cfRule type="expression" dxfId="367" priority="176">
      <formula>$C79&gt;$E79</formula>
    </cfRule>
  </conditionalFormatting>
  <conditionalFormatting sqref="C79">
    <cfRule type="expression" dxfId="366" priority="175">
      <formula>$C79&lt;$E79</formula>
    </cfRule>
  </conditionalFormatting>
  <conditionalFormatting sqref="E79">
    <cfRule type="expression" dxfId="365" priority="174">
      <formula>$C79&lt;$E79</formula>
    </cfRule>
  </conditionalFormatting>
  <conditionalFormatting sqref="E79">
    <cfRule type="expression" dxfId="364" priority="173">
      <formula>$C79&gt;$E79</formula>
    </cfRule>
  </conditionalFormatting>
  <conditionalFormatting sqref="C80">
    <cfRule type="expression" dxfId="363" priority="172">
      <formula>$C80&gt;$E80</formula>
    </cfRule>
  </conditionalFormatting>
  <conditionalFormatting sqref="C80">
    <cfRule type="expression" dxfId="362" priority="171">
      <formula>$C80&lt;$E80</formula>
    </cfRule>
  </conditionalFormatting>
  <conditionalFormatting sqref="E80">
    <cfRule type="expression" dxfId="361" priority="170">
      <formula>$C80&lt;$E80</formula>
    </cfRule>
  </conditionalFormatting>
  <conditionalFormatting sqref="E80">
    <cfRule type="expression" dxfId="360" priority="169">
      <formula>$C80&gt;$E80</formula>
    </cfRule>
  </conditionalFormatting>
  <conditionalFormatting sqref="C82">
    <cfRule type="expression" dxfId="359" priority="168">
      <formula>$C82&gt;$E82</formula>
    </cfRule>
  </conditionalFormatting>
  <conditionalFormatting sqref="C82">
    <cfRule type="expression" dxfId="358" priority="167">
      <formula>$C82&lt;$E82</formula>
    </cfRule>
  </conditionalFormatting>
  <conditionalFormatting sqref="E82">
    <cfRule type="expression" dxfId="357" priority="166">
      <formula>$C82&lt;$E82</formula>
    </cfRule>
  </conditionalFormatting>
  <conditionalFormatting sqref="E82">
    <cfRule type="expression" dxfId="356" priority="165">
      <formula>$C82&gt;$E82</formula>
    </cfRule>
  </conditionalFormatting>
  <conditionalFormatting sqref="C83">
    <cfRule type="expression" dxfId="355" priority="164">
      <formula>$C83&gt;$E83</formula>
    </cfRule>
  </conditionalFormatting>
  <conditionalFormatting sqref="C83">
    <cfRule type="expression" dxfId="354" priority="163">
      <formula>$C83&lt;$E83</formula>
    </cfRule>
  </conditionalFormatting>
  <conditionalFormatting sqref="E83">
    <cfRule type="expression" dxfId="353" priority="162">
      <formula>$C83&lt;$E83</formula>
    </cfRule>
  </conditionalFormatting>
  <conditionalFormatting sqref="E83">
    <cfRule type="expression" dxfId="352" priority="161">
      <formula>$C83&gt;$E83</formula>
    </cfRule>
  </conditionalFormatting>
  <conditionalFormatting sqref="C84">
    <cfRule type="expression" dxfId="351" priority="160">
      <formula>$C84&gt;$E84</formula>
    </cfRule>
  </conditionalFormatting>
  <conditionalFormatting sqref="C84">
    <cfRule type="expression" dxfId="350" priority="159">
      <formula>$C84&lt;$E84</formula>
    </cfRule>
  </conditionalFormatting>
  <conditionalFormatting sqref="E84">
    <cfRule type="expression" dxfId="349" priority="158">
      <formula>$C84&lt;$E84</formula>
    </cfRule>
  </conditionalFormatting>
  <conditionalFormatting sqref="E84">
    <cfRule type="expression" dxfId="348" priority="157">
      <formula>$C84&gt;$E84</formula>
    </cfRule>
  </conditionalFormatting>
  <conditionalFormatting sqref="C85">
    <cfRule type="expression" dxfId="347" priority="156">
      <formula>$C85&gt;$E85</formula>
    </cfRule>
  </conditionalFormatting>
  <conditionalFormatting sqref="C85">
    <cfRule type="expression" dxfId="346" priority="155">
      <formula>$C85&lt;$E85</formula>
    </cfRule>
  </conditionalFormatting>
  <conditionalFormatting sqref="E85">
    <cfRule type="expression" dxfId="345" priority="154">
      <formula>$C85&lt;$E85</formula>
    </cfRule>
  </conditionalFormatting>
  <conditionalFormatting sqref="E85">
    <cfRule type="expression" dxfId="344" priority="153">
      <formula>$C85&gt;$E85</formula>
    </cfRule>
  </conditionalFormatting>
  <conditionalFormatting sqref="C86">
    <cfRule type="expression" dxfId="343" priority="152">
      <formula>$C86&gt;$E86</formula>
    </cfRule>
  </conditionalFormatting>
  <conditionalFormatting sqref="C86">
    <cfRule type="expression" dxfId="342" priority="151">
      <formula>$C86&lt;$E86</formula>
    </cfRule>
  </conditionalFormatting>
  <conditionalFormatting sqref="E86">
    <cfRule type="expression" dxfId="341" priority="150">
      <formula>$C86&lt;$E86</formula>
    </cfRule>
  </conditionalFormatting>
  <conditionalFormatting sqref="E86">
    <cfRule type="expression" dxfId="340" priority="149">
      <formula>$C86&gt;$E86</formula>
    </cfRule>
  </conditionalFormatting>
  <conditionalFormatting sqref="C87">
    <cfRule type="expression" dxfId="339" priority="148">
      <formula>$C87&gt;$E87</formula>
    </cfRule>
  </conditionalFormatting>
  <conditionalFormatting sqref="C87">
    <cfRule type="expression" dxfId="338" priority="147">
      <formula>$C87&lt;$E87</formula>
    </cfRule>
  </conditionalFormatting>
  <conditionalFormatting sqref="E87">
    <cfRule type="expression" dxfId="337" priority="146">
      <formula>$C87&lt;$E87</formula>
    </cfRule>
  </conditionalFormatting>
  <conditionalFormatting sqref="E87">
    <cfRule type="expression" dxfId="336" priority="145">
      <formula>$C87&gt;$E87</formula>
    </cfRule>
  </conditionalFormatting>
  <conditionalFormatting sqref="C88">
    <cfRule type="expression" dxfId="335" priority="144">
      <formula>$C88&gt;$E88</formula>
    </cfRule>
  </conditionalFormatting>
  <conditionalFormatting sqref="C88">
    <cfRule type="expression" dxfId="334" priority="143">
      <formula>$C88&lt;$E88</formula>
    </cfRule>
  </conditionalFormatting>
  <conditionalFormatting sqref="E88">
    <cfRule type="expression" dxfId="333" priority="142">
      <formula>$C88&lt;$E88</formula>
    </cfRule>
  </conditionalFormatting>
  <conditionalFormatting sqref="E88">
    <cfRule type="expression" dxfId="332" priority="141">
      <formula>$C88&gt;$E88</formula>
    </cfRule>
  </conditionalFormatting>
  <conditionalFormatting sqref="C90">
    <cfRule type="expression" dxfId="331" priority="140">
      <formula>$C90&gt;$E90</formula>
    </cfRule>
  </conditionalFormatting>
  <conditionalFormatting sqref="C90">
    <cfRule type="expression" dxfId="330" priority="139">
      <formula>$C90&lt;$E90</formula>
    </cfRule>
  </conditionalFormatting>
  <conditionalFormatting sqref="E90">
    <cfRule type="expression" dxfId="329" priority="138">
      <formula>$C90&lt;$E90</formula>
    </cfRule>
  </conditionalFormatting>
  <conditionalFormatting sqref="E90">
    <cfRule type="expression" dxfId="328" priority="137">
      <formula>$C90&gt;$E90</formula>
    </cfRule>
  </conditionalFormatting>
  <conditionalFormatting sqref="C91">
    <cfRule type="expression" dxfId="327" priority="136">
      <formula>$C91&gt;$E91</formula>
    </cfRule>
  </conditionalFormatting>
  <conditionalFormatting sqref="C91">
    <cfRule type="expression" dxfId="326" priority="135">
      <formula>$C91&lt;$E91</formula>
    </cfRule>
  </conditionalFormatting>
  <conditionalFormatting sqref="E91">
    <cfRule type="expression" dxfId="325" priority="134">
      <formula>$C91&lt;$E91</formula>
    </cfRule>
  </conditionalFormatting>
  <conditionalFormatting sqref="E91">
    <cfRule type="expression" dxfId="324" priority="133">
      <formula>$C91&gt;$E91</formula>
    </cfRule>
  </conditionalFormatting>
  <conditionalFormatting sqref="C92">
    <cfRule type="expression" dxfId="323" priority="132">
      <formula>$C92&gt;$E92</formula>
    </cfRule>
  </conditionalFormatting>
  <conditionalFormatting sqref="C92">
    <cfRule type="expression" dxfId="322" priority="131">
      <formula>$C92&lt;$E92</formula>
    </cfRule>
  </conditionalFormatting>
  <conditionalFormatting sqref="E92">
    <cfRule type="expression" dxfId="321" priority="130">
      <formula>$C92&lt;$E92</formula>
    </cfRule>
  </conditionalFormatting>
  <conditionalFormatting sqref="E92">
    <cfRule type="expression" dxfId="320" priority="129">
      <formula>$C92&gt;$E92</formula>
    </cfRule>
  </conditionalFormatting>
  <conditionalFormatting sqref="C93">
    <cfRule type="expression" dxfId="319" priority="128">
      <formula>$C93&gt;$E93</formula>
    </cfRule>
  </conditionalFormatting>
  <conditionalFormatting sqref="C93">
    <cfRule type="expression" dxfId="318" priority="127">
      <formula>$C93&lt;$E93</formula>
    </cfRule>
  </conditionalFormatting>
  <conditionalFormatting sqref="E93">
    <cfRule type="expression" dxfId="317" priority="126">
      <formula>$C93&lt;$E93</formula>
    </cfRule>
  </conditionalFormatting>
  <conditionalFormatting sqref="E93">
    <cfRule type="expression" dxfId="316" priority="125">
      <formula>$C93&gt;$E93</formula>
    </cfRule>
  </conditionalFormatting>
  <conditionalFormatting sqref="C94">
    <cfRule type="expression" dxfId="315" priority="124">
      <formula>$C94&gt;$E94</formula>
    </cfRule>
  </conditionalFormatting>
  <conditionalFormatting sqref="C94">
    <cfRule type="expression" dxfId="314" priority="123">
      <formula>$C94&lt;$E94</formula>
    </cfRule>
  </conditionalFormatting>
  <conditionalFormatting sqref="E94">
    <cfRule type="expression" dxfId="313" priority="122">
      <formula>$C94&lt;$E94</formula>
    </cfRule>
  </conditionalFormatting>
  <conditionalFormatting sqref="E94">
    <cfRule type="expression" dxfId="312" priority="121">
      <formula>$C94&gt;$E94</formula>
    </cfRule>
  </conditionalFormatting>
  <conditionalFormatting sqref="C95">
    <cfRule type="expression" dxfId="311" priority="120">
      <formula>$C95&gt;$E95</formula>
    </cfRule>
  </conditionalFormatting>
  <conditionalFormatting sqref="C95">
    <cfRule type="expression" dxfId="310" priority="119">
      <formula>$C95&lt;$E95</formula>
    </cfRule>
  </conditionalFormatting>
  <conditionalFormatting sqref="E95">
    <cfRule type="expression" dxfId="309" priority="118">
      <formula>$C95&lt;$E95</formula>
    </cfRule>
  </conditionalFormatting>
  <conditionalFormatting sqref="E95">
    <cfRule type="expression" dxfId="308" priority="117">
      <formula>$C95&gt;$E95</formula>
    </cfRule>
  </conditionalFormatting>
  <conditionalFormatting sqref="C96">
    <cfRule type="expression" dxfId="307" priority="116">
      <formula>$C96&gt;$E96</formula>
    </cfRule>
  </conditionalFormatting>
  <conditionalFormatting sqref="C96">
    <cfRule type="expression" dxfId="306" priority="115">
      <formula>$C96&lt;$E96</formula>
    </cfRule>
  </conditionalFormatting>
  <conditionalFormatting sqref="E96">
    <cfRule type="expression" dxfId="305" priority="114">
      <formula>$C96&lt;$E96</formula>
    </cfRule>
  </conditionalFormatting>
  <conditionalFormatting sqref="E96">
    <cfRule type="expression" dxfId="304" priority="113">
      <formula>$C96&gt;$E96</formula>
    </cfRule>
  </conditionalFormatting>
  <conditionalFormatting sqref="C98">
    <cfRule type="expression" dxfId="303" priority="112">
      <formula>$C98&gt;$E98</formula>
    </cfRule>
  </conditionalFormatting>
  <conditionalFormatting sqref="C98">
    <cfRule type="expression" dxfId="302" priority="111">
      <formula>$C98&lt;$E98</formula>
    </cfRule>
  </conditionalFormatting>
  <conditionalFormatting sqref="E98">
    <cfRule type="expression" dxfId="301" priority="110">
      <formula>$C98&lt;$E98</formula>
    </cfRule>
  </conditionalFormatting>
  <conditionalFormatting sqref="E98">
    <cfRule type="expression" dxfId="300" priority="109">
      <formula>$C98&gt;$E98</formula>
    </cfRule>
  </conditionalFormatting>
  <conditionalFormatting sqref="C99">
    <cfRule type="expression" dxfId="299" priority="108">
      <formula>$C99&gt;$E99</formula>
    </cfRule>
  </conditionalFormatting>
  <conditionalFormatting sqref="C99">
    <cfRule type="expression" dxfId="298" priority="107">
      <formula>$C99&lt;$E99</formula>
    </cfRule>
  </conditionalFormatting>
  <conditionalFormatting sqref="E99">
    <cfRule type="expression" dxfId="297" priority="106">
      <formula>$C99&lt;$E99</formula>
    </cfRule>
  </conditionalFormatting>
  <conditionalFormatting sqref="E99">
    <cfRule type="expression" dxfId="296" priority="105">
      <formula>$C99&gt;$E99</formula>
    </cfRule>
  </conditionalFormatting>
  <conditionalFormatting sqref="C100">
    <cfRule type="expression" dxfId="295" priority="104">
      <formula>$C100&gt;$E100</formula>
    </cfRule>
  </conditionalFormatting>
  <conditionalFormatting sqref="C100">
    <cfRule type="expression" dxfId="294" priority="103">
      <formula>$C100&lt;$E100</formula>
    </cfRule>
  </conditionalFormatting>
  <conditionalFormatting sqref="E100">
    <cfRule type="expression" dxfId="293" priority="102">
      <formula>$C100&lt;$E100</formula>
    </cfRule>
  </conditionalFormatting>
  <conditionalFormatting sqref="E100">
    <cfRule type="expression" dxfId="292" priority="101">
      <formula>$C100&gt;$E100</formula>
    </cfRule>
  </conditionalFormatting>
  <conditionalFormatting sqref="C101">
    <cfRule type="expression" dxfId="291" priority="100">
      <formula>$C101&gt;$E101</formula>
    </cfRule>
  </conditionalFormatting>
  <conditionalFormatting sqref="C101">
    <cfRule type="expression" dxfId="290" priority="99">
      <formula>$C101&lt;$E101</formula>
    </cfRule>
  </conditionalFormatting>
  <conditionalFormatting sqref="E101">
    <cfRule type="expression" dxfId="289" priority="98">
      <formula>$C101&lt;$E101</formula>
    </cfRule>
  </conditionalFormatting>
  <conditionalFormatting sqref="E101">
    <cfRule type="expression" dxfId="288" priority="97">
      <formula>$C101&gt;$E101</formula>
    </cfRule>
  </conditionalFormatting>
  <conditionalFormatting sqref="C102">
    <cfRule type="expression" dxfId="287" priority="96">
      <formula>$C102&gt;$E102</formula>
    </cfRule>
  </conditionalFormatting>
  <conditionalFormatting sqref="C102">
    <cfRule type="expression" dxfId="286" priority="95">
      <formula>$C102&lt;$E102</formula>
    </cfRule>
  </conditionalFormatting>
  <conditionalFormatting sqref="E102">
    <cfRule type="expression" dxfId="285" priority="94">
      <formula>$C102&lt;$E102</formula>
    </cfRule>
  </conditionalFormatting>
  <conditionalFormatting sqref="E102">
    <cfRule type="expression" dxfId="284" priority="93">
      <formula>$C102&gt;$E102</formula>
    </cfRule>
  </conditionalFormatting>
  <conditionalFormatting sqref="C103">
    <cfRule type="expression" dxfId="283" priority="92">
      <formula>$C103&gt;$E103</formula>
    </cfRule>
  </conditionalFormatting>
  <conditionalFormatting sqref="C103">
    <cfRule type="expression" dxfId="282" priority="91">
      <formula>$C103&lt;$E103</formula>
    </cfRule>
  </conditionalFormatting>
  <conditionalFormatting sqref="E103">
    <cfRule type="expression" dxfId="281" priority="90">
      <formula>$C103&lt;$E103</formula>
    </cfRule>
  </conditionalFormatting>
  <conditionalFormatting sqref="E103">
    <cfRule type="expression" dxfId="280" priority="89">
      <formula>$C103&gt;$E103</formula>
    </cfRule>
  </conditionalFormatting>
  <conditionalFormatting sqref="C104">
    <cfRule type="expression" dxfId="279" priority="88">
      <formula>$C104&gt;$E104</formula>
    </cfRule>
  </conditionalFormatting>
  <conditionalFormatting sqref="C104">
    <cfRule type="expression" dxfId="278" priority="87">
      <formula>$C104&lt;$E104</formula>
    </cfRule>
  </conditionalFormatting>
  <conditionalFormatting sqref="E104">
    <cfRule type="expression" dxfId="277" priority="86">
      <formula>$C104&lt;$E104</formula>
    </cfRule>
  </conditionalFormatting>
  <conditionalFormatting sqref="E104">
    <cfRule type="expression" dxfId="276" priority="85">
      <formula>$C104&gt;$E104</formula>
    </cfRule>
  </conditionalFormatting>
  <conditionalFormatting sqref="C106">
    <cfRule type="expression" dxfId="275" priority="84">
      <formula>$C106&gt;$E106</formula>
    </cfRule>
  </conditionalFormatting>
  <conditionalFormatting sqref="C106">
    <cfRule type="expression" dxfId="274" priority="83">
      <formula>$C106&lt;$E106</formula>
    </cfRule>
  </conditionalFormatting>
  <conditionalFormatting sqref="E106">
    <cfRule type="expression" dxfId="273" priority="82">
      <formula>$C106&lt;$E106</formula>
    </cfRule>
  </conditionalFormatting>
  <conditionalFormatting sqref="E106">
    <cfRule type="expression" dxfId="272" priority="81">
      <formula>$C106&gt;$E106</formula>
    </cfRule>
  </conditionalFormatting>
  <conditionalFormatting sqref="C107">
    <cfRule type="expression" dxfId="271" priority="80">
      <formula>$C107&gt;$E107</formula>
    </cfRule>
  </conditionalFormatting>
  <conditionalFormatting sqref="C107">
    <cfRule type="expression" dxfId="270" priority="79">
      <formula>$C107&lt;$E107</formula>
    </cfRule>
  </conditionalFormatting>
  <conditionalFormatting sqref="E107">
    <cfRule type="expression" dxfId="269" priority="78">
      <formula>$C107&lt;$E107</formula>
    </cfRule>
  </conditionalFormatting>
  <conditionalFormatting sqref="E107">
    <cfRule type="expression" dxfId="268" priority="77">
      <formula>$C107&gt;$E107</formula>
    </cfRule>
  </conditionalFormatting>
  <conditionalFormatting sqref="C108">
    <cfRule type="expression" dxfId="267" priority="76">
      <formula>$C108&gt;$E108</formula>
    </cfRule>
  </conditionalFormatting>
  <conditionalFormatting sqref="C108">
    <cfRule type="expression" dxfId="266" priority="75">
      <formula>$C108&lt;$E108</formula>
    </cfRule>
  </conditionalFormatting>
  <conditionalFormatting sqref="E108">
    <cfRule type="expression" dxfId="265" priority="74">
      <formula>$C108&lt;$E108</formula>
    </cfRule>
  </conditionalFormatting>
  <conditionalFormatting sqref="E108">
    <cfRule type="expression" dxfId="264" priority="73">
      <formula>$C108&gt;$E108</formula>
    </cfRule>
  </conditionalFormatting>
  <conditionalFormatting sqref="C109">
    <cfRule type="expression" dxfId="263" priority="72">
      <formula>$C109&gt;$E109</formula>
    </cfRule>
  </conditionalFormatting>
  <conditionalFormatting sqref="C109">
    <cfRule type="expression" dxfId="262" priority="71">
      <formula>$C109&lt;$E109</formula>
    </cfRule>
  </conditionalFormatting>
  <conditionalFormatting sqref="E109">
    <cfRule type="expression" dxfId="261" priority="70">
      <formula>$C109&lt;$E109</formula>
    </cfRule>
  </conditionalFormatting>
  <conditionalFormatting sqref="E109">
    <cfRule type="expression" dxfId="260" priority="69">
      <formula>$C109&gt;$E109</formula>
    </cfRule>
  </conditionalFormatting>
  <conditionalFormatting sqref="C110">
    <cfRule type="expression" dxfId="259" priority="68">
      <formula>$C110&gt;$E110</formula>
    </cfRule>
  </conditionalFormatting>
  <conditionalFormatting sqref="C110">
    <cfRule type="expression" dxfId="258" priority="67">
      <formula>$C110&lt;$E110</formula>
    </cfRule>
  </conditionalFormatting>
  <conditionalFormatting sqref="E110">
    <cfRule type="expression" dxfId="257" priority="66">
      <formula>$C110&lt;$E110</formula>
    </cfRule>
  </conditionalFormatting>
  <conditionalFormatting sqref="E110">
    <cfRule type="expression" dxfId="256" priority="65">
      <formula>$C110&gt;$E110</formula>
    </cfRule>
  </conditionalFormatting>
  <conditionalFormatting sqref="C111">
    <cfRule type="expression" dxfId="255" priority="64">
      <formula>$C111&gt;$E111</formula>
    </cfRule>
  </conditionalFormatting>
  <conditionalFormatting sqref="C111">
    <cfRule type="expression" dxfId="254" priority="63">
      <formula>$C111&lt;$E111</formula>
    </cfRule>
  </conditionalFormatting>
  <conditionalFormatting sqref="E111">
    <cfRule type="expression" dxfId="253" priority="62">
      <formula>$C111&lt;$E111</formula>
    </cfRule>
  </conditionalFormatting>
  <conditionalFormatting sqref="E111">
    <cfRule type="expression" dxfId="252" priority="61">
      <formula>$C111&gt;$E111</formula>
    </cfRule>
  </conditionalFormatting>
  <conditionalFormatting sqref="C112">
    <cfRule type="expression" dxfId="251" priority="60">
      <formula>$C112&gt;$E112</formula>
    </cfRule>
  </conditionalFormatting>
  <conditionalFormatting sqref="C112">
    <cfRule type="expression" dxfId="250" priority="59">
      <formula>$C112&lt;$E112</formula>
    </cfRule>
  </conditionalFormatting>
  <conditionalFormatting sqref="E112">
    <cfRule type="expression" dxfId="249" priority="58">
      <formula>$C112&lt;$E112</formula>
    </cfRule>
  </conditionalFormatting>
  <conditionalFormatting sqref="E112">
    <cfRule type="expression" dxfId="248" priority="57">
      <formula>$C112&gt;$E112</formula>
    </cfRule>
  </conditionalFormatting>
  <conditionalFormatting sqref="C114">
    <cfRule type="expression" dxfId="247" priority="56">
      <formula>$C114&gt;$E114</formula>
    </cfRule>
  </conditionalFormatting>
  <conditionalFormatting sqref="C114">
    <cfRule type="expression" dxfId="246" priority="55">
      <formula>$C114&lt;$E114</formula>
    </cfRule>
  </conditionalFormatting>
  <conditionalFormatting sqref="E114">
    <cfRule type="expression" dxfId="245" priority="54">
      <formula>$C114&lt;$E114</formula>
    </cfRule>
  </conditionalFormatting>
  <conditionalFormatting sqref="E114">
    <cfRule type="expression" dxfId="244" priority="53">
      <formula>$C114&gt;$E114</formula>
    </cfRule>
  </conditionalFormatting>
  <conditionalFormatting sqref="C115">
    <cfRule type="expression" dxfId="243" priority="52">
      <formula>$C115&gt;$E115</formula>
    </cfRule>
  </conditionalFormatting>
  <conditionalFormatting sqref="C115">
    <cfRule type="expression" dxfId="242" priority="51">
      <formula>$C115&lt;$E115</formula>
    </cfRule>
  </conditionalFormatting>
  <conditionalFormatting sqref="E115">
    <cfRule type="expression" dxfId="241" priority="50">
      <formula>$C115&lt;$E115</formula>
    </cfRule>
  </conditionalFormatting>
  <conditionalFormatting sqref="E115">
    <cfRule type="expression" dxfId="240" priority="49">
      <formula>$C115&gt;$E115</formula>
    </cfRule>
  </conditionalFormatting>
  <conditionalFormatting sqref="C116">
    <cfRule type="expression" dxfId="239" priority="48">
      <formula>$C116&gt;$E116</formula>
    </cfRule>
  </conditionalFormatting>
  <conditionalFormatting sqref="C116">
    <cfRule type="expression" dxfId="238" priority="47">
      <formula>$C116&lt;$E116</formula>
    </cfRule>
  </conditionalFormatting>
  <conditionalFormatting sqref="E116">
    <cfRule type="expression" dxfId="237" priority="46">
      <formula>$C116&lt;$E116</formula>
    </cfRule>
  </conditionalFormatting>
  <conditionalFormatting sqref="E116">
    <cfRule type="expression" dxfId="236" priority="45">
      <formula>$C116&gt;$E116</formula>
    </cfRule>
  </conditionalFormatting>
  <conditionalFormatting sqref="C117">
    <cfRule type="expression" dxfId="235" priority="44">
      <formula>$C117&gt;$E117</formula>
    </cfRule>
  </conditionalFormatting>
  <conditionalFormatting sqref="C117">
    <cfRule type="expression" dxfId="234" priority="43">
      <formula>$C117&lt;$E117</formula>
    </cfRule>
  </conditionalFormatting>
  <conditionalFormatting sqref="E117">
    <cfRule type="expression" dxfId="233" priority="42">
      <formula>$C117&lt;$E117</formula>
    </cfRule>
  </conditionalFormatting>
  <conditionalFormatting sqref="E117">
    <cfRule type="expression" dxfId="232" priority="41">
      <formula>$C117&gt;$E117</formula>
    </cfRule>
  </conditionalFormatting>
  <conditionalFormatting sqref="C118">
    <cfRule type="expression" dxfId="231" priority="40">
      <formula>$C118&gt;$E118</formula>
    </cfRule>
  </conditionalFormatting>
  <conditionalFormatting sqref="C118">
    <cfRule type="expression" dxfId="230" priority="39">
      <formula>$C118&lt;$E118</formula>
    </cfRule>
  </conditionalFormatting>
  <conditionalFormatting sqref="E118">
    <cfRule type="expression" dxfId="229" priority="38">
      <formula>$C118&lt;$E118</formula>
    </cfRule>
  </conditionalFormatting>
  <conditionalFormatting sqref="E118">
    <cfRule type="expression" dxfId="228" priority="37">
      <formula>$C118&gt;$E118</formula>
    </cfRule>
  </conditionalFormatting>
  <conditionalFormatting sqref="C119">
    <cfRule type="expression" dxfId="227" priority="36">
      <formula>$C119&gt;$E119</formula>
    </cfRule>
  </conditionalFormatting>
  <conditionalFormatting sqref="C119">
    <cfRule type="expression" dxfId="226" priority="35">
      <formula>$C119&lt;$E119</formula>
    </cfRule>
  </conditionalFormatting>
  <conditionalFormatting sqref="E119">
    <cfRule type="expression" dxfId="225" priority="34">
      <formula>$C119&lt;$E119</formula>
    </cfRule>
  </conditionalFormatting>
  <conditionalFormatting sqref="E119">
    <cfRule type="expression" dxfId="224" priority="33">
      <formula>$C119&gt;$E119</formula>
    </cfRule>
  </conditionalFormatting>
  <conditionalFormatting sqref="C120">
    <cfRule type="expression" dxfId="223" priority="32">
      <formula>$C120&gt;$E120</formula>
    </cfRule>
  </conditionalFormatting>
  <conditionalFormatting sqref="C120">
    <cfRule type="expression" dxfId="222" priority="31">
      <formula>$C120&lt;$E120</formula>
    </cfRule>
  </conditionalFormatting>
  <conditionalFormatting sqref="E120">
    <cfRule type="expression" dxfId="221" priority="30">
      <formula>$C120&lt;$E120</formula>
    </cfRule>
  </conditionalFormatting>
  <conditionalFormatting sqref="E120">
    <cfRule type="expression" dxfId="220" priority="29">
      <formula>$C120&gt;$E120</formula>
    </cfRule>
  </conditionalFormatting>
  <conditionalFormatting sqref="C122">
    <cfRule type="expression" dxfId="219" priority="28">
      <formula>$C122&gt;$E122</formula>
    </cfRule>
  </conditionalFormatting>
  <conditionalFormatting sqref="C122">
    <cfRule type="expression" dxfId="218" priority="27">
      <formula>$C122&lt;$E122</formula>
    </cfRule>
  </conditionalFormatting>
  <conditionalFormatting sqref="E122">
    <cfRule type="expression" dxfId="217" priority="26">
      <formula>$C122&lt;$E122</formula>
    </cfRule>
  </conditionalFormatting>
  <conditionalFormatting sqref="E122">
    <cfRule type="expression" dxfId="216" priority="25">
      <formula>$C122&gt;$E122</formula>
    </cfRule>
  </conditionalFormatting>
  <conditionalFormatting sqref="C123">
    <cfRule type="expression" dxfId="215" priority="24">
      <formula>$C123&gt;$E123</formula>
    </cfRule>
  </conditionalFormatting>
  <conditionalFormatting sqref="C123">
    <cfRule type="expression" dxfId="214" priority="23">
      <formula>$C123&lt;$E123</formula>
    </cfRule>
  </conditionalFormatting>
  <conditionalFormatting sqref="E123">
    <cfRule type="expression" dxfId="213" priority="22">
      <formula>$C123&lt;$E123</formula>
    </cfRule>
  </conditionalFormatting>
  <conditionalFormatting sqref="E123">
    <cfRule type="expression" dxfId="212" priority="21">
      <formula>$C123&gt;$E123</formula>
    </cfRule>
  </conditionalFormatting>
  <conditionalFormatting sqref="C124">
    <cfRule type="expression" dxfId="211" priority="20">
      <formula>$C124&gt;$E124</formula>
    </cfRule>
  </conditionalFormatting>
  <conditionalFormatting sqref="C124">
    <cfRule type="expression" dxfId="210" priority="19">
      <formula>$C124&lt;$E124</formula>
    </cfRule>
  </conditionalFormatting>
  <conditionalFormatting sqref="E124">
    <cfRule type="expression" dxfId="209" priority="18">
      <formula>$C124&lt;$E124</formula>
    </cfRule>
  </conditionalFormatting>
  <conditionalFormatting sqref="E124">
    <cfRule type="expression" dxfId="208" priority="17">
      <formula>$C124&gt;$E124</formula>
    </cfRule>
  </conditionalFormatting>
  <conditionalFormatting sqref="C125">
    <cfRule type="expression" dxfId="207" priority="16">
      <formula>$C125&gt;$E125</formula>
    </cfRule>
  </conditionalFormatting>
  <conditionalFormatting sqref="C125">
    <cfRule type="expression" dxfId="206" priority="15">
      <formula>$C125&lt;$E125</formula>
    </cfRule>
  </conditionalFormatting>
  <conditionalFormatting sqref="E125">
    <cfRule type="expression" dxfId="205" priority="14">
      <formula>$C125&lt;$E125</formula>
    </cfRule>
  </conditionalFormatting>
  <conditionalFormatting sqref="E125">
    <cfRule type="expression" dxfId="204" priority="13">
      <formula>$C125&gt;$E125</formula>
    </cfRule>
  </conditionalFormatting>
  <conditionalFormatting sqref="C126">
    <cfRule type="expression" dxfId="203" priority="12">
      <formula>$C126&gt;$E126</formula>
    </cfRule>
  </conditionalFormatting>
  <conditionalFormatting sqref="C126">
    <cfRule type="expression" dxfId="202" priority="11">
      <formula>$C126&lt;$E126</formula>
    </cfRule>
  </conditionalFormatting>
  <conditionalFormatting sqref="E126">
    <cfRule type="expression" dxfId="201" priority="10">
      <formula>$C126&lt;$E126</formula>
    </cfRule>
  </conditionalFormatting>
  <conditionalFormatting sqref="E126">
    <cfRule type="expression" dxfId="200" priority="9">
      <formula>$C126&gt;$E126</formula>
    </cfRule>
  </conditionalFormatting>
  <conditionalFormatting sqref="C127">
    <cfRule type="expression" dxfId="199" priority="8">
      <formula>$C127&gt;$E127</formula>
    </cfRule>
  </conditionalFormatting>
  <conditionalFormatting sqref="C127">
    <cfRule type="expression" dxfId="198" priority="7">
      <formula>$C127&lt;$E127</formula>
    </cfRule>
  </conditionalFormatting>
  <conditionalFormatting sqref="E127">
    <cfRule type="expression" dxfId="197" priority="6">
      <formula>$C127&lt;$E127</formula>
    </cfRule>
  </conditionalFormatting>
  <conditionalFormatting sqref="E127">
    <cfRule type="expression" dxfId="196" priority="5">
      <formula>$C127&gt;$E127</formula>
    </cfRule>
  </conditionalFormatting>
  <conditionalFormatting sqref="C128">
    <cfRule type="expression" dxfId="195" priority="4">
      <formula>$C128&gt;$E128</formula>
    </cfRule>
  </conditionalFormatting>
  <conditionalFormatting sqref="C128">
    <cfRule type="expression" dxfId="194" priority="3">
      <formula>$C128&lt;$E128</formula>
    </cfRule>
  </conditionalFormatting>
  <conditionalFormatting sqref="E128">
    <cfRule type="expression" dxfId="193" priority="2">
      <formula>$C128&lt;$E128</formula>
    </cfRule>
  </conditionalFormatting>
  <conditionalFormatting sqref="E128">
    <cfRule type="expression" dxfId="192" priority="1">
      <formula>$C128&gt;$E128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C4PPMatch">
              <controlPr defaultSize="0" print="0" autoFill="0" autoPict="0" macro="[0]!'copyimage &quot;B1:F12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74553-EEF4-4391-BFF8-4A1611231158}">
  <sheetPr codeName="Feuil17"/>
  <dimension ref="A1:N44"/>
  <sheetViews>
    <sheetView workbookViewId="0">
      <selection activeCell="N17" sqref="N17"/>
    </sheetView>
  </sheetViews>
  <sheetFormatPr baseColWidth="10" defaultRowHeight="15" x14ac:dyDescent="0.25"/>
  <cols>
    <col min="1" max="2" width="11.42578125" style="42"/>
    <col min="3" max="3" width="0" style="42" hidden="1" customWidth="1"/>
    <col min="4" max="4" width="43.5703125" style="42" customWidth="1"/>
    <col min="5" max="5" width="11.42578125" style="74"/>
    <col min="6" max="11" width="11.42578125" style="42"/>
    <col min="12" max="12" width="0" style="42" hidden="1" customWidth="1"/>
    <col min="13" max="13" width="6" style="42" customWidth="1"/>
    <col min="14" max="16384" width="11.42578125" style="42"/>
  </cols>
  <sheetData>
    <row r="1" spans="1:14" ht="15.75" thickBot="1" x14ac:dyDescent="0.3"/>
    <row r="2" spans="1:14" ht="30.95" customHeight="1" thickBot="1" x14ac:dyDescent="0.3">
      <c r="C2" s="68" t="s">
        <v>107</v>
      </c>
      <c r="D2" s="68" t="s">
        <v>52</v>
      </c>
      <c r="E2" s="75" t="s">
        <v>108</v>
      </c>
      <c r="F2" s="68" t="s">
        <v>109</v>
      </c>
      <c r="G2" s="68" t="s">
        <v>110</v>
      </c>
      <c r="H2" s="68" t="s">
        <v>111</v>
      </c>
      <c r="I2" s="68" t="s">
        <v>112</v>
      </c>
      <c r="J2" s="68" t="s">
        <v>113</v>
      </c>
      <c r="K2" s="69" t="s">
        <v>114</v>
      </c>
      <c r="L2" s="68" t="s">
        <v>115</v>
      </c>
      <c r="M2" s="69" t="s">
        <v>116</v>
      </c>
    </row>
    <row r="4" spans="1:14" ht="15.75" x14ac:dyDescent="0.25">
      <c r="A4" s="137" t="s">
        <v>57</v>
      </c>
      <c r="B4" s="70">
        <v>1</v>
      </c>
      <c r="C4" s="70" t="s">
        <v>61</v>
      </c>
      <c r="D4" s="70" t="str">
        <f>INSCRIPTS!C2</f>
        <v>1A</v>
      </c>
      <c r="E4" s="76">
        <f ca="1">SUM(IF(INDIRECT(ADDRESS(2,3,,,"MATCHS"))&gt;INDIRECT(ADDRESS(2,5,,,"MATCHS")),1,0),,IF(INDIRECT(ADDRESS(20,3,,,"MATCHS"))&gt;INDIRECT(ADDRESS(20,5,,,"MATCHS")),1,0),,IF(INDIRECT(ADDRESS(38,3,,,"MATCHS"))&gt;INDIRECT(ADDRESS(38,5,,,"MATCHS")),1,0),,IF(INDIRECT(ADDRESS(56,3,,,"MATCHS"))&gt;INDIRECT(ADDRESS(56,5,,,"MATCHS")),1,0),,,IF(INDIRECT(ADDRESS(75,3,,,"MATCHS"))&gt;INDIRECT(ADDRESS(75,5,,,"MATCHS")),1,0),,IF(INDIRECT(ADDRESS(93,3,,,"MATCHS"))&gt;INDIRECT(ADDRESS(93,5,,,"MATCHS")),1,0),,IF(INDIRECT(ADDRESS(111,3,,,"MATCHS"))&gt;INDIRECT(ADDRESS(111,5,,,"MATCHS")),1,0),,) + 0.01 * K4</f>
        <v>0</v>
      </c>
      <c r="F4" s="70">
        <f ca="1">SUM(IF(INDIRECT(ADDRESS(2,3,,,"MATCHS"))&lt;INDIRECT(ADDRESS(2,5,,,"MATCHS")),1,0),,IF(INDIRECT(ADDRESS(20,3,,,"MATCHS"))&lt;INDIRECT(ADDRESS(20,5,,,"MATCHS")),1,0),,IF(INDIRECT(ADDRESS(38,3,,,"MATCHS"))&lt;INDIRECT(ADDRESS(38,5,,,"MATCHS")),1,0),,IF(INDIRECT(ADDRESS(56,3,,,"MATCHS"))&lt;INDIRECT(ADDRESS(56,5,,,"MATCHS")),1,0),,,IF(INDIRECT(ADDRESS(75,3,,,"MATCHS"))&lt;INDIRECT(ADDRESS(75,5,,,"MATCHS")),1,0),,IF(INDIRECT(ADDRESS(93,3,,,"MATCHS"))&lt;INDIRECT(ADDRESS(93,5,,,"MATCHS")),1,0),,IF(INDIRECT(ADDRESS(111,3,,,"MATCHS"))&lt;INDIRECT(ADDRESS(111,5,,,"MATCHS")),1,0),,)</f>
        <v>1</v>
      </c>
      <c r="G4" s="70">
        <f ca="1">SUM(IF(IFERROR(FIND("--",INDIRECT(ADDRESS(2,3,,,"MATCHS"))),FALSE),LEFT(INDIRECT(ADDRESS(2,3,,,"MATCHS")), FIND("--",INDIRECT(ADDRESS(2,3,,,"MATCHS")),1)-1),INDIRECT(ADDRESS(2,3,,,"MATCHS"))),,IF(IFERROR(FIND("--",INDIRECT(ADDRESS(20,3,,,"MATCHS"))),FALSE),LEFT(INDIRECT(ADDRESS(20,3,,,"MATCHS")), FIND("--",INDIRECT(ADDRESS(20,3,,,"MATCHS")),1)-1),INDIRECT(ADDRESS(20,3,,,"MATCHS"))),,IF(IFERROR(FIND("--",INDIRECT(ADDRESS(38,3,,,"MATCHS"))),FALSE),LEFT(INDIRECT(ADDRESS(38,3,,,"MATCHS")), FIND("--",INDIRECT(ADDRESS(38,3,,,"MATCHS")),1)-1),INDIRECT(ADDRESS(38,3,,,"MATCHS"))),,IF(IFERROR(FIND("--",INDIRECT(ADDRESS(56,3,,,"MATCHS"))),FALSE),LEFT(INDIRECT(ADDRESS(56,3,,,"MATCHS")), FIND("--",INDIRECT(ADDRESS(56,3,,,"MATCHS")),1)-1),INDIRECT(ADDRESS(56,3,,,"MATCHS"))),,,IF(IFERROR(FIND("--",INDIRECT(ADDRESS(75,3,,,"MATCHS"))),FALSE),LEFT(INDIRECT(ADDRESS(75,3,,,"MATCHS")), FIND("--",INDIRECT(ADDRESS(75,3,,,"MATCHS")),1)-1),INDIRECT(ADDRESS(75,3,,,"MATCHS"))),,IF(IFERROR(FIND("--",INDIRECT(ADDRESS(93,3,,,"MATCHS"))),FALSE),LEFT(INDIRECT(ADDRESS(93,3,,,"MATCHS")), FIND("--",INDIRECT(ADDRESS(93,3,,,"MATCHS")),1)-1),INDIRECT(ADDRESS(93,3,,,"MATCHS"))),,IF(IFERROR(FIND("--",INDIRECT(ADDRESS(111,3,,,"MATCHS"))),FALSE),LEFT(INDIRECT(ADDRESS(111,3,,,"MATCHS")), FIND("--",INDIRECT(ADDRESS(111,3,,,"MATCHS")),1)-1),INDIRECT(ADDRESS(111,3,,,"MATCHS"))),,)</f>
        <v>1</v>
      </c>
      <c r="H4" s="70">
        <f ca="1">SUM(IF(IFERROR(FIND("--",INDIRECT(ADDRESS(2,3,,,"MATCHS"))),FALSE),RIGHT(INDIRECT(ADDRESS(2,3,,,"MATCHS")), FIND("--",INDIRECT(ADDRESS(2,3,,,"MATCHS")),1)),INDIRECT(ADDRESS(2,3,,,"MATCHS"))),,IF(IFERROR(FIND("--",INDIRECT(ADDRESS(20,3,,,"MATCHS"))),FALSE),RIGHT(INDIRECT(ADDRESS(20,3,,,"MATCHS")), FIND("--",INDIRECT(ADDRESS(20,3,,,"MATCHS")),1)),INDIRECT(ADDRESS(20,3,,,"MATCHS"))),,IF(IFERROR(FIND("--",INDIRECT(ADDRESS(38,3,,,"MATCHS"))),FALSE),RIGHT(INDIRECT(ADDRESS(38,3,,,"MATCHS")), FIND("--",INDIRECT(ADDRESS(38,3,,,"MATCHS")),1)),INDIRECT(ADDRESS(38,3,,,"MATCHS"))),,IF(IFERROR(FIND("--",INDIRECT(ADDRESS(56,3,,,"MATCHS"))),FALSE),RIGHT(INDIRECT(ADDRESS(56,3,,,"MATCHS")), FIND("--",INDIRECT(ADDRESS(56,3,,,"MATCHS")),1)),INDIRECT(ADDRESS(56,3,,,"MATCHS"))),,,IF(IFERROR(FIND("--",INDIRECT(ADDRESS(75,3,,,"MATCHS"))),FALSE),RIGHT(INDIRECT(ADDRESS(75,3,,,"MATCHS")), FIND("--",INDIRECT(ADDRESS(75,3,,,"MATCHS")),1)),INDIRECT(ADDRESS(75,3,,,"MATCHS"))),,IF(IFERROR(FIND("--",INDIRECT(ADDRESS(93,3,,,"MATCHS"))),FALSE),RIGHT(INDIRECT(ADDRESS(93,3,,,"MATCHS")), FIND("--",INDIRECT(ADDRESS(93,3,,,"MATCHS")),1)),INDIRECT(ADDRESS(93,3,,,"MATCHS"))),,IF(IFERROR(FIND("--",INDIRECT(ADDRESS(111,3,,,"MATCHS"))),FALSE),RIGHT(INDIRECT(ADDRESS(111,3,,,"MATCHS")), FIND("--",INDIRECT(ADDRESS(111,3,,,"MATCHS")),1)),INDIRECT(ADDRESS(111,3,,,"MATCHS"))),,)</f>
        <v>58</v>
      </c>
      <c r="I4" s="70">
        <f ca="1">SUM(IF(IFERROR(FIND("--",INDIRECT(ADDRESS(2,5,,,"MATCHS"))),FALSE),RIGHT(INDIRECT(ADDRESS(2,5,,,"MATCHS")), FIND("--",INDIRECT(ADDRESS(2,5,,,"MATCHS")),1)),INDIRECT(ADDRESS(2,5,,,"MATCHS"))),,IF(IFERROR(FIND("--",INDIRECT(ADDRESS(20,5,,,"MATCHS"))),FALSE),RIGHT(INDIRECT(ADDRESS(20,5,,,"MATCHS")), FIND("--",INDIRECT(ADDRESS(20,5,,,"MATCHS")),1)),INDIRECT(ADDRESS(20,5,,,"MATCHS"))),,IF(IFERROR(FIND("--",INDIRECT(ADDRESS(38,5,,,"MATCHS"))),FALSE),RIGHT(INDIRECT(ADDRESS(38,5,,,"MATCHS")), FIND("--",INDIRECT(ADDRESS(38,5,,,"MATCHS")),1)),INDIRECT(ADDRESS(38,5,,,"MATCHS"))),,IF(IFERROR(FIND("--",INDIRECT(ADDRESS(56,5,,,"MATCHS"))),FALSE),RIGHT(INDIRECT(ADDRESS(56,5,,,"MATCHS")), FIND("--",INDIRECT(ADDRESS(56,5,,,"MATCHS")),1)),INDIRECT(ADDRESS(56,5,,,"MATCHS"))),,,IF(IFERROR(FIND("--",INDIRECT(ADDRESS(75,5,,,"MATCHS"))),FALSE),RIGHT(INDIRECT(ADDRESS(75,5,,,"MATCHS")), FIND("--",INDIRECT(ADDRESS(75,5,,,"MATCHS")),1)),INDIRECT(ADDRESS(75,5,,,"MATCHS"))),,IF(IFERROR(FIND("--",INDIRECT(ADDRESS(93,5,,,"MATCHS"))),FALSE),RIGHT(INDIRECT(ADDRESS(93,5,,,"MATCHS")), FIND("--",INDIRECT(ADDRESS(93,5,,,"MATCHS")),1)),INDIRECT(ADDRESS(93,5,,,"MATCHS"))),,IF(IFERROR(FIND("--",INDIRECT(ADDRESS(111,5,,,"MATCHS"))),FALSE),RIGHT(INDIRECT(ADDRESS(111,5,,,"MATCHS")), FIND("--",INDIRECT(ADDRESS(111,5,,,"MATCHS")),1)),INDIRECT(ADDRESS(111,5,,,"MATCHS"))),,)</f>
        <v>51</v>
      </c>
      <c r="J4" s="70">
        <f t="shared" ref="J4:J11" ca="1" si="0">H4 - I4</f>
        <v>7</v>
      </c>
      <c r="K4" s="70">
        <v>0</v>
      </c>
      <c r="L4" s="70">
        <v>1</v>
      </c>
      <c r="M4" s="70"/>
      <c r="N4" s="66" t="str">
        <f t="shared" ref="N4:N11" si="1">M4 &amp; "DM"</f>
        <v>DM</v>
      </c>
    </row>
    <row r="5" spans="1:14" ht="15.75" x14ac:dyDescent="0.25">
      <c r="A5" s="137"/>
      <c r="B5" s="70">
        <v>2</v>
      </c>
      <c r="C5" s="70" t="s">
        <v>62</v>
      </c>
      <c r="D5" s="70" t="str">
        <f>INSCRIPTS!C3</f>
        <v>2A</v>
      </c>
      <c r="E5" s="76">
        <f ca="1">SUM(IF(INDIRECT(ADDRESS(2,5,,,"MATCHS"))&gt;INDIRECT(ADDRESS(2,3,,,"MATCHS")),1,0),,IF(INDIRECT(ADDRESS(21,3,,,"MATCHS"))&gt;INDIRECT(ADDRESS(21,5,,,"MATCHS")),1,0),,IF(INDIRECT(ADDRESS(39,3,,,"MATCHS"))&gt;INDIRECT(ADDRESS(39,5,,,"MATCHS")),1,0),,,IF(INDIRECT(ADDRESS(58,3,,,"MATCHS"))&gt;INDIRECT(ADDRESS(58,5,,,"MATCHS")),1,0),,IF(INDIRECT(ADDRESS(76,3,,,"MATCHS"))&gt;INDIRECT(ADDRESS(76,5,,,"MATCHS")),1,0),,IF(INDIRECT(ADDRESS(94,3,,,"MATCHS"))&gt;INDIRECT(ADDRESS(94,5,,,"MATCHS")),1,0),,IF(INDIRECT(ADDRESS(112,3,,,"MATCHS"))&gt;INDIRECT(ADDRESS(112,5,,,"MATCHS")),1,0),,) + 0.01 * K5</f>
        <v>1</v>
      </c>
      <c r="F5" s="70">
        <f ca="1">SUM(IF(INDIRECT(ADDRESS(2,5,,,"MATCHS"))&lt;INDIRECT(ADDRESS(2,3,,,"MATCHS")),1,0),,IF(INDIRECT(ADDRESS(21,3,,,"MATCHS"))&lt;INDIRECT(ADDRESS(21,5,,,"MATCHS")),1,0),,IF(INDIRECT(ADDRESS(39,3,,,"MATCHS"))&lt;INDIRECT(ADDRESS(39,5,,,"MATCHS")),1,0),,,IF(INDIRECT(ADDRESS(58,3,,,"MATCHS"))&lt;INDIRECT(ADDRESS(58,5,,,"MATCHS")),1,0),,IF(INDIRECT(ADDRESS(76,3,,,"MATCHS"))&lt;INDIRECT(ADDRESS(76,5,,,"MATCHS")),1,0),,IF(INDIRECT(ADDRESS(94,3,,,"MATCHS"))&lt;INDIRECT(ADDRESS(94,5,,,"MATCHS")),1,0),,IF(INDIRECT(ADDRESS(112,3,,,"MATCHS"))&lt;INDIRECT(ADDRESS(112,5,,,"MATCHS")),1,0),,)</f>
        <v>0</v>
      </c>
      <c r="G5" s="70">
        <f ca="1">SUM(IF(IFERROR(FIND("--",INDIRECT(ADDRESS(2,5,,,"MATCHS"))),FALSE),LEFT(INDIRECT(ADDRESS(2,5,,,"MATCHS")), FIND("--",INDIRECT(ADDRESS(2,5,,,"MATCHS")),1)-1),INDIRECT(ADDRESS(2,5,,,"MATCHS"))),,IF(IFERROR(FIND("--",INDIRECT(ADDRESS(21,3,,,"MATCHS"))),FALSE),LEFT(INDIRECT(ADDRESS(21,3,,,"MATCHS")), FIND("--",INDIRECT(ADDRESS(21,3,,,"MATCHS")),1)-1),INDIRECT(ADDRESS(21,3,,,"MATCHS"))),,IF(IFERROR(FIND("--",INDIRECT(ADDRESS(39,3,,,"MATCHS"))),FALSE),LEFT(INDIRECT(ADDRESS(39,3,,,"MATCHS")), FIND("--",INDIRECT(ADDRESS(39,3,,,"MATCHS")),1)-1),INDIRECT(ADDRESS(39,3,,,"MATCHS"))),,,IF(IFERROR(FIND("--",INDIRECT(ADDRESS(58,3,,,"MATCHS"))),FALSE),LEFT(INDIRECT(ADDRESS(58,3,,,"MATCHS")), FIND("--",INDIRECT(ADDRESS(58,3,,,"MATCHS")),1)-1),INDIRECT(ADDRESS(58,3,,,"MATCHS"))),,IF(IFERROR(FIND("--",INDIRECT(ADDRESS(76,3,,,"MATCHS"))),FALSE),LEFT(INDIRECT(ADDRESS(76,3,,,"MATCHS")), FIND("--",INDIRECT(ADDRESS(76,3,,,"MATCHS")),1)-1),INDIRECT(ADDRESS(76,3,,,"MATCHS"))),,IF(IFERROR(FIND("--",INDIRECT(ADDRESS(94,3,,,"MATCHS"))),FALSE),LEFT(INDIRECT(ADDRESS(94,3,,,"MATCHS")), FIND("--",INDIRECT(ADDRESS(94,3,,,"MATCHS")),1)-1),INDIRECT(ADDRESS(94,3,,,"MATCHS"))),,IF(IFERROR(FIND("--",INDIRECT(ADDRESS(112,3,,,"MATCHS"))),FALSE),LEFT(INDIRECT(ADDRESS(112,3,,,"MATCHS")), FIND("--",INDIRECT(ADDRESS(112,3,,,"MATCHS")),1)-1),INDIRECT(ADDRESS(112,3,,,"MATCHS"))),,)</f>
        <v>2</v>
      </c>
      <c r="H5" s="70">
        <f ca="1">SUM(IF(IFERROR(FIND("--",INDIRECT(ADDRESS(2,5,,,"MATCHS"))),FALSE),RIGHT(INDIRECT(ADDRESS(2,5,,,"MATCHS")), FIND("--",INDIRECT(ADDRESS(2,5,,,"MATCHS")),1)),INDIRECT(ADDRESS(2,5,,,"MATCHS"))),,IF(IFERROR(FIND("--",INDIRECT(ADDRESS(21,3,,,"MATCHS"))),FALSE),RIGHT(INDIRECT(ADDRESS(21,3,,,"MATCHS")), FIND("--",INDIRECT(ADDRESS(21,3,,,"MATCHS")),1)),INDIRECT(ADDRESS(21,3,,,"MATCHS"))),,IF(IFERROR(FIND("--",INDIRECT(ADDRESS(39,3,,,"MATCHS"))),FALSE),RIGHT(INDIRECT(ADDRESS(39,3,,,"MATCHS")), FIND("--",INDIRECT(ADDRESS(39,3,,,"MATCHS")),1)),INDIRECT(ADDRESS(39,3,,,"MATCHS"))),,,IF(IFERROR(FIND("--",INDIRECT(ADDRESS(58,3,,,"MATCHS"))),FALSE),RIGHT(INDIRECT(ADDRESS(58,3,,,"MATCHS")), FIND("--",INDIRECT(ADDRESS(58,3,,,"MATCHS")),1)),INDIRECT(ADDRESS(58,3,,,"MATCHS"))),,IF(IFERROR(FIND("--",INDIRECT(ADDRESS(76,3,,,"MATCHS"))),FALSE),RIGHT(INDIRECT(ADDRESS(76,3,,,"MATCHS")), FIND("--",INDIRECT(ADDRESS(76,3,,,"MATCHS")),1)),INDIRECT(ADDRESS(76,3,,,"MATCHS"))),,IF(IFERROR(FIND("--",INDIRECT(ADDRESS(94,3,,,"MATCHS"))),FALSE),RIGHT(INDIRECT(ADDRESS(94,3,,,"MATCHS")), FIND("--",INDIRECT(ADDRESS(94,3,,,"MATCHS")),1)),INDIRECT(ADDRESS(94,3,,,"MATCHS"))),,IF(IFERROR(FIND("--",INDIRECT(ADDRESS(112,3,,,"MATCHS"))),FALSE),RIGHT(INDIRECT(ADDRESS(112,3,,,"MATCHS")), FIND("--",INDIRECT(ADDRESS(112,3,,,"MATCHS")),1)),INDIRECT(ADDRESS(112,3,,,"MATCHS"))),,)</f>
        <v>51</v>
      </c>
      <c r="I5" s="70">
        <f ca="1">SUM(IF(IFERROR(FIND("--",INDIRECT(ADDRESS(2,3,,,"MATCHS"))),FALSE),RIGHT(INDIRECT(ADDRESS(2,3,,,"MATCHS")), FIND("--",INDIRECT(ADDRESS(2,3,,,"MATCHS")),1)),INDIRECT(ADDRESS(2,3,,,"MATCHS"))),,IF(IFERROR(FIND("--",INDIRECT(ADDRESS(21,5,,,"MATCHS"))),FALSE),RIGHT(INDIRECT(ADDRESS(21,5,,,"MATCHS")), FIND("--",INDIRECT(ADDRESS(21,5,,,"MATCHS")),1)),INDIRECT(ADDRESS(21,5,,,"MATCHS"))),,IF(IFERROR(FIND("--",INDIRECT(ADDRESS(39,5,,,"MATCHS"))),FALSE),RIGHT(INDIRECT(ADDRESS(39,5,,,"MATCHS")), FIND("--",INDIRECT(ADDRESS(39,5,,,"MATCHS")),1)),INDIRECT(ADDRESS(39,5,,,"MATCHS"))),,,IF(IFERROR(FIND("--",INDIRECT(ADDRESS(58,5,,,"MATCHS"))),FALSE),RIGHT(INDIRECT(ADDRESS(58,5,,,"MATCHS")), FIND("--",INDIRECT(ADDRESS(58,5,,,"MATCHS")),1)),INDIRECT(ADDRESS(58,5,,,"MATCHS"))),,IF(IFERROR(FIND("--",INDIRECT(ADDRESS(76,5,,,"MATCHS"))),FALSE),RIGHT(INDIRECT(ADDRESS(76,5,,,"MATCHS")), FIND("--",INDIRECT(ADDRESS(76,5,,,"MATCHS")),1)),INDIRECT(ADDRESS(76,5,,,"MATCHS"))),,IF(IFERROR(FIND("--",INDIRECT(ADDRESS(94,5,,,"MATCHS"))),FALSE),RIGHT(INDIRECT(ADDRESS(94,5,,,"MATCHS")), FIND("--",INDIRECT(ADDRESS(94,5,,,"MATCHS")),1)),INDIRECT(ADDRESS(94,5,,,"MATCHS"))),,IF(IFERROR(FIND("--",INDIRECT(ADDRESS(112,5,,,"MATCHS"))),FALSE),RIGHT(INDIRECT(ADDRESS(112,5,,,"MATCHS")), FIND("--",INDIRECT(ADDRESS(112,5,,,"MATCHS")),1)),INDIRECT(ADDRESS(112,5,,,"MATCHS"))),,)</f>
        <v>58</v>
      </c>
      <c r="J5" s="70">
        <f t="shared" ca="1" si="0"/>
        <v>-7</v>
      </c>
      <c r="K5" s="70">
        <v>0</v>
      </c>
      <c r="L5" s="70">
        <v>2</v>
      </c>
      <c r="M5" s="70"/>
      <c r="N5" s="66" t="str">
        <f t="shared" si="1"/>
        <v>DM</v>
      </c>
    </row>
    <row r="6" spans="1:14" ht="15.75" x14ac:dyDescent="0.25">
      <c r="A6" s="137"/>
      <c r="B6" s="70">
        <v>3</v>
      </c>
      <c r="C6" s="70" t="s">
        <v>63</v>
      </c>
      <c r="D6" s="70" t="str">
        <f>INSCRIPTS!C4</f>
        <v>3A</v>
      </c>
      <c r="E6" s="76">
        <f ca="1">SUM(IF(INDIRECT(ADDRESS(3,3,,,"MATCHS"))&gt;INDIRECT(ADDRESS(3,5,,,"MATCHS")),1,0),,IF(INDIRECT(ADDRESS(20,5,,,"MATCHS"))&gt;INDIRECT(ADDRESS(20,3,,,"MATCHS")),1,0),,IF(INDIRECT(ADDRESS(39,5,,,"MATCHS"))&gt;INDIRECT(ADDRESS(39,3,,,"MATCHS")),1,0),,,IF(INDIRECT(ADDRESS(59,3,,,"MATCHS"))&gt;INDIRECT(ADDRESS(59,5,,,"MATCHS")),1,0),,IF(INDIRECT(ADDRESS(77,3,,,"MATCHS"))&gt;INDIRECT(ADDRESS(77,5,,,"MATCHS")),1,0),,IF(INDIRECT(ADDRESS(95,3,,,"MATCHS"))&gt;INDIRECT(ADDRESS(95,5,,,"MATCHS")),1,0),,,IF(INDIRECT(ADDRESS(114,3,,,"MATCHS"))&gt;INDIRECT(ADDRESS(114,5,,,"MATCHS")),1,0),) + 0.01 * K6</f>
        <v>0</v>
      </c>
      <c r="F6" s="70">
        <f ca="1">SUM(IF(INDIRECT(ADDRESS(3,3,,,"MATCHS"))&lt;INDIRECT(ADDRESS(3,5,,,"MATCHS")),1,0),,IF(INDIRECT(ADDRESS(20,5,,,"MATCHS"))&lt;INDIRECT(ADDRESS(20,3,,,"MATCHS")),1,0),,IF(INDIRECT(ADDRESS(39,5,,,"MATCHS"))&lt;INDIRECT(ADDRESS(39,3,,,"MATCHS")),1,0),,,IF(INDIRECT(ADDRESS(59,3,,,"MATCHS"))&lt;INDIRECT(ADDRESS(59,5,,,"MATCHS")),1,0),,IF(INDIRECT(ADDRESS(77,3,,,"MATCHS"))&lt;INDIRECT(ADDRESS(77,5,,,"MATCHS")),1,0),,IF(INDIRECT(ADDRESS(95,3,,,"MATCHS"))&lt;INDIRECT(ADDRESS(95,5,,,"MATCHS")),1,0),,,IF(INDIRECT(ADDRESS(114,3,,,"MATCHS"))&lt;INDIRECT(ADDRESS(114,5,,,"MATCHS")),1,0),)</f>
        <v>1</v>
      </c>
      <c r="G6" s="70">
        <f ca="1">SUM(IF(IFERROR(FIND("--",INDIRECT(ADDRESS(3,3,,,"MATCHS"))),FALSE),LEFT(INDIRECT(ADDRESS(3,3,,,"MATCHS")), FIND("--",INDIRECT(ADDRESS(3,3,,,"MATCHS")),1)-1),INDIRECT(ADDRESS(3,3,,,"MATCHS"))),,IF(IFERROR(FIND("--",INDIRECT(ADDRESS(20,5,,,"MATCHS"))),FALSE),LEFT(INDIRECT(ADDRESS(20,5,,,"MATCHS")), FIND("--",INDIRECT(ADDRESS(20,5,,,"MATCHS")),1)-1),INDIRECT(ADDRESS(20,5,,,"MATCHS"))),,IF(IFERROR(FIND("--",INDIRECT(ADDRESS(39,5,,,"MATCHS"))),FALSE),LEFT(INDIRECT(ADDRESS(39,5,,,"MATCHS")), FIND("--",INDIRECT(ADDRESS(39,5,,,"MATCHS")),1)-1),INDIRECT(ADDRESS(39,5,,,"MATCHS"))),,,IF(IFERROR(FIND("--",INDIRECT(ADDRESS(59,3,,,"MATCHS"))),FALSE),LEFT(INDIRECT(ADDRESS(59,3,,,"MATCHS")), FIND("--",INDIRECT(ADDRESS(59,3,,,"MATCHS")),1)-1),INDIRECT(ADDRESS(59,3,,,"MATCHS"))),,IF(IFERROR(FIND("--",INDIRECT(ADDRESS(77,3,,,"MATCHS"))),FALSE),LEFT(INDIRECT(ADDRESS(77,3,,,"MATCHS")), FIND("--",INDIRECT(ADDRESS(77,3,,,"MATCHS")),1)-1),INDIRECT(ADDRESS(77,3,,,"MATCHS"))),,IF(IFERROR(FIND("--",INDIRECT(ADDRESS(95,3,,,"MATCHS"))),FALSE),LEFT(INDIRECT(ADDRESS(95,3,,,"MATCHS")), FIND("--",INDIRECT(ADDRESS(95,3,,,"MATCHS")),1)-1),INDIRECT(ADDRESS(95,3,,,"MATCHS"))),,,IF(IFERROR(FIND("--",INDIRECT(ADDRESS(114,3,,,"MATCHS"))),FALSE),LEFT(INDIRECT(ADDRESS(114,3,,,"MATCHS")), FIND("--",INDIRECT(ADDRESS(114,3,,,"MATCHS")),1)-1),INDIRECT(ADDRESS(114,3,,,"MATCHS"))),)</f>
        <v>1</v>
      </c>
      <c r="H6" s="70">
        <f ca="1">SUM(IF(IFERROR(FIND("--",INDIRECT(ADDRESS(3,3,,,"MATCHS"))),FALSE),RIGHT(INDIRECT(ADDRESS(3,3,,,"MATCHS")), FIND("--",INDIRECT(ADDRESS(3,3,,,"MATCHS")),1)),INDIRECT(ADDRESS(3,3,,,"MATCHS"))),,IF(IFERROR(FIND("--",INDIRECT(ADDRESS(20,5,,,"MATCHS"))),FALSE),RIGHT(INDIRECT(ADDRESS(20,5,,,"MATCHS")), FIND("--",INDIRECT(ADDRESS(20,5,,,"MATCHS")),1)),INDIRECT(ADDRESS(20,5,,,"MATCHS"))),,IF(IFERROR(FIND("--",INDIRECT(ADDRESS(39,5,,,"MATCHS"))),FALSE),RIGHT(INDIRECT(ADDRESS(39,5,,,"MATCHS")), FIND("--",INDIRECT(ADDRESS(39,5,,,"MATCHS")),1)),INDIRECT(ADDRESS(39,5,,,"MATCHS"))),,,IF(IFERROR(FIND("--",INDIRECT(ADDRESS(59,3,,,"MATCHS"))),FALSE),RIGHT(INDIRECT(ADDRESS(59,3,,,"MATCHS")), FIND("--",INDIRECT(ADDRESS(59,3,,,"MATCHS")),1)),INDIRECT(ADDRESS(59,3,,,"MATCHS"))),,IF(IFERROR(FIND("--",INDIRECT(ADDRESS(77,3,,,"MATCHS"))),FALSE),RIGHT(INDIRECT(ADDRESS(77,3,,,"MATCHS")), FIND("--",INDIRECT(ADDRESS(77,3,,,"MATCHS")),1)),INDIRECT(ADDRESS(77,3,,,"MATCHS"))),,IF(IFERROR(FIND("--",INDIRECT(ADDRESS(95,3,,,"MATCHS"))),FALSE),RIGHT(INDIRECT(ADDRESS(95,3,,,"MATCHS")), FIND("--",INDIRECT(ADDRESS(95,3,,,"MATCHS")),1)),INDIRECT(ADDRESS(95,3,,,"MATCHS"))),,,IF(IFERROR(FIND("--",INDIRECT(ADDRESS(114,3,,,"MATCHS"))),FALSE),RIGHT(INDIRECT(ADDRESS(114,3,,,"MATCHS")), FIND("--",INDIRECT(ADDRESS(114,3,,,"MATCHS")),1)),INDIRECT(ADDRESS(114,3,,,"MATCHS"))),)</f>
        <v>53</v>
      </c>
      <c r="I6" s="70">
        <f ca="1">SUM(IF(IFERROR(FIND("--",INDIRECT(ADDRESS(3,5,,,"MATCHS"))),FALSE),RIGHT(INDIRECT(ADDRESS(3,5,,,"MATCHS")), FIND("--",INDIRECT(ADDRESS(3,5,,,"MATCHS")),1)),INDIRECT(ADDRESS(3,5,,,"MATCHS"))),,IF(IFERROR(FIND("--",INDIRECT(ADDRESS(20,3,,,"MATCHS"))),FALSE),RIGHT(INDIRECT(ADDRESS(20,3,,,"MATCHS")), FIND("--",INDIRECT(ADDRESS(20,3,,,"MATCHS")),1)),INDIRECT(ADDRESS(20,3,,,"MATCHS"))),,IF(IFERROR(FIND("--",INDIRECT(ADDRESS(39,3,,,"MATCHS"))),FALSE),RIGHT(INDIRECT(ADDRESS(39,3,,,"MATCHS")), FIND("--",INDIRECT(ADDRESS(39,3,,,"MATCHS")),1)),INDIRECT(ADDRESS(39,3,,,"MATCHS"))),,,IF(IFERROR(FIND("--",INDIRECT(ADDRESS(59,5,,,"MATCHS"))),FALSE),RIGHT(INDIRECT(ADDRESS(59,5,,,"MATCHS")), FIND("--",INDIRECT(ADDRESS(59,5,,,"MATCHS")),1)),INDIRECT(ADDRESS(59,5,,,"MATCHS"))),,IF(IFERROR(FIND("--",INDIRECT(ADDRESS(77,5,,,"MATCHS"))),FALSE),RIGHT(INDIRECT(ADDRESS(77,5,,,"MATCHS")), FIND("--",INDIRECT(ADDRESS(77,5,,,"MATCHS")),1)),INDIRECT(ADDRESS(77,5,,,"MATCHS"))),,IF(IFERROR(FIND("--",INDIRECT(ADDRESS(95,5,,,"MATCHS"))),FALSE),RIGHT(INDIRECT(ADDRESS(95,5,,,"MATCHS")), FIND("--",INDIRECT(ADDRESS(95,5,,,"MATCHS")),1)),INDIRECT(ADDRESS(95,5,,,"MATCHS"))),,,IF(IFERROR(FIND("--",INDIRECT(ADDRESS(114,5,,,"MATCHS"))),FALSE),RIGHT(INDIRECT(ADDRESS(114,5,,,"MATCHS")), FIND("--",INDIRECT(ADDRESS(114,5,,,"MATCHS")),1)),INDIRECT(ADDRESS(114,5,,,"MATCHS"))),)</f>
        <v>55</v>
      </c>
      <c r="J6" s="70">
        <f t="shared" ca="1" si="0"/>
        <v>-2</v>
      </c>
      <c r="K6" s="70">
        <v>0</v>
      </c>
      <c r="L6" s="70">
        <v>3</v>
      </c>
      <c r="M6" s="70"/>
      <c r="N6" s="66" t="str">
        <f t="shared" si="1"/>
        <v>DM</v>
      </c>
    </row>
    <row r="7" spans="1:14" ht="15.75" x14ac:dyDescent="0.25">
      <c r="A7" s="137"/>
      <c r="B7" s="70">
        <v>4</v>
      </c>
      <c r="C7" s="70" t="s">
        <v>64</v>
      </c>
      <c r="D7" s="70" t="str">
        <f>INSCRIPTS!C5</f>
        <v>4A</v>
      </c>
      <c r="E7" s="76">
        <f ca="1">SUM(IF(INDIRECT(ADDRESS(3,5,,,"MATCHS"))&gt;INDIRECT(ADDRESS(3,3,,,"MATCHS")),1,0),,IF(INDIRECT(ADDRESS(21,5,,,"MATCHS"))&gt;INDIRECT(ADDRESS(21,3,,,"MATCHS")),1,0),,IF(INDIRECT(ADDRESS(38,5,,,"MATCHS"))&gt;INDIRECT(ADDRESS(38,3,,,"MATCHS")),1,0),,,IF(INDIRECT(ADDRESS(60,3,,,"MATCHS"))&gt;INDIRECT(ADDRESS(60,5,,,"MATCHS")),1,0),,IF(INDIRECT(ADDRESS(78,3,,,"MATCHS"))&gt;INDIRECT(ADDRESS(78,5,,,"MATCHS")),1,0),,IF(INDIRECT(ADDRESS(96,3,,,"MATCHS"))&gt;INDIRECT(ADDRESS(96,5,,,"MATCHS")),1,0),,,IF(INDIRECT(ADDRESS(115,3,,,"MATCHS"))&gt;INDIRECT(ADDRESS(115,5,,,"MATCHS")),1,0),) + 0.01 * K7</f>
        <v>1</v>
      </c>
      <c r="F7" s="70">
        <f ca="1">SUM(IF(INDIRECT(ADDRESS(3,5,,,"MATCHS"))&lt;INDIRECT(ADDRESS(3,3,,,"MATCHS")),1,0),,IF(INDIRECT(ADDRESS(21,5,,,"MATCHS"))&lt;INDIRECT(ADDRESS(21,3,,,"MATCHS")),1,0),,IF(INDIRECT(ADDRESS(38,5,,,"MATCHS"))&lt;INDIRECT(ADDRESS(38,3,,,"MATCHS")),1,0),,,IF(INDIRECT(ADDRESS(60,3,,,"MATCHS"))&lt;INDIRECT(ADDRESS(60,5,,,"MATCHS")),1,0),,IF(INDIRECT(ADDRESS(78,3,,,"MATCHS"))&lt;INDIRECT(ADDRESS(78,5,,,"MATCHS")),1,0),,IF(INDIRECT(ADDRESS(96,3,,,"MATCHS"))&lt;INDIRECT(ADDRESS(96,5,,,"MATCHS")),1,0),,,IF(INDIRECT(ADDRESS(115,3,,,"MATCHS"))&lt;INDIRECT(ADDRESS(115,5,,,"MATCHS")),1,0),)</f>
        <v>0</v>
      </c>
      <c r="G7" s="70">
        <f ca="1">SUM(IF(IFERROR(FIND("--",INDIRECT(ADDRESS(3,5,,,"MATCHS"))),FALSE),LEFT(INDIRECT(ADDRESS(3,5,,,"MATCHS")), FIND("--",INDIRECT(ADDRESS(3,5,,,"MATCHS")),1)-1),INDIRECT(ADDRESS(3,5,,,"MATCHS"))),,IF(IFERROR(FIND("--",INDIRECT(ADDRESS(21,5,,,"MATCHS"))),FALSE),LEFT(INDIRECT(ADDRESS(21,5,,,"MATCHS")), FIND("--",INDIRECT(ADDRESS(21,5,,,"MATCHS")),1)-1),INDIRECT(ADDRESS(21,5,,,"MATCHS"))),,IF(IFERROR(FIND("--",INDIRECT(ADDRESS(38,5,,,"MATCHS"))),FALSE),LEFT(INDIRECT(ADDRESS(38,5,,,"MATCHS")), FIND("--",INDIRECT(ADDRESS(38,5,,,"MATCHS")),1)-1),INDIRECT(ADDRESS(38,5,,,"MATCHS"))),,,IF(IFERROR(FIND("--",INDIRECT(ADDRESS(60,3,,,"MATCHS"))),FALSE),LEFT(INDIRECT(ADDRESS(60,3,,,"MATCHS")), FIND("--",INDIRECT(ADDRESS(60,3,,,"MATCHS")),1)-1),INDIRECT(ADDRESS(60,3,,,"MATCHS"))),,IF(IFERROR(FIND("--",INDIRECT(ADDRESS(78,3,,,"MATCHS"))),FALSE),LEFT(INDIRECT(ADDRESS(78,3,,,"MATCHS")), FIND("--",INDIRECT(ADDRESS(78,3,,,"MATCHS")),1)-1),INDIRECT(ADDRESS(78,3,,,"MATCHS"))),,IF(IFERROR(FIND("--",INDIRECT(ADDRESS(96,3,,,"MATCHS"))),FALSE),LEFT(INDIRECT(ADDRESS(96,3,,,"MATCHS")), FIND("--",INDIRECT(ADDRESS(96,3,,,"MATCHS")),1)-1),INDIRECT(ADDRESS(96,3,,,"MATCHS"))),,,IF(IFERROR(FIND("--",INDIRECT(ADDRESS(115,3,,,"MATCHS"))),FALSE),LEFT(INDIRECT(ADDRESS(115,3,,,"MATCHS")), FIND("--",INDIRECT(ADDRESS(115,3,,,"MATCHS")),1)-1),INDIRECT(ADDRESS(115,3,,,"MATCHS"))),)</f>
        <v>2</v>
      </c>
      <c r="H7" s="70">
        <f ca="1">SUM(IF(IFERROR(FIND("--",INDIRECT(ADDRESS(3,5,,,"MATCHS"))),FALSE),RIGHT(INDIRECT(ADDRESS(3,5,,,"MATCHS")), FIND("--",INDIRECT(ADDRESS(3,5,,,"MATCHS")),1)),INDIRECT(ADDRESS(3,5,,,"MATCHS"))),,IF(IFERROR(FIND("--",INDIRECT(ADDRESS(21,5,,,"MATCHS"))),FALSE),RIGHT(INDIRECT(ADDRESS(21,5,,,"MATCHS")), FIND("--",INDIRECT(ADDRESS(21,5,,,"MATCHS")),1)),INDIRECT(ADDRESS(21,5,,,"MATCHS"))),,IF(IFERROR(FIND("--",INDIRECT(ADDRESS(38,5,,,"MATCHS"))),FALSE),RIGHT(INDIRECT(ADDRESS(38,5,,,"MATCHS")), FIND("--",INDIRECT(ADDRESS(38,5,,,"MATCHS")),1)),INDIRECT(ADDRESS(38,5,,,"MATCHS"))),,,IF(IFERROR(FIND("--",INDIRECT(ADDRESS(60,3,,,"MATCHS"))),FALSE),RIGHT(INDIRECT(ADDRESS(60,3,,,"MATCHS")), FIND("--",INDIRECT(ADDRESS(60,3,,,"MATCHS")),1)),INDIRECT(ADDRESS(60,3,,,"MATCHS"))),,IF(IFERROR(FIND("--",INDIRECT(ADDRESS(78,3,,,"MATCHS"))),FALSE),RIGHT(INDIRECT(ADDRESS(78,3,,,"MATCHS")), FIND("--",INDIRECT(ADDRESS(78,3,,,"MATCHS")),1)),INDIRECT(ADDRESS(78,3,,,"MATCHS"))),,IF(IFERROR(FIND("--",INDIRECT(ADDRESS(96,3,,,"MATCHS"))),FALSE),RIGHT(INDIRECT(ADDRESS(96,3,,,"MATCHS")), FIND("--",INDIRECT(ADDRESS(96,3,,,"MATCHS")),1)),INDIRECT(ADDRESS(96,3,,,"MATCHS"))),,,IF(IFERROR(FIND("--",INDIRECT(ADDRESS(115,3,,,"MATCHS"))),FALSE),RIGHT(INDIRECT(ADDRESS(115,3,,,"MATCHS")), FIND("--",INDIRECT(ADDRESS(115,3,,,"MATCHS")),1)),INDIRECT(ADDRESS(115,3,,,"MATCHS"))),)</f>
        <v>55</v>
      </c>
      <c r="I7" s="70">
        <f ca="1">SUM(IF(IFERROR(FIND("--",INDIRECT(ADDRESS(3,3,,,"MATCHS"))),FALSE),RIGHT(INDIRECT(ADDRESS(3,3,,,"MATCHS")), FIND("--",INDIRECT(ADDRESS(3,3,,,"MATCHS")),1)),INDIRECT(ADDRESS(3,3,,,"MATCHS"))),,IF(IFERROR(FIND("--",INDIRECT(ADDRESS(21,3,,,"MATCHS"))),FALSE),RIGHT(INDIRECT(ADDRESS(21,3,,,"MATCHS")), FIND("--",INDIRECT(ADDRESS(21,3,,,"MATCHS")),1)),INDIRECT(ADDRESS(21,3,,,"MATCHS"))),,IF(IFERROR(FIND("--",INDIRECT(ADDRESS(38,3,,,"MATCHS"))),FALSE),RIGHT(INDIRECT(ADDRESS(38,3,,,"MATCHS")), FIND("--",INDIRECT(ADDRESS(38,3,,,"MATCHS")),1)),INDIRECT(ADDRESS(38,3,,,"MATCHS"))),,,IF(IFERROR(FIND("--",INDIRECT(ADDRESS(60,5,,,"MATCHS"))),FALSE),RIGHT(INDIRECT(ADDRESS(60,5,,,"MATCHS")), FIND("--",INDIRECT(ADDRESS(60,5,,,"MATCHS")),1)),INDIRECT(ADDRESS(60,5,,,"MATCHS"))),,IF(IFERROR(FIND("--",INDIRECT(ADDRESS(78,5,,,"MATCHS"))),FALSE),RIGHT(INDIRECT(ADDRESS(78,5,,,"MATCHS")), FIND("--",INDIRECT(ADDRESS(78,5,,,"MATCHS")),1)),INDIRECT(ADDRESS(78,5,,,"MATCHS"))),,IF(IFERROR(FIND("--",INDIRECT(ADDRESS(96,5,,,"MATCHS"))),FALSE),RIGHT(INDIRECT(ADDRESS(96,5,,,"MATCHS")), FIND("--",INDIRECT(ADDRESS(96,5,,,"MATCHS")),1)),INDIRECT(ADDRESS(96,5,,,"MATCHS"))),,,IF(IFERROR(FIND("--",INDIRECT(ADDRESS(115,5,,,"MATCHS"))),FALSE),RIGHT(INDIRECT(ADDRESS(115,5,,,"MATCHS")), FIND("--",INDIRECT(ADDRESS(115,5,,,"MATCHS")),1)),INDIRECT(ADDRESS(115,5,,,"MATCHS"))),)</f>
        <v>53</v>
      </c>
      <c r="J7" s="70">
        <f t="shared" ca="1" si="0"/>
        <v>2</v>
      </c>
      <c r="K7" s="70">
        <v>0</v>
      </c>
      <c r="L7" s="70">
        <v>4</v>
      </c>
      <c r="M7" s="70"/>
      <c r="N7" s="66" t="str">
        <f t="shared" si="1"/>
        <v>DM</v>
      </c>
    </row>
    <row r="8" spans="1:14" ht="15.75" x14ac:dyDescent="0.25">
      <c r="A8" s="137"/>
      <c r="B8" s="70">
        <v>5</v>
      </c>
      <c r="C8" s="70" t="s">
        <v>65</v>
      </c>
      <c r="D8" s="70" t="str">
        <f>INSCRIPTS!C6</f>
        <v>5A</v>
      </c>
      <c r="E8" s="76">
        <f ca="1">SUM(IF(INDIRECT(ADDRESS(4,3,,,"MATCHS"))&gt;INDIRECT(ADDRESS(4,5,,,"MATCHS")),1,0),,IF(INDIRECT(ADDRESS(22,3,,,"MATCHS"))&gt;INDIRECT(ADDRESS(22,5,,,"MATCHS")),1,0),,IF(INDIRECT(ADDRESS(40,3,,,"MATCHS"))&gt;INDIRECT(ADDRESS(40,5,,,"MATCHS")),1,0),,IF(INDIRECT(ADDRESS(56,5,,,"MATCHS"))&gt;INDIRECT(ADDRESS(56,3,,,"MATCHS")),1,0),,,IF(INDIRECT(ADDRESS(76,5,,,"MATCHS"))&gt;INDIRECT(ADDRESS(76,3,,,"MATCHS")),1,0),,IF(INDIRECT(ADDRESS(95,5,,,"MATCHS"))&gt;INDIRECT(ADDRESS(95,3,,,"MATCHS")),1,0),,,IF(INDIRECT(ADDRESS(115,5,,,"MATCHS"))&gt;INDIRECT(ADDRESS(115,3,,,"MATCHS")),1,0),) + 0.01 * K8</f>
        <v>1</v>
      </c>
      <c r="F8" s="70">
        <f ca="1">SUM(IF(INDIRECT(ADDRESS(4,3,,,"MATCHS"))&lt;INDIRECT(ADDRESS(4,5,,,"MATCHS")),1,0),,IF(INDIRECT(ADDRESS(22,3,,,"MATCHS"))&lt;INDIRECT(ADDRESS(22,5,,,"MATCHS")),1,0),,IF(INDIRECT(ADDRESS(40,3,,,"MATCHS"))&lt;INDIRECT(ADDRESS(40,5,,,"MATCHS")),1,0),,IF(INDIRECT(ADDRESS(56,5,,,"MATCHS"))&lt;INDIRECT(ADDRESS(56,3,,,"MATCHS")),1,0),,,IF(INDIRECT(ADDRESS(76,5,,,"MATCHS"))&lt;INDIRECT(ADDRESS(76,3,,,"MATCHS")),1,0),,IF(INDIRECT(ADDRESS(95,5,,,"MATCHS"))&lt;INDIRECT(ADDRESS(95,3,,,"MATCHS")),1,0),,,IF(INDIRECT(ADDRESS(115,5,,,"MATCHS"))&lt;INDIRECT(ADDRESS(115,3,,,"MATCHS")),1,0),)</f>
        <v>0</v>
      </c>
      <c r="G8" s="70">
        <f ca="1">SUM(IF(IFERROR(FIND("--",INDIRECT(ADDRESS(4,3,,,"MATCHS"))),FALSE),LEFT(INDIRECT(ADDRESS(4,3,,,"MATCHS")), FIND("--",INDIRECT(ADDRESS(4,3,,,"MATCHS")),1)-1),INDIRECT(ADDRESS(4,3,,,"MATCHS"))),,IF(IFERROR(FIND("--",INDIRECT(ADDRESS(22,3,,,"MATCHS"))),FALSE),LEFT(INDIRECT(ADDRESS(22,3,,,"MATCHS")), FIND("--",INDIRECT(ADDRESS(22,3,,,"MATCHS")),1)-1),INDIRECT(ADDRESS(22,3,,,"MATCHS"))),,IF(IFERROR(FIND("--",INDIRECT(ADDRESS(40,3,,,"MATCHS"))),FALSE),LEFT(INDIRECT(ADDRESS(40,3,,,"MATCHS")), FIND("--",INDIRECT(ADDRESS(40,3,,,"MATCHS")),1)-1),INDIRECT(ADDRESS(40,3,,,"MATCHS"))),,IF(IFERROR(FIND("--",INDIRECT(ADDRESS(56,5,,,"MATCHS"))),FALSE),LEFT(INDIRECT(ADDRESS(56,5,,,"MATCHS")), FIND("--",INDIRECT(ADDRESS(56,5,,,"MATCHS")),1)-1),INDIRECT(ADDRESS(56,5,,,"MATCHS"))),,,IF(IFERROR(FIND("--",INDIRECT(ADDRESS(76,5,,,"MATCHS"))),FALSE),LEFT(INDIRECT(ADDRESS(76,5,,,"MATCHS")), FIND("--",INDIRECT(ADDRESS(76,5,,,"MATCHS")),1)-1),INDIRECT(ADDRESS(76,5,,,"MATCHS"))),,IF(IFERROR(FIND("--",INDIRECT(ADDRESS(95,5,,,"MATCHS"))),FALSE),LEFT(INDIRECT(ADDRESS(95,5,,,"MATCHS")), FIND("--",INDIRECT(ADDRESS(95,5,,,"MATCHS")),1)-1),INDIRECT(ADDRESS(95,5,,,"MATCHS"))),,,IF(IFERROR(FIND("--",INDIRECT(ADDRESS(115,5,,,"MATCHS"))),FALSE),LEFT(INDIRECT(ADDRESS(115,5,,,"MATCHS")), FIND("--",INDIRECT(ADDRESS(115,5,,,"MATCHS")),1)-1),INDIRECT(ADDRESS(115,5,,,"MATCHS"))),)</f>
        <v>2</v>
      </c>
      <c r="H8" s="70">
        <f ca="1">SUM(IF(IFERROR(FIND("--",INDIRECT(ADDRESS(4,3,,,"MATCHS"))),FALSE),RIGHT(INDIRECT(ADDRESS(4,3,,,"MATCHS")), FIND("--",INDIRECT(ADDRESS(4,3,,,"MATCHS")),1)),INDIRECT(ADDRESS(4,3,,,"MATCHS"))),,IF(IFERROR(FIND("--",INDIRECT(ADDRESS(22,3,,,"MATCHS"))),FALSE),RIGHT(INDIRECT(ADDRESS(22,3,,,"MATCHS")), FIND("--",INDIRECT(ADDRESS(22,3,,,"MATCHS")),1)),INDIRECT(ADDRESS(22,3,,,"MATCHS"))),,IF(IFERROR(FIND("--",INDIRECT(ADDRESS(40,3,,,"MATCHS"))),FALSE),RIGHT(INDIRECT(ADDRESS(40,3,,,"MATCHS")), FIND("--",INDIRECT(ADDRESS(40,3,,,"MATCHS")),1)),INDIRECT(ADDRESS(40,3,,,"MATCHS"))),,IF(IFERROR(FIND("--",INDIRECT(ADDRESS(56,5,,,"MATCHS"))),FALSE),RIGHT(INDIRECT(ADDRESS(56,5,,,"MATCHS")), FIND("--",INDIRECT(ADDRESS(56,5,,,"MATCHS")),1)),INDIRECT(ADDRESS(56,5,,,"MATCHS"))),,,IF(IFERROR(FIND("--",INDIRECT(ADDRESS(76,5,,,"MATCHS"))),FALSE),RIGHT(INDIRECT(ADDRESS(76,5,,,"MATCHS")), FIND("--",INDIRECT(ADDRESS(76,5,,,"MATCHS")),1)),INDIRECT(ADDRESS(76,5,,,"MATCHS"))),,IF(IFERROR(FIND("--",INDIRECT(ADDRESS(95,5,,,"MATCHS"))),FALSE),RIGHT(INDIRECT(ADDRESS(95,5,,,"MATCHS")), FIND("--",INDIRECT(ADDRESS(95,5,,,"MATCHS")),1)),INDIRECT(ADDRESS(95,5,,,"MATCHS"))),,,IF(IFERROR(FIND("--",INDIRECT(ADDRESS(115,5,,,"MATCHS"))),FALSE),RIGHT(INDIRECT(ADDRESS(115,5,,,"MATCHS")), FIND("--",INDIRECT(ADDRESS(115,5,,,"MATCHS")),1)),INDIRECT(ADDRESS(115,5,,,"MATCHS"))),)</f>
        <v>42</v>
      </c>
      <c r="I8" s="70">
        <f ca="1">SUM(IF(IFERROR(FIND("--",INDIRECT(ADDRESS(4,5,,,"MATCHS"))),FALSE),RIGHT(INDIRECT(ADDRESS(4,5,,,"MATCHS")), FIND("--",INDIRECT(ADDRESS(4,5,,,"MATCHS")),1)),INDIRECT(ADDRESS(4,5,,,"MATCHS"))),,IF(IFERROR(FIND("--",INDIRECT(ADDRESS(22,5,,,"MATCHS"))),FALSE),RIGHT(INDIRECT(ADDRESS(22,5,,,"MATCHS")), FIND("--",INDIRECT(ADDRESS(22,5,,,"MATCHS")),1)),INDIRECT(ADDRESS(22,5,,,"MATCHS"))),,IF(IFERROR(FIND("--",INDIRECT(ADDRESS(40,5,,,"MATCHS"))),FALSE),RIGHT(INDIRECT(ADDRESS(40,5,,,"MATCHS")), FIND("--",INDIRECT(ADDRESS(40,5,,,"MATCHS")),1)),INDIRECT(ADDRESS(40,5,,,"MATCHS"))),,IF(IFERROR(FIND("--",INDIRECT(ADDRESS(56,3,,,"MATCHS"))),FALSE),RIGHT(INDIRECT(ADDRESS(56,3,,,"MATCHS")), FIND("--",INDIRECT(ADDRESS(56,3,,,"MATCHS")),1)),INDIRECT(ADDRESS(56,3,,,"MATCHS"))),,,IF(IFERROR(FIND("--",INDIRECT(ADDRESS(76,3,,,"MATCHS"))),FALSE),RIGHT(INDIRECT(ADDRESS(76,3,,,"MATCHS")), FIND("--",INDIRECT(ADDRESS(76,3,,,"MATCHS")),1)),INDIRECT(ADDRESS(76,3,,,"MATCHS"))),,IF(IFERROR(FIND("--",INDIRECT(ADDRESS(95,3,,,"MATCHS"))),FALSE),RIGHT(INDIRECT(ADDRESS(95,3,,,"MATCHS")), FIND("--",INDIRECT(ADDRESS(95,3,,,"MATCHS")),1)),INDIRECT(ADDRESS(95,3,,,"MATCHS"))),,,IF(IFERROR(FIND("--",INDIRECT(ADDRESS(115,3,,,"MATCHS"))),FALSE),RIGHT(INDIRECT(ADDRESS(115,3,,,"MATCHS")), FIND("--",INDIRECT(ADDRESS(115,3,,,"MATCHS")),1)),INDIRECT(ADDRESS(115,3,,,"MATCHS"))),)</f>
        <v>14</v>
      </c>
      <c r="J8" s="70">
        <f t="shared" ca="1" si="0"/>
        <v>28</v>
      </c>
      <c r="K8" s="70">
        <v>0</v>
      </c>
      <c r="L8" s="70">
        <v>5</v>
      </c>
      <c r="M8" s="70"/>
      <c r="N8" s="66" t="str">
        <f t="shared" si="1"/>
        <v>DM</v>
      </c>
    </row>
    <row r="9" spans="1:14" ht="15.75" x14ac:dyDescent="0.25">
      <c r="A9" s="137"/>
      <c r="B9" s="70">
        <v>6</v>
      </c>
      <c r="C9" s="70" t="s">
        <v>66</v>
      </c>
      <c r="D9" s="70" t="str">
        <f>INSCRIPTS!C7</f>
        <v>6A</v>
      </c>
      <c r="E9" s="76">
        <f ca="1">SUM(IF(INDIRECT(ADDRESS(4,5,,,"MATCHS"))&gt;INDIRECT(ADDRESS(4,3,,,"MATCHS")),1,0),,IF(INDIRECT(ADDRESS(23,3,,,"MATCHS"))&gt;INDIRECT(ADDRESS(23,5,,,"MATCHS")),1,0),,,IF(INDIRECT(ADDRESS(42,3,,,"MATCHS"))&gt;INDIRECT(ADDRESS(42,5,,,"MATCHS")),1,0),,IF(INDIRECT(ADDRESS(58,5,,,"MATCHS"))&gt;INDIRECT(ADDRESS(58,3,,,"MATCHS")),1,0),,IF(INDIRECT(ADDRESS(75,5,,,"MATCHS"))&gt;INDIRECT(ADDRESS(75,3,,,"MATCHS")),1,0),,IF(INDIRECT(ADDRESS(96,5,,,"MATCHS"))&gt;INDIRECT(ADDRESS(96,3,,,"MATCHS")),1,0),,,IF(INDIRECT(ADDRESS(114,5,,,"MATCHS"))&gt;INDIRECT(ADDRESS(114,3,,,"MATCHS")),1,0),) + 0.01 * K9</f>
        <v>0</v>
      </c>
      <c r="F9" s="70">
        <f ca="1">SUM(IF(INDIRECT(ADDRESS(4,5,,,"MATCHS"))&lt;INDIRECT(ADDRESS(4,3,,,"MATCHS")),1,0),,IF(INDIRECT(ADDRESS(23,3,,,"MATCHS"))&lt;INDIRECT(ADDRESS(23,5,,,"MATCHS")),1,0),,,IF(INDIRECT(ADDRESS(42,3,,,"MATCHS"))&lt;INDIRECT(ADDRESS(42,5,,,"MATCHS")),1,0),,IF(INDIRECT(ADDRESS(58,5,,,"MATCHS"))&lt;INDIRECT(ADDRESS(58,3,,,"MATCHS")),1,0),,IF(INDIRECT(ADDRESS(75,5,,,"MATCHS"))&lt;INDIRECT(ADDRESS(75,3,,,"MATCHS")),1,0),,IF(INDIRECT(ADDRESS(96,5,,,"MATCHS"))&lt;INDIRECT(ADDRESS(96,3,,,"MATCHS")),1,0),,,IF(INDIRECT(ADDRESS(114,5,,,"MATCHS"))&lt;INDIRECT(ADDRESS(114,3,,,"MATCHS")),1,0),)</f>
        <v>1</v>
      </c>
      <c r="G9" s="70">
        <f ca="1">SUM(IF(IFERROR(FIND("--",INDIRECT(ADDRESS(4,5,,,"MATCHS"))),FALSE),LEFT(INDIRECT(ADDRESS(4,5,,,"MATCHS")), FIND("--",INDIRECT(ADDRESS(4,5,,,"MATCHS")),1)-1),INDIRECT(ADDRESS(4,5,,,"MATCHS"))),,IF(IFERROR(FIND("--",INDIRECT(ADDRESS(23,3,,,"MATCHS"))),FALSE),LEFT(INDIRECT(ADDRESS(23,3,,,"MATCHS")), FIND("--",INDIRECT(ADDRESS(23,3,,,"MATCHS")),1)-1),INDIRECT(ADDRESS(23,3,,,"MATCHS"))),,,IF(IFERROR(FIND("--",INDIRECT(ADDRESS(42,3,,,"MATCHS"))),FALSE),LEFT(INDIRECT(ADDRESS(42,3,,,"MATCHS")), FIND("--",INDIRECT(ADDRESS(42,3,,,"MATCHS")),1)-1),INDIRECT(ADDRESS(42,3,,,"MATCHS"))),,IF(IFERROR(FIND("--",INDIRECT(ADDRESS(58,5,,,"MATCHS"))),FALSE),LEFT(INDIRECT(ADDRESS(58,5,,,"MATCHS")), FIND("--",INDIRECT(ADDRESS(58,5,,,"MATCHS")),1)-1),INDIRECT(ADDRESS(58,5,,,"MATCHS"))),,IF(IFERROR(FIND("--",INDIRECT(ADDRESS(75,5,,,"MATCHS"))),FALSE),LEFT(INDIRECT(ADDRESS(75,5,,,"MATCHS")), FIND("--",INDIRECT(ADDRESS(75,5,,,"MATCHS")),1)-1),INDIRECT(ADDRESS(75,5,,,"MATCHS"))),,IF(IFERROR(FIND("--",INDIRECT(ADDRESS(96,5,,,"MATCHS"))),FALSE),LEFT(INDIRECT(ADDRESS(96,5,,,"MATCHS")), FIND("--",INDIRECT(ADDRESS(96,5,,,"MATCHS")),1)-1),INDIRECT(ADDRESS(96,5,,,"MATCHS"))),,,IF(IFERROR(FIND("--",INDIRECT(ADDRESS(114,5,,,"MATCHS"))),FALSE),LEFT(INDIRECT(ADDRESS(114,5,,,"MATCHS")), FIND("--",INDIRECT(ADDRESS(114,5,,,"MATCHS")),1)-1),INDIRECT(ADDRESS(114,5,,,"MATCHS"))),)</f>
        <v>0</v>
      </c>
      <c r="H9" s="70">
        <f ca="1">SUM(IF(IFERROR(FIND("--",INDIRECT(ADDRESS(4,5,,,"MATCHS"))),FALSE),RIGHT(INDIRECT(ADDRESS(4,5,,,"MATCHS")), FIND("--",INDIRECT(ADDRESS(4,5,,,"MATCHS")),1)),INDIRECT(ADDRESS(4,5,,,"MATCHS"))),,IF(IFERROR(FIND("--",INDIRECT(ADDRESS(23,3,,,"MATCHS"))),FALSE),RIGHT(INDIRECT(ADDRESS(23,3,,,"MATCHS")), FIND("--",INDIRECT(ADDRESS(23,3,,,"MATCHS")),1)),INDIRECT(ADDRESS(23,3,,,"MATCHS"))),,,IF(IFERROR(FIND("--",INDIRECT(ADDRESS(42,3,,,"MATCHS"))),FALSE),RIGHT(INDIRECT(ADDRESS(42,3,,,"MATCHS")), FIND("--",INDIRECT(ADDRESS(42,3,,,"MATCHS")),1)),INDIRECT(ADDRESS(42,3,,,"MATCHS"))),,IF(IFERROR(FIND("--",INDIRECT(ADDRESS(58,5,,,"MATCHS"))),FALSE),RIGHT(INDIRECT(ADDRESS(58,5,,,"MATCHS")), FIND("--",INDIRECT(ADDRESS(58,5,,,"MATCHS")),1)),INDIRECT(ADDRESS(58,5,,,"MATCHS"))),,IF(IFERROR(FIND("--",INDIRECT(ADDRESS(75,5,,,"MATCHS"))),FALSE),RIGHT(INDIRECT(ADDRESS(75,5,,,"MATCHS")), FIND("--",INDIRECT(ADDRESS(75,5,,,"MATCHS")),1)),INDIRECT(ADDRESS(75,5,,,"MATCHS"))),,IF(IFERROR(FIND("--",INDIRECT(ADDRESS(96,5,,,"MATCHS"))),FALSE),RIGHT(INDIRECT(ADDRESS(96,5,,,"MATCHS")), FIND("--",INDIRECT(ADDRESS(96,5,,,"MATCHS")),1)),INDIRECT(ADDRESS(96,5,,,"MATCHS"))),,,IF(IFERROR(FIND("--",INDIRECT(ADDRESS(114,5,,,"MATCHS"))),FALSE),RIGHT(INDIRECT(ADDRESS(114,5,,,"MATCHS")), FIND("--",INDIRECT(ADDRESS(114,5,,,"MATCHS")),1)),INDIRECT(ADDRESS(114,5,,,"MATCHS"))),)</f>
        <v>14</v>
      </c>
      <c r="I9" s="70">
        <f ca="1">SUM(IF(IFERROR(FIND("--",INDIRECT(ADDRESS(4,3,,,"MATCHS"))),FALSE),RIGHT(INDIRECT(ADDRESS(4,3,,,"MATCHS")), FIND("--",INDIRECT(ADDRESS(4,3,,,"MATCHS")),1)),INDIRECT(ADDRESS(4,3,,,"MATCHS"))),,IF(IFERROR(FIND("--",INDIRECT(ADDRESS(23,5,,,"MATCHS"))),FALSE),RIGHT(INDIRECT(ADDRESS(23,5,,,"MATCHS")), FIND("--",INDIRECT(ADDRESS(23,5,,,"MATCHS")),1)),INDIRECT(ADDRESS(23,5,,,"MATCHS"))),,,IF(IFERROR(FIND("--",INDIRECT(ADDRESS(42,5,,,"MATCHS"))),FALSE),RIGHT(INDIRECT(ADDRESS(42,5,,,"MATCHS")), FIND("--",INDIRECT(ADDRESS(42,5,,,"MATCHS")),1)),INDIRECT(ADDRESS(42,5,,,"MATCHS"))),,IF(IFERROR(FIND("--",INDIRECT(ADDRESS(58,3,,,"MATCHS"))),FALSE),RIGHT(INDIRECT(ADDRESS(58,3,,,"MATCHS")), FIND("--",INDIRECT(ADDRESS(58,3,,,"MATCHS")),1)),INDIRECT(ADDRESS(58,3,,,"MATCHS"))),,IF(IFERROR(FIND("--",INDIRECT(ADDRESS(75,3,,,"MATCHS"))),FALSE),RIGHT(INDIRECT(ADDRESS(75,3,,,"MATCHS")), FIND("--",INDIRECT(ADDRESS(75,3,,,"MATCHS")),1)),INDIRECT(ADDRESS(75,3,,,"MATCHS"))),,IF(IFERROR(FIND("--",INDIRECT(ADDRESS(96,3,,,"MATCHS"))),FALSE),RIGHT(INDIRECT(ADDRESS(96,3,,,"MATCHS")), FIND("--",INDIRECT(ADDRESS(96,3,,,"MATCHS")),1)),INDIRECT(ADDRESS(96,3,,,"MATCHS"))),,,IF(IFERROR(FIND("--",INDIRECT(ADDRESS(114,3,,,"MATCHS"))),FALSE),RIGHT(INDIRECT(ADDRESS(114,3,,,"MATCHS")), FIND("--",INDIRECT(ADDRESS(114,3,,,"MATCHS")),1)),INDIRECT(ADDRESS(114,3,,,"MATCHS"))),)</f>
        <v>42</v>
      </c>
      <c r="J9" s="70">
        <f t="shared" ca="1" si="0"/>
        <v>-28</v>
      </c>
      <c r="K9" s="70">
        <v>0</v>
      </c>
      <c r="L9" s="70">
        <v>6</v>
      </c>
      <c r="M9" s="70"/>
      <c r="N9" s="66" t="str">
        <f t="shared" si="1"/>
        <v>DM</v>
      </c>
    </row>
    <row r="10" spans="1:14" ht="15.75" x14ac:dyDescent="0.25">
      <c r="A10" s="137"/>
      <c r="B10" s="70">
        <v>7</v>
      </c>
      <c r="C10" s="70" t="s">
        <v>67</v>
      </c>
      <c r="D10" s="70" t="str">
        <f>INSCRIPTS!C8</f>
        <v>7A</v>
      </c>
      <c r="E10" s="76">
        <f ca="1">SUM(IF(INDIRECT(ADDRESS(5,3,,,"MATCHS"))&gt;INDIRECT(ADDRESS(5,5,,,"MATCHS")),1,0),,IF(INDIRECT(ADDRESS(22,5,,,"MATCHS"))&gt;INDIRECT(ADDRESS(22,3,,,"MATCHS")),1,0),,,IF(INDIRECT(ADDRESS(42,5,,,"MATCHS"))&gt;INDIRECT(ADDRESS(42,3,,,"MATCHS")),1,0),,IF(INDIRECT(ADDRESS(59,5,,,"MATCHS"))&gt;INDIRECT(ADDRESS(59,3,,,"MATCHS")),1,0),,IF(INDIRECT(ADDRESS(78,5,,,"MATCHS"))&gt;INDIRECT(ADDRESS(78,3,,,"MATCHS")),1,0),,IF(INDIRECT(ADDRESS(93,5,,,"MATCHS"))&gt;INDIRECT(ADDRESS(93,3,,,"MATCHS")),1,0),,IF(INDIRECT(ADDRESS(112,5,,,"MATCHS"))&gt;INDIRECT(ADDRESS(112,3,,,"MATCHS")),1,0),,) + 0.01 * K10</f>
        <v>0</v>
      </c>
      <c r="F10" s="70">
        <f ca="1">SUM(IF(INDIRECT(ADDRESS(5,3,,,"MATCHS"))&lt;INDIRECT(ADDRESS(5,5,,,"MATCHS")),1,0),,IF(INDIRECT(ADDRESS(22,5,,,"MATCHS"))&lt;INDIRECT(ADDRESS(22,3,,,"MATCHS")),1,0),,,IF(INDIRECT(ADDRESS(42,5,,,"MATCHS"))&lt;INDIRECT(ADDRESS(42,3,,,"MATCHS")),1,0),,IF(INDIRECT(ADDRESS(59,5,,,"MATCHS"))&lt;INDIRECT(ADDRESS(59,3,,,"MATCHS")),1,0),,IF(INDIRECT(ADDRESS(78,5,,,"MATCHS"))&lt;INDIRECT(ADDRESS(78,3,,,"MATCHS")),1,0),,IF(INDIRECT(ADDRESS(93,5,,,"MATCHS"))&lt;INDIRECT(ADDRESS(93,3,,,"MATCHS")),1,0),,IF(INDIRECT(ADDRESS(112,5,,,"MATCHS"))&lt;INDIRECT(ADDRESS(112,3,,,"MATCHS")),1,0),,)</f>
        <v>1</v>
      </c>
      <c r="G10" s="70">
        <f ca="1">SUM(IF(IFERROR(FIND("--",INDIRECT(ADDRESS(5,3,,,"MATCHS"))),FALSE),LEFT(INDIRECT(ADDRESS(5,3,,,"MATCHS")), FIND("--",INDIRECT(ADDRESS(5,3,,,"MATCHS")),1)-1),INDIRECT(ADDRESS(5,3,,,"MATCHS"))),,IF(IFERROR(FIND("--",INDIRECT(ADDRESS(22,5,,,"MATCHS"))),FALSE),LEFT(INDIRECT(ADDRESS(22,5,,,"MATCHS")), FIND("--",INDIRECT(ADDRESS(22,5,,,"MATCHS")),1)-1),INDIRECT(ADDRESS(22,5,,,"MATCHS"))),,,IF(IFERROR(FIND("--",INDIRECT(ADDRESS(42,5,,,"MATCHS"))),FALSE),LEFT(INDIRECT(ADDRESS(42,5,,,"MATCHS")), FIND("--",INDIRECT(ADDRESS(42,5,,,"MATCHS")),1)-1),INDIRECT(ADDRESS(42,5,,,"MATCHS"))),,IF(IFERROR(FIND("--",INDIRECT(ADDRESS(59,5,,,"MATCHS"))),FALSE),LEFT(INDIRECT(ADDRESS(59,5,,,"MATCHS")), FIND("--",INDIRECT(ADDRESS(59,5,,,"MATCHS")),1)-1),INDIRECT(ADDRESS(59,5,,,"MATCHS"))),,IF(IFERROR(FIND("--",INDIRECT(ADDRESS(78,5,,,"MATCHS"))),FALSE),LEFT(INDIRECT(ADDRESS(78,5,,,"MATCHS")), FIND("--",INDIRECT(ADDRESS(78,5,,,"MATCHS")),1)-1),INDIRECT(ADDRESS(78,5,,,"MATCHS"))),,IF(IFERROR(FIND("--",INDIRECT(ADDRESS(93,5,,,"MATCHS"))),FALSE),LEFT(INDIRECT(ADDRESS(93,5,,,"MATCHS")), FIND("--",INDIRECT(ADDRESS(93,5,,,"MATCHS")),1)-1),INDIRECT(ADDRESS(93,5,,,"MATCHS"))),,IF(IFERROR(FIND("--",INDIRECT(ADDRESS(112,5,,,"MATCHS"))),FALSE),LEFT(INDIRECT(ADDRESS(112,5,,,"MATCHS")), FIND("--",INDIRECT(ADDRESS(112,5,,,"MATCHS")),1)-1),INDIRECT(ADDRESS(112,5,,,"MATCHS"))),,)</f>
        <v>0</v>
      </c>
      <c r="H10" s="70">
        <f ca="1">SUM(IF(IFERROR(FIND("--",INDIRECT(ADDRESS(5,3,,,"MATCHS"))),FALSE),RIGHT(INDIRECT(ADDRESS(5,3,,,"MATCHS")), FIND("--",INDIRECT(ADDRESS(5,3,,,"MATCHS")),1)),INDIRECT(ADDRESS(5,3,,,"MATCHS"))),,IF(IFERROR(FIND("--",INDIRECT(ADDRESS(22,5,,,"MATCHS"))),FALSE),RIGHT(INDIRECT(ADDRESS(22,5,,,"MATCHS")), FIND("--",INDIRECT(ADDRESS(22,5,,,"MATCHS")),1)),INDIRECT(ADDRESS(22,5,,,"MATCHS"))),,,IF(IFERROR(FIND("--",INDIRECT(ADDRESS(42,5,,,"MATCHS"))),FALSE),RIGHT(INDIRECT(ADDRESS(42,5,,,"MATCHS")), FIND("--",INDIRECT(ADDRESS(42,5,,,"MATCHS")),1)),INDIRECT(ADDRESS(42,5,,,"MATCHS"))),,IF(IFERROR(FIND("--",INDIRECT(ADDRESS(59,5,,,"MATCHS"))),FALSE),RIGHT(INDIRECT(ADDRESS(59,5,,,"MATCHS")), FIND("--",INDIRECT(ADDRESS(59,5,,,"MATCHS")),1)),INDIRECT(ADDRESS(59,5,,,"MATCHS"))),,IF(IFERROR(FIND("--",INDIRECT(ADDRESS(78,5,,,"MATCHS"))),FALSE),RIGHT(INDIRECT(ADDRESS(78,5,,,"MATCHS")), FIND("--",INDIRECT(ADDRESS(78,5,,,"MATCHS")),1)),INDIRECT(ADDRESS(78,5,,,"MATCHS"))),,IF(IFERROR(FIND("--",INDIRECT(ADDRESS(93,5,,,"MATCHS"))),FALSE),RIGHT(INDIRECT(ADDRESS(93,5,,,"MATCHS")), FIND("--",INDIRECT(ADDRESS(93,5,,,"MATCHS")),1)),INDIRECT(ADDRESS(93,5,,,"MATCHS"))),,IF(IFERROR(FIND("--",INDIRECT(ADDRESS(112,5,,,"MATCHS"))),FALSE),RIGHT(INDIRECT(ADDRESS(112,5,,,"MATCHS")), FIND("--",INDIRECT(ADDRESS(112,5,,,"MATCHS")),1)),INDIRECT(ADDRESS(112,5,,,"MATCHS"))),,)</f>
        <v>38</v>
      </c>
      <c r="I10" s="70">
        <f ca="1">SUM(IF(IFERROR(FIND("--",INDIRECT(ADDRESS(5,5,,,"MATCHS"))),FALSE),RIGHT(INDIRECT(ADDRESS(5,5,,,"MATCHS")), FIND("--",INDIRECT(ADDRESS(5,5,,,"MATCHS")),1)),INDIRECT(ADDRESS(5,5,,,"MATCHS"))),,IF(IFERROR(FIND("--",INDIRECT(ADDRESS(22,3,,,"MATCHS"))),FALSE),RIGHT(INDIRECT(ADDRESS(22,3,,,"MATCHS")), FIND("--",INDIRECT(ADDRESS(22,3,,,"MATCHS")),1)),INDIRECT(ADDRESS(22,3,,,"MATCHS"))),,,IF(IFERROR(FIND("--",INDIRECT(ADDRESS(42,3,,,"MATCHS"))),FALSE),RIGHT(INDIRECT(ADDRESS(42,3,,,"MATCHS")), FIND("--",INDIRECT(ADDRESS(42,3,,,"MATCHS")),1)),INDIRECT(ADDRESS(42,3,,,"MATCHS"))),,IF(IFERROR(FIND("--",INDIRECT(ADDRESS(59,3,,,"MATCHS"))),FALSE),RIGHT(INDIRECT(ADDRESS(59,3,,,"MATCHS")), FIND("--",INDIRECT(ADDRESS(59,3,,,"MATCHS")),1)),INDIRECT(ADDRESS(59,3,,,"MATCHS"))),,IF(IFERROR(FIND("--",INDIRECT(ADDRESS(78,3,,,"MATCHS"))),FALSE),RIGHT(INDIRECT(ADDRESS(78,3,,,"MATCHS")), FIND("--",INDIRECT(ADDRESS(78,3,,,"MATCHS")),1)),INDIRECT(ADDRESS(78,3,,,"MATCHS"))),,IF(IFERROR(FIND("--",INDIRECT(ADDRESS(93,3,,,"MATCHS"))),FALSE),RIGHT(INDIRECT(ADDRESS(93,3,,,"MATCHS")), FIND("--",INDIRECT(ADDRESS(93,3,,,"MATCHS")),1)),INDIRECT(ADDRESS(93,3,,,"MATCHS"))),,IF(IFERROR(FIND("--",INDIRECT(ADDRESS(112,3,,,"MATCHS"))),FALSE),RIGHT(INDIRECT(ADDRESS(112,3,,,"MATCHS")), FIND("--",INDIRECT(ADDRESS(112,3,,,"MATCHS")),1)),INDIRECT(ADDRESS(112,3,,,"MATCHS"))),,)</f>
        <v>42</v>
      </c>
      <c r="J10" s="70">
        <f t="shared" ca="1" si="0"/>
        <v>-4</v>
      </c>
      <c r="K10" s="70">
        <v>0</v>
      </c>
      <c r="L10" s="70">
        <v>7</v>
      </c>
      <c r="M10" s="70"/>
      <c r="N10" s="66" t="str">
        <f t="shared" si="1"/>
        <v>DM</v>
      </c>
    </row>
    <row r="11" spans="1:14" ht="15.75" x14ac:dyDescent="0.25">
      <c r="A11" s="137"/>
      <c r="B11" s="70">
        <v>8</v>
      </c>
      <c r="C11" s="70" t="s">
        <v>68</v>
      </c>
      <c r="D11" s="70" t="str">
        <f>INSCRIPTS!C9</f>
        <v>8A</v>
      </c>
      <c r="E11" s="76">
        <f ca="1">SUM(IF(INDIRECT(ADDRESS(5,5,,,"MATCHS"))&gt;INDIRECT(ADDRESS(5,3,,,"MATCHS")),1,0),,IF(INDIRECT(ADDRESS(23,5,,,"MATCHS"))&gt;INDIRECT(ADDRESS(23,3,,,"MATCHS")),1,0),,IF(INDIRECT(ADDRESS(40,5,,,"MATCHS"))&gt;INDIRECT(ADDRESS(40,3,,,"MATCHS")),1,0),,,IF(INDIRECT(ADDRESS(60,5,,,"MATCHS"))&gt;INDIRECT(ADDRESS(60,3,,,"MATCHS")),1,0),,IF(INDIRECT(ADDRESS(77,5,,,"MATCHS"))&gt;INDIRECT(ADDRESS(77,3,,,"MATCHS")),1,0),,IF(INDIRECT(ADDRESS(94,5,,,"MATCHS"))&gt;INDIRECT(ADDRESS(94,3,,,"MATCHS")),1,0),,IF(INDIRECT(ADDRESS(111,5,,,"MATCHS"))&gt;INDIRECT(ADDRESS(111,3,,,"MATCHS")),1,0),,) + 0.01 * K11</f>
        <v>1</v>
      </c>
      <c r="F11" s="70">
        <f ca="1">SUM(IF(INDIRECT(ADDRESS(5,5,,,"MATCHS"))&lt;INDIRECT(ADDRESS(5,3,,,"MATCHS")),1,0),,IF(INDIRECT(ADDRESS(23,5,,,"MATCHS"))&lt;INDIRECT(ADDRESS(23,3,,,"MATCHS")),1,0),,IF(INDIRECT(ADDRESS(40,5,,,"MATCHS"))&lt;INDIRECT(ADDRESS(40,3,,,"MATCHS")),1,0),,,IF(INDIRECT(ADDRESS(60,5,,,"MATCHS"))&lt;INDIRECT(ADDRESS(60,3,,,"MATCHS")),1,0),,IF(INDIRECT(ADDRESS(77,5,,,"MATCHS"))&lt;INDIRECT(ADDRESS(77,3,,,"MATCHS")),1,0),,IF(INDIRECT(ADDRESS(94,5,,,"MATCHS"))&lt;INDIRECT(ADDRESS(94,3,,,"MATCHS")),1,0),,IF(INDIRECT(ADDRESS(111,5,,,"MATCHS"))&lt;INDIRECT(ADDRESS(111,3,,,"MATCHS")),1,0),,)</f>
        <v>0</v>
      </c>
      <c r="G11" s="70">
        <f ca="1">SUM(IF(IFERROR(FIND("--",INDIRECT(ADDRESS(5,5,,,"MATCHS"))),FALSE),LEFT(INDIRECT(ADDRESS(5,5,,,"MATCHS")), FIND("--",INDIRECT(ADDRESS(5,5,,,"MATCHS")),1)-1),INDIRECT(ADDRESS(5,5,,,"MATCHS"))),,IF(IFERROR(FIND("--",INDIRECT(ADDRESS(23,5,,,"MATCHS"))),FALSE),LEFT(INDIRECT(ADDRESS(23,5,,,"MATCHS")), FIND("--",INDIRECT(ADDRESS(23,5,,,"MATCHS")),1)-1),INDIRECT(ADDRESS(23,5,,,"MATCHS"))),,IF(IFERROR(FIND("--",INDIRECT(ADDRESS(40,5,,,"MATCHS"))),FALSE),LEFT(INDIRECT(ADDRESS(40,5,,,"MATCHS")), FIND("--",INDIRECT(ADDRESS(40,5,,,"MATCHS")),1)-1),INDIRECT(ADDRESS(40,5,,,"MATCHS"))),,,IF(IFERROR(FIND("--",INDIRECT(ADDRESS(60,5,,,"MATCHS"))),FALSE),LEFT(INDIRECT(ADDRESS(60,5,,,"MATCHS")), FIND("--",INDIRECT(ADDRESS(60,5,,,"MATCHS")),1)-1),INDIRECT(ADDRESS(60,5,,,"MATCHS"))),,IF(IFERROR(FIND("--",INDIRECT(ADDRESS(77,5,,,"MATCHS"))),FALSE),LEFT(INDIRECT(ADDRESS(77,5,,,"MATCHS")), FIND("--",INDIRECT(ADDRESS(77,5,,,"MATCHS")),1)-1),INDIRECT(ADDRESS(77,5,,,"MATCHS"))),,IF(IFERROR(FIND("--",INDIRECT(ADDRESS(94,5,,,"MATCHS"))),FALSE),LEFT(INDIRECT(ADDRESS(94,5,,,"MATCHS")), FIND("--",INDIRECT(ADDRESS(94,5,,,"MATCHS")),1)-1),INDIRECT(ADDRESS(94,5,,,"MATCHS"))),,IF(IFERROR(FIND("--",INDIRECT(ADDRESS(111,5,,,"MATCHS"))),FALSE),LEFT(INDIRECT(ADDRESS(111,5,,,"MATCHS")), FIND("--",INDIRECT(ADDRESS(111,5,,,"MATCHS")),1)-1),INDIRECT(ADDRESS(111,5,,,"MATCHS"))),,)</f>
        <v>2</v>
      </c>
      <c r="H11" s="70">
        <f ca="1">SUM(IF(IFERROR(FIND("--",INDIRECT(ADDRESS(5,5,,,"MATCHS"))),FALSE),RIGHT(INDIRECT(ADDRESS(5,5,,,"MATCHS")), FIND("--",INDIRECT(ADDRESS(5,5,,,"MATCHS")),1)),INDIRECT(ADDRESS(5,5,,,"MATCHS"))),,IF(IFERROR(FIND("--",INDIRECT(ADDRESS(23,5,,,"MATCHS"))),FALSE),RIGHT(INDIRECT(ADDRESS(23,5,,,"MATCHS")), FIND("--",INDIRECT(ADDRESS(23,5,,,"MATCHS")),1)),INDIRECT(ADDRESS(23,5,,,"MATCHS"))),,IF(IFERROR(FIND("--",INDIRECT(ADDRESS(40,5,,,"MATCHS"))),FALSE),RIGHT(INDIRECT(ADDRESS(40,5,,,"MATCHS")), FIND("--",INDIRECT(ADDRESS(40,5,,,"MATCHS")),1)),INDIRECT(ADDRESS(40,5,,,"MATCHS"))),,,IF(IFERROR(FIND("--",INDIRECT(ADDRESS(60,5,,,"MATCHS"))),FALSE),RIGHT(INDIRECT(ADDRESS(60,5,,,"MATCHS")), FIND("--",INDIRECT(ADDRESS(60,5,,,"MATCHS")),1)),INDIRECT(ADDRESS(60,5,,,"MATCHS"))),,IF(IFERROR(FIND("--",INDIRECT(ADDRESS(77,5,,,"MATCHS"))),FALSE),RIGHT(INDIRECT(ADDRESS(77,5,,,"MATCHS")), FIND("--",INDIRECT(ADDRESS(77,5,,,"MATCHS")),1)),INDIRECT(ADDRESS(77,5,,,"MATCHS"))),,IF(IFERROR(FIND("--",INDIRECT(ADDRESS(94,5,,,"MATCHS"))),FALSE),RIGHT(INDIRECT(ADDRESS(94,5,,,"MATCHS")), FIND("--",INDIRECT(ADDRESS(94,5,,,"MATCHS")),1)),INDIRECT(ADDRESS(94,5,,,"MATCHS"))),,IF(IFERROR(FIND("--",INDIRECT(ADDRESS(111,5,,,"MATCHS"))),FALSE),RIGHT(INDIRECT(ADDRESS(111,5,,,"MATCHS")), FIND("--",INDIRECT(ADDRESS(111,5,,,"MATCHS")),1)),INDIRECT(ADDRESS(111,5,,,"MATCHS"))),,)</f>
        <v>42</v>
      </c>
      <c r="I11" s="70">
        <f ca="1">SUM(IF(IFERROR(FIND("--",INDIRECT(ADDRESS(5,3,,,"MATCHS"))),FALSE),RIGHT(INDIRECT(ADDRESS(5,3,,,"MATCHS")), FIND("--",INDIRECT(ADDRESS(5,3,,,"MATCHS")),1)),INDIRECT(ADDRESS(5,3,,,"MATCHS"))),,IF(IFERROR(FIND("--",INDIRECT(ADDRESS(23,3,,,"MATCHS"))),FALSE),RIGHT(INDIRECT(ADDRESS(23,3,,,"MATCHS")), FIND("--",INDIRECT(ADDRESS(23,3,,,"MATCHS")),1)),INDIRECT(ADDRESS(23,3,,,"MATCHS"))),,IF(IFERROR(FIND("--",INDIRECT(ADDRESS(40,3,,,"MATCHS"))),FALSE),RIGHT(INDIRECT(ADDRESS(40,3,,,"MATCHS")), FIND("--",INDIRECT(ADDRESS(40,3,,,"MATCHS")),1)),INDIRECT(ADDRESS(40,3,,,"MATCHS"))),,,IF(IFERROR(FIND("--",INDIRECT(ADDRESS(60,3,,,"MATCHS"))),FALSE),RIGHT(INDIRECT(ADDRESS(60,3,,,"MATCHS")), FIND("--",INDIRECT(ADDRESS(60,3,,,"MATCHS")),1)),INDIRECT(ADDRESS(60,3,,,"MATCHS"))),,IF(IFERROR(FIND("--",INDIRECT(ADDRESS(77,3,,,"MATCHS"))),FALSE),RIGHT(INDIRECT(ADDRESS(77,3,,,"MATCHS")), FIND("--",INDIRECT(ADDRESS(77,3,,,"MATCHS")),1)),INDIRECT(ADDRESS(77,3,,,"MATCHS"))),,IF(IFERROR(FIND("--",INDIRECT(ADDRESS(94,3,,,"MATCHS"))),FALSE),RIGHT(INDIRECT(ADDRESS(94,3,,,"MATCHS")), FIND("--",INDIRECT(ADDRESS(94,3,,,"MATCHS")),1)),INDIRECT(ADDRESS(94,3,,,"MATCHS"))),,IF(IFERROR(FIND("--",INDIRECT(ADDRESS(111,3,,,"MATCHS"))),FALSE),RIGHT(INDIRECT(ADDRESS(111,3,,,"MATCHS")), FIND("--",INDIRECT(ADDRESS(111,3,,,"MATCHS")),1)),INDIRECT(ADDRESS(111,3,,,"MATCHS"))),,)</f>
        <v>38</v>
      </c>
      <c r="J11" s="70">
        <f t="shared" ca="1" si="0"/>
        <v>4</v>
      </c>
      <c r="K11" s="70">
        <v>0</v>
      </c>
      <c r="L11" s="70">
        <v>8</v>
      </c>
      <c r="M11" s="70"/>
      <c r="N11" s="66" t="str">
        <f t="shared" si="1"/>
        <v>DM</v>
      </c>
    </row>
    <row r="12" spans="1:14" ht="15.75" thickBot="1" x14ac:dyDescent="0.3"/>
    <row r="13" spans="1:14" ht="30.95" customHeight="1" thickBot="1" x14ac:dyDescent="0.3">
      <c r="C13" s="68" t="s">
        <v>107</v>
      </c>
      <c r="D13" s="68" t="s">
        <v>53</v>
      </c>
      <c r="E13" s="75" t="s">
        <v>108</v>
      </c>
      <c r="F13" s="68" t="s">
        <v>109</v>
      </c>
      <c r="G13" s="68" t="s">
        <v>110</v>
      </c>
      <c r="H13" s="68" t="s">
        <v>111</v>
      </c>
      <c r="I13" s="68" t="s">
        <v>112</v>
      </c>
      <c r="J13" s="68" t="s">
        <v>113</v>
      </c>
      <c r="K13" s="69" t="s">
        <v>114</v>
      </c>
      <c r="L13" s="68" t="s">
        <v>115</v>
      </c>
      <c r="M13" s="69" t="s">
        <v>116</v>
      </c>
    </row>
    <row r="15" spans="1:14" ht="15.75" x14ac:dyDescent="0.25">
      <c r="A15" s="138" t="s">
        <v>58</v>
      </c>
      <c r="B15" s="71">
        <v>1</v>
      </c>
      <c r="C15" s="71" t="s">
        <v>69</v>
      </c>
      <c r="D15" s="71" t="str">
        <f>INSCRIPTS!C11</f>
        <v>1B</v>
      </c>
      <c r="E15" s="77">
        <f ca="1">SUM(IF(INDIRECT(ADDRESS(6,3,,,"MATCHS"))&gt;INDIRECT(ADDRESS(6,5,,,"MATCHS")),1,0),,IF(INDIRECT(ADDRESS(24,3,,,"MATCHS"))&gt;INDIRECT(ADDRESS(24,5,,,"MATCHS")),1,0),,,IF(INDIRECT(ADDRESS(43,3,,,"MATCHS"))&gt;INDIRECT(ADDRESS(43,5,,,"MATCHS")),1,0),,IF(INDIRECT(ADDRESS(61,3,,,"MATCHS"))&gt;INDIRECT(ADDRESS(61,5,,,"MATCHS")),1,0),,IF(INDIRECT(ADDRESS(79,3,,,"MATCHS"))&gt;INDIRECT(ADDRESS(79,5,,,"MATCHS")),1,0),,,IF(INDIRECT(ADDRESS(98,3,,,"MATCHS"))&gt;INDIRECT(ADDRESS(98,5,,,"MATCHS")),1,0),,IF(INDIRECT(ADDRESS(116,3,,,"MATCHS"))&gt;INDIRECT(ADDRESS(116,5,,,"MATCHS")),1,0),) + 0.01 * K15</f>
        <v>0</v>
      </c>
      <c r="F15" s="71">
        <f ca="1">SUM(IF(INDIRECT(ADDRESS(6,3,,,"MATCHS"))&lt;INDIRECT(ADDRESS(6,5,,,"MATCHS")),1,0),,IF(INDIRECT(ADDRESS(24,3,,,"MATCHS"))&lt;INDIRECT(ADDRESS(24,5,,,"MATCHS")),1,0),,,IF(INDIRECT(ADDRESS(43,3,,,"MATCHS"))&lt;INDIRECT(ADDRESS(43,5,,,"MATCHS")),1,0),,IF(INDIRECT(ADDRESS(61,3,,,"MATCHS"))&lt;INDIRECT(ADDRESS(61,5,,,"MATCHS")),1,0),,IF(INDIRECT(ADDRESS(79,3,,,"MATCHS"))&lt;INDIRECT(ADDRESS(79,5,,,"MATCHS")),1,0),,,IF(INDIRECT(ADDRESS(98,3,,,"MATCHS"))&lt;INDIRECT(ADDRESS(98,5,,,"MATCHS")),1,0),,IF(INDIRECT(ADDRESS(116,3,,,"MATCHS"))&lt;INDIRECT(ADDRESS(116,5,,,"MATCHS")),1,0),)</f>
        <v>1</v>
      </c>
      <c r="G15" s="71">
        <f ca="1">SUM(IF(IFERROR(FIND("--",INDIRECT(ADDRESS(6,3,,,"MATCHS"))),FALSE),LEFT(INDIRECT(ADDRESS(6,3,,,"MATCHS")), FIND("--",INDIRECT(ADDRESS(6,3,,,"MATCHS")),1)-1),INDIRECT(ADDRESS(6,3,,,"MATCHS"))),,IF(IFERROR(FIND("--",INDIRECT(ADDRESS(24,3,,,"MATCHS"))),FALSE),LEFT(INDIRECT(ADDRESS(24,3,,,"MATCHS")), FIND("--",INDIRECT(ADDRESS(24,3,,,"MATCHS")),1)-1),INDIRECT(ADDRESS(24,3,,,"MATCHS"))),,,IF(IFERROR(FIND("--",INDIRECT(ADDRESS(43,3,,,"MATCHS"))),FALSE),LEFT(INDIRECT(ADDRESS(43,3,,,"MATCHS")), FIND("--",INDIRECT(ADDRESS(43,3,,,"MATCHS")),1)-1),INDIRECT(ADDRESS(43,3,,,"MATCHS"))),,IF(IFERROR(FIND("--",INDIRECT(ADDRESS(61,3,,,"MATCHS"))),FALSE),LEFT(INDIRECT(ADDRESS(61,3,,,"MATCHS")), FIND("--",INDIRECT(ADDRESS(61,3,,,"MATCHS")),1)-1),INDIRECT(ADDRESS(61,3,,,"MATCHS"))),,IF(IFERROR(FIND("--",INDIRECT(ADDRESS(79,3,,,"MATCHS"))),FALSE),LEFT(INDIRECT(ADDRESS(79,3,,,"MATCHS")), FIND("--",INDIRECT(ADDRESS(79,3,,,"MATCHS")),1)-1),INDIRECT(ADDRESS(79,3,,,"MATCHS"))),,,IF(IFERROR(FIND("--",INDIRECT(ADDRESS(98,3,,,"MATCHS"))),FALSE),LEFT(INDIRECT(ADDRESS(98,3,,,"MATCHS")), FIND("--",INDIRECT(ADDRESS(98,3,,,"MATCHS")),1)-1),INDIRECT(ADDRESS(98,3,,,"MATCHS"))),,IF(IFERROR(FIND("--",INDIRECT(ADDRESS(116,3,,,"MATCHS"))),FALSE),LEFT(INDIRECT(ADDRESS(116,3,,,"MATCHS")), FIND("--",INDIRECT(ADDRESS(116,3,,,"MATCHS")),1)-1),INDIRECT(ADDRESS(116,3,,,"MATCHS"))),)</f>
        <v>0</v>
      </c>
      <c r="H15" s="71">
        <f ca="1">SUM(IF(IFERROR(FIND("--",INDIRECT(ADDRESS(6,3,,,"MATCHS"))),FALSE),RIGHT(INDIRECT(ADDRESS(6,3,,,"MATCHS")), FIND("--",INDIRECT(ADDRESS(6,3,,,"MATCHS")),1)),INDIRECT(ADDRESS(6,3,,,"MATCHS"))),,IF(IFERROR(FIND("--",INDIRECT(ADDRESS(24,3,,,"MATCHS"))),FALSE),RIGHT(INDIRECT(ADDRESS(24,3,,,"MATCHS")), FIND("--",INDIRECT(ADDRESS(24,3,,,"MATCHS")),1)),INDIRECT(ADDRESS(24,3,,,"MATCHS"))),,,IF(IFERROR(FIND("--",INDIRECT(ADDRESS(43,3,,,"MATCHS"))),FALSE),RIGHT(INDIRECT(ADDRESS(43,3,,,"MATCHS")), FIND("--",INDIRECT(ADDRESS(43,3,,,"MATCHS")),1)),INDIRECT(ADDRESS(43,3,,,"MATCHS"))),,IF(IFERROR(FIND("--",INDIRECT(ADDRESS(61,3,,,"MATCHS"))),FALSE),RIGHT(INDIRECT(ADDRESS(61,3,,,"MATCHS")), FIND("--",INDIRECT(ADDRESS(61,3,,,"MATCHS")),1)),INDIRECT(ADDRESS(61,3,,,"MATCHS"))),,IF(IFERROR(FIND("--",INDIRECT(ADDRESS(79,3,,,"MATCHS"))),FALSE),RIGHT(INDIRECT(ADDRESS(79,3,,,"MATCHS")), FIND("--",INDIRECT(ADDRESS(79,3,,,"MATCHS")),1)),INDIRECT(ADDRESS(79,3,,,"MATCHS"))),,,IF(IFERROR(FIND("--",INDIRECT(ADDRESS(98,3,,,"MATCHS"))),FALSE),RIGHT(INDIRECT(ADDRESS(98,3,,,"MATCHS")), FIND("--",INDIRECT(ADDRESS(98,3,,,"MATCHS")),1)),INDIRECT(ADDRESS(98,3,,,"MATCHS"))),,IF(IFERROR(FIND("--",INDIRECT(ADDRESS(116,3,,,"MATCHS"))),FALSE),RIGHT(INDIRECT(ADDRESS(116,3,,,"MATCHS")), FIND("--",INDIRECT(ADDRESS(116,3,,,"MATCHS")),1)),INDIRECT(ADDRESS(116,3,,,"MATCHS"))),)</f>
        <v>-6</v>
      </c>
      <c r="I15" s="71">
        <f ca="1">SUM(IF(IFERROR(FIND("--",INDIRECT(ADDRESS(6,5,,,"MATCHS"))),FALSE),RIGHT(INDIRECT(ADDRESS(6,5,,,"MATCHS")), FIND("--",INDIRECT(ADDRESS(6,5,,,"MATCHS")),1)),INDIRECT(ADDRESS(6,5,,,"MATCHS"))),,IF(IFERROR(FIND("--",INDIRECT(ADDRESS(24,5,,,"MATCHS"))),FALSE),RIGHT(INDIRECT(ADDRESS(24,5,,,"MATCHS")), FIND("--",INDIRECT(ADDRESS(24,5,,,"MATCHS")),1)),INDIRECT(ADDRESS(24,5,,,"MATCHS"))),,,IF(IFERROR(FIND("--",INDIRECT(ADDRESS(43,5,,,"MATCHS"))),FALSE),RIGHT(INDIRECT(ADDRESS(43,5,,,"MATCHS")), FIND("--",INDIRECT(ADDRESS(43,5,,,"MATCHS")),1)),INDIRECT(ADDRESS(43,5,,,"MATCHS"))),,IF(IFERROR(FIND("--",INDIRECT(ADDRESS(61,5,,,"MATCHS"))),FALSE),RIGHT(INDIRECT(ADDRESS(61,5,,,"MATCHS")), FIND("--",INDIRECT(ADDRESS(61,5,,,"MATCHS")),1)),INDIRECT(ADDRESS(61,5,,,"MATCHS"))),,IF(IFERROR(FIND("--",INDIRECT(ADDRESS(79,5,,,"MATCHS"))),FALSE),RIGHT(INDIRECT(ADDRESS(79,5,,,"MATCHS")), FIND("--",INDIRECT(ADDRESS(79,5,,,"MATCHS")),1)),INDIRECT(ADDRESS(79,5,,,"MATCHS"))),,,IF(IFERROR(FIND("--",INDIRECT(ADDRESS(98,5,,,"MATCHS"))),FALSE),RIGHT(INDIRECT(ADDRESS(98,5,,,"MATCHS")), FIND("--",INDIRECT(ADDRESS(98,5,,,"MATCHS")),1)),INDIRECT(ADDRESS(98,5,,,"MATCHS"))),,IF(IFERROR(FIND("--",INDIRECT(ADDRESS(116,5,,,"MATCHS"))),FALSE),RIGHT(INDIRECT(ADDRESS(116,5,,,"MATCHS")), FIND("--",INDIRECT(ADDRESS(116,5,,,"MATCHS")),1)),INDIRECT(ADDRESS(116,5,,,"MATCHS"))),)</f>
        <v>42</v>
      </c>
      <c r="J15" s="71">
        <f t="shared" ref="J15:J22" ca="1" si="2">H15 - I15</f>
        <v>-48</v>
      </c>
      <c r="K15" s="71">
        <v>0</v>
      </c>
      <c r="L15" s="71">
        <v>1</v>
      </c>
      <c r="M15" s="71"/>
      <c r="N15" s="66" t="str">
        <f t="shared" ref="N15:N22" si="3">M15 &amp; "DH"</f>
        <v>DH</v>
      </c>
    </row>
    <row r="16" spans="1:14" ht="15.75" x14ac:dyDescent="0.25">
      <c r="A16" s="138"/>
      <c r="B16" s="71">
        <v>2</v>
      </c>
      <c r="C16" s="71" t="s">
        <v>70</v>
      </c>
      <c r="D16" s="71" t="str">
        <f>INSCRIPTS!C12</f>
        <v>2B</v>
      </c>
      <c r="E16" s="77">
        <f ca="1">SUM(IF(INDIRECT(ADDRESS(6,5,,,"MATCHS"))&gt;INDIRECT(ADDRESS(6,3,,,"MATCHS")),1,0),,,IF(INDIRECT(ADDRESS(26,3,,,"MATCHS"))&gt;INDIRECT(ADDRESS(26,5,,,"MATCHS")),1,0),,IF(INDIRECT(ADDRESS(44,3,,,"MATCHS"))&gt;INDIRECT(ADDRESS(44,5,,,"MATCHS")),1,0),,IF(INDIRECT(ADDRESS(62,3,,,"MATCHS"))&gt;INDIRECT(ADDRESS(62,5,,,"MATCHS")),1,0),,IF(INDIRECT(ADDRESS(80,3,,,"MATCHS"))&gt;INDIRECT(ADDRESS(80,5,,,"MATCHS")),1,0),,,IF(INDIRECT(ADDRESS(99,3,,,"MATCHS"))&gt;INDIRECT(ADDRESS(99,5,,,"MATCHS")),1,0),,IF(INDIRECT(ADDRESS(117,3,,,"MATCHS"))&gt;INDIRECT(ADDRESS(117,5,,,"MATCHS")),1,0),) + 0.01 * K16</f>
        <v>1</v>
      </c>
      <c r="F16" s="71">
        <f ca="1">SUM(IF(INDIRECT(ADDRESS(6,5,,,"MATCHS"))&lt;INDIRECT(ADDRESS(6,3,,,"MATCHS")),1,0),,,IF(INDIRECT(ADDRESS(26,3,,,"MATCHS"))&lt;INDIRECT(ADDRESS(26,5,,,"MATCHS")),1,0),,IF(INDIRECT(ADDRESS(44,3,,,"MATCHS"))&lt;INDIRECT(ADDRESS(44,5,,,"MATCHS")),1,0),,IF(INDIRECT(ADDRESS(62,3,,,"MATCHS"))&lt;INDIRECT(ADDRESS(62,5,,,"MATCHS")),1,0),,IF(INDIRECT(ADDRESS(80,3,,,"MATCHS"))&lt;INDIRECT(ADDRESS(80,5,,,"MATCHS")),1,0),,,IF(INDIRECT(ADDRESS(99,3,,,"MATCHS"))&lt;INDIRECT(ADDRESS(99,5,,,"MATCHS")),1,0),,IF(INDIRECT(ADDRESS(117,3,,,"MATCHS"))&lt;INDIRECT(ADDRESS(117,5,,,"MATCHS")),1,0),)</f>
        <v>0</v>
      </c>
      <c r="G16" s="71">
        <f ca="1">SUM(IF(IFERROR(FIND("--",INDIRECT(ADDRESS(6,5,,,"MATCHS"))),FALSE),LEFT(INDIRECT(ADDRESS(6,5,,,"MATCHS")), FIND("--",INDIRECT(ADDRESS(6,5,,,"MATCHS")),1)-1),INDIRECT(ADDRESS(6,5,,,"MATCHS"))),,,IF(IFERROR(FIND("--",INDIRECT(ADDRESS(26,3,,,"MATCHS"))),FALSE),LEFT(INDIRECT(ADDRESS(26,3,,,"MATCHS")), FIND("--",INDIRECT(ADDRESS(26,3,,,"MATCHS")),1)-1),INDIRECT(ADDRESS(26,3,,,"MATCHS"))),,IF(IFERROR(FIND("--",INDIRECT(ADDRESS(44,3,,,"MATCHS"))),FALSE),LEFT(INDIRECT(ADDRESS(44,3,,,"MATCHS")), FIND("--",INDIRECT(ADDRESS(44,3,,,"MATCHS")),1)-1),INDIRECT(ADDRESS(44,3,,,"MATCHS"))),,IF(IFERROR(FIND("--",INDIRECT(ADDRESS(62,3,,,"MATCHS"))),FALSE),LEFT(INDIRECT(ADDRESS(62,3,,,"MATCHS")), FIND("--",INDIRECT(ADDRESS(62,3,,,"MATCHS")),1)-1),INDIRECT(ADDRESS(62,3,,,"MATCHS"))),,IF(IFERROR(FIND("--",INDIRECT(ADDRESS(80,3,,,"MATCHS"))),FALSE),LEFT(INDIRECT(ADDRESS(80,3,,,"MATCHS")), FIND("--",INDIRECT(ADDRESS(80,3,,,"MATCHS")),1)-1),INDIRECT(ADDRESS(80,3,,,"MATCHS"))),,,IF(IFERROR(FIND("--",INDIRECT(ADDRESS(99,3,,,"MATCHS"))),FALSE),LEFT(INDIRECT(ADDRESS(99,3,,,"MATCHS")), FIND("--",INDIRECT(ADDRESS(99,3,,,"MATCHS")),1)-1),INDIRECT(ADDRESS(99,3,,,"MATCHS"))),,IF(IFERROR(FIND("--",INDIRECT(ADDRESS(117,3,,,"MATCHS"))),FALSE),LEFT(INDIRECT(ADDRESS(117,3,,,"MATCHS")), FIND("--",INDIRECT(ADDRESS(117,3,,,"MATCHS")),1)-1),INDIRECT(ADDRESS(117,3,,,"MATCHS"))),)</f>
        <v>2</v>
      </c>
      <c r="H16" s="71">
        <f ca="1">SUM(IF(IFERROR(FIND("--",INDIRECT(ADDRESS(6,5,,,"MATCHS"))),FALSE),RIGHT(INDIRECT(ADDRESS(6,5,,,"MATCHS")), FIND("--",INDIRECT(ADDRESS(6,5,,,"MATCHS")),1)),INDIRECT(ADDRESS(6,5,,,"MATCHS"))),,,IF(IFERROR(FIND("--",INDIRECT(ADDRESS(26,3,,,"MATCHS"))),FALSE),RIGHT(INDIRECT(ADDRESS(26,3,,,"MATCHS")), FIND("--",INDIRECT(ADDRESS(26,3,,,"MATCHS")),1)),INDIRECT(ADDRESS(26,3,,,"MATCHS"))),,IF(IFERROR(FIND("--",INDIRECT(ADDRESS(44,3,,,"MATCHS"))),FALSE),RIGHT(INDIRECT(ADDRESS(44,3,,,"MATCHS")), FIND("--",INDIRECT(ADDRESS(44,3,,,"MATCHS")),1)),INDIRECT(ADDRESS(44,3,,,"MATCHS"))),,IF(IFERROR(FIND("--",INDIRECT(ADDRESS(62,3,,,"MATCHS"))),FALSE),RIGHT(INDIRECT(ADDRESS(62,3,,,"MATCHS")), FIND("--",INDIRECT(ADDRESS(62,3,,,"MATCHS")),1)),INDIRECT(ADDRESS(62,3,,,"MATCHS"))),,IF(IFERROR(FIND("--",INDIRECT(ADDRESS(80,3,,,"MATCHS"))),FALSE),RIGHT(INDIRECT(ADDRESS(80,3,,,"MATCHS")), FIND("--",INDIRECT(ADDRESS(80,3,,,"MATCHS")),1)),INDIRECT(ADDRESS(80,3,,,"MATCHS"))),,,IF(IFERROR(FIND("--",INDIRECT(ADDRESS(99,3,,,"MATCHS"))),FALSE),RIGHT(INDIRECT(ADDRESS(99,3,,,"MATCHS")), FIND("--",INDIRECT(ADDRESS(99,3,,,"MATCHS")),1)),INDIRECT(ADDRESS(99,3,,,"MATCHS"))),,IF(IFERROR(FIND("--",INDIRECT(ADDRESS(117,3,,,"MATCHS"))),FALSE),RIGHT(INDIRECT(ADDRESS(117,3,,,"MATCHS")), FIND("--",INDIRECT(ADDRESS(117,3,,,"MATCHS")),1)),INDIRECT(ADDRESS(117,3,,,"MATCHS"))),)</f>
        <v>42</v>
      </c>
      <c r="I16" s="71">
        <f ca="1">SUM(IF(IFERROR(FIND("--",INDIRECT(ADDRESS(6,3,,,"MATCHS"))),FALSE),RIGHT(INDIRECT(ADDRESS(6,3,,,"MATCHS")), FIND("--",INDIRECT(ADDRESS(6,3,,,"MATCHS")),1)),INDIRECT(ADDRESS(6,3,,,"MATCHS"))),,,IF(IFERROR(FIND("--",INDIRECT(ADDRESS(26,5,,,"MATCHS"))),FALSE),RIGHT(INDIRECT(ADDRESS(26,5,,,"MATCHS")), FIND("--",INDIRECT(ADDRESS(26,5,,,"MATCHS")),1)),INDIRECT(ADDRESS(26,5,,,"MATCHS"))),,IF(IFERROR(FIND("--",INDIRECT(ADDRESS(44,5,,,"MATCHS"))),FALSE),RIGHT(INDIRECT(ADDRESS(44,5,,,"MATCHS")), FIND("--",INDIRECT(ADDRESS(44,5,,,"MATCHS")),1)),INDIRECT(ADDRESS(44,5,,,"MATCHS"))),,IF(IFERROR(FIND("--",INDIRECT(ADDRESS(62,5,,,"MATCHS"))),FALSE),RIGHT(INDIRECT(ADDRESS(62,5,,,"MATCHS")), FIND("--",INDIRECT(ADDRESS(62,5,,,"MATCHS")),1)),INDIRECT(ADDRESS(62,5,,,"MATCHS"))),,IF(IFERROR(FIND("--",INDIRECT(ADDRESS(80,5,,,"MATCHS"))),FALSE),RIGHT(INDIRECT(ADDRESS(80,5,,,"MATCHS")), FIND("--",INDIRECT(ADDRESS(80,5,,,"MATCHS")),1)),INDIRECT(ADDRESS(80,5,,,"MATCHS"))),,,IF(IFERROR(FIND("--",INDIRECT(ADDRESS(99,5,,,"MATCHS"))),FALSE),RIGHT(INDIRECT(ADDRESS(99,5,,,"MATCHS")), FIND("--",INDIRECT(ADDRESS(99,5,,,"MATCHS")),1)),INDIRECT(ADDRESS(99,5,,,"MATCHS"))),,IF(IFERROR(FIND("--",INDIRECT(ADDRESS(117,5,,,"MATCHS"))),FALSE),RIGHT(INDIRECT(ADDRESS(117,5,,,"MATCHS")), FIND("--",INDIRECT(ADDRESS(117,5,,,"MATCHS")),1)),INDIRECT(ADDRESS(117,5,,,"MATCHS"))),)</f>
        <v>-6</v>
      </c>
      <c r="J16" s="71">
        <f t="shared" ca="1" si="2"/>
        <v>48</v>
      </c>
      <c r="K16" s="71">
        <v>0</v>
      </c>
      <c r="L16" s="71">
        <v>2</v>
      </c>
      <c r="M16" s="71"/>
      <c r="N16" s="66" t="str">
        <f t="shared" si="3"/>
        <v>DH</v>
      </c>
    </row>
    <row r="17" spans="1:14" ht="15.75" x14ac:dyDescent="0.25">
      <c r="A17" s="138"/>
      <c r="B17" s="71">
        <v>3</v>
      </c>
      <c r="C17" s="71" t="s">
        <v>71</v>
      </c>
      <c r="D17" s="71" t="str">
        <f>INSCRIPTS!C13</f>
        <v>3B</v>
      </c>
      <c r="E17" s="77">
        <f ca="1">SUM(IF(INDIRECT(ADDRESS(7,3,,,"MATCHS"))&gt;INDIRECT(ADDRESS(7,5,,,"MATCHS")),1,0),,IF(INDIRECT(ADDRESS(24,5,,,"MATCHS"))&gt;INDIRECT(ADDRESS(24,3,,,"MATCHS")),1,0),,,IF(INDIRECT(ADDRESS(44,5,,,"MATCHS"))&gt;INDIRECT(ADDRESS(44,3,,,"MATCHS")),1,0),,IF(INDIRECT(ADDRESS(63,3,,,"MATCHS"))&gt;INDIRECT(ADDRESS(63,5,,,"MATCHS")),1,0),,,IF(INDIRECT(ADDRESS(82,3,,,"MATCHS"))&gt;INDIRECT(ADDRESS(82,5,,,"MATCHS")),1,0),,IF(INDIRECT(ADDRESS(100,3,,,"MATCHS"))&gt;INDIRECT(ADDRESS(100,5,,,"MATCHS")),1,0),,IF(INDIRECT(ADDRESS(118,3,,,"MATCHS"))&gt;INDIRECT(ADDRESS(118,5,,,"MATCHS")),1,0),) + 0.01 * K17</f>
        <v>0</v>
      </c>
      <c r="F17" s="71">
        <f ca="1">SUM(IF(INDIRECT(ADDRESS(7,3,,,"MATCHS"))&lt;INDIRECT(ADDRESS(7,5,,,"MATCHS")),1,0),,IF(INDIRECT(ADDRESS(24,5,,,"MATCHS"))&lt;INDIRECT(ADDRESS(24,3,,,"MATCHS")),1,0),,,IF(INDIRECT(ADDRESS(44,5,,,"MATCHS"))&lt;INDIRECT(ADDRESS(44,3,,,"MATCHS")),1,0),,IF(INDIRECT(ADDRESS(63,3,,,"MATCHS"))&lt;INDIRECT(ADDRESS(63,5,,,"MATCHS")),1,0),,,IF(INDIRECT(ADDRESS(82,3,,,"MATCHS"))&lt;INDIRECT(ADDRESS(82,5,,,"MATCHS")),1,0),,IF(INDIRECT(ADDRESS(100,3,,,"MATCHS"))&lt;INDIRECT(ADDRESS(100,5,,,"MATCHS")),1,0),,IF(INDIRECT(ADDRESS(118,3,,,"MATCHS"))&lt;INDIRECT(ADDRESS(118,5,,,"MATCHS")),1,0),)</f>
        <v>0</v>
      </c>
      <c r="G17" s="71">
        <f ca="1">SUM(IF(IFERROR(FIND("--",INDIRECT(ADDRESS(7,3,,,"MATCHS"))),FALSE),LEFT(INDIRECT(ADDRESS(7,3,,,"MATCHS")), FIND("--",INDIRECT(ADDRESS(7,3,,,"MATCHS")),1)-1),INDIRECT(ADDRESS(7,3,,,"MATCHS"))),,IF(IFERROR(FIND("--",INDIRECT(ADDRESS(24,5,,,"MATCHS"))),FALSE),LEFT(INDIRECT(ADDRESS(24,5,,,"MATCHS")), FIND("--",INDIRECT(ADDRESS(24,5,,,"MATCHS")),1)-1),INDIRECT(ADDRESS(24,5,,,"MATCHS"))),,,IF(IFERROR(FIND("--",INDIRECT(ADDRESS(44,5,,,"MATCHS"))),FALSE),LEFT(INDIRECT(ADDRESS(44,5,,,"MATCHS")), FIND("--",INDIRECT(ADDRESS(44,5,,,"MATCHS")),1)-1),INDIRECT(ADDRESS(44,5,,,"MATCHS"))),,IF(IFERROR(FIND("--",INDIRECT(ADDRESS(63,3,,,"MATCHS"))),FALSE),LEFT(INDIRECT(ADDRESS(63,3,,,"MATCHS")), FIND("--",INDIRECT(ADDRESS(63,3,,,"MATCHS")),1)-1),INDIRECT(ADDRESS(63,3,,,"MATCHS"))),,,IF(IFERROR(FIND("--",INDIRECT(ADDRESS(82,3,,,"MATCHS"))),FALSE),LEFT(INDIRECT(ADDRESS(82,3,,,"MATCHS")), FIND("--",INDIRECT(ADDRESS(82,3,,,"MATCHS")),1)-1),INDIRECT(ADDRESS(82,3,,,"MATCHS"))),,IF(IFERROR(FIND("--",INDIRECT(ADDRESS(100,3,,,"MATCHS"))),FALSE),LEFT(INDIRECT(ADDRESS(100,3,,,"MATCHS")), FIND("--",INDIRECT(ADDRESS(100,3,,,"MATCHS")),1)-1),INDIRECT(ADDRESS(100,3,,,"MATCHS"))),,IF(IFERROR(FIND("--",INDIRECT(ADDRESS(118,3,,,"MATCHS"))),FALSE),LEFT(INDIRECT(ADDRESS(118,3,,,"MATCHS")), FIND("--",INDIRECT(ADDRESS(118,3,,,"MATCHS")),1)-1),INDIRECT(ADDRESS(118,3,,,"MATCHS"))),)</f>
        <v>0</v>
      </c>
      <c r="H17" s="71">
        <f ca="1">SUM(IF(IFERROR(FIND("--",INDIRECT(ADDRESS(7,3,,,"MATCHS"))),FALSE),RIGHT(INDIRECT(ADDRESS(7,3,,,"MATCHS")), FIND("--",INDIRECT(ADDRESS(7,3,,,"MATCHS")),1)),INDIRECT(ADDRESS(7,3,,,"MATCHS"))),,IF(IFERROR(FIND("--",INDIRECT(ADDRESS(24,5,,,"MATCHS"))),FALSE),RIGHT(INDIRECT(ADDRESS(24,5,,,"MATCHS")), FIND("--",INDIRECT(ADDRESS(24,5,,,"MATCHS")),1)),INDIRECT(ADDRESS(24,5,,,"MATCHS"))),,,IF(IFERROR(FIND("--",INDIRECT(ADDRESS(44,5,,,"MATCHS"))),FALSE),RIGHT(INDIRECT(ADDRESS(44,5,,,"MATCHS")), FIND("--",INDIRECT(ADDRESS(44,5,,,"MATCHS")),1)),INDIRECT(ADDRESS(44,5,,,"MATCHS"))),,IF(IFERROR(FIND("--",INDIRECT(ADDRESS(63,3,,,"MATCHS"))),FALSE),RIGHT(INDIRECT(ADDRESS(63,3,,,"MATCHS")), FIND("--",INDIRECT(ADDRESS(63,3,,,"MATCHS")),1)),INDIRECT(ADDRESS(63,3,,,"MATCHS"))),,,IF(IFERROR(FIND("--",INDIRECT(ADDRESS(82,3,,,"MATCHS"))),FALSE),RIGHT(INDIRECT(ADDRESS(82,3,,,"MATCHS")), FIND("--",INDIRECT(ADDRESS(82,3,,,"MATCHS")),1)),INDIRECT(ADDRESS(82,3,,,"MATCHS"))),,IF(IFERROR(FIND("--",INDIRECT(ADDRESS(100,3,,,"MATCHS"))),FALSE),RIGHT(INDIRECT(ADDRESS(100,3,,,"MATCHS")), FIND("--",INDIRECT(ADDRESS(100,3,,,"MATCHS")),1)),INDIRECT(ADDRESS(100,3,,,"MATCHS"))),,IF(IFERROR(FIND("--",INDIRECT(ADDRESS(118,3,,,"MATCHS"))),FALSE),RIGHT(INDIRECT(ADDRESS(118,3,,,"MATCHS")), FIND("--",INDIRECT(ADDRESS(118,3,,,"MATCHS")),1)),INDIRECT(ADDRESS(118,3,,,"MATCHS"))),)</f>
        <v>0</v>
      </c>
      <c r="I17" s="71">
        <f ca="1">SUM(IF(IFERROR(FIND("--",INDIRECT(ADDRESS(7,5,,,"MATCHS"))),FALSE),RIGHT(INDIRECT(ADDRESS(7,5,,,"MATCHS")), FIND("--",INDIRECT(ADDRESS(7,5,,,"MATCHS")),1)),INDIRECT(ADDRESS(7,5,,,"MATCHS"))),,IF(IFERROR(FIND("--",INDIRECT(ADDRESS(24,3,,,"MATCHS"))),FALSE),RIGHT(INDIRECT(ADDRESS(24,3,,,"MATCHS")), FIND("--",INDIRECT(ADDRESS(24,3,,,"MATCHS")),1)),INDIRECT(ADDRESS(24,3,,,"MATCHS"))),,,IF(IFERROR(FIND("--",INDIRECT(ADDRESS(44,3,,,"MATCHS"))),FALSE),RIGHT(INDIRECT(ADDRESS(44,3,,,"MATCHS")), FIND("--",INDIRECT(ADDRESS(44,3,,,"MATCHS")),1)),INDIRECT(ADDRESS(44,3,,,"MATCHS"))),,IF(IFERROR(FIND("--",INDIRECT(ADDRESS(63,5,,,"MATCHS"))),FALSE),RIGHT(INDIRECT(ADDRESS(63,5,,,"MATCHS")), FIND("--",INDIRECT(ADDRESS(63,5,,,"MATCHS")),1)),INDIRECT(ADDRESS(63,5,,,"MATCHS"))),,,IF(IFERROR(FIND("--",INDIRECT(ADDRESS(82,5,,,"MATCHS"))),FALSE),RIGHT(INDIRECT(ADDRESS(82,5,,,"MATCHS")), FIND("--",INDIRECT(ADDRESS(82,5,,,"MATCHS")),1)),INDIRECT(ADDRESS(82,5,,,"MATCHS"))),,IF(IFERROR(FIND("--",INDIRECT(ADDRESS(100,5,,,"MATCHS"))),FALSE),RIGHT(INDIRECT(ADDRESS(100,5,,,"MATCHS")), FIND("--",INDIRECT(ADDRESS(100,5,,,"MATCHS")),1)),INDIRECT(ADDRESS(100,5,,,"MATCHS"))),,IF(IFERROR(FIND("--",INDIRECT(ADDRESS(118,5,,,"MATCHS"))),FALSE),RIGHT(INDIRECT(ADDRESS(118,5,,,"MATCHS")), FIND("--",INDIRECT(ADDRESS(118,5,,,"MATCHS")),1)),INDIRECT(ADDRESS(118,5,,,"MATCHS"))),)</f>
        <v>0</v>
      </c>
      <c r="J17" s="71">
        <f t="shared" ca="1" si="2"/>
        <v>0</v>
      </c>
      <c r="K17" s="71">
        <v>0</v>
      </c>
      <c r="L17" s="71">
        <v>3</v>
      </c>
      <c r="M17" s="71"/>
      <c r="N17" s="66" t="str">
        <f t="shared" si="3"/>
        <v>DH</v>
      </c>
    </row>
    <row r="18" spans="1:14" ht="15.75" x14ac:dyDescent="0.25">
      <c r="A18" s="138"/>
      <c r="B18" s="71">
        <v>4</v>
      </c>
      <c r="C18" s="71" t="s">
        <v>72</v>
      </c>
      <c r="D18" s="71" t="str">
        <f>INSCRIPTS!C14</f>
        <v>4B</v>
      </c>
      <c r="E18" s="77">
        <f ca="1">SUM(IF(INDIRECT(ADDRESS(7,5,,,"MATCHS"))&gt;INDIRECT(ADDRESS(7,3,,,"MATCHS")),1,0),,,IF(INDIRECT(ADDRESS(26,5,,,"MATCHS"))&gt;INDIRECT(ADDRESS(26,3,,,"MATCHS")),1,0),,IF(INDIRECT(ADDRESS(43,5,,,"MATCHS"))&gt;INDIRECT(ADDRESS(43,3,,,"MATCHS")),1,0),,IF(INDIRECT(ADDRESS(64,3,,,"MATCHS"))&gt;INDIRECT(ADDRESS(64,5,,,"MATCHS")),1,0),,,IF(INDIRECT(ADDRESS(83,3,,,"MATCHS"))&gt;INDIRECT(ADDRESS(83,5,,,"MATCHS")),1,0),,IF(INDIRECT(ADDRESS(101,3,,,"MATCHS"))&gt;INDIRECT(ADDRESS(101,5,,,"MATCHS")),1,0),,IF(INDIRECT(ADDRESS(119,3,,,"MATCHS"))&gt;INDIRECT(ADDRESS(119,5,,,"MATCHS")),1,0),) + 0.01 * K18</f>
        <v>0</v>
      </c>
      <c r="F18" s="71">
        <f ca="1">SUM(IF(INDIRECT(ADDRESS(7,5,,,"MATCHS"))&lt;INDIRECT(ADDRESS(7,3,,,"MATCHS")),1,0),,,IF(INDIRECT(ADDRESS(26,5,,,"MATCHS"))&lt;INDIRECT(ADDRESS(26,3,,,"MATCHS")),1,0),,IF(INDIRECT(ADDRESS(43,5,,,"MATCHS"))&lt;INDIRECT(ADDRESS(43,3,,,"MATCHS")),1,0),,IF(INDIRECT(ADDRESS(64,3,,,"MATCHS"))&lt;INDIRECT(ADDRESS(64,5,,,"MATCHS")),1,0),,,IF(INDIRECT(ADDRESS(83,3,,,"MATCHS"))&lt;INDIRECT(ADDRESS(83,5,,,"MATCHS")),1,0),,IF(INDIRECT(ADDRESS(101,3,,,"MATCHS"))&lt;INDIRECT(ADDRESS(101,5,,,"MATCHS")),1,0),,IF(INDIRECT(ADDRESS(119,3,,,"MATCHS"))&lt;INDIRECT(ADDRESS(119,5,,,"MATCHS")),1,0),)</f>
        <v>0</v>
      </c>
      <c r="G18" s="71">
        <f ca="1">SUM(IF(IFERROR(FIND("--",INDIRECT(ADDRESS(7,5,,,"MATCHS"))),FALSE),LEFT(INDIRECT(ADDRESS(7,5,,,"MATCHS")), FIND("--",INDIRECT(ADDRESS(7,5,,,"MATCHS")),1)-1),INDIRECT(ADDRESS(7,5,,,"MATCHS"))),,,IF(IFERROR(FIND("--",INDIRECT(ADDRESS(26,5,,,"MATCHS"))),FALSE),LEFT(INDIRECT(ADDRESS(26,5,,,"MATCHS")), FIND("--",INDIRECT(ADDRESS(26,5,,,"MATCHS")),1)-1),INDIRECT(ADDRESS(26,5,,,"MATCHS"))),,IF(IFERROR(FIND("--",INDIRECT(ADDRESS(43,5,,,"MATCHS"))),FALSE),LEFT(INDIRECT(ADDRESS(43,5,,,"MATCHS")), FIND("--",INDIRECT(ADDRESS(43,5,,,"MATCHS")),1)-1),INDIRECT(ADDRESS(43,5,,,"MATCHS"))),,IF(IFERROR(FIND("--",INDIRECT(ADDRESS(64,3,,,"MATCHS"))),FALSE),LEFT(INDIRECT(ADDRESS(64,3,,,"MATCHS")), FIND("--",INDIRECT(ADDRESS(64,3,,,"MATCHS")),1)-1),INDIRECT(ADDRESS(64,3,,,"MATCHS"))),,,IF(IFERROR(FIND("--",INDIRECT(ADDRESS(83,3,,,"MATCHS"))),FALSE),LEFT(INDIRECT(ADDRESS(83,3,,,"MATCHS")), FIND("--",INDIRECT(ADDRESS(83,3,,,"MATCHS")),1)-1),INDIRECT(ADDRESS(83,3,,,"MATCHS"))),,IF(IFERROR(FIND("--",INDIRECT(ADDRESS(101,3,,,"MATCHS"))),FALSE),LEFT(INDIRECT(ADDRESS(101,3,,,"MATCHS")), FIND("--",INDIRECT(ADDRESS(101,3,,,"MATCHS")),1)-1),INDIRECT(ADDRESS(101,3,,,"MATCHS"))),,IF(IFERROR(FIND("--",INDIRECT(ADDRESS(119,3,,,"MATCHS"))),FALSE),LEFT(INDIRECT(ADDRESS(119,3,,,"MATCHS")), FIND("--",INDIRECT(ADDRESS(119,3,,,"MATCHS")),1)-1),INDIRECT(ADDRESS(119,3,,,"MATCHS"))),)</f>
        <v>0</v>
      </c>
      <c r="H18" s="71">
        <f ca="1">SUM(IF(IFERROR(FIND("--",INDIRECT(ADDRESS(7,5,,,"MATCHS"))),FALSE),RIGHT(INDIRECT(ADDRESS(7,5,,,"MATCHS")), FIND("--",INDIRECT(ADDRESS(7,5,,,"MATCHS")),1)),INDIRECT(ADDRESS(7,5,,,"MATCHS"))),,,IF(IFERROR(FIND("--",INDIRECT(ADDRESS(26,5,,,"MATCHS"))),FALSE),RIGHT(INDIRECT(ADDRESS(26,5,,,"MATCHS")), FIND("--",INDIRECT(ADDRESS(26,5,,,"MATCHS")),1)),INDIRECT(ADDRESS(26,5,,,"MATCHS"))),,IF(IFERROR(FIND("--",INDIRECT(ADDRESS(43,5,,,"MATCHS"))),FALSE),RIGHT(INDIRECT(ADDRESS(43,5,,,"MATCHS")), FIND("--",INDIRECT(ADDRESS(43,5,,,"MATCHS")),1)),INDIRECT(ADDRESS(43,5,,,"MATCHS"))),,IF(IFERROR(FIND("--",INDIRECT(ADDRESS(64,3,,,"MATCHS"))),FALSE),RIGHT(INDIRECT(ADDRESS(64,3,,,"MATCHS")), FIND("--",INDIRECT(ADDRESS(64,3,,,"MATCHS")),1)),INDIRECT(ADDRESS(64,3,,,"MATCHS"))),,,IF(IFERROR(FIND("--",INDIRECT(ADDRESS(83,3,,,"MATCHS"))),FALSE),RIGHT(INDIRECT(ADDRESS(83,3,,,"MATCHS")), FIND("--",INDIRECT(ADDRESS(83,3,,,"MATCHS")),1)),INDIRECT(ADDRESS(83,3,,,"MATCHS"))),,IF(IFERROR(FIND("--",INDIRECT(ADDRESS(101,3,,,"MATCHS"))),FALSE),RIGHT(INDIRECT(ADDRESS(101,3,,,"MATCHS")), FIND("--",INDIRECT(ADDRESS(101,3,,,"MATCHS")),1)),INDIRECT(ADDRESS(101,3,,,"MATCHS"))),,IF(IFERROR(FIND("--",INDIRECT(ADDRESS(119,3,,,"MATCHS"))),FALSE),RIGHT(INDIRECT(ADDRESS(119,3,,,"MATCHS")), FIND("--",INDIRECT(ADDRESS(119,3,,,"MATCHS")),1)),INDIRECT(ADDRESS(119,3,,,"MATCHS"))),)</f>
        <v>0</v>
      </c>
      <c r="I18" s="71">
        <f ca="1">SUM(IF(IFERROR(FIND("--",INDIRECT(ADDRESS(7,3,,,"MATCHS"))),FALSE),RIGHT(INDIRECT(ADDRESS(7,3,,,"MATCHS")), FIND("--",INDIRECT(ADDRESS(7,3,,,"MATCHS")),1)),INDIRECT(ADDRESS(7,3,,,"MATCHS"))),,,IF(IFERROR(FIND("--",INDIRECT(ADDRESS(26,3,,,"MATCHS"))),FALSE),RIGHT(INDIRECT(ADDRESS(26,3,,,"MATCHS")), FIND("--",INDIRECT(ADDRESS(26,3,,,"MATCHS")),1)),INDIRECT(ADDRESS(26,3,,,"MATCHS"))),,IF(IFERROR(FIND("--",INDIRECT(ADDRESS(43,3,,,"MATCHS"))),FALSE),RIGHT(INDIRECT(ADDRESS(43,3,,,"MATCHS")), FIND("--",INDIRECT(ADDRESS(43,3,,,"MATCHS")),1)),INDIRECT(ADDRESS(43,3,,,"MATCHS"))),,IF(IFERROR(FIND("--",INDIRECT(ADDRESS(64,5,,,"MATCHS"))),FALSE),RIGHT(INDIRECT(ADDRESS(64,5,,,"MATCHS")), FIND("--",INDIRECT(ADDRESS(64,5,,,"MATCHS")),1)),INDIRECT(ADDRESS(64,5,,,"MATCHS"))),,,IF(IFERROR(FIND("--",INDIRECT(ADDRESS(83,5,,,"MATCHS"))),FALSE),RIGHT(INDIRECT(ADDRESS(83,5,,,"MATCHS")), FIND("--",INDIRECT(ADDRESS(83,5,,,"MATCHS")),1)),INDIRECT(ADDRESS(83,5,,,"MATCHS"))),,IF(IFERROR(FIND("--",INDIRECT(ADDRESS(101,5,,,"MATCHS"))),FALSE),RIGHT(INDIRECT(ADDRESS(101,5,,,"MATCHS")), FIND("--",INDIRECT(ADDRESS(101,5,,,"MATCHS")),1)),INDIRECT(ADDRESS(101,5,,,"MATCHS"))),,IF(IFERROR(FIND("--",INDIRECT(ADDRESS(119,5,,,"MATCHS"))),FALSE),RIGHT(INDIRECT(ADDRESS(119,5,,,"MATCHS")), FIND("--",INDIRECT(ADDRESS(119,5,,,"MATCHS")),1)),INDIRECT(ADDRESS(119,5,,,"MATCHS"))),)</f>
        <v>0</v>
      </c>
      <c r="J18" s="71">
        <f t="shared" ca="1" si="2"/>
        <v>0</v>
      </c>
      <c r="K18" s="71">
        <v>0</v>
      </c>
      <c r="L18" s="71">
        <v>4</v>
      </c>
      <c r="M18" s="71"/>
      <c r="N18" s="66" t="str">
        <f t="shared" si="3"/>
        <v>DH</v>
      </c>
    </row>
    <row r="19" spans="1:14" ht="15.75" x14ac:dyDescent="0.25">
      <c r="A19" s="138"/>
      <c r="B19" s="71">
        <v>5</v>
      </c>
      <c r="C19" s="71" t="s">
        <v>73</v>
      </c>
      <c r="D19" s="71" t="str">
        <f>INSCRIPTS!C15</f>
        <v>5B</v>
      </c>
      <c r="E19" s="77">
        <f ca="1">SUM(IF(INDIRECT(ADDRESS(8,3,,,"MATCHS"))&gt;INDIRECT(ADDRESS(8,5,,,"MATCHS")),1,0),,,IF(INDIRECT(ADDRESS(27,3,,,"MATCHS"))&gt;INDIRECT(ADDRESS(27,5,,,"MATCHS")),1,0),,IF(INDIRECT(ADDRESS(45,3,,,"MATCHS"))&gt;INDIRECT(ADDRESS(45,5,,,"MATCHS")),1,0),,IF(INDIRECT(ADDRESS(61,5,,,"MATCHS"))&gt;INDIRECT(ADDRESS(61,3,,,"MATCHS")),1,0),,IF(INDIRECT(ADDRESS(80,5,,,"MATCHS"))&gt;INDIRECT(ADDRESS(80,3,,,"MATCHS")),1,0),,,IF(INDIRECT(ADDRESS(100,5,,,"MATCHS"))&gt;INDIRECT(ADDRESS(100,3,,,"MATCHS")),1,0),,IF(INDIRECT(ADDRESS(119,5,,,"MATCHS"))&gt;INDIRECT(ADDRESS(119,3,,,"MATCHS")),1,0),) + 0.01 * K19</f>
        <v>0</v>
      </c>
      <c r="F19" s="71">
        <f ca="1">SUM(IF(INDIRECT(ADDRESS(8,3,,,"MATCHS"))&lt;INDIRECT(ADDRESS(8,5,,,"MATCHS")),1,0),,,IF(INDIRECT(ADDRESS(27,3,,,"MATCHS"))&lt;INDIRECT(ADDRESS(27,5,,,"MATCHS")),1,0),,IF(INDIRECT(ADDRESS(45,3,,,"MATCHS"))&lt;INDIRECT(ADDRESS(45,5,,,"MATCHS")),1,0),,IF(INDIRECT(ADDRESS(61,5,,,"MATCHS"))&lt;INDIRECT(ADDRESS(61,3,,,"MATCHS")),1,0),,IF(INDIRECT(ADDRESS(80,5,,,"MATCHS"))&lt;INDIRECT(ADDRESS(80,3,,,"MATCHS")),1,0),,,IF(INDIRECT(ADDRESS(100,5,,,"MATCHS"))&lt;INDIRECT(ADDRESS(100,3,,,"MATCHS")),1,0),,IF(INDIRECT(ADDRESS(119,5,,,"MATCHS"))&lt;INDIRECT(ADDRESS(119,3,,,"MATCHS")),1,0),)</f>
        <v>0</v>
      </c>
      <c r="G19" s="71">
        <f ca="1">SUM(IF(IFERROR(FIND("--",INDIRECT(ADDRESS(8,3,,,"MATCHS"))),FALSE),LEFT(INDIRECT(ADDRESS(8,3,,,"MATCHS")), FIND("--",INDIRECT(ADDRESS(8,3,,,"MATCHS")),1)-1),INDIRECT(ADDRESS(8,3,,,"MATCHS"))),,,IF(IFERROR(FIND("--",INDIRECT(ADDRESS(27,3,,,"MATCHS"))),FALSE),LEFT(INDIRECT(ADDRESS(27,3,,,"MATCHS")), FIND("--",INDIRECT(ADDRESS(27,3,,,"MATCHS")),1)-1),INDIRECT(ADDRESS(27,3,,,"MATCHS"))),,IF(IFERROR(FIND("--",INDIRECT(ADDRESS(45,3,,,"MATCHS"))),FALSE),LEFT(INDIRECT(ADDRESS(45,3,,,"MATCHS")), FIND("--",INDIRECT(ADDRESS(45,3,,,"MATCHS")),1)-1),INDIRECT(ADDRESS(45,3,,,"MATCHS"))),,IF(IFERROR(FIND("--",INDIRECT(ADDRESS(61,5,,,"MATCHS"))),FALSE),LEFT(INDIRECT(ADDRESS(61,5,,,"MATCHS")), FIND("--",INDIRECT(ADDRESS(61,5,,,"MATCHS")),1)-1),INDIRECT(ADDRESS(61,5,,,"MATCHS"))),,IF(IFERROR(FIND("--",INDIRECT(ADDRESS(80,5,,,"MATCHS"))),FALSE),LEFT(INDIRECT(ADDRESS(80,5,,,"MATCHS")), FIND("--",INDIRECT(ADDRESS(80,5,,,"MATCHS")),1)-1),INDIRECT(ADDRESS(80,5,,,"MATCHS"))),,,IF(IFERROR(FIND("--",INDIRECT(ADDRESS(100,5,,,"MATCHS"))),FALSE),LEFT(INDIRECT(ADDRESS(100,5,,,"MATCHS")), FIND("--",INDIRECT(ADDRESS(100,5,,,"MATCHS")),1)-1),INDIRECT(ADDRESS(100,5,,,"MATCHS"))),,IF(IFERROR(FIND("--",INDIRECT(ADDRESS(119,5,,,"MATCHS"))),FALSE),LEFT(INDIRECT(ADDRESS(119,5,,,"MATCHS")), FIND("--",INDIRECT(ADDRESS(119,5,,,"MATCHS")),1)-1),INDIRECT(ADDRESS(119,5,,,"MATCHS"))),)</f>
        <v>0</v>
      </c>
      <c r="H19" s="71">
        <f ca="1">SUM(IF(IFERROR(FIND("--",INDIRECT(ADDRESS(8,3,,,"MATCHS"))),FALSE),RIGHT(INDIRECT(ADDRESS(8,3,,,"MATCHS")), FIND("--",INDIRECT(ADDRESS(8,3,,,"MATCHS")),1)),INDIRECT(ADDRESS(8,3,,,"MATCHS"))),,,IF(IFERROR(FIND("--",INDIRECT(ADDRESS(27,3,,,"MATCHS"))),FALSE),RIGHT(INDIRECT(ADDRESS(27,3,,,"MATCHS")), FIND("--",INDIRECT(ADDRESS(27,3,,,"MATCHS")),1)),INDIRECT(ADDRESS(27,3,,,"MATCHS"))),,IF(IFERROR(FIND("--",INDIRECT(ADDRESS(45,3,,,"MATCHS"))),FALSE),RIGHT(INDIRECT(ADDRESS(45,3,,,"MATCHS")), FIND("--",INDIRECT(ADDRESS(45,3,,,"MATCHS")),1)),INDIRECT(ADDRESS(45,3,,,"MATCHS"))),,IF(IFERROR(FIND("--",INDIRECT(ADDRESS(61,5,,,"MATCHS"))),FALSE),RIGHT(INDIRECT(ADDRESS(61,5,,,"MATCHS")), FIND("--",INDIRECT(ADDRESS(61,5,,,"MATCHS")),1)),INDIRECT(ADDRESS(61,5,,,"MATCHS"))),,IF(IFERROR(FIND("--",INDIRECT(ADDRESS(80,5,,,"MATCHS"))),FALSE),RIGHT(INDIRECT(ADDRESS(80,5,,,"MATCHS")), FIND("--",INDIRECT(ADDRESS(80,5,,,"MATCHS")),1)),INDIRECT(ADDRESS(80,5,,,"MATCHS"))),,,IF(IFERROR(FIND("--",INDIRECT(ADDRESS(100,5,,,"MATCHS"))),FALSE),RIGHT(INDIRECT(ADDRESS(100,5,,,"MATCHS")), FIND("--",INDIRECT(ADDRESS(100,5,,,"MATCHS")),1)),INDIRECT(ADDRESS(100,5,,,"MATCHS"))),,IF(IFERROR(FIND("--",INDIRECT(ADDRESS(119,5,,,"MATCHS"))),FALSE),RIGHT(INDIRECT(ADDRESS(119,5,,,"MATCHS")), FIND("--",INDIRECT(ADDRESS(119,5,,,"MATCHS")),1)),INDIRECT(ADDRESS(119,5,,,"MATCHS"))),)</f>
        <v>0</v>
      </c>
      <c r="I19" s="71">
        <f ca="1">SUM(IF(IFERROR(FIND("--",INDIRECT(ADDRESS(8,5,,,"MATCHS"))),FALSE),RIGHT(INDIRECT(ADDRESS(8,5,,,"MATCHS")), FIND("--",INDIRECT(ADDRESS(8,5,,,"MATCHS")),1)),INDIRECT(ADDRESS(8,5,,,"MATCHS"))),,,IF(IFERROR(FIND("--",INDIRECT(ADDRESS(27,5,,,"MATCHS"))),FALSE),RIGHT(INDIRECT(ADDRESS(27,5,,,"MATCHS")), FIND("--",INDIRECT(ADDRESS(27,5,,,"MATCHS")),1)),INDIRECT(ADDRESS(27,5,,,"MATCHS"))),,IF(IFERROR(FIND("--",INDIRECT(ADDRESS(45,5,,,"MATCHS"))),FALSE),RIGHT(INDIRECT(ADDRESS(45,5,,,"MATCHS")), FIND("--",INDIRECT(ADDRESS(45,5,,,"MATCHS")),1)),INDIRECT(ADDRESS(45,5,,,"MATCHS"))),,IF(IFERROR(FIND("--",INDIRECT(ADDRESS(61,3,,,"MATCHS"))),FALSE),RIGHT(INDIRECT(ADDRESS(61,3,,,"MATCHS")), FIND("--",INDIRECT(ADDRESS(61,3,,,"MATCHS")),1)),INDIRECT(ADDRESS(61,3,,,"MATCHS"))),,IF(IFERROR(FIND("--",INDIRECT(ADDRESS(80,3,,,"MATCHS"))),FALSE),RIGHT(INDIRECT(ADDRESS(80,3,,,"MATCHS")), FIND("--",INDIRECT(ADDRESS(80,3,,,"MATCHS")),1)),INDIRECT(ADDRESS(80,3,,,"MATCHS"))),,,IF(IFERROR(FIND("--",INDIRECT(ADDRESS(100,3,,,"MATCHS"))),FALSE),RIGHT(INDIRECT(ADDRESS(100,3,,,"MATCHS")), FIND("--",INDIRECT(ADDRESS(100,3,,,"MATCHS")),1)),INDIRECT(ADDRESS(100,3,,,"MATCHS"))),,IF(IFERROR(FIND("--",INDIRECT(ADDRESS(119,3,,,"MATCHS"))),FALSE),RIGHT(INDIRECT(ADDRESS(119,3,,,"MATCHS")), FIND("--",INDIRECT(ADDRESS(119,3,,,"MATCHS")),1)),INDIRECT(ADDRESS(119,3,,,"MATCHS"))),)</f>
        <v>0</v>
      </c>
      <c r="J19" s="71">
        <f t="shared" ca="1" si="2"/>
        <v>0</v>
      </c>
      <c r="K19" s="71">
        <v>0</v>
      </c>
      <c r="L19" s="71">
        <v>5</v>
      </c>
      <c r="M19" s="71"/>
      <c r="N19" s="66" t="str">
        <f t="shared" si="3"/>
        <v>DH</v>
      </c>
    </row>
    <row r="20" spans="1:14" ht="15.75" x14ac:dyDescent="0.25">
      <c r="A20" s="138"/>
      <c r="B20" s="71">
        <v>6</v>
      </c>
      <c r="C20" s="71" t="s">
        <v>74</v>
      </c>
      <c r="D20" s="71" t="str">
        <f>INSCRIPTS!C16</f>
        <v>6B</v>
      </c>
      <c r="E20" s="77">
        <f ca="1">SUM(IF(INDIRECT(ADDRESS(8,5,,,"MATCHS"))&gt;INDIRECT(ADDRESS(8,3,,,"MATCHS")),1,0),,,IF(INDIRECT(ADDRESS(28,3,,,"MATCHS"))&gt;INDIRECT(ADDRESS(28,5,,,"MATCHS")),1,0),,IF(INDIRECT(ADDRESS(46,3,,,"MATCHS"))&gt;INDIRECT(ADDRESS(46,5,,,"MATCHS")),1,0),,IF(INDIRECT(ADDRESS(62,5,,,"MATCHS"))&gt;INDIRECT(ADDRESS(62,3,,,"MATCHS")),1,0),,IF(INDIRECT(ADDRESS(79,5,,,"MATCHS"))&gt;INDIRECT(ADDRESS(79,3,,,"MATCHS")),1,0),,,IF(INDIRECT(ADDRESS(101,5,,,"MATCHS"))&gt;INDIRECT(ADDRESS(101,3,,,"MATCHS")),1,0),,IF(INDIRECT(ADDRESS(118,5,,,"MATCHS"))&gt;INDIRECT(ADDRESS(118,3,,,"MATCHS")),1,0),) + 0.01 * K20</f>
        <v>0</v>
      </c>
      <c r="F20" s="71">
        <f ca="1">SUM(IF(INDIRECT(ADDRESS(8,5,,,"MATCHS"))&lt;INDIRECT(ADDRESS(8,3,,,"MATCHS")),1,0),,,IF(INDIRECT(ADDRESS(28,3,,,"MATCHS"))&lt;INDIRECT(ADDRESS(28,5,,,"MATCHS")),1,0),,IF(INDIRECT(ADDRESS(46,3,,,"MATCHS"))&lt;INDIRECT(ADDRESS(46,5,,,"MATCHS")),1,0),,IF(INDIRECT(ADDRESS(62,5,,,"MATCHS"))&lt;INDIRECT(ADDRESS(62,3,,,"MATCHS")),1,0),,IF(INDIRECT(ADDRESS(79,5,,,"MATCHS"))&lt;INDIRECT(ADDRESS(79,3,,,"MATCHS")),1,0),,,IF(INDIRECT(ADDRESS(101,5,,,"MATCHS"))&lt;INDIRECT(ADDRESS(101,3,,,"MATCHS")),1,0),,IF(INDIRECT(ADDRESS(118,5,,,"MATCHS"))&lt;INDIRECT(ADDRESS(118,3,,,"MATCHS")),1,0),)</f>
        <v>0</v>
      </c>
      <c r="G20" s="71">
        <f ca="1">SUM(IF(IFERROR(FIND("--",INDIRECT(ADDRESS(8,5,,,"MATCHS"))),FALSE),LEFT(INDIRECT(ADDRESS(8,5,,,"MATCHS")), FIND("--",INDIRECT(ADDRESS(8,5,,,"MATCHS")),1)-1),INDIRECT(ADDRESS(8,5,,,"MATCHS"))),,,IF(IFERROR(FIND("--",INDIRECT(ADDRESS(28,3,,,"MATCHS"))),FALSE),LEFT(INDIRECT(ADDRESS(28,3,,,"MATCHS")), FIND("--",INDIRECT(ADDRESS(28,3,,,"MATCHS")),1)-1),INDIRECT(ADDRESS(28,3,,,"MATCHS"))),,IF(IFERROR(FIND("--",INDIRECT(ADDRESS(46,3,,,"MATCHS"))),FALSE),LEFT(INDIRECT(ADDRESS(46,3,,,"MATCHS")), FIND("--",INDIRECT(ADDRESS(46,3,,,"MATCHS")),1)-1),INDIRECT(ADDRESS(46,3,,,"MATCHS"))),,IF(IFERROR(FIND("--",INDIRECT(ADDRESS(62,5,,,"MATCHS"))),FALSE),LEFT(INDIRECT(ADDRESS(62,5,,,"MATCHS")), FIND("--",INDIRECT(ADDRESS(62,5,,,"MATCHS")),1)-1),INDIRECT(ADDRESS(62,5,,,"MATCHS"))),,IF(IFERROR(FIND("--",INDIRECT(ADDRESS(79,5,,,"MATCHS"))),FALSE),LEFT(INDIRECT(ADDRESS(79,5,,,"MATCHS")), FIND("--",INDIRECT(ADDRESS(79,5,,,"MATCHS")),1)-1),INDIRECT(ADDRESS(79,5,,,"MATCHS"))),,,IF(IFERROR(FIND("--",INDIRECT(ADDRESS(101,5,,,"MATCHS"))),FALSE),LEFT(INDIRECT(ADDRESS(101,5,,,"MATCHS")), FIND("--",INDIRECT(ADDRESS(101,5,,,"MATCHS")),1)-1),INDIRECT(ADDRESS(101,5,,,"MATCHS"))),,IF(IFERROR(FIND("--",INDIRECT(ADDRESS(118,5,,,"MATCHS"))),FALSE),LEFT(INDIRECT(ADDRESS(118,5,,,"MATCHS")), FIND("--",INDIRECT(ADDRESS(118,5,,,"MATCHS")),1)-1),INDIRECT(ADDRESS(118,5,,,"MATCHS"))),)</f>
        <v>0</v>
      </c>
      <c r="H20" s="71">
        <f ca="1">SUM(IF(IFERROR(FIND("--",INDIRECT(ADDRESS(8,5,,,"MATCHS"))),FALSE),RIGHT(INDIRECT(ADDRESS(8,5,,,"MATCHS")), FIND("--",INDIRECT(ADDRESS(8,5,,,"MATCHS")),1)),INDIRECT(ADDRESS(8,5,,,"MATCHS"))),,,IF(IFERROR(FIND("--",INDIRECT(ADDRESS(28,3,,,"MATCHS"))),FALSE),RIGHT(INDIRECT(ADDRESS(28,3,,,"MATCHS")), FIND("--",INDIRECT(ADDRESS(28,3,,,"MATCHS")),1)),INDIRECT(ADDRESS(28,3,,,"MATCHS"))),,IF(IFERROR(FIND("--",INDIRECT(ADDRESS(46,3,,,"MATCHS"))),FALSE),RIGHT(INDIRECT(ADDRESS(46,3,,,"MATCHS")), FIND("--",INDIRECT(ADDRESS(46,3,,,"MATCHS")),1)),INDIRECT(ADDRESS(46,3,,,"MATCHS"))),,IF(IFERROR(FIND("--",INDIRECT(ADDRESS(62,5,,,"MATCHS"))),FALSE),RIGHT(INDIRECT(ADDRESS(62,5,,,"MATCHS")), FIND("--",INDIRECT(ADDRESS(62,5,,,"MATCHS")),1)),INDIRECT(ADDRESS(62,5,,,"MATCHS"))),,IF(IFERROR(FIND("--",INDIRECT(ADDRESS(79,5,,,"MATCHS"))),FALSE),RIGHT(INDIRECT(ADDRESS(79,5,,,"MATCHS")), FIND("--",INDIRECT(ADDRESS(79,5,,,"MATCHS")),1)),INDIRECT(ADDRESS(79,5,,,"MATCHS"))),,,IF(IFERROR(FIND("--",INDIRECT(ADDRESS(101,5,,,"MATCHS"))),FALSE),RIGHT(INDIRECT(ADDRESS(101,5,,,"MATCHS")), FIND("--",INDIRECT(ADDRESS(101,5,,,"MATCHS")),1)),INDIRECT(ADDRESS(101,5,,,"MATCHS"))),,IF(IFERROR(FIND("--",INDIRECT(ADDRESS(118,5,,,"MATCHS"))),FALSE),RIGHT(INDIRECT(ADDRESS(118,5,,,"MATCHS")), FIND("--",INDIRECT(ADDRESS(118,5,,,"MATCHS")),1)),INDIRECT(ADDRESS(118,5,,,"MATCHS"))),)</f>
        <v>0</v>
      </c>
      <c r="I20" s="71">
        <f ca="1">SUM(IF(IFERROR(FIND("--",INDIRECT(ADDRESS(8,3,,,"MATCHS"))),FALSE),RIGHT(INDIRECT(ADDRESS(8,3,,,"MATCHS")), FIND("--",INDIRECT(ADDRESS(8,3,,,"MATCHS")),1)),INDIRECT(ADDRESS(8,3,,,"MATCHS"))),,,IF(IFERROR(FIND("--",INDIRECT(ADDRESS(28,5,,,"MATCHS"))),FALSE),RIGHT(INDIRECT(ADDRESS(28,5,,,"MATCHS")), FIND("--",INDIRECT(ADDRESS(28,5,,,"MATCHS")),1)),INDIRECT(ADDRESS(28,5,,,"MATCHS"))),,IF(IFERROR(FIND("--",INDIRECT(ADDRESS(46,5,,,"MATCHS"))),FALSE),RIGHT(INDIRECT(ADDRESS(46,5,,,"MATCHS")), FIND("--",INDIRECT(ADDRESS(46,5,,,"MATCHS")),1)),INDIRECT(ADDRESS(46,5,,,"MATCHS"))),,IF(IFERROR(FIND("--",INDIRECT(ADDRESS(62,3,,,"MATCHS"))),FALSE),RIGHT(INDIRECT(ADDRESS(62,3,,,"MATCHS")), FIND("--",INDIRECT(ADDRESS(62,3,,,"MATCHS")),1)),INDIRECT(ADDRESS(62,3,,,"MATCHS"))),,IF(IFERROR(FIND("--",INDIRECT(ADDRESS(79,3,,,"MATCHS"))),FALSE),RIGHT(INDIRECT(ADDRESS(79,3,,,"MATCHS")), FIND("--",INDIRECT(ADDRESS(79,3,,,"MATCHS")),1)),INDIRECT(ADDRESS(79,3,,,"MATCHS"))),,,IF(IFERROR(FIND("--",INDIRECT(ADDRESS(101,3,,,"MATCHS"))),FALSE),RIGHT(INDIRECT(ADDRESS(101,3,,,"MATCHS")), FIND("--",INDIRECT(ADDRESS(101,3,,,"MATCHS")),1)),INDIRECT(ADDRESS(101,3,,,"MATCHS"))),,IF(IFERROR(FIND("--",INDIRECT(ADDRESS(118,3,,,"MATCHS"))),FALSE),RIGHT(INDIRECT(ADDRESS(118,3,,,"MATCHS")), FIND("--",INDIRECT(ADDRESS(118,3,,,"MATCHS")),1)),INDIRECT(ADDRESS(118,3,,,"MATCHS"))),)</f>
        <v>0</v>
      </c>
      <c r="J20" s="71">
        <f t="shared" ca="1" si="2"/>
        <v>0</v>
      </c>
      <c r="K20" s="71">
        <v>0</v>
      </c>
      <c r="L20" s="71">
        <v>6</v>
      </c>
      <c r="M20" s="71"/>
      <c r="N20" s="66" t="str">
        <f t="shared" si="3"/>
        <v>DH</v>
      </c>
    </row>
    <row r="21" spans="1:14" ht="15.75" x14ac:dyDescent="0.25">
      <c r="A21" s="138"/>
      <c r="B21" s="71">
        <v>7</v>
      </c>
      <c r="C21" s="71" t="s">
        <v>75</v>
      </c>
      <c r="D21" s="71" t="str">
        <f>INSCRIPTS!C17</f>
        <v>7B</v>
      </c>
      <c r="E21" s="77">
        <f ca="1">SUM(,IF(INDIRECT(ADDRESS(10,3,,,"MATCHS"))&gt;INDIRECT(ADDRESS(10,5,,,"MATCHS")),1,0),,IF(INDIRECT(ADDRESS(27,5,,,"MATCHS"))&gt;INDIRECT(ADDRESS(27,3,,,"MATCHS")),1,0),,IF(INDIRECT(ADDRESS(46,5,,,"MATCHS"))&gt;INDIRECT(ADDRESS(46,3,,,"MATCHS")),1,0),,IF(INDIRECT(ADDRESS(63,5,,,"MATCHS"))&gt;INDIRECT(ADDRESS(63,3,,,"MATCHS")),1,0),,,IF(INDIRECT(ADDRESS(83,5,,,"MATCHS"))&gt;INDIRECT(ADDRESS(83,3,,,"MATCHS")),1,0),,IF(INDIRECT(ADDRESS(98,5,,,"MATCHS"))&gt;INDIRECT(ADDRESS(98,3,,,"MATCHS")),1,0),,IF(INDIRECT(ADDRESS(117,5,,,"MATCHS"))&gt;INDIRECT(ADDRESS(117,3,,,"MATCHS")),1,0),) + 0.01 * K21</f>
        <v>0</v>
      </c>
      <c r="F21" s="71">
        <f ca="1">SUM(,IF(INDIRECT(ADDRESS(10,3,,,"MATCHS"))&lt;INDIRECT(ADDRESS(10,5,,,"MATCHS")),1,0),,IF(INDIRECT(ADDRESS(27,5,,,"MATCHS"))&lt;INDIRECT(ADDRESS(27,3,,,"MATCHS")),1,0),,IF(INDIRECT(ADDRESS(46,5,,,"MATCHS"))&lt;INDIRECT(ADDRESS(46,3,,,"MATCHS")),1,0),,IF(INDIRECT(ADDRESS(63,5,,,"MATCHS"))&lt;INDIRECT(ADDRESS(63,3,,,"MATCHS")),1,0),,,IF(INDIRECT(ADDRESS(83,5,,,"MATCHS"))&lt;INDIRECT(ADDRESS(83,3,,,"MATCHS")),1,0),,IF(INDIRECT(ADDRESS(98,5,,,"MATCHS"))&lt;INDIRECT(ADDRESS(98,3,,,"MATCHS")),1,0),,IF(INDIRECT(ADDRESS(117,5,,,"MATCHS"))&lt;INDIRECT(ADDRESS(117,3,,,"MATCHS")),1,0),)</f>
        <v>0</v>
      </c>
      <c r="G21" s="71">
        <f ca="1">SUM(,IF(IFERROR(FIND("--",INDIRECT(ADDRESS(10,3,,,"MATCHS"))),FALSE),LEFT(INDIRECT(ADDRESS(10,3,,,"MATCHS")), FIND("--",INDIRECT(ADDRESS(10,3,,,"MATCHS")),1)-1),INDIRECT(ADDRESS(10,3,,,"MATCHS"))),,IF(IFERROR(FIND("--",INDIRECT(ADDRESS(27,5,,,"MATCHS"))),FALSE),LEFT(INDIRECT(ADDRESS(27,5,,,"MATCHS")), FIND("--",INDIRECT(ADDRESS(27,5,,,"MATCHS")),1)-1),INDIRECT(ADDRESS(27,5,,,"MATCHS"))),,IF(IFERROR(FIND("--",INDIRECT(ADDRESS(46,5,,,"MATCHS"))),FALSE),LEFT(INDIRECT(ADDRESS(46,5,,,"MATCHS")), FIND("--",INDIRECT(ADDRESS(46,5,,,"MATCHS")),1)-1),INDIRECT(ADDRESS(46,5,,,"MATCHS"))),,IF(IFERROR(FIND("--",INDIRECT(ADDRESS(63,5,,,"MATCHS"))),FALSE),LEFT(INDIRECT(ADDRESS(63,5,,,"MATCHS")), FIND("--",INDIRECT(ADDRESS(63,5,,,"MATCHS")),1)-1),INDIRECT(ADDRESS(63,5,,,"MATCHS"))),,,IF(IFERROR(FIND("--",INDIRECT(ADDRESS(83,5,,,"MATCHS"))),FALSE),LEFT(INDIRECT(ADDRESS(83,5,,,"MATCHS")), FIND("--",INDIRECT(ADDRESS(83,5,,,"MATCHS")),1)-1),INDIRECT(ADDRESS(83,5,,,"MATCHS"))),,IF(IFERROR(FIND("--",INDIRECT(ADDRESS(98,5,,,"MATCHS"))),FALSE),LEFT(INDIRECT(ADDRESS(98,5,,,"MATCHS")), FIND("--",INDIRECT(ADDRESS(98,5,,,"MATCHS")),1)-1),INDIRECT(ADDRESS(98,5,,,"MATCHS"))),,IF(IFERROR(FIND("--",INDIRECT(ADDRESS(117,5,,,"MATCHS"))),FALSE),LEFT(INDIRECT(ADDRESS(117,5,,,"MATCHS")), FIND("--",INDIRECT(ADDRESS(117,5,,,"MATCHS")),1)-1),INDIRECT(ADDRESS(117,5,,,"MATCHS"))),)</f>
        <v>0</v>
      </c>
      <c r="H21" s="71">
        <f ca="1">SUM(,IF(IFERROR(FIND("--",INDIRECT(ADDRESS(10,3,,,"MATCHS"))),FALSE),RIGHT(INDIRECT(ADDRESS(10,3,,,"MATCHS")), FIND("--",INDIRECT(ADDRESS(10,3,,,"MATCHS")),1)),INDIRECT(ADDRESS(10,3,,,"MATCHS"))),,IF(IFERROR(FIND("--",INDIRECT(ADDRESS(27,5,,,"MATCHS"))),FALSE),RIGHT(INDIRECT(ADDRESS(27,5,,,"MATCHS")), FIND("--",INDIRECT(ADDRESS(27,5,,,"MATCHS")),1)),INDIRECT(ADDRESS(27,5,,,"MATCHS"))),,IF(IFERROR(FIND("--",INDIRECT(ADDRESS(46,5,,,"MATCHS"))),FALSE),RIGHT(INDIRECT(ADDRESS(46,5,,,"MATCHS")), FIND("--",INDIRECT(ADDRESS(46,5,,,"MATCHS")),1)),INDIRECT(ADDRESS(46,5,,,"MATCHS"))),,IF(IFERROR(FIND("--",INDIRECT(ADDRESS(63,5,,,"MATCHS"))),FALSE),RIGHT(INDIRECT(ADDRESS(63,5,,,"MATCHS")), FIND("--",INDIRECT(ADDRESS(63,5,,,"MATCHS")),1)),INDIRECT(ADDRESS(63,5,,,"MATCHS"))),,,IF(IFERROR(FIND("--",INDIRECT(ADDRESS(83,5,,,"MATCHS"))),FALSE),RIGHT(INDIRECT(ADDRESS(83,5,,,"MATCHS")), FIND("--",INDIRECT(ADDRESS(83,5,,,"MATCHS")),1)),INDIRECT(ADDRESS(83,5,,,"MATCHS"))),,IF(IFERROR(FIND("--",INDIRECT(ADDRESS(98,5,,,"MATCHS"))),FALSE),RIGHT(INDIRECT(ADDRESS(98,5,,,"MATCHS")), FIND("--",INDIRECT(ADDRESS(98,5,,,"MATCHS")),1)),INDIRECT(ADDRESS(98,5,,,"MATCHS"))),,IF(IFERROR(FIND("--",INDIRECT(ADDRESS(117,5,,,"MATCHS"))),FALSE),RIGHT(INDIRECT(ADDRESS(117,5,,,"MATCHS")), FIND("--",INDIRECT(ADDRESS(117,5,,,"MATCHS")),1)),INDIRECT(ADDRESS(117,5,,,"MATCHS"))),)</f>
        <v>0</v>
      </c>
      <c r="I21" s="71">
        <f ca="1">SUM(,IF(IFERROR(FIND("--",INDIRECT(ADDRESS(10,5,,,"MATCHS"))),FALSE),RIGHT(INDIRECT(ADDRESS(10,5,,,"MATCHS")), FIND("--",INDIRECT(ADDRESS(10,5,,,"MATCHS")),1)),INDIRECT(ADDRESS(10,5,,,"MATCHS"))),,IF(IFERROR(FIND("--",INDIRECT(ADDRESS(27,3,,,"MATCHS"))),FALSE),RIGHT(INDIRECT(ADDRESS(27,3,,,"MATCHS")), FIND("--",INDIRECT(ADDRESS(27,3,,,"MATCHS")),1)),INDIRECT(ADDRESS(27,3,,,"MATCHS"))),,IF(IFERROR(FIND("--",INDIRECT(ADDRESS(46,3,,,"MATCHS"))),FALSE),RIGHT(INDIRECT(ADDRESS(46,3,,,"MATCHS")), FIND("--",INDIRECT(ADDRESS(46,3,,,"MATCHS")),1)),INDIRECT(ADDRESS(46,3,,,"MATCHS"))),,IF(IFERROR(FIND("--",INDIRECT(ADDRESS(63,3,,,"MATCHS"))),FALSE),RIGHT(INDIRECT(ADDRESS(63,3,,,"MATCHS")), FIND("--",INDIRECT(ADDRESS(63,3,,,"MATCHS")),1)),INDIRECT(ADDRESS(63,3,,,"MATCHS"))),,,IF(IFERROR(FIND("--",INDIRECT(ADDRESS(83,3,,,"MATCHS"))),FALSE),RIGHT(INDIRECT(ADDRESS(83,3,,,"MATCHS")), FIND("--",INDIRECT(ADDRESS(83,3,,,"MATCHS")),1)),INDIRECT(ADDRESS(83,3,,,"MATCHS"))),,IF(IFERROR(FIND("--",INDIRECT(ADDRESS(98,3,,,"MATCHS"))),FALSE),RIGHT(INDIRECT(ADDRESS(98,3,,,"MATCHS")), FIND("--",INDIRECT(ADDRESS(98,3,,,"MATCHS")),1)),INDIRECT(ADDRESS(98,3,,,"MATCHS"))),,IF(IFERROR(FIND("--",INDIRECT(ADDRESS(117,3,,,"MATCHS"))),FALSE),RIGHT(INDIRECT(ADDRESS(117,3,,,"MATCHS")), FIND("--",INDIRECT(ADDRESS(117,3,,,"MATCHS")),1)),INDIRECT(ADDRESS(117,3,,,"MATCHS"))),)</f>
        <v>0</v>
      </c>
      <c r="J21" s="71">
        <f t="shared" ca="1" si="2"/>
        <v>0</v>
      </c>
      <c r="K21" s="71">
        <v>0</v>
      </c>
      <c r="L21" s="71">
        <v>7</v>
      </c>
      <c r="M21" s="71"/>
      <c r="N21" s="66" t="str">
        <f t="shared" si="3"/>
        <v>DH</v>
      </c>
    </row>
    <row r="22" spans="1:14" ht="15.75" x14ac:dyDescent="0.25">
      <c r="A22" s="138"/>
      <c r="B22" s="71">
        <v>8</v>
      </c>
      <c r="C22" s="71" t="s">
        <v>76</v>
      </c>
      <c r="D22" s="71" t="str">
        <f>INSCRIPTS!C18</f>
        <v>8B</v>
      </c>
      <c r="E22" s="77">
        <f ca="1">SUM(,IF(INDIRECT(ADDRESS(10,5,,,"MATCHS"))&gt;INDIRECT(ADDRESS(10,3,,,"MATCHS")),1,0),,IF(INDIRECT(ADDRESS(28,5,,,"MATCHS"))&gt;INDIRECT(ADDRESS(28,3,,,"MATCHS")),1,0),,IF(INDIRECT(ADDRESS(45,5,,,"MATCHS"))&gt;INDIRECT(ADDRESS(45,3,,,"MATCHS")),1,0),,IF(INDIRECT(ADDRESS(64,5,,,"MATCHS"))&gt;INDIRECT(ADDRESS(64,3,,,"MATCHS")),1,0),,,IF(INDIRECT(ADDRESS(82,5,,,"MATCHS"))&gt;INDIRECT(ADDRESS(82,3,,,"MATCHS")),1,0),,IF(INDIRECT(ADDRESS(99,5,,,"MATCHS"))&gt;INDIRECT(ADDRESS(99,3,,,"MATCHS")),1,0),,IF(INDIRECT(ADDRESS(116,5,,,"MATCHS"))&gt;INDIRECT(ADDRESS(116,3,,,"MATCHS")),1,0),) + 0.01 * K22</f>
        <v>0</v>
      </c>
      <c r="F22" s="71">
        <f ca="1">SUM(,IF(INDIRECT(ADDRESS(10,5,,,"MATCHS"))&lt;INDIRECT(ADDRESS(10,3,,,"MATCHS")),1,0),,IF(INDIRECT(ADDRESS(28,5,,,"MATCHS"))&lt;INDIRECT(ADDRESS(28,3,,,"MATCHS")),1,0),,IF(INDIRECT(ADDRESS(45,5,,,"MATCHS"))&lt;INDIRECT(ADDRESS(45,3,,,"MATCHS")),1,0),,IF(INDIRECT(ADDRESS(64,5,,,"MATCHS"))&lt;INDIRECT(ADDRESS(64,3,,,"MATCHS")),1,0),,,IF(INDIRECT(ADDRESS(82,5,,,"MATCHS"))&lt;INDIRECT(ADDRESS(82,3,,,"MATCHS")),1,0),,IF(INDIRECT(ADDRESS(99,5,,,"MATCHS"))&lt;INDIRECT(ADDRESS(99,3,,,"MATCHS")),1,0),,IF(INDIRECT(ADDRESS(116,5,,,"MATCHS"))&lt;INDIRECT(ADDRESS(116,3,,,"MATCHS")),1,0),)</f>
        <v>0</v>
      </c>
      <c r="G22" s="71">
        <f ca="1">SUM(,IF(IFERROR(FIND("--",INDIRECT(ADDRESS(10,5,,,"MATCHS"))),FALSE),LEFT(INDIRECT(ADDRESS(10,5,,,"MATCHS")), FIND("--",INDIRECT(ADDRESS(10,5,,,"MATCHS")),1)-1),INDIRECT(ADDRESS(10,5,,,"MATCHS"))),,IF(IFERROR(FIND("--",INDIRECT(ADDRESS(28,5,,,"MATCHS"))),FALSE),LEFT(INDIRECT(ADDRESS(28,5,,,"MATCHS")), FIND("--",INDIRECT(ADDRESS(28,5,,,"MATCHS")),1)-1),INDIRECT(ADDRESS(28,5,,,"MATCHS"))),,IF(IFERROR(FIND("--",INDIRECT(ADDRESS(45,5,,,"MATCHS"))),FALSE),LEFT(INDIRECT(ADDRESS(45,5,,,"MATCHS")), FIND("--",INDIRECT(ADDRESS(45,5,,,"MATCHS")),1)-1),INDIRECT(ADDRESS(45,5,,,"MATCHS"))),,IF(IFERROR(FIND("--",INDIRECT(ADDRESS(64,5,,,"MATCHS"))),FALSE),LEFT(INDIRECT(ADDRESS(64,5,,,"MATCHS")), FIND("--",INDIRECT(ADDRESS(64,5,,,"MATCHS")),1)-1),INDIRECT(ADDRESS(64,5,,,"MATCHS"))),,,IF(IFERROR(FIND("--",INDIRECT(ADDRESS(82,5,,,"MATCHS"))),FALSE),LEFT(INDIRECT(ADDRESS(82,5,,,"MATCHS")), FIND("--",INDIRECT(ADDRESS(82,5,,,"MATCHS")),1)-1),INDIRECT(ADDRESS(82,5,,,"MATCHS"))),,IF(IFERROR(FIND("--",INDIRECT(ADDRESS(99,5,,,"MATCHS"))),FALSE),LEFT(INDIRECT(ADDRESS(99,5,,,"MATCHS")), FIND("--",INDIRECT(ADDRESS(99,5,,,"MATCHS")),1)-1),INDIRECT(ADDRESS(99,5,,,"MATCHS"))),,IF(IFERROR(FIND("--",INDIRECT(ADDRESS(116,5,,,"MATCHS"))),FALSE),LEFT(INDIRECT(ADDRESS(116,5,,,"MATCHS")), FIND("--",INDIRECT(ADDRESS(116,5,,,"MATCHS")),1)-1),INDIRECT(ADDRESS(116,5,,,"MATCHS"))),)</f>
        <v>0</v>
      </c>
      <c r="H22" s="71">
        <f ca="1">SUM(,IF(IFERROR(FIND("--",INDIRECT(ADDRESS(10,5,,,"MATCHS"))),FALSE),RIGHT(INDIRECT(ADDRESS(10,5,,,"MATCHS")), FIND("--",INDIRECT(ADDRESS(10,5,,,"MATCHS")),1)),INDIRECT(ADDRESS(10,5,,,"MATCHS"))),,IF(IFERROR(FIND("--",INDIRECT(ADDRESS(28,5,,,"MATCHS"))),FALSE),RIGHT(INDIRECT(ADDRESS(28,5,,,"MATCHS")), FIND("--",INDIRECT(ADDRESS(28,5,,,"MATCHS")),1)),INDIRECT(ADDRESS(28,5,,,"MATCHS"))),,IF(IFERROR(FIND("--",INDIRECT(ADDRESS(45,5,,,"MATCHS"))),FALSE),RIGHT(INDIRECT(ADDRESS(45,5,,,"MATCHS")), FIND("--",INDIRECT(ADDRESS(45,5,,,"MATCHS")),1)),INDIRECT(ADDRESS(45,5,,,"MATCHS"))),,IF(IFERROR(FIND("--",INDIRECT(ADDRESS(64,5,,,"MATCHS"))),FALSE),RIGHT(INDIRECT(ADDRESS(64,5,,,"MATCHS")), FIND("--",INDIRECT(ADDRESS(64,5,,,"MATCHS")),1)),INDIRECT(ADDRESS(64,5,,,"MATCHS"))),,,IF(IFERROR(FIND("--",INDIRECT(ADDRESS(82,5,,,"MATCHS"))),FALSE),RIGHT(INDIRECT(ADDRESS(82,5,,,"MATCHS")), FIND("--",INDIRECT(ADDRESS(82,5,,,"MATCHS")),1)),INDIRECT(ADDRESS(82,5,,,"MATCHS"))),,IF(IFERROR(FIND("--",INDIRECT(ADDRESS(99,5,,,"MATCHS"))),FALSE),RIGHT(INDIRECT(ADDRESS(99,5,,,"MATCHS")), FIND("--",INDIRECT(ADDRESS(99,5,,,"MATCHS")),1)),INDIRECT(ADDRESS(99,5,,,"MATCHS"))),,IF(IFERROR(FIND("--",INDIRECT(ADDRESS(116,5,,,"MATCHS"))),FALSE),RIGHT(INDIRECT(ADDRESS(116,5,,,"MATCHS")), FIND("--",INDIRECT(ADDRESS(116,5,,,"MATCHS")),1)),INDIRECT(ADDRESS(116,5,,,"MATCHS"))),)</f>
        <v>0</v>
      </c>
      <c r="I22" s="71">
        <f ca="1">SUM(,IF(IFERROR(FIND("--",INDIRECT(ADDRESS(10,3,,,"MATCHS"))),FALSE),RIGHT(INDIRECT(ADDRESS(10,3,,,"MATCHS")), FIND("--",INDIRECT(ADDRESS(10,3,,,"MATCHS")),1)),INDIRECT(ADDRESS(10,3,,,"MATCHS"))),,IF(IFERROR(FIND("--",INDIRECT(ADDRESS(28,3,,,"MATCHS"))),FALSE),RIGHT(INDIRECT(ADDRESS(28,3,,,"MATCHS")), FIND("--",INDIRECT(ADDRESS(28,3,,,"MATCHS")),1)),INDIRECT(ADDRESS(28,3,,,"MATCHS"))),,IF(IFERROR(FIND("--",INDIRECT(ADDRESS(45,3,,,"MATCHS"))),FALSE),RIGHT(INDIRECT(ADDRESS(45,3,,,"MATCHS")), FIND("--",INDIRECT(ADDRESS(45,3,,,"MATCHS")),1)),INDIRECT(ADDRESS(45,3,,,"MATCHS"))),,IF(IFERROR(FIND("--",INDIRECT(ADDRESS(64,3,,,"MATCHS"))),FALSE),RIGHT(INDIRECT(ADDRESS(64,3,,,"MATCHS")), FIND("--",INDIRECT(ADDRESS(64,3,,,"MATCHS")),1)),INDIRECT(ADDRESS(64,3,,,"MATCHS"))),,,IF(IFERROR(FIND("--",INDIRECT(ADDRESS(82,3,,,"MATCHS"))),FALSE),RIGHT(INDIRECT(ADDRESS(82,3,,,"MATCHS")), FIND("--",INDIRECT(ADDRESS(82,3,,,"MATCHS")),1)),INDIRECT(ADDRESS(82,3,,,"MATCHS"))),,IF(IFERROR(FIND("--",INDIRECT(ADDRESS(99,3,,,"MATCHS"))),FALSE),RIGHT(INDIRECT(ADDRESS(99,3,,,"MATCHS")), FIND("--",INDIRECT(ADDRESS(99,3,,,"MATCHS")),1)),INDIRECT(ADDRESS(99,3,,,"MATCHS"))),,IF(IFERROR(FIND("--",INDIRECT(ADDRESS(116,3,,,"MATCHS"))),FALSE),RIGHT(INDIRECT(ADDRESS(116,3,,,"MATCHS")), FIND("--",INDIRECT(ADDRESS(116,3,,,"MATCHS")),1)),INDIRECT(ADDRESS(116,3,,,"MATCHS"))),)</f>
        <v>0</v>
      </c>
      <c r="J22" s="71">
        <f t="shared" ca="1" si="2"/>
        <v>0</v>
      </c>
      <c r="K22" s="71">
        <v>0</v>
      </c>
      <c r="L22" s="71">
        <v>8</v>
      </c>
      <c r="M22" s="71"/>
      <c r="N22" s="66" t="str">
        <f t="shared" si="3"/>
        <v>DH</v>
      </c>
    </row>
    <row r="23" spans="1:14" ht="15.75" thickBot="1" x14ac:dyDescent="0.3"/>
    <row r="24" spans="1:14" ht="30.95" customHeight="1" thickBot="1" x14ac:dyDescent="0.3">
      <c r="C24" s="68" t="s">
        <v>107</v>
      </c>
      <c r="D24" s="68" t="s">
        <v>52</v>
      </c>
      <c r="E24" s="75" t="s">
        <v>108</v>
      </c>
      <c r="F24" s="68" t="s">
        <v>109</v>
      </c>
      <c r="G24" s="68" t="s">
        <v>110</v>
      </c>
      <c r="H24" s="68" t="s">
        <v>111</v>
      </c>
      <c r="I24" s="68" t="s">
        <v>112</v>
      </c>
      <c r="J24" s="68" t="s">
        <v>113</v>
      </c>
      <c r="K24" s="69" t="s">
        <v>114</v>
      </c>
      <c r="L24" s="68" t="s">
        <v>115</v>
      </c>
      <c r="M24" s="69" t="s">
        <v>116</v>
      </c>
    </row>
    <row r="26" spans="1:14" ht="15.75" x14ac:dyDescent="0.25">
      <c r="A26" s="139" t="s">
        <v>59</v>
      </c>
      <c r="B26" s="72">
        <v>1</v>
      </c>
      <c r="C26" s="72" t="s">
        <v>77</v>
      </c>
      <c r="D26" s="72" t="str">
        <f>INSCRIPTS!C20</f>
        <v>1C</v>
      </c>
      <c r="E26" s="78">
        <f ca="1">SUM(,IF(INDIRECT(ADDRESS(11,3,,,"MATCHS"))&gt;INDIRECT(ADDRESS(11,5,,,"MATCHS")),1,0),,IF(INDIRECT(ADDRESS(29,3,,,"MATCHS"))&gt;INDIRECT(ADDRESS(29,5,,,"MATCHS")),1,0),,IF(INDIRECT(ADDRESS(47,3,,,"MATCHS"))&gt;INDIRECT(ADDRESS(47,5,,,"MATCHS")),1,0),,,IF(INDIRECT(ADDRESS(66,3,,,"MATCHS"))&gt;INDIRECT(ADDRESS(66,5,,,"MATCHS")),1,0),,IF(INDIRECT(ADDRESS(84,3,,,"MATCHS"))&gt;INDIRECT(ADDRESS(84,5,,,"MATCHS")),1,0),,IF(INDIRECT(ADDRESS(102,3,,,"MATCHS"))&gt;INDIRECT(ADDRESS(102,5,,,"MATCHS")),1,0),,IF(INDIRECT(ADDRESS(120,3,,,"MATCHS"))&gt;INDIRECT(ADDRESS(120,5,,,"MATCHS")),1,0),) + 0.01 * K26</f>
        <v>0</v>
      </c>
      <c r="F26" s="72">
        <f ca="1">SUM(,IF(INDIRECT(ADDRESS(11,3,,,"MATCHS"))&lt;INDIRECT(ADDRESS(11,5,,,"MATCHS")),1,0),,IF(INDIRECT(ADDRESS(29,3,,,"MATCHS"))&lt;INDIRECT(ADDRESS(29,5,,,"MATCHS")),1,0),,IF(INDIRECT(ADDRESS(47,3,,,"MATCHS"))&lt;INDIRECT(ADDRESS(47,5,,,"MATCHS")),1,0),,,IF(INDIRECT(ADDRESS(66,3,,,"MATCHS"))&lt;INDIRECT(ADDRESS(66,5,,,"MATCHS")),1,0),,IF(INDIRECT(ADDRESS(84,3,,,"MATCHS"))&lt;INDIRECT(ADDRESS(84,5,,,"MATCHS")),1,0),,IF(INDIRECT(ADDRESS(102,3,,,"MATCHS"))&lt;INDIRECT(ADDRESS(102,5,,,"MATCHS")),1,0),,IF(INDIRECT(ADDRESS(120,3,,,"MATCHS"))&lt;INDIRECT(ADDRESS(120,5,,,"MATCHS")),1,0),)</f>
        <v>0</v>
      </c>
      <c r="G26" s="72">
        <f ca="1">SUM(,IF(IFERROR(FIND("--",INDIRECT(ADDRESS(11,3,,,"MATCHS"))),FALSE),LEFT(INDIRECT(ADDRESS(11,3,,,"MATCHS")), FIND("--",INDIRECT(ADDRESS(11,3,,,"MATCHS")),1)-1),INDIRECT(ADDRESS(11,3,,,"MATCHS"))),,IF(IFERROR(FIND("--",INDIRECT(ADDRESS(29,3,,,"MATCHS"))),FALSE),LEFT(INDIRECT(ADDRESS(29,3,,,"MATCHS")), FIND("--",INDIRECT(ADDRESS(29,3,,,"MATCHS")),1)-1),INDIRECT(ADDRESS(29,3,,,"MATCHS"))),,IF(IFERROR(FIND("--",INDIRECT(ADDRESS(47,3,,,"MATCHS"))),FALSE),LEFT(INDIRECT(ADDRESS(47,3,,,"MATCHS")), FIND("--",INDIRECT(ADDRESS(47,3,,,"MATCHS")),1)-1),INDIRECT(ADDRESS(47,3,,,"MATCHS"))),,,IF(IFERROR(FIND("--",INDIRECT(ADDRESS(66,3,,,"MATCHS"))),FALSE),LEFT(INDIRECT(ADDRESS(66,3,,,"MATCHS")), FIND("--",INDIRECT(ADDRESS(66,3,,,"MATCHS")),1)-1),INDIRECT(ADDRESS(66,3,,,"MATCHS"))),,IF(IFERROR(FIND("--",INDIRECT(ADDRESS(84,3,,,"MATCHS"))),FALSE),LEFT(INDIRECT(ADDRESS(84,3,,,"MATCHS")), FIND("--",INDIRECT(ADDRESS(84,3,,,"MATCHS")),1)-1),INDIRECT(ADDRESS(84,3,,,"MATCHS"))),,IF(IFERROR(FIND("--",INDIRECT(ADDRESS(102,3,,,"MATCHS"))),FALSE),LEFT(INDIRECT(ADDRESS(102,3,,,"MATCHS")), FIND("--",INDIRECT(ADDRESS(102,3,,,"MATCHS")),1)-1),INDIRECT(ADDRESS(102,3,,,"MATCHS"))),,IF(IFERROR(FIND("--",INDIRECT(ADDRESS(120,3,,,"MATCHS"))),FALSE),LEFT(INDIRECT(ADDRESS(120,3,,,"MATCHS")), FIND("--",INDIRECT(ADDRESS(120,3,,,"MATCHS")),1)-1),INDIRECT(ADDRESS(120,3,,,"MATCHS"))),)</f>
        <v>0</v>
      </c>
      <c r="H26" s="72">
        <f ca="1">SUM(,IF(IFERROR(FIND("--",INDIRECT(ADDRESS(11,3,,,"MATCHS"))),FALSE),RIGHT(INDIRECT(ADDRESS(11,3,,,"MATCHS")), FIND("--",INDIRECT(ADDRESS(11,3,,,"MATCHS")),1)),INDIRECT(ADDRESS(11,3,,,"MATCHS"))),,IF(IFERROR(FIND("--",INDIRECT(ADDRESS(29,3,,,"MATCHS"))),FALSE),RIGHT(INDIRECT(ADDRESS(29,3,,,"MATCHS")), FIND("--",INDIRECT(ADDRESS(29,3,,,"MATCHS")),1)),INDIRECT(ADDRESS(29,3,,,"MATCHS"))),,IF(IFERROR(FIND("--",INDIRECT(ADDRESS(47,3,,,"MATCHS"))),FALSE),RIGHT(INDIRECT(ADDRESS(47,3,,,"MATCHS")), FIND("--",INDIRECT(ADDRESS(47,3,,,"MATCHS")),1)),INDIRECT(ADDRESS(47,3,,,"MATCHS"))),,,IF(IFERROR(FIND("--",INDIRECT(ADDRESS(66,3,,,"MATCHS"))),FALSE),RIGHT(INDIRECT(ADDRESS(66,3,,,"MATCHS")), FIND("--",INDIRECT(ADDRESS(66,3,,,"MATCHS")),1)),INDIRECT(ADDRESS(66,3,,,"MATCHS"))),,IF(IFERROR(FIND("--",INDIRECT(ADDRESS(84,3,,,"MATCHS"))),FALSE),RIGHT(INDIRECT(ADDRESS(84,3,,,"MATCHS")), FIND("--",INDIRECT(ADDRESS(84,3,,,"MATCHS")),1)),INDIRECT(ADDRESS(84,3,,,"MATCHS"))),,IF(IFERROR(FIND("--",INDIRECT(ADDRESS(102,3,,,"MATCHS"))),FALSE),RIGHT(INDIRECT(ADDRESS(102,3,,,"MATCHS")), FIND("--",INDIRECT(ADDRESS(102,3,,,"MATCHS")),1)),INDIRECT(ADDRESS(102,3,,,"MATCHS"))),,IF(IFERROR(FIND("--",INDIRECT(ADDRESS(120,3,,,"MATCHS"))),FALSE),RIGHT(INDIRECT(ADDRESS(120,3,,,"MATCHS")), FIND("--",INDIRECT(ADDRESS(120,3,,,"MATCHS")),1)),INDIRECT(ADDRESS(120,3,,,"MATCHS"))),)</f>
        <v>0</v>
      </c>
      <c r="I26" s="72">
        <f ca="1">SUM(,IF(IFERROR(FIND("--",INDIRECT(ADDRESS(11,5,,,"MATCHS"))),FALSE),RIGHT(INDIRECT(ADDRESS(11,5,,,"MATCHS")), FIND("--",INDIRECT(ADDRESS(11,5,,,"MATCHS")),1)),INDIRECT(ADDRESS(11,5,,,"MATCHS"))),,IF(IFERROR(FIND("--",INDIRECT(ADDRESS(29,5,,,"MATCHS"))),FALSE),RIGHT(INDIRECT(ADDRESS(29,5,,,"MATCHS")), FIND("--",INDIRECT(ADDRESS(29,5,,,"MATCHS")),1)),INDIRECT(ADDRESS(29,5,,,"MATCHS"))),,IF(IFERROR(FIND("--",INDIRECT(ADDRESS(47,5,,,"MATCHS"))),FALSE),RIGHT(INDIRECT(ADDRESS(47,5,,,"MATCHS")), FIND("--",INDIRECT(ADDRESS(47,5,,,"MATCHS")),1)),INDIRECT(ADDRESS(47,5,,,"MATCHS"))),,,IF(IFERROR(FIND("--",INDIRECT(ADDRESS(66,5,,,"MATCHS"))),FALSE),RIGHT(INDIRECT(ADDRESS(66,5,,,"MATCHS")), FIND("--",INDIRECT(ADDRESS(66,5,,,"MATCHS")),1)),INDIRECT(ADDRESS(66,5,,,"MATCHS"))),,IF(IFERROR(FIND("--",INDIRECT(ADDRESS(84,5,,,"MATCHS"))),FALSE),RIGHT(INDIRECT(ADDRESS(84,5,,,"MATCHS")), FIND("--",INDIRECT(ADDRESS(84,5,,,"MATCHS")),1)),INDIRECT(ADDRESS(84,5,,,"MATCHS"))),,IF(IFERROR(FIND("--",INDIRECT(ADDRESS(102,5,,,"MATCHS"))),FALSE),RIGHT(INDIRECT(ADDRESS(102,5,,,"MATCHS")), FIND("--",INDIRECT(ADDRESS(102,5,,,"MATCHS")),1)),INDIRECT(ADDRESS(102,5,,,"MATCHS"))),,IF(IFERROR(FIND("--",INDIRECT(ADDRESS(120,5,,,"MATCHS"))),FALSE),RIGHT(INDIRECT(ADDRESS(120,5,,,"MATCHS")), FIND("--",INDIRECT(ADDRESS(120,5,,,"MATCHS")),1)),INDIRECT(ADDRESS(120,5,,,"MATCHS"))),)</f>
        <v>0</v>
      </c>
      <c r="J26" s="72">
        <f t="shared" ref="J26:J33" ca="1" si="4">H26 - I26</f>
        <v>0</v>
      </c>
      <c r="K26" s="72">
        <v>0</v>
      </c>
      <c r="L26" s="72">
        <v>1</v>
      </c>
      <c r="M26" s="72"/>
      <c r="N26" s="66" t="str">
        <f t="shared" ref="N26:N33" si="5">M26 &amp; "DM"</f>
        <v>DM</v>
      </c>
    </row>
    <row r="27" spans="1:14" ht="15.75" x14ac:dyDescent="0.25">
      <c r="A27" s="139"/>
      <c r="B27" s="72">
        <v>2</v>
      </c>
      <c r="C27" s="72" t="s">
        <v>78</v>
      </c>
      <c r="D27" s="72" t="str">
        <f>INSCRIPTS!C21</f>
        <v>2C</v>
      </c>
      <c r="E27" s="78">
        <f ca="1">SUM(,IF(INDIRECT(ADDRESS(11,5,,,"MATCHS"))&gt;INDIRECT(ADDRESS(11,3,,,"MATCHS")),1,0),,IF(INDIRECT(ADDRESS(30,3,,,"MATCHS"))&gt;INDIRECT(ADDRESS(30,5,,,"MATCHS")),1,0),,IF(INDIRECT(ADDRESS(48,3,,,"MATCHS"))&gt;INDIRECT(ADDRESS(48,5,,,"MATCHS")),1,0),,,IF(INDIRECT(ADDRESS(67,3,,,"MATCHS"))&gt;INDIRECT(ADDRESS(67,5,,,"MATCHS")),1,0),,IF(INDIRECT(ADDRESS(85,3,,,"MATCHS"))&gt;INDIRECT(ADDRESS(85,5,,,"MATCHS")),1,0),,IF(INDIRECT(ADDRESS(103,3,,,"MATCHS"))&gt;INDIRECT(ADDRESS(103,5,,,"MATCHS")),1,0),,,IF(INDIRECT(ADDRESS(122,3,,,"MATCHS"))&gt;INDIRECT(ADDRESS(122,5,,,"MATCHS")),1,0)) + 0.01 * K27</f>
        <v>0</v>
      </c>
      <c r="F27" s="72">
        <f ca="1">SUM(,IF(INDIRECT(ADDRESS(11,5,,,"MATCHS"))&lt;INDIRECT(ADDRESS(11,3,,,"MATCHS")),1,0),,IF(INDIRECT(ADDRESS(30,3,,,"MATCHS"))&lt;INDIRECT(ADDRESS(30,5,,,"MATCHS")),1,0),,IF(INDIRECT(ADDRESS(48,3,,,"MATCHS"))&lt;INDIRECT(ADDRESS(48,5,,,"MATCHS")),1,0),,,IF(INDIRECT(ADDRESS(67,3,,,"MATCHS"))&lt;INDIRECT(ADDRESS(67,5,,,"MATCHS")),1,0),,IF(INDIRECT(ADDRESS(85,3,,,"MATCHS"))&lt;INDIRECT(ADDRESS(85,5,,,"MATCHS")),1,0),,IF(INDIRECT(ADDRESS(103,3,,,"MATCHS"))&lt;INDIRECT(ADDRESS(103,5,,,"MATCHS")),1,0),,,IF(INDIRECT(ADDRESS(122,3,,,"MATCHS"))&lt;INDIRECT(ADDRESS(122,5,,,"MATCHS")),1,0))</f>
        <v>0</v>
      </c>
      <c r="G27" s="72">
        <f ca="1">SUM(,IF(IFERROR(FIND("--",INDIRECT(ADDRESS(11,5,,,"MATCHS"))),FALSE),LEFT(INDIRECT(ADDRESS(11,5,,,"MATCHS")), FIND("--",INDIRECT(ADDRESS(11,5,,,"MATCHS")),1)-1),INDIRECT(ADDRESS(11,5,,,"MATCHS"))),,IF(IFERROR(FIND("--",INDIRECT(ADDRESS(30,3,,,"MATCHS"))),FALSE),LEFT(INDIRECT(ADDRESS(30,3,,,"MATCHS")), FIND("--",INDIRECT(ADDRESS(30,3,,,"MATCHS")),1)-1),INDIRECT(ADDRESS(30,3,,,"MATCHS"))),,IF(IFERROR(FIND("--",INDIRECT(ADDRESS(48,3,,,"MATCHS"))),FALSE),LEFT(INDIRECT(ADDRESS(48,3,,,"MATCHS")), FIND("--",INDIRECT(ADDRESS(48,3,,,"MATCHS")),1)-1),INDIRECT(ADDRESS(48,3,,,"MATCHS"))),,,IF(IFERROR(FIND("--",INDIRECT(ADDRESS(67,3,,,"MATCHS"))),FALSE),LEFT(INDIRECT(ADDRESS(67,3,,,"MATCHS")), FIND("--",INDIRECT(ADDRESS(67,3,,,"MATCHS")),1)-1),INDIRECT(ADDRESS(67,3,,,"MATCHS"))),,IF(IFERROR(FIND("--",INDIRECT(ADDRESS(85,3,,,"MATCHS"))),FALSE),LEFT(INDIRECT(ADDRESS(85,3,,,"MATCHS")), FIND("--",INDIRECT(ADDRESS(85,3,,,"MATCHS")),1)-1),INDIRECT(ADDRESS(85,3,,,"MATCHS"))),,IF(IFERROR(FIND("--",INDIRECT(ADDRESS(103,3,,,"MATCHS"))),FALSE),LEFT(INDIRECT(ADDRESS(103,3,,,"MATCHS")), FIND("--",INDIRECT(ADDRESS(103,3,,,"MATCHS")),1)-1),INDIRECT(ADDRESS(103,3,,,"MATCHS"))),,,IF(IFERROR(FIND("--",INDIRECT(ADDRESS(122,3,,,"MATCHS"))),FALSE),LEFT(INDIRECT(ADDRESS(122,3,,,"MATCHS")), FIND("--",INDIRECT(ADDRESS(122,3,,,"MATCHS")),1)-1),INDIRECT(ADDRESS(122,3,,,"MATCHS"))))</f>
        <v>0</v>
      </c>
      <c r="H27" s="72">
        <f ca="1">SUM(,IF(IFERROR(FIND("--",INDIRECT(ADDRESS(11,5,,,"MATCHS"))),FALSE),RIGHT(INDIRECT(ADDRESS(11,5,,,"MATCHS")), FIND("--",INDIRECT(ADDRESS(11,5,,,"MATCHS")),1)),INDIRECT(ADDRESS(11,5,,,"MATCHS"))),,IF(IFERROR(FIND("--",INDIRECT(ADDRESS(30,3,,,"MATCHS"))),FALSE),RIGHT(INDIRECT(ADDRESS(30,3,,,"MATCHS")), FIND("--",INDIRECT(ADDRESS(30,3,,,"MATCHS")),1)),INDIRECT(ADDRESS(30,3,,,"MATCHS"))),,IF(IFERROR(FIND("--",INDIRECT(ADDRESS(48,3,,,"MATCHS"))),FALSE),RIGHT(INDIRECT(ADDRESS(48,3,,,"MATCHS")), FIND("--",INDIRECT(ADDRESS(48,3,,,"MATCHS")),1)),INDIRECT(ADDRESS(48,3,,,"MATCHS"))),,,IF(IFERROR(FIND("--",INDIRECT(ADDRESS(67,3,,,"MATCHS"))),FALSE),RIGHT(INDIRECT(ADDRESS(67,3,,,"MATCHS")), FIND("--",INDIRECT(ADDRESS(67,3,,,"MATCHS")),1)),INDIRECT(ADDRESS(67,3,,,"MATCHS"))),,IF(IFERROR(FIND("--",INDIRECT(ADDRESS(85,3,,,"MATCHS"))),FALSE),RIGHT(INDIRECT(ADDRESS(85,3,,,"MATCHS")), FIND("--",INDIRECT(ADDRESS(85,3,,,"MATCHS")),1)),INDIRECT(ADDRESS(85,3,,,"MATCHS"))),,IF(IFERROR(FIND("--",INDIRECT(ADDRESS(103,3,,,"MATCHS"))),FALSE),RIGHT(INDIRECT(ADDRESS(103,3,,,"MATCHS")), FIND("--",INDIRECT(ADDRESS(103,3,,,"MATCHS")),1)),INDIRECT(ADDRESS(103,3,,,"MATCHS"))),,,IF(IFERROR(FIND("--",INDIRECT(ADDRESS(122,3,,,"MATCHS"))),FALSE),RIGHT(INDIRECT(ADDRESS(122,3,,,"MATCHS")), FIND("--",INDIRECT(ADDRESS(122,3,,,"MATCHS")),1)),INDIRECT(ADDRESS(122,3,,,"MATCHS"))))</f>
        <v>0</v>
      </c>
      <c r="I27" s="72">
        <f ca="1">SUM(,IF(IFERROR(FIND("--",INDIRECT(ADDRESS(11,3,,,"MATCHS"))),FALSE),RIGHT(INDIRECT(ADDRESS(11,3,,,"MATCHS")), FIND("--",INDIRECT(ADDRESS(11,3,,,"MATCHS")),1)),INDIRECT(ADDRESS(11,3,,,"MATCHS"))),,IF(IFERROR(FIND("--",INDIRECT(ADDRESS(30,5,,,"MATCHS"))),FALSE),RIGHT(INDIRECT(ADDRESS(30,5,,,"MATCHS")), FIND("--",INDIRECT(ADDRESS(30,5,,,"MATCHS")),1)),INDIRECT(ADDRESS(30,5,,,"MATCHS"))),,IF(IFERROR(FIND("--",INDIRECT(ADDRESS(48,5,,,"MATCHS"))),FALSE),RIGHT(INDIRECT(ADDRESS(48,5,,,"MATCHS")), FIND("--",INDIRECT(ADDRESS(48,5,,,"MATCHS")),1)),INDIRECT(ADDRESS(48,5,,,"MATCHS"))),,,IF(IFERROR(FIND("--",INDIRECT(ADDRESS(67,5,,,"MATCHS"))),FALSE),RIGHT(INDIRECT(ADDRESS(67,5,,,"MATCHS")), FIND("--",INDIRECT(ADDRESS(67,5,,,"MATCHS")),1)),INDIRECT(ADDRESS(67,5,,,"MATCHS"))),,IF(IFERROR(FIND("--",INDIRECT(ADDRESS(85,5,,,"MATCHS"))),FALSE),RIGHT(INDIRECT(ADDRESS(85,5,,,"MATCHS")), FIND("--",INDIRECT(ADDRESS(85,5,,,"MATCHS")),1)),INDIRECT(ADDRESS(85,5,,,"MATCHS"))),,IF(IFERROR(FIND("--",INDIRECT(ADDRESS(103,5,,,"MATCHS"))),FALSE),RIGHT(INDIRECT(ADDRESS(103,5,,,"MATCHS")), FIND("--",INDIRECT(ADDRESS(103,5,,,"MATCHS")),1)),INDIRECT(ADDRESS(103,5,,,"MATCHS"))),,,IF(IFERROR(FIND("--",INDIRECT(ADDRESS(122,5,,,"MATCHS"))),FALSE),RIGHT(INDIRECT(ADDRESS(122,5,,,"MATCHS")), FIND("--",INDIRECT(ADDRESS(122,5,,,"MATCHS")),1)),INDIRECT(ADDRESS(122,5,,,"MATCHS"))))</f>
        <v>0</v>
      </c>
      <c r="J27" s="72">
        <f t="shared" ca="1" si="4"/>
        <v>0</v>
      </c>
      <c r="K27" s="72">
        <v>0</v>
      </c>
      <c r="L27" s="72">
        <v>2</v>
      </c>
      <c r="M27" s="72"/>
      <c r="N27" s="66" t="str">
        <f t="shared" si="5"/>
        <v>DM</v>
      </c>
    </row>
    <row r="28" spans="1:14" ht="15.75" x14ac:dyDescent="0.25">
      <c r="A28" s="139"/>
      <c r="B28" s="72">
        <v>3</v>
      </c>
      <c r="C28" s="72" t="s">
        <v>79</v>
      </c>
      <c r="D28" s="72" t="str">
        <f>INSCRIPTS!C22</f>
        <v>3C</v>
      </c>
      <c r="E28" s="78">
        <f ca="1">SUM(,IF(INDIRECT(ADDRESS(12,3,,,"MATCHS"))&gt;INDIRECT(ADDRESS(12,5,,,"MATCHS")),1,0),,IF(INDIRECT(ADDRESS(29,5,,,"MATCHS"))&gt;INDIRECT(ADDRESS(29,3,,,"MATCHS")),1,0),,IF(INDIRECT(ADDRESS(48,5,,,"MATCHS"))&gt;INDIRECT(ADDRESS(48,3,,,"MATCHS")),1,0),,,IF(INDIRECT(ADDRESS(68,3,,,"MATCHS"))&gt;INDIRECT(ADDRESS(68,5,,,"MATCHS")),1,0),,IF(INDIRECT(ADDRESS(86,3,,,"MATCHS"))&gt;INDIRECT(ADDRESS(86,5,,,"MATCHS")),1,0),,IF(INDIRECT(ADDRESS(104,3,,,"MATCHS"))&gt;INDIRECT(ADDRESS(104,5,,,"MATCHS")),1,0),,,IF(INDIRECT(ADDRESS(123,3,,,"MATCHS"))&gt;INDIRECT(ADDRESS(123,5,,,"MATCHS")),1,0)) + 0.01 * K28</f>
        <v>0</v>
      </c>
      <c r="F28" s="72">
        <f ca="1">SUM(,IF(INDIRECT(ADDRESS(12,3,,,"MATCHS"))&lt;INDIRECT(ADDRESS(12,5,,,"MATCHS")),1,0),,IF(INDIRECT(ADDRESS(29,5,,,"MATCHS"))&lt;INDIRECT(ADDRESS(29,3,,,"MATCHS")),1,0),,IF(INDIRECT(ADDRESS(48,5,,,"MATCHS"))&lt;INDIRECT(ADDRESS(48,3,,,"MATCHS")),1,0),,,IF(INDIRECT(ADDRESS(68,3,,,"MATCHS"))&lt;INDIRECT(ADDRESS(68,5,,,"MATCHS")),1,0),,IF(INDIRECT(ADDRESS(86,3,,,"MATCHS"))&lt;INDIRECT(ADDRESS(86,5,,,"MATCHS")),1,0),,IF(INDIRECT(ADDRESS(104,3,,,"MATCHS"))&lt;INDIRECT(ADDRESS(104,5,,,"MATCHS")),1,0),,,IF(INDIRECT(ADDRESS(123,3,,,"MATCHS"))&lt;INDIRECT(ADDRESS(123,5,,,"MATCHS")),1,0))</f>
        <v>0</v>
      </c>
      <c r="G28" s="72">
        <f ca="1">SUM(,IF(IFERROR(FIND("--",INDIRECT(ADDRESS(12,3,,,"MATCHS"))),FALSE),LEFT(INDIRECT(ADDRESS(12,3,,,"MATCHS")), FIND("--",INDIRECT(ADDRESS(12,3,,,"MATCHS")),1)-1),INDIRECT(ADDRESS(12,3,,,"MATCHS"))),,IF(IFERROR(FIND("--",INDIRECT(ADDRESS(29,5,,,"MATCHS"))),FALSE),LEFT(INDIRECT(ADDRESS(29,5,,,"MATCHS")), FIND("--",INDIRECT(ADDRESS(29,5,,,"MATCHS")),1)-1),INDIRECT(ADDRESS(29,5,,,"MATCHS"))),,IF(IFERROR(FIND("--",INDIRECT(ADDRESS(48,5,,,"MATCHS"))),FALSE),LEFT(INDIRECT(ADDRESS(48,5,,,"MATCHS")), FIND("--",INDIRECT(ADDRESS(48,5,,,"MATCHS")),1)-1),INDIRECT(ADDRESS(48,5,,,"MATCHS"))),,,IF(IFERROR(FIND("--",INDIRECT(ADDRESS(68,3,,,"MATCHS"))),FALSE),LEFT(INDIRECT(ADDRESS(68,3,,,"MATCHS")), FIND("--",INDIRECT(ADDRESS(68,3,,,"MATCHS")),1)-1),INDIRECT(ADDRESS(68,3,,,"MATCHS"))),,IF(IFERROR(FIND("--",INDIRECT(ADDRESS(86,3,,,"MATCHS"))),FALSE),LEFT(INDIRECT(ADDRESS(86,3,,,"MATCHS")), FIND("--",INDIRECT(ADDRESS(86,3,,,"MATCHS")),1)-1),INDIRECT(ADDRESS(86,3,,,"MATCHS"))),,IF(IFERROR(FIND("--",INDIRECT(ADDRESS(104,3,,,"MATCHS"))),FALSE),LEFT(INDIRECT(ADDRESS(104,3,,,"MATCHS")), FIND("--",INDIRECT(ADDRESS(104,3,,,"MATCHS")),1)-1),INDIRECT(ADDRESS(104,3,,,"MATCHS"))),,,IF(IFERROR(FIND("--",INDIRECT(ADDRESS(123,3,,,"MATCHS"))),FALSE),LEFT(INDIRECT(ADDRESS(123,3,,,"MATCHS")), FIND("--",INDIRECT(ADDRESS(123,3,,,"MATCHS")),1)-1),INDIRECT(ADDRESS(123,3,,,"MATCHS"))))</f>
        <v>0</v>
      </c>
      <c r="H28" s="72">
        <f ca="1">SUM(,IF(IFERROR(FIND("--",INDIRECT(ADDRESS(12,3,,,"MATCHS"))),FALSE),RIGHT(INDIRECT(ADDRESS(12,3,,,"MATCHS")), FIND("--",INDIRECT(ADDRESS(12,3,,,"MATCHS")),1)),INDIRECT(ADDRESS(12,3,,,"MATCHS"))),,IF(IFERROR(FIND("--",INDIRECT(ADDRESS(29,5,,,"MATCHS"))),FALSE),RIGHT(INDIRECT(ADDRESS(29,5,,,"MATCHS")), FIND("--",INDIRECT(ADDRESS(29,5,,,"MATCHS")),1)),INDIRECT(ADDRESS(29,5,,,"MATCHS"))),,IF(IFERROR(FIND("--",INDIRECT(ADDRESS(48,5,,,"MATCHS"))),FALSE),RIGHT(INDIRECT(ADDRESS(48,5,,,"MATCHS")), FIND("--",INDIRECT(ADDRESS(48,5,,,"MATCHS")),1)),INDIRECT(ADDRESS(48,5,,,"MATCHS"))),,,IF(IFERROR(FIND("--",INDIRECT(ADDRESS(68,3,,,"MATCHS"))),FALSE),RIGHT(INDIRECT(ADDRESS(68,3,,,"MATCHS")), FIND("--",INDIRECT(ADDRESS(68,3,,,"MATCHS")),1)),INDIRECT(ADDRESS(68,3,,,"MATCHS"))),,IF(IFERROR(FIND("--",INDIRECT(ADDRESS(86,3,,,"MATCHS"))),FALSE),RIGHT(INDIRECT(ADDRESS(86,3,,,"MATCHS")), FIND("--",INDIRECT(ADDRESS(86,3,,,"MATCHS")),1)),INDIRECT(ADDRESS(86,3,,,"MATCHS"))),,IF(IFERROR(FIND("--",INDIRECT(ADDRESS(104,3,,,"MATCHS"))),FALSE),RIGHT(INDIRECT(ADDRESS(104,3,,,"MATCHS")), FIND("--",INDIRECT(ADDRESS(104,3,,,"MATCHS")),1)),INDIRECT(ADDRESS(104,3,,,"MATCHS"))),,,IF(IFERROR(FIND("--",INDIRECT(ADDRESS(123,3,,,"MATCHS"))),FALSE),RIGHT(INDIRECT(ADDRESS(123,3,,,"MATCHS")), FIND("--",INDIRECT(ADDRESS(123,3,,,"MATCHS")),1)),INDIRECT(ADDRESS(123,3,,,"MATCHS"))))</f>
        <v>0</v>
      </c>
      <c r="I28" s="72">
        <f ca="1">SUM(,IF(IFERROR(FIND("--",INDIRECT(ADDRESS(12,5,,,"MATCHS"))),FALSE),RIGHT(INDIRECT(ADDRESS(12,5,,,"MATCHS")), FIND("--",INDIRECT(ADDRESS(12,5,,,"MATCHS")),1)),INDIRECT(ADDRESS(12,5,,,"MATCHS"))),,IF(IFERROR(FIND("--",INDIRECT(ADDRESS(29,3,,,"MATCHS"))),FALSE),RIGHT(INDIRECT(ADDRESS(29,3,,,"MATCHS")), FIND("--",INDIRECT(ADDRESS(29,3,,,"MATCHS")),1)),INDIRECT(ADDRESS(29,3,,,"MATCHS"))),,IF(IFERROR(FIND("--",INDIRECT(ADDRESS(48,3,,,"MATCHS"))),FALSE),RIGHT(INDIRECT(ADDRESS(48,3,,,"MATCHS")), FIND("--",INDIRECT(ADDRESS(48,3,,,"MATCHS")),1)),INDIRECT(ADDRESS(48,3,,,"MATCHS"))),,,IF(IFERROR(FIND("--",INDIRECT(ADDRESS(68,5,,,"MATCHS"))),FALSE),RIGHT(INDIRECT(ADDRESS(68,5,,,"MATCHS")), FIND("--",INDIRECT(ADDRESS(68,5,,,"MATCHS")),1)),INDIRECT(ADDRESS(68,5,,,"MATCHS"))),,IF(IFERROR(FIND("--",INDIRECT(ADDRESS(86,5,,,"MATCHS"))),FALSE),RIGHT(INDIRECT(ADDRESS(86,5,,,"MATCHS")), FIND("--",INDIRECT(ADDRESS(86,5,,,"MATCHS")),1)),INDIRECT(ADDRESS(86,5,,,"MATCHS"))),,IF(IFERROR(FIND("--",INDIRECT(ADDRESS(104,5,,,"MATCHS"))),FALSE),RIGHT(INDIRECT(ADDRESS(104,5,,,"MATCHS")), FIND("--",INDIRECT(ADDRESS(104,5,,,"MATCHS")),1)),INDIRECT(ADDRESS(104,5,,,"MATCHS"))),,,IF(IFERROR(FIND("--",INDIRECT(ADDRESS(123,5,,,"MATCHS"))),FALSE),RIGHT(INDIRECT(ADDRESS(123,5,,,"MATCHS")), FIND("--",INDIRECT(ADDRESS(123,5,,,"MATCHS")),1)),INDIRECT(ADDRESS(123,5,,,"MATCHS"))))</f>
        <v>0</v>
      </c>
      <c r="J28" s="72">
        <f t="shared" ca="1" si="4"/>
        <v>0</v>
      </c>
      <c r="K28" s="72">
        <v>0</v>
      </c>
      <c r="L28" s="72">
        <v>3</v>
      </c>
      <c r="M28" s="72"/>
      <c r="N28" s="66" t="str">
        <f t="shared" si="5"/>
        <v>DM</v>
      </c>
    </row>
    <row r="29" spans="1:14" ht="15.75" x14ac:dyDescent="0.25">
      <c r="A29" s="139"/>
      <c r="B29" s="72">
        <v>4</v>
      </c>
      <c r="C29" s="72" t="s">
        <v>80</v>
      </c>
      <c r="D29" s="72" t="str">
        <f>INSCRIPTS!C23</f>
        <v>4C</v>
      </c>
      <c r="E29" s="78">
        <f ca="1">SUM(,IF(INDIRECT(ADDRESS(12,5,,,"MATCHS"))&gt;INDIRECT(ADDRESS(12,3,,,"MATCHS")),1,0),,IF(INDIRECT(ADDRESS(30,5,,,"MATCHS"))&gt;INDIRECT(ADDRESS(30,3,,,"MATCHS")),1,0),,IF(INDIRECT(ADDRESS(47,5,,,"MATCHS"))&gt;INDIRECT(ADDRESS(47,3,,,"MATCHS")),1,0),,,IF(INDIRECT(ADDRESS(69,3,,,"MATCHS"))&gt;INDIRECT(ADDRESS(69,5,,,"MATCHS")),1,0),,IF(INDIRECT(ADDRESS(87,3,,,"MATCHS"))&gt;INDIRECT(ADDRESS(87,5,,,"MATCHS")),1,0),,,IF(INDIRECT(ADDRESS(106,3,,,"MATCHS"))&gt;INDIRECT(ADDRESS(106,5,,,"MATCHS")),1,0),,IF(INDIRECT(ADDRESS(124,3,,,"MATCHS"))&gt;INDIRECT(ADDRESS(124,5,,,"MATCHS")),1,0)) + 0.01 * K29</f>
        <v>0</v>
      </c>
      <c r="F29" s="72">
        <f ca="1">SUM(,IF(INDIRECT(ADDRESS(12,5,,,"MATCHS"))&lt;INDIRECT(ADDRESS(12,3,,,"MATCHS")),1,0),,IF(INDIRECT(ADDRESS(30,5,,,"MATCHS"))&lt;INDIRECT(ADDRESS(30,3,,,"MATCHS")),1,0),,IF(INDIRECT(ADDRESS(47,5,,,"MATCHS"))&lt;INDIRECT(ADDRESS(47,3,,,"MATCHS")),1,0),,,IF(INDIRECT(ADDRESS(69,3,,,"MATCHS"))&lt;INDIRECT(ADDRESS(69,5,,,"MATCHS")),1,0),,IF(INDIRECT(ADDRESS(87,3,,,"MATCHS"))&lt;INDIRECT(ADDRESS(87,5,,,"MATCHS")),1,0),,,IF(INDIRECT(ADDRESS(106,3,,,"MATCHS"))&lt;INDIRECT(ADDRESS(106,5,,,"MATCHS")),1,0),,IF(INDIRECT(ADDRESS(124,3,,,"MATCHS"))&lt;INDIRECT(ADDRESS(124,5,,,"MATCHS")),1,0))</f>
        <v>0</v>
      </c>
      <c r="G29" s="72">
        <f ca="1">SUM(,IF(IFERROR(FIND("--",INDIRECT(ADDRESS(12,5,,,"MATCHS"))),FALSE),LEFT(INDIRECT(ADDRESS(12,5,,,"MATCHS")), FIND("--",INDIRECT(ADDRESS(12,5,,,"MATCHS")),1)-1),INDIRECT(ADDRESS(12,5,,,"MATCHS"))),,IF(IFERROR(FIND("--",INDIRECT(ADDRESS(30,5,,,"MATCHS"))),FALSE),LEFT(INDIRECT(ADDRESS(30,5,,,"MATCHS")), FIND("--",INDIRECT(ADDRESS(30,5,,,"MATCHS")),1)-1),INDIRECT(ADDRESS(30,5,,,"MATCHS"))),,IF(IFERROR(FIND("--",INDIRECT(ADDRESS(47,5,,,"MATCHS"))),FALSE),LEFT(INDIRECT(ADDRESS(47,5,,,"MATCHS")), FIND("--",INDIRECT(ADDRESS(47,5,,,"MATCHS")),1)-1),INDIRECT(ADDRESS(47,5,,,"MATCHS"))),,,IF(IFERROR(FIND("--",INDIRECT(ADDRESS(69,3,,,"MATCHS"))),FALSE),LEFT(INDIRECT(ADDRESS(69,3,,,"MATCHS")), FIND("--",INDIRECT(ADDRESS(69,3,,,"MATCHS")),1)-1),INDIRECT(ADDRESS(69,3,,,"MATCHS"))),,IF(IFERROR(FIND("--",INDIRECT(ADDRESS(87,3,,,"MATCHS"))),FALSE),LEFT(INDIRECT(ADDRESS(87,3,,,"MATCHS")), FIND("--",INDIRECT(ADDRESS(87,3,,,"MATCHS")),1)-1),INDIRECT(ADDRESS(87,3,,,"MATCHS"))),,,IF(IFERROR(FIND("--",INDIRECT(ADDRESS(106,3,,,"MATCHS"))),FALSE),LEFT(INDIRECT(ADDRESS(106,3,,,"MATCHS")), FIND("--",INDIRECT(ADDRESS(106,3,,,"MATCHS")),1)-1),INDIRECT(ADDRESS(106,3,,,"MATCHS"))),,IF(IFERROR(FIND("--",INDIRECT(ADDRESS(124,3,,,"MATCHS"))),FALSE),LEFT(INDIRECT(ADDRESS(124,3,,,"MATCHS")), FIND("--",INDIRECT(ADDRESS(124,3,,,"MATCHS")),1)-1),INDIRECT(ADDRESS(124,3,,,"MATCHS"))))</f>
        <v>0</v>
      </c>
      <c r="H29" s="72">
        <f ca="1">SUM(,IF(IFERROR(FIND("--",INDIRECT(ADDRESS(12,5,,,"MATCHS"))),FALSE),RIGHT(INDIRECT(ADDRESS(12,5,,,"MATCHS")), FIND("--",INDIRECT(ADDRESS(12,5,,,"MATCHS")),1)),INDIRECT(ADDRESS(12,5,,,"MATCHS"))),,IF(IFERROR(FIND("--",INDIRECT(ADDRESS(30,5,,,"MATCHS"))),FALSE),RIGHT(INDIRECT(ADDRESS(30,5,,,"MATCHS")), FIND("--",INDIRECT(ADDRESS(30,5,,,"MATCHS")),1)),INDIRECT(ADDRESS(30,5,,,"MATCHS"))),,IF(IFERROR(FIND("--",INDIRECT(ADDRESS(47,5,,,"MATCHS"))),FALSE),RIGHT(INDIRECT(ADDRESS(47,5,,,"MATCHS")), FIND("--",INDIRECT(ADDRESS(47,5,,,"MATCHS")),1)),INDIRECT(ADDRESS(47,5,,,"MATCHS"))),,,IF(IFERROR(FIND("--",INDIRECT(ADDRESS(69,3,,,"MATCHS"))),FALSE),RIGHT(INDIRECT(ADDRESS(69,3,,,"MATCHS")), FIND("--",INDIRECT(ADDRESS(69,3,,,"MATCHS")),1)),INDIRECT(ADDRESS(69,3,,,"MATCHS"))),,IF(IFERROR(FIND("--",INDIRECT(ADDRESS(87,3,,,"MATCHS"))),FALSE),RIGHT(INDIRECT(ADDRESS(87,3,,,"MATCHS")), FIND("--",INDIRECT(ADDRESS(87,3,,,"MATCHS")),1)),INDIRECT(ADDRESS(87,3,,,"MATCHS"))),,,IF(IFERROR(FIND("--",INDIRECT(ADDRESS(106,3,,,"MATCHS"))),FALSE),RIGHT(INDIRECT(ADDRESS(106,3,,,"MATCHS")), FIND("--",INDIRECT(ADDRESS(106,3,,,"MATCHS")),1)),INDIRECT(ADDRESS(106,3,,,"MATCHS"))),,IF(IFERROR(FIND("--",INDIRECT(ADDRESS(124,3,,,"MATCHS"))),FALSE),RIGHT(INDIRECT(ADDRESS(124,3,,,"MATCHS")), FIND("--",INDIRECT(ADDRESS(124,3,,,"MATCHS")),1)),INDIRECT(ADDRESS(124,3,,,"MATCHS"))))</f>
        <v>0</v>
      </c>
      <c r="I29" s="72">
        <f ca="1">SUM(,IF(IFERROR(FIND("--",INDIRECT(ADDRESS(12,3,,,"MATCHS"))),FALSE),RIGHT(INDIRECT(ADDRESS(12,3,,,"MATCHS")), FIND("--",INDIRECT(ADDRESS(12,3,,,"MATCHS")),1)),INDIRECT(ADDRESS(12,3,,,"MATCHS"))),,IF(IFERROR(FIND("--",INDIRECT(ADDRESS(30,3,,,"MATCHS"))),FALSE),RIGHT(INDIRECT(ADDRESS(30,3,,,"MATCHS")), FIND("--",INDIRECT(ADDRESS(30,3,,,"MATCHS")),1)),INDIRECT(ADDRESS(30,3,,,"MATCHS"))),,IF(IFERROR(FIND("--",INDIRECT(ADDRESS(47,3,,,"MATCHS"))),FALSE),RIGHT(INDIRECT(ADDRESS(47,3,,,"MATCHS")), FIND("--",INDIRECT(ADDRESS(47,3,,,"MATCHS")),1)),INDIRECT(ADDRESS(47,3,,,"MATCHS"))),,,IF(IFERROR(FIND("--",INDIRECT(ADDRESS(69,5,,,"MATCHS"))),FALSE),RIGHT(INDIRECT(ADDRESS(69,5,,,"MATCHS")), FIND("--",INDIRECT(ADDRESS(69,5,,,"MATCHS")),1)),INDIRECT(ADDRESS(69,5,,,"MATCHS"))),,IF(IFERROR(FIND("--",INDIRECT(ADDRESS(87,5,,,"MATCHS"))),FALSE),RIGHT(INDIRECT(ADDRESS(87,5,,,"MATCHS")), FIND("--",INDIRECT(ADDRESS(87,5,,,"MATCHS")),1)),INDIRECT(ADDRESS(87,5,,,"MATCHS"))),,,IF(IFERROR(FIND("--",INDIRECT(ADDRESS(106,5,,,"MATCHS"))),FALSE),RIGHT(INDIRECT(ADDRESS(106,5,,,"MATCHS")), FIND("--",INDIRECT(ADDRESS(106,5,,,"MATCHS")),1)),INDIRECT(ADDRESS(106,5,,,"MATCHS"))),,IF(IFERROR(FIND("--",INDIRECT(ADDRESS(124,5,,,"MATCHS"))),FALSE),RIGHT(INDIRECT(ADDRESS(124,5,,,"MATCHS")), FIND("--",INDIRECT(ADDRESS(124,5,,,"MATCHS")),1)),INDIRECT(ADDRESS(124,5,,,"MATCHS"))))</f>
        <v>0</v>
      </c>
      <c r="J29" s="72">
        <f t="shared" ca="1" si="4"/>
        <v>0</v>
      </c>
      <c r="K29" s="72">
        <v>0</v>
      </c>
      <c r="L29" s="72">
        <v>4</v>
      </c>
      <c r="M29" s="72"/>
      <c r="N29" s="66" t="str">
        <f t="shared" si="5"/>
        <v>DM</v>
      </c>
    </row>
    <row r="30" spans="1:14" ht="15.75" x14ac:dyDescent="0.25">
      <c r="A30" s="139"/>
      <c r="B30" s="72">
        <v>5</v>
      </c>
      <c r="C30" s="72" t="s">
        <v>81</v>
      </c>
      <c r="D30" s="72" t="str">
        <f>INSCRIPTS!C24</f>
        <v>5C</v>
      </c>
      <c r="E30" s="78">
        <f ca="1">SUM(,IF(INDIRECT(ADDRESS(13,3,,,"MATCHS"))&gt;INDIRECT(ADDRESS(13,5,,,"MATCHS")),1,0),,IF(INDIRECT(ADDRESS(31,3,,,"MATCHS"))&gt;INDIRECT(ADDRESS(31,5,,,"MATCHS")),1,0),,,IF(INDIRECT(ADDRESS(50,3,,,"MATCHS"))&gt;INDIRECT(ADDRESS(50,5,,,"MATCHS")),1,0),,IF(INDIRECT(ADDRESS(66,5,,,"MATCHS"))&gt;INDIRECT(ADDRESS(66,3,,,"MATCHS")),1,0),,IF(INDIRECT(ADDRESS(85,5,,,"MATCHS"))&gt;INDIRECT(ADDRESS(85,3,,,"MATCHS")),1,0),,IF(INDIRECT(ADDRESS(104,5,,,"MATCHS"))&gt;INDIRECT(ADDRESS(104,3,,,"MATCHS")),1,0),,,IF(INDIRECT(ADDRESS(124,5,,,"MATCHS"))&gt;INDIRECT(ADDRESS(124,3,,,"MATCHS")),1,0)) + 0.01 * K30</f>
        <v>0</v>
      </c>
      <c r="F30" s="72">
        <f ca="1">SUM(,IF(INDIRECT(ADDRESS(13,3,,,"MATCHS"))&lt;INDIRECT(ADDRESS(13,5,,,"MATCHS")),1,0),,IF(INDIRECT(ADDRESS(31,3,,,"MATCHS"))&lt;INDIRECT(ADDRESS(31,5,,,"MATCHS")),1,0),,,IF(INDIRECT(ADDRESS(50,3,,,"MATCHS"))&lt;INDIRECT(ADDRESS(50,5,,,"MATCHS")),1,0),,IF(INDIRECT(ADDRESS(66,5,,,"MATCHS"))&lt;INDIRECT(ADDRESS(66,3,,,"MATCHS")),1,0),,IF(INDIRECT(ADDRESS(85,5,,,"MATCHS"))&lt;INDIRECT(ADDRESS(85,3,,,"MATCHS")),1,0),,IF(INDIRECT(ADDRESS(104,5,,,"MATCHS"))&lt;INDIRECT(ADDRESS(104,3,,,"MATCHS")),1,0),,,IF(INDIRECT(ADDRESS(124,5,,,"MATCHS"))&lt;INDIRECT(ADDRESS(124,3,,,"MATCHS")),1,0))</f>
        <v>0</v>
      </c>
      <c r="G30" s="72">
        <f ca="1">SUM(,IF(IFERROR(FIND("--",INDIRECT(ADDRESS(13,3,,,"MATCHS"))),FALSE),LEFT(INDIRECT(ADDRESS(13,3,,,"MATCHS")), FIND("--",INDIRECT(ADDRESS(13,3,,,"MATCHS")),1)-1),INDIRECT(ADDRESS(13,3,,,"MATCHS"))),,IF(IFERROR(FIND("--",INDIRECT(ADDRESS(31,3,,,"MATCHS"))),FALSE),LEFT(INDIRECT(ADDRESS(31,3,,,"MATCHS")), FIND("--",INDIRECT(ADDRESS(31,3,,,"MATCHS")),1)-1),INDIRECT(ADDRESS(31,3,,,"MATCHS"))),,,IF(IFERROR(FIND("--",INDIRECT(ADDRESS(50,3,,,"MATCHS"))),FALSE),LEFT(INDIRECT(ADDRESS(50,3,,,"MATCHS")), FIND("--",INDIRECT(ADDRESS(50,3,,,"MATCHS")),1)-1),INDIRECT(ADDRESS(50,3,,,"MATCHS"))),,IF(IFERROR(FIND("--",INDIRECT(ADDRESS(66,5,,,"MATCHS"))),FALSE),LEFT(INDIRECT(ADDRESS(66,5,,,"MATCHS")), FIND("--",INDIRECT(ADDRESS(66,5,,,"MATCHS")),1)-1),INDIRECT(ADDRESS(66,5,,,"MATCHS"))),,IF(IFERROR(FIND("--",INDIRECT(ADDRESS(85,5,,,"MATCHS"))),FALSE),LEFT(INDIRECT(ADDRESS(85,5,,,"MATCHS")), FIND("--",INDIRECT(ADDRESS(85,5,,,"MATCHS")),1)-1),INDIRECT(ADDRESS(85,5,,,"MATCHS"))),,IF(IFERROR(FIND("--",INDIRECT(ADDRESS(104,5,,,"MATCHS"))),FALSE),LEFT(INDIRECT(ADDRESS(104,5,,,"MATCHS")), FIND("--",INDIRECT(ADDRESS(104,5,,,"MATCHS")),1)-1),INDIRECT(ADDRESS(104,5,,,"MATCHS"))),,,IF(IFERROR(FIND("--",INDIRECT(ADDRESS(124,5,,,"MATCHS"))),FALSE),LEFT(INDIRECT(ADDRESS(124,5,,,"MATCHS")), FIND("--",INDIRECT(ADDRESS(124,5,,,"MATCHS")),1)-1),INDIRECT(ADDRESS(124,5,,,"MATCHS"))))</f>
        <v>0</v>
      </c>
      <c r="H30" s="72">
        <f ca="1">SUM(,IF(IFERROR(FIND("--",INDIRECT(ADDRESS(13,3,,,"MATCHS"))),FALSE),RIGHT(INDIRECT(ADDRESS(13,3,,,"MATCHS")), FIND("--",INDIRECT(ADDRESS(13,3,,,"MATCHS")),1)),INDIRECT(ADDRESS(13,3,,,"MATCHS"))),,IF(IFERROR(FIND("--",INDIRECT(ADDRESS(31,3,,,"MATCHS"))),FALSE),RIGHT(INDIRECT(ADDRESS(31,3,,,"MATCHS")), FIND("--",INDIRECT(ADDRESS(31,3,,,"MATCHS")),1)),INDIRECT(ADDRESS(31,3,,,"MATCHS"))),,,IF(IFERROR(FIND("--",INDIRECT(ADDRESS(50,3,,,"MATCHS"))),FALSE),RIGHT(INDIRECT(ADDRESS(50,3,,,"MATCHS")), FIND("--",INDIRECT(ADDRESS(50,3,,,"MATCHS")),1)),INDIRECT(ADDRESS(50,3,,,"MATCHS"))),,IF(IFERROR(FIND("--",INDIRECT(ADDRESS(66,5,,,"MATCHS"))),FALSE),RIGHT(INDIRECT(ADDRESS(66,5,,,"MATCHS")), FIND("--",INDIRECT(ADDRESS(66,5,,,"MATCHS")),1)),INDIRECT(ADDRESS(66,5,,,"MATCHS"))),,IF(IFERROR(FIND("--",INDIRECT(ADDRESS(85,5,,,"MATCHS"))),FALSE),RIGHT(INDIRECT(ADDRESS(85,5,,,"MATCHS")), FIND("--",INDIRECT(ADDRESS(85,5,,,"MATCHS")),1)),INDIRECT(ADDRESS(85,5,,,"MATCHS"))),,IF(IFERROR(FIND("--",INDIRECT(ADDRESS(104,5,,,"MATCHS"))),FALSE),RIGHT(INDIRECT(ADDRESS(104,5,,,"MATCHS")), FIND("--",INDIRECT(ADDRESS(104,5,,,"MATCHS")),1)),INDIRECT(ADDRESS(104,5,,,"MATCHS"))),,,IF(IFERROR(FIND("--",INDIRECT(ADDRESS(124,5,,,"MATCHS"))),FALSE),RIGHT(INDIRECT(ADDRESS(124,5,,,"MATCHS")), FIND("--",INDIRECT(ADDRESS(124,5,,,"MATCHS")),1)),INDIRECT(ADDRESS(124,5,,,"MATCHS"))))</f>
        <v>0</v>
      </c>
      <c r="I30" s="72">
        <f ca="1">SUM(,IF(IFERROR(FIND("--",INDIRECT(ADDRESS(13,5,,,"MATCHS"))),FALSE),RIGHT(INDIRECT(ADDRESS(13,5,,,"MATCHS")), FIND("--",INDIRECT(ADDRESS(13,5,,,"MATCHS")),1)),INDIRECT(ADDRESS(13,5,,,"MATCHS"))),,IF(IFERROR(FIND("--",INDIRECT(ADDRESS(31,5,,,"MATCHS"))),FALSE),RIGHT(INDIRECT(ADDRESS(31,5,,,"MATCHS")), FIND("--",INDIRECT(ADDRESS(31,5,,,"MATCHS")),1)),INDIRECT(ADDRESS(31,5,,,"MATCHS"))),,,IF(IFERROR(FIND("--",INDIRECT(ADDRESS(50,5,,,"MATCHS"))),FALSE),RIGHT(INDIRECT(ADDRESS(50,5,,,"MATCHS")), FIND("--",INDIRECT(ADDRESS(50,5,,,"MATCHS")),1)),INDIRECT(ADDRESS(50,5,,,"MATCHS"))),,IF(IFERROR(FIND("--",INDIRECT(ADDRESS(66,3,,,"MATCHS"))),FALSE),RIGHT(INDIRECT(ADDRESS(66,3,,,"MATCHS")), FIND("--",INDIRECT(ADDRESS(66,3,,,"MATCHS")),1)),INDIRECT(ADDRESS(66,3,,,"MATCHS"))),,IF(IFERROR(FIND("--",INDIRECT(ADDRESS(85,3,,,"MATCHS"))),FALSE),RIGHT(INDIRECT(ADDRESS(85,3,,,"MATCHS")), FIND("--",INDIRECT(ADDRESS(85,3,,,"MATCHS")),1)),INDIRECT(ADDRESS(85,3,,,"MATCHS"))),,IF(IFERROR(FIND("--",INDIRECT(ADDRESS(104,3,,,"MATCHS"))),FALSE),RIGHT(INDIRECT(ADDRESS(104,3,,,"MATCHS")), FIND("--",INDIRECT(ADDRESS(104,3,,,"MATCHS")),1)),INDIRECT(ADDRESS(104,3,,,"MATCHS"))),,,IF(IFERROR(FIND("--",INDIRECT(ADDRESS(124,3,,,"MATCHS"))),FALSE),RIGHT(INDIRECT(ADDRESS(124,3,,,"MATCHS")), FIND("--",INDIRECT(ADDRESS(124,3,,,"MATCHS")),1)),INDIRECT(ADDRESS(124,3,,,"MATCHS"))))</f>
        <v>0</v>
      </c>
      <c r="J30" s="72">
        <f t="shared" ca="1" si="4"/>
        <v>0</v>
      </c>
      <c r="K30" s="72">
        <v>0</v>
      </c>
      <c r="L30" s="72">
        <v>5</v>
      </c>
      <c r="M30" s="72"/>
      <c r="N30" s="66" t="str">
        <f t="shared" si="5"/>
        <v>DM</v>
      </c>
    </row>
    <row r="31" spans="1:14" ht="15.75" x14ac:dyDescent="0.25">
      <c r="A31" s="139"/>
      <c r="B31" s="72">
        <v>6</v>
      </c>
      <c r="C31" s="72" t="s">
        <v>82</v>
      </c>
      <c r="D31" s="72" t="str">
        <f>INSCRIPTS!C25</f>
        <v>6C</v>
      </c>
      <c r="E31" s="78">
        <f ca="1">SUM(,IF(INDIRECT(ADDRESS(13,5,,,"MATCHS"))&gt;INDIRECT(ADDRESS(13,3,,,"MATCHS")),1,0),,IF(INDIRECT(ADDRESS(32,3,,,"MATCHS"))&gt;INDIRECT(ADDRESS(32,5,,,"MATCHS")),1,0),,,IF(INDIRECT(ADDRESS(51,3,,,"MATCHS"))&gt;INDIRECT(ADDRESS(51,5,,,"MATCHS")),1,0),,IF(INDIRECT(ADDRESS(67,5,,,"MATCHS"))&gt;INDIRECT(ADDRESS(67,3,,,"MATCHS")),1,0),,IF(INDIRECT(ADDRESS(84,5,,,"MATCHS"))&gt;INDIRECT(ADDRESS(84,3,,,"MATCHS")),1,0),,,IF(INDIRECT(ADDRESS(106,5,,,"MATCHS"))&gt;INDIRECT(ADDRESS(106,3,,,"MATCHS")),1,0),,IF(INDIRECT(ADDRESS(123,5,,,"MATCHS"))&gt;INDIRECT(ADDRESS(123,3,,,"MATCHS")),1,0)) + 0.01 * K31</f>
        <v>0</v>
      </c>
      <c r="F31" s="72">
        <f ca="1">SUM(,IF(INDIRECT(ADDRESS(13,5,,,"MATCHS"))&lt;INDIRECT(ADDRESS(13,3,,,"MATCHS")),1,0),,IF(INDIRECT(ADDRESS(32,3,,,"MATCHS"))&lt;INDIRECT(ADDRESS(32,5,,,"MATCHS")),1,0),,,IF(INDIRECT(ADDRESS(51,3,,,"MATCHS"))&lt;INDIRECT(ADDRESS(51,5,,,"MATCHS")),1,0),,IF(INDIRECT(ADDRESS(67,5,,,"MATCHS"))&lt;INDIRECT(ADDRESS(67,3,,,"MATCHS")),1,0),,IF(INDIRECT(ADDRESS(84,5,,,"MATCHS"))&lt;INDIRECT(ADDRESS(84,3,,,"MATCHS")),1,0),,,IF(INDIRECT(ADDRESS(106,5,,,"MATCHS"))&lt;INDIRECT(ADDRESS(106,3,,,"MATCHS")),1,0),,IF(INDIRECT(ADDRESS(123,5,,,"MATCHS"))&lt;INDIRECT(ADDRESS(123,3,,,"MATCHS")),1,0))</f>
        <v>0</v>
      </c>
      <c r="G31" s="72">
        <f ca="1">SUM(,IF(IFERROR(FIND("--",INDIRECT(ADDRESS(13,5,,,"MATCHS"))),FALSE),LEFT(INDIRECT(ADDRESS(13,5,,,"MATCHS")), FIND("--",INDIRECT(ADDRESS(13,5,,,"MATCHS")),1)-1),INDIRECT(ADDRESS(13,5,,,"MATCHS"))),,IF(IFERROR(FIND("--",INDIRECT(ADDRESS(32,3,,,"MATCHS"))),FALSE),LEFT(INDIRECT(ADDRESS(32,3,,,"MATCHS")), FIND("--",INDIRECT(ADDRESS(32,3,,,"MATCHS")),1)-1),INDIRECT(ADDRESS(32,3,,,"MATCHS"))),,,IF(IFERROR(FIND("--",INDIRECT(ADDRESS(51,3,,,"MATCHS"))),FALSE),LEFT(INDIRECT(ADDRESS(51,3,,,"MATCHS")), FIND("--",INDIRECT(ADDRESS(51,3,,,"MATCHS")),1)-1),INDIRECT(ADDRESS(51,3,,,"MATCHS"))),,IF(IFERROR(FIND("--",INDIRECT(ADDRESS(67,5,,,"MATCHS"))),FALSE),LEFT(INDIRECT(ADDRESS(67,5,,,"MATCHS")), FIND("--",INDIRECT(ADDRESS(67,5,,,"MATCHS")),1)-1),INDIRECT(ADDRESS(67,5,,,"MATCHS"))),,IF(IFERROR(FIND("--",INDIRECT(ADDRESS(84,5,,,"MATCHS"))),FALSE),LEFT(INDIRECT(ADDRESS(84,5,,,"MATCHS")), FIND("--",INDIRECT(ADDRESS(84,5,,,"MATCHS")),1)-1),INDIRECT(ADDRESS(84,5,,,"MATCHS"))),,,IF(IFERROR(FIND("--",INDIRECT(ADDRESS(106,5,,,"MATCHS"))),FALSE),LEFT(INDIRECT(ADDRESS(106,5,,,"MATCHS")), FIND("--",INDIRECT(ADDRESS(106,5,,,"MATCHS")),1)-1),INDIRECT(ADDRESS(106,5,,,"MATCHS"))),,IF(IFERROR(FIND("--",INDIRECT(ADDRESS(123,5,,,"MATCHS"))),FALSE),LEFT(INDIRECT(ADDRESS(123,5,,,"MATCHS")), FIND("--",INDIRECT(ADDRESS(123,5,,,"MATCHS")),1)-1),INDIRECT(ADDRESS(123,5,,,"MATCHS"))))</f>
        <v>0</v>
      </c>
      <c r="H31" s="72">
        <f ca="1">SUM(,IF(IFERROR(FIND("--",INDIRECT(ADDRESS(13,5,,,"MATCHS"))),FALSE),RIGHT(INDIRECT(ADDRESS(13,5,,,"MATCHS")), FIND("--",INDIRECT(ADDRESS(13,5,,,"MATCHS")),1)),INDIRECT(ADDRESS(13,5,,,"MATCHS"))),,IF(IFERROR(FIND("--",INDIRECT(ADDRESS(32,3,,,"MATCHS"))),FALSE),RIGHT(INDIRECT(ADDRESS(32,3,,,"MATCHS")), FIND("--",INDIRECT(ADDRESS(32,3,,,"MATCHS")),1)),INDIRECT(ADDRESS(32,3,,,"MATCHS"))),,,IF(IFERROR(FIND("--",INDIRECT(ADDRESS(51,3,,,"MATCHS"))),FALSE),RIGHT(INDIRECT(ADDRESS(51,3,,,"MATCHS")), FIND("--",INDIRECT(ADDRESS(51,3,,,"MATCHS")),1)),INDIRECT(ADDRESS(51,3,,,"MATCHS"))),,IF(IFERROR(FIND("--",INDIRECT(ADDRESS(67,5,,,"MATCHS"))),FALSE),RIGHT(INDIRECT(ADDRESS(67,5,,,"MATCHS")), FIND("--",INDIRECT(ADDRESS(67,5,,,"MATCHS")),1)),INDIRECT(ADDRESS(67,5,,,"MATCHS"))),,IF(IFERROR(FIND("--",INDIRECT(ADDRESS(84,5,,,"MATCHS"))),FALSE),RIGHT(INDIRECT(ADDRESS(84,5,,,"MATCHS")), FIND("--",INDIRECT(ADDRESS(84,5,,,"MATCHS")),1)),INDIRECT(ADDRESS(84,5,,,"MATCHS"))),,,IF(IFERROR(FIND("--",INDIRECT(ADDRESS(106,5,,,"MATCHS"))),FALSE),RIGHT(INDIRECT(ADDRESS(106,5,,,"MATCHS")), FIND("--",INDIRECT(ADDRESS(106,5,,,"MATCHS")),1)),INDIRECT(ADDRESS(106,5,,,"MATCHS"))),,IF(IFERROR(FIND("--",INDIRECT(ADDRESS(123,5,,,"MATCHS"))),FALSE),RIGHT(INDIRECT(ADDRESS(123,5,,,"MATCHS")), FIND("--",INDIRECT(ADDRESS(123,5,,,"MATCHS")),1)),INDIRECT(ADDRESS(123,5,,,"MATCHS"))))</f>
        <v>0</v>
      </c>
      <c r="I31" s="72">
        <f ca="1">SUM(,IF(IFERROR(FIND("--",INDIRECT(ADDRESS(13,3,,,"MATCHS"))),FALSE),RIGHT(INDIRECT(ADDRESS(13,3,,,"MATCHS")), FIND("--",INDIRECT(ADDRESS(13,3,,,"MATCHS")),1)),INDIRECT(ADDRESS(13,3,,,"MATCHS"))),,IF(IFERROR(FIND("--",INDIRECT(ADDRESS(32,5,,,"MATCHS"))),FALSE),RIGHT(INDIRECT(ADDRESS(32,5,,,"MATCHS")), FIND("--",INDIRECT(ADDRESS(32,5,,,"MATCHS")),1)),INDIRECT(ADDRESS(32,5,,,"MATCHS"))),,,IF(IFERROR(FIND("--",INDIRECT(ADDRESS(51,5,,,"MATCHS"))),FALSE),RIGHT(INDIRECT(ADDRESS(51,5,,,"MATCHS")), FIND("--",INDIRECT(ADDRESS(51,5,,,"MATCHS")),1)),INDIRECT(ADDRESS(51,5,,,"MATCHS"))),,IF(IFERROR(FIND("--",INDIRECT(ADDRESS(67,3,,,"MATCHS"))),FALSE),RIGHT(INDIRECT(ADDRESS(67,3,,,"MATCHS")), FIND("--",INDIRECT(ADDRESS(67,3,,,"MATCHS")),1)),INDIRECT(ADDRESS(67,3,,,"MATCHS"))),,IF(IFERROR(FIND("--",INDIRECT(ADDRESS(84,3,,,"MATCHS"))),FALSE),RIGHT(INDIRECT(ADDRESS(84,3,,,"MATCHS")), FIND("--",INDIRECT(ADDRESS(84,3,,,"MATCHS")),1)),INDIRECT(ADDRESS(84,3,,,"MATCHS"))),,,IF(IFERROR(FIND("--",INDIRECT(ADDRESS(106,3,,,"MATCHS"))),FALSE),RIGHT(INDIRECT(ADDRESS(106,3,,,"MATCHS")), FIND("--",INDIRECT(ADDRESS(106,3,,,"MATCHS")),1)),INDIRECT(ADDRESS(106,3,,,"MATCHS"))),,IF(IFERROR(FIND("--",INDIRECT(ADDRESS(123,3,,,"MATCHS"))),FALSE),RIGHT(INDIRECT(ADDRESS(123,3,,,"MATCHS")), FIND("--",INDIRECT(ADDRESS(123,3,,,"MATCHS")),1)),INDIRECT(ADDRESS(123,3,,,"MATCHS"))))</f>
        <v>0</v>
      </c>
      <c r="J31" s="72">
        <f t="shared" ca="1" si="4"/>
        <v>0</v>
      </c>
      <c r="K31" s="72">
        <v>0</v>
      </c>
      <c r="L31" s="72">
        <v>6</v>
      </c>
      <c r="M31" s="72"/>
      <c r="N31" s="66" t="str">
        <f t="shared" si="5"/>
        <v>DM</v>
      </c>
    </row>
    <row r="32" spans="1:14" ht="15.75" x14ac:dyDescent="0.25">
      <c r="A32" s="139"/>
      <c r="B32" s="72">
        <v>7</v>
      </c>
      <c r="C32" s="72" t="s">
        <v>83</v>
      </c>
      <c r="D32" s="72" t="str">
        <f>INSCRIPTS!C26</f>
        <v>7C</v>
      </c>
      <c r="E32" s="78">
        <f ca="1">SUM(,IF(INDIRECT(ADDRESS(14,3,,,"MATCHS"))&gt;INDIRECT(ADDRESS(14,5,,,"MATCHS")),1,0),,IF(INDIRECT(ADDRESS(31,5,,,"MATCHS"))&gt;INDIRECT(ADDRESS(31,3,,,"MATCHS")),1,0),,,IF(INDIRECT(ADDRESS(51,5,,,"MATCHS"))&gt;INDIRECT(ADDRESS(51,3,,,"MATCHS")),1,0),,IF(INDIRECT(ADDRESS(68,5,,,"MATCHS"))&gt;INDIRECT(ADDRESS(68,3,,,"MATCHS")),1,0),,IF(INDIRECT(ADDRESS(87,5,,,"MATCHS"))&gt;INDIRECT(ADDRESS(87,3,,,"MATCHS")),1,0),,IF(INDIRECT(ADDRESS(102,5,,,"MATCHS"))&gt;INDIRECT(ADDRESS(102,3,,,"MATCHS")),1,0),,,IF(INDIRECT(ADDRESS(122,5,,,"MATCHS"))&gt;INDIRECT(ADDRESS(122,3,,,"MATCHS")),1,0)) + 0.01 * K32</f>
        <v>0</v>
      </c>
      <c r="F32" s="72">
        <f ca="1">SUM(,IF(INDIRECT(ADDRESS(14,3,,,"MATCHS"))&lt;INDIRECT(ADDRESS(14,5,,,"MATCHS")),1,0),,IF(INDIRECT(ADDRESS(31,5,,,"MATCHS"))&lt;INDIRECT(ADDRESS(31,3,,,"MATCHS")),1,0),,,IF(INDIRECT(ADDRESS(51,5,,,"MATCHS"))&lt;INDIRECT(ADDRESS(51,3,,,"MATCHS")),1,0),,IF(INDIRECT(ADDRESS(68,5,,,"MATCHS"))&lt;INDIRECT(ADDRESS(68,3,,,"MATCHS")),1,0),,IF(INDIRECT(ADDRESS(87,5,,,"MATCHS"))&lt;INDIRECT(ADDRESS(87,3,,,"MATCHS")),1,0),,IF(INDIRECT(ADDRESS(102,5,,,"MATCHS"))&lt;INDIRECT(ADDRESS(102,3,,,"MATCHS")),1,0),,,IF(INDIRECT(ADDRESS(122,5,,,"MATCHS"))&lt;INDIRECT(ADDRESS(122,3,,,"MATCHS")),1,0))</f>
        <v>0</v>
      </c>
      <c r="G32" s="72">
        <f ca="1">SUM(,IF(IFERROR(FIND("--",INDIRECT(ADDRESS(14,3,,,"MATCHS"))),FALSE),LEFT(INDIRECT(ADDRESS(14,3,,,"MATCHS")), FIND("--",INDIRECT(ADDRESS(14,3,,,"MATCHS")),1)-1),INDIRECT(ADDRESS(14,3,,,"MATCHS"))),,IF(IFERROR(FIND("--",INDIRECT(ADDRESS(31,5,,,"MATCHS"))),FALSE),LEFT(INDIRECT(ADDRESS(31,5,,,"MATCHS")), FIND("--",INDIRECT(ADDRESS(31,5,,,"MATCHS")),1)-1),INDIRECT(ADDRESS(31,5,,,"MATCHS"))),,,IF(IFERROR(FIND("--",INDIRECT(ADDRESS(51,5,,,"MATCHS"))),FALSE),LEFT(INDIRECT(ADDRESS(51,5,,,"MATCHS")), FIND("--",INDIRECT(ADDRESS(51,5,,,"MATCHS")),1)-1),INDIRECT(ADDRESS(51,5,,,"MATCHS"))),,IF(IFERROR(FIND("--",INDIRECT(ADDRESS(68,5,,,"MATCHS"))),FALSE),LEFT(INDIRECT(ADDRESS(68,5,,,"MATCHS")), FIND("--",INDIRECT(ADDRESS(68,5,,,"MATCHS")),1)-1),INDIRECT(ADDRESS(68,5,,,"MATCHS"))),,IF(IFERROR(FIND("--",INDIRECT(ADDRESS(87,5,,,"MATCHS"))),FALSE),LEFT(INDIRECT(ADDRESS(87,5,,,"MATCHS")), FIND("--",INDIRECT(ADDRESS(87,5,,,"MATCHS")),1)-1),INDIRECT(ADDRESS(87,5,,,"MATCHS"))),,IF(IFERROR(FIND("--",INDIRECT(ADDRESS(102,5,,,"MATCHS"))),FALSE),LEFT(INDIRECT(ADDRESS(102,5,,,"MATCHS")), FIND("--",INDIRECT(ADDRESS(102,5,,,"MATCHS")),1)-1),INDIRECT(ADDRESS(102,5,,,"MATCHS"))),,,IF(IFERROR(FIND("--",INDIRECT(ADDRESS(122,5,,,"MATCHS"))),FALSE),LEFT(INDIRECT(ADDRESS(122,5,,,"MATCHS")), FIND("--",INDIRECT(ADDRESS(122,5,,,"MATCHS")),1)-1),INDIRECT(ADDRESS(122,5,,,"MATCHS"))))</f>
        <v>0</v>
      </c>
      <c r="H32" s="72">
        <f ca="1">SUM(,IF(IFERROR(FIND("--",INDIRECT(ADDRESS(14,3,,,"MATCHS"))),FALSE),RIGHT(INDIRECT(ADDRESS(14,3,,,"MATCHS")), FIND("--",INDIRECT(ADDRESS(14,3,,,"MATCHS")),1)),INDIRECT(ADDRESS(14,3,,,"MATCHS"))),,IF(IFERROR(FIND("--",INDIRECT(ADDRESS(31,5,,,"MATCHS"))),FALSE),RIGHT(INDIRECT(ADDRESS(31,5,,,"MATCHS")), FIND("--",INDIRECT(ADDRESS(31,5,,,"MATCHS")),1)),INDIRECT(ADDRESS(31,5,,,"MATCHS"))),,,IF(IFERROR(FIND("--",INDIRECT(ADDRESS(51,5,,,"MATCHS"))),FALSE),RIGHT(INDIRECT(ADDRESS(51,5,,,"MATCHS")), FIND("--",INDIRECT(ADDRESS(51,5,,,"MATCHS")),1)),INDIRECT(ADDRESS(51,5,,,"MATCHS"))),,IF(IFERROR(FIND("--",INDIRECT(ADDRESS(68,5,,,"MATCHS"))),FALSE),RIGHT(INDIRECT(ADDRESS(68,5,,,"MATCHS")), FIND("--",INDIRECT(ADDRESS(68,5,,,"MATCHS")),1)),INDIRECT(ADDRESS(68,5,,,"MATCHS"))),,IF(IFERROR(FIND("--",INDIRECT(ADDRESS(87,5,,,"MATCHS"))),FALSE),RIGHT(INDIRECT(ADDRESS(87,5,,,"MATCHS")), FIND("--",INDIRECT(ADDRESS(87,5,,,"MATCHS")),1)),INDIRECT(ADDRESS(87,5,,,"MATCHS"))),,IF(IFERROR(FIND("--",INDIRECT(ADDRESS(102,5,,,"MATCHS"))),FALSE),RIGHT(INDIRECT(ADDRESS(102,5,,,"MATCHS")), FIND("--",INDIRECT(ADDRESS(102,5,,,"MATCHS")),1)),INDIRECT(ADDRESS(102,5,,,"MATCHS"))),,,IF(IFERROR(FIND("--",INDIRECT(ADDRESS(122,5,,,"MATCHS"))),FALSE),RIGHT(INDIRECT(ADDRESS(122,5,,,"MATCHS")), FIND("--",INDIRECT(ADDRESS(122,5,,,"MATCHS")),1)),INDIRECT(ADDRESS(122,5,,,"MATCHS"))))</f>
        <v>0</v>
      </c>
      <c r="I32" s="72">
        <f ca="1">SUM(,IF(IFERROR(FIND("--",INDIRECT(ADDRESS(14,5,,,"MATCHS"))),FALSE),RIGHT(INDIRECT(ADDRESS(14,5,,,"MATCHS")), FIND("--",INDIRECT(ADDRESS(14,5,,,"MATCHS")),1)),INDIRECT(ADDRESS(14,5,,,"MATCHS"))),,IF(IFERROR(FIND("--",INDIRECT(ADDRESS(31,3,,,"MATCHS"))),FALSE),RIGHT(INDIRECT(ADDRESS(31,3,,,"MATCHS")), FIND("--",INDIRECT(ADDRESS(31,3,,,"MATCHS")),1)),INDIRECT(ADDRESS(31,3,,,"MATCHS"))),,,IF(IFERROR(FIND("--",INDIRECT(ADDRESS(51,3,,,"MATCHS"))),FALSE),RIGHT(INDIRECT(ADDRESS(51,3,,,"MATCHS")), FIND("--",INDIRECT(ADDRESS(51,3,,,"MATCHS")),1)),INDIRECT(ADDRESS(51,3,,,"MATCHS"))),,IF(IFERROR(FIND("--",INDIRECT(ADDRESS(68,3,,,"MATCHS"))),FALSE),RIGHT(INDIRECT(ADDRESS(68,3,,,"MATCHS")), FIND("--",INDIRECT(ADDRESS(68,3,,,"MATCHS")),1)),INDIRECT(ADDRESS(68,3,,,"MATCHS"))),,IF(IFERROR(FIND("--",INDIRECT(ADDRESS(87,3,,,"MATCHS"))),FALSE),RIGHT(INDIRECT(ADDRESS(87,3,,,"MATCHS")), FIND("--",INDIRECT(ADDRESS(87,3,,,"MATCHS")),1)),INDIRECT(ADDRESS(87,3,,,"MATCHS"))),,IF(IFERROR(FIND("--",INDIRECT(ADDRESS(102,3,,,"MATCHS"))),FALSE),RIGHT(INDIRECT(ADDRESS(102,3,,,"MATCHS")), FIND("--",INDIRECT(ADDRESS(102,3,,,"MATCHS")),1)),INDIRECT(ADDRESS(102,3,,,"MATCHS"))),,,IF(IFERROR(FIND("--",INDIRECT(ADDRESS(122,3,,,"MATCHS"))),FALSE),RIGHT(INDIRECT(ADDRESS(122,3,,,"MATCHS")), FIND("--",INDIRECT(ADDRESS(122,3,,,"MATCHS")),1)),INDIRECT(ADDRESS(122,3,,,"MATCHS"))))</f>
        <v>0</v>
      </c>
      <c r="J32" s="72">
        <f t="shared" ca="1" si="4"/>
        <v>0</v>
      </c>
      <c r="K32" s="72">
        <v>0</v>
      </c>
      <c r="L32" s="72">
        <v>7</v>
      </c>
      <c r="M32" s="72"/>
      <c r="N32" s="66" t="str">
        <f t="shared" si="5"/>
        <v>DM</v>
      </c>
    </row>
    <row r="33" spans="1:14" ht="15.75" x14ac:dyDescent="0.25">
      <c r="A33" s="139"/>
      <c r="B33" s="72">
        <v>8</v>
      </c>
      <c r="C33" s="72" t="s">
        <v>84</v>
      </c>
      <c r="D33" s="72" t="str">
        <f>INSCRIPTS!C27</f>
        <v>8C</v>
      </c>
      <c r="E33" s="78">
        <f ca="1">SUM(,IF(INDIRECT(ADDRESS(14,5,,,"MATCHS"))&gt;INDIRECT(ADDRESS(14,3,,,"MATCHS")),1,0),,IF(INDIRECT(ADDRESS(32,5,,,"MATCHS"))&gt;INDIRECT(ADDRESS(32,3,,,"MATCHS")),1,0),,,IF(INDIRECT(ADDRESS(50,5,,,"MATCHS"))&gt;INDIRECT(ADDRESS(50,3,,,"MATCHS")),1,0),,IF(INDIRECT(ADDRESS(69,5,,,"MATCHS"))&gt;INDIRECT(ADDRESS(69,3,,,"MATCHS")),1,0),,IF(INDIRECT(ADDRESS(86,5,,,"MATCHS"))&gt;INDIRECT(ADDRESS(86,3,,,"MATCHS")),1,0),,IF(INDIRECT(ADDRESS(103,5,,,"MATCHS"))&gt;INDIRECT(ADDRESS(103,3,,,"MATCHS")),1,0),,IF(INDIRECT(ADDRESS(120,5,,,"MATCHS"))&gt;INDIRECT(ADDRESS(120,3,,,"MATCHS")),1,0),) + 0.01 * K33</f>
        <v>0</v>
      </c>
      <c r="F33" s="72">
        <f ca="1">SUM(,IF(INDIRECT(ADDRESS(14,5,,,"MATCHS"))&lt;INDIRECT(ADDRESS(14,3,,,"MATCHS")),1,0),,IF(INDIRECT(ADDRESS(32,5,,,"MATCHS"))&lt;INDIRECT(ADDRESS(32,3,,,"MATCHS")),1,0),,,IF(INDIRECT(ADDRESS(50,5,,,"MATCHS"))&lt;INDIRECT(ADDRESS(50,3,,,"MATCHS")),1,0),,IF(INDIRECT(ADDRESS(69,5,,,"MATCHS"))&lt;INDIRECT(ADDRESS(69,3,,,"MATCHS")),1,0),,IF(INDIRECT(ADDRESS(86,5,,,"MATCHS"))&lt;INDIRECT(ADDRESS(86,3,,,"MATCHS")),1,0),,IF(INDIRECT(ADDRESS(103,5,,,"MATCHS"))&lt;INDIRECT(ADDRESS(103,3,,,"MATCHS")),1,0),,IF(INDIRECT(ADDRESS(120,5,,,"MATCHS"))&lt;INDIRECT(ADDRESS(120,3,,,"MATCHS")),1,0),)</f>
        <v>0</v>
      </c>
      <c r="G33" s="72">
        <f ca="1">SUM(,IF(IFERROR(FIND("--",INDIRECT(ADDRESS(14,5,,,"MATCHS"))),FALSE),LEFT(INDIRECT(ADDRESS(14,5,,,"MATCHS")), FIND("--",INDIRECT(ADDRESS(14,5,,,"MATCHS")),1)-1),INDIRECT(ADDRESS(14,5,,,"MATCHS"))),,IF(IFERROR(FIND("--",INDIRECT(ADDRESS(32,5,,,"MATCHS"))),FALSE),LEFT(INDIRECT(ADDRESS(32,5,,,"MATCHS")), FIND("--",INDIRECT(ADDRESS(32,5,,,"MATCHS")),1)-1),INDIRECT(ADDRESS(32,5,,,"MATCHS"))),,,IF(IFERROR(FIND("--",INDIRECT(ADDRESS(50,5,,,"MATCHS"))),FALSE),LEFT(INDIRECT(ADDRESS(50,5,,,"MATCHS")), FIND("--",INDIRECT(ADDRESS(50,5,,,"MATCHS")),1)-1),INDIRECT(ADDRESS(50,5,,,"MATCHS"))),,IF(IFERROR(FIND("--",INDIRECT(ADDRESS(69,5,,,"MATCHS"))),FALSE),LEFT(INDIRECT(ADDRESS(69,5,,,"MATCHS")), FIND("--",INDIRECT(ADDRESS(69,5,,,"MATCHS")),1)-1),INDIRECT(ADDRESS(69,5,,,"MATCHS"))),,IF(IFERROR(FIND("--",INDIRECT(ADDRESS(86,5,,,"MATCHS"))),FALSE),LEFT(INDIRECT(ADDRESS(86,5,,,"MATCHS")), FIND("--",INDIRECT(ADDRESS(86,5,,,"MATCHS")),1)-1),INDIRECT(ADDRESS(86,5,,,"MATCHS"))),,IF(IFERROR(FIND("--",INDIRECT(ADDRESS(103,5,,,"MATCHS"))),FALSE),LEFT(INDIRECT(ADDRESS(103,5,,,"MATCHS")), FIND("--",INDIRECT(ADDRESS(103,5,,,"MATCHS")),1)-1),INDIRECT(ADDRESS(103,5,,,"MATCHS"))),,IF(IFERROR(FIND("--",INDIRECT(ADDRESS(120,5,,,"MATCHS"))),FALSE),LEFT(INDIRECT(ADDRESS(120,5,,,"MATCHS")), FIND("--",INDIRECT(ADDRESS(120,5,,,"MATCHS")),1)-1),INDIRECT(ADDRESS(120,5,,,"MATCHS"))),)</f>
        <v>0</v>
      </c>
      <c r="H33" s="72">
        <f ca="1">SUM(,IF(IFERROR(FIND("--",INDIRECT(ADDRESS(14,5,,,"MATCHS"))),FALSE),RIGHT(INDIRECT(ADDRESS(14,5,,,"MATCHS")), FIND("--",INDIRECT(ADDRESS(14,5,,,"MATCHS")),1)),INDIRECT(ADDRESS(14,5,,,"MATCHS"))),,IF(IFERROR(FIND("--",INDIRECT(ADDRESS(32,5,,,"MATCHS"))),FALSE),RIGHT(INDIRECT(ADDRESS(32,5,,,"MATCHS")), FIND("--",INDIRECT(ADDRESS(32,5,,,"MATCHS")),1)),INDIRECT(ADDRESS(32,5,,,"MATCHS"))),,,IF(IFERROR(FIND("--",INDIRECT(ADDRESS(50,5,,,"MATCHS"))),FALSE),RIGHT(INDIRECT(ADDRESS(50,5,,,"MATCHS")), FIND("--",INDIRECT(ADDRESS(50,5,,,"MATCHS")),1)),INDIRECT(ADDRESS(50,5,,,"MATCHS"))),,IF(IFERROR(FIND("--",INDIRECT(ADDRESS(69,5,,,"MATCHS"))),FALSE),RIGHT(INDIRECT(ADDRESS(69,5,,,"MATCHS")), FIND("--",INDIRECT(ADDRESS(69,5,,,"MATCHS")),1)),INDIRECT(ADDRESS(69,5,,,"MATCHS"))),,IF(IFERROR(FIND("--",INDIRECT(ADDRESS(86,5,,,"MATCHS"))),FALSE),RIGHT(INDIRECT(ADDRESS(86,5,,,"MATCHS")), FIND("--",INDIRECT(ADDRESS(86,5,,,"MATCHS")),1)),INDIRECT(ADDRESS(86,5,,,"MATCHS"))),,IF(IFERROR(FIND("--",INDIRECT(ADDRESS(103,5,,,"MATCHS"))),FALSE),RIGHT(INDIRECT(ADDRESS(103,5,,,"MATCHS")), FIND("--",INDIRECT(ADDRESS(103,5,,,"MATCHS")),1)),INDIRECT(ADDRESS(103,5,,,"MATCHS"))),,IF(IFERROR(FIND("--",INDIRECT(ADDRESS(120,5,,,"MATCHS"))),FALSE),RIGHT(INDIRECT(ADDRESS(120,5,,,"MATCHS")), FIND("--",INDIRECT(ADDRESS(120,5,,,"MATCHS")),1)),INDIRECT(ADDRESS(120,5,,,"MATCHS"))),)</f>
        <v>0</v>
      </c>
      <c r="I33" s="72">
        <f ca="1">SUM(,IF(IFERROR(FIND("--",INDIRECT(ADDRESS(14,3,,,"MATCHS"))),FALSE),RIGHT(INDIRECT(ADDRESS(14,3,,,"MATCHS")), FIND("--",INDIRECT(ADDRESS(14,3,,,"MATCHS")),1)),INDIRECT(ADDRESS(14,3,,,"MATCHS"))),,IF(IFERROR(FIND("--",INDIRECT(ADDRESS(32,3,,,"MATCHS"))),FALSE),RIGHT(INDIRECT(ADDRESS(32,3,,,"MATCHS")), FIND("--",INDIRECT(ADDRESS(32,3,,,"MATCHS")),1)),INDIRECT(ADDRESS(32,3,,,"MATCHS"))),,,IF(IFERROR(FIND("--",INDIRECT(ADDRESS(50,3,,,"MATCHS"))),FALSE),RIGHT(INDIRECT(ADDRESS(50,3,,,"MATCHS")), FIND("--",INDIRECT(ADDRESS(50,3,,,"MATCHS")),1)),INDIRECT(ADDRESS(50,3,,,"MATCHS"))),,IF(IFERROR(FIND("--",INDIRECT(ADDRESS(69,3,,,"MATCHS"))),FALSE),RIGHT(INDIRECT(ADDRESS(69,3,,,"MATCHS")), FIND("--",INDIRECT(ADDRESS(69,3,,,"MATCHS")),1)),INDIRECT(ADDRESS(69,3,,,"MATCHS"))),,IF(IFERROR(FIND("--",INDIRECT(ADDRESS(86,3,,,"MATCHS"))),FALSE),RIGHT(INDIRECT(ADDRESS(86,3,,,"MATCHS")), FIND("--",INDIRECT(ADDRESS(86,3,,,"MATCHS")),1)),INDIRECT(ADDRESS(86,3,,,"MATCHS"))),,IF(IFERROR(FIND("--",INDIRECT(ADDRESS(103,3,,,"MATCHS"))),FALSE),RIGHT(INDIRECT(ADDRESS(103,3,,,"MATCHS")), FIND("--",INDIRECT(ADDRESS(103,3,,,"MATCHS")),1)),INDIRECT(ADDRESS(103,3,,,"MATCHS"))),,IF(IFERROR(FIND("--",INDIRECT(ADDRESS(120,3,,,"MATCHS"))),FALSE),RIGHT(INDIRECT(ADDRESS(120,3,,,"MATCHS")), FIND("--",INDIRECT(ADDRESS(120,3,,,"MATCHS")),1)),INDIRECT(ADDRESS(120,3,,,"MATCHS"))),)</f>
        <v>0</v>
      </c>
      <c r="J33" s="72">
        <f t="shared" ca="1" si="4"/>
        <v>0</v>
      </c>
      <c r="K33" s="72">
        <v>0</v>
      </c>
      <c r="L33" s="72">
        <v>8</v>
      </c>
      <c r="M33" s="72"/>
      <c r="N33" s="66" t="str">
        <f t="shared" si="5"/>
        <v>DM</v>
      </c>
    </row>
    <row r="34" spans="1:14" ht="15.75" thickBot="1" x14ac:dyDescent="0.3"/>
    <row r="35" spans="1:14" ht="30.95" customHeight="1" thickBot="1" x14ac:dyDescent="0.3">
      <c r="C35" s="68" t="s">
        <v>107</v>
      </c>
      <c r="D35" s="68" t="s">
        <v>53</v>
      </c>
      <c r="E35" s="75" t="s">
        <v>108</v>
      </c>
      <c r="F35" s="68" t="s">
        <v>109</v>
      </c>
      <c r="G35" s="68" t="s">
        <v>110</v>
      </c>
      <c r="H35" s="68" t="s">
        <v>111</v>
      </c>
      <c r="I35" s="68" t="s">
        <v>112</v>
      </c>
      <c r="J35" s="68" t="s">
        <v>113</v>
      </c>
      <c r="K35" s="69" t="s">
        <v>114</v>
      </c>
      <c r="L35" s="68" t="s">
        <v>115</v>
      </c>
      <c r="M35" s="69" t="s">
        <v>116</v>
      </c>
    </row>
    <row r="37" spans="1:14" ht="15.75" x14ac:dyDescent="0.25">
      <c r="A37" s="140" t="s">
        <v>60</v>
      </c>
      <c r="B37" s="73">
        <v>1</v>
      </c>
      <c r="C37" s="73" t="s">
        <v>85</v>
      </c>
      <c r="D37" s="73" t="str">
        <f>INSCRIPTS!C29</f>
        <v>1D</v>
      </c>
      <c r="E37" s="79">
        <f ca="1">SUM(,IF(INDIRECT(ADDRESS(15,3,,,"MATCHS"))&gt;INDIRECT(ADDRESS(15,5,,,"MATCHS")),1,0),,,IF(INDIRECT(ADDRESS(34,3,,,"MATCHS"))&gt;INDIRECT(ADDRESS(34,5,,,"MATCHS")),1,0),,IF(INDIRECT(ADDRESS(52,3,,,"MATCHS"))&gt;INDIRECT(ADDRESS(52,5,,,"MATCHS")),1,0),,IF(INDIRECT(ADDRESS(70,3,,,"MATCHS"))&gt;INDIRECT(ADDRESS(70,5,,,"MATCHS")),1,0),,IF(INDIRECT(ADDRESS(88,3,,,"MATCHS"))&gt;INDIRECT(ADDRESS(88,5,,,"MATCHS")),1,0),,,IF(INDIRECT(ADDRESS(107,3,,,"MATCHS"))&gt;INDIRECT(ADDRESS(107,5,,,"MATCHS")),1,0),,IF(INDIRECT(ADDRESS(125,3,,,"MATCHS"))&gt;INDIRECT(ADDRESS(125,5,,,"MATCHS")),1,0)) + 0.01 * K37</f>
        <v>0</v>
      </c>
      <c r="F37" s="73">
        <f ca="1">SUM(,IF(INDIRECT(ADDRESS(15,3,,,"MATCHS"))&lt;INDIRECT(ADDRESS(15,5,,,"MATCHS")),1,0),,,IF(INDIRECT(ADDRESS(34,3,,,"MATCHS"))&lt;INDIRECT(ADDRESS(34,5,,,"MATCHS")),1,0),,IF(INDIRECT(ADDRESS(52,3,,,"MATCHS"))&lt;INDIRECT(ADDRESS(52,5,,,"MATCHS")),1,0),,IF(INDIRECT(ADDRESS(70,3,,,"MATCHS"))&lt;INDIRECT(ADDRESS(70,5,,,"MATCHS")),1,0),,IF(INDIRECT(ADDRESS(88,3,,,"MATCHS"))&lt;INDIRECT(ADDRESS(88,5,,,"MATCHS")),1,0),,,IF(INDIRECT(ADDRESS(107,3,,,"MATCHS"))&lt;INDIRECT(ADDRESS(107,5,,,"MATCHS")),1,0),,IF(INDIRECT(ADDRESS(125,3,,,"MATCHS"))&lt;INDIRECT(ADDRESS(125,5,,,"MATCHS")),1,0))</f>
        <v>0</v>
      </c>
      <c r="G37" s="73">
        <f ca="1">SUM(,IF(IFERROR(FIND("--",INDIRECT(ADDRESS(15,3,,,"MATCHS"))),FALSE),LEFT(INDIRECT(ADDRESS(15,3,,,"MATCHS")), FIND("--",INDIRECT(ADDRESS(15,3,,,"MATCHS")),1)-1),INDIRECT(ADDRESS(15,3,,,"MATCHS"))),,,IF(IFERROR(FIND("--",INDIRECT(ADDRESS(34,3,,,"MATCHS"))),FALSE),LEFT(INDIRECT(ADDRESS(34,3,,,"MATCHS")), FIND("--",INDIRECT(ADDRESS(34,3,,,"MATCHS")),1)-1),INDIRECT(ADDRESS(34,3,,,"MATCHS"))),,IF(IFERROR(FIND("--",INDIRECT(ADDRESS(52,3,,,"MATCHS"))),FALSE),LEFT(INDIRECT(ADDRESS(52,3,,,"MATCHS")), FIND("--",INDIRECT(ADDRESS(52,3,,,"MATCHS")),1)-1),INDIRECT(ADDRESS(52,3,,,"MATCHS"))),,IF(IFERROR(FIND("--",INDIRECT(ADDRESS(70,3,,,"MATCHS"))),FALSE),LEFT(INDIRECT(ADDRESS(70,3,,,"MATCHS")), FIND("--",INDIRECT(ADDRESS(70,3,,,"MATCHS")),1)-1),INDIRECT(ADDRESS(70,3,,,"MATCHS"))),,IF(IFERROR(FIND("--",INDIRECT(ADDRESS(88,3,,,"MATCHS"))),FALSE),LEFT(INDIRECT(ADDRESS(88,3,,,"MATCHS")), FIND("--",INDIRECT(ADDRESS(88,3,,,"MATCHS")),1)-1),INDIRECT(ADDRESS(88,3,,,"MATCHS"))),,,IF(IFERROR(FIND("--",INDIRECT(ADDRESS(107,3,,,"MATCHS"))),FALSE),LEFT(INDIRECT(ADDRESS(107,3,,,"MATCHS")), FIND("--",INDIRECT(ADDRESS(107,3,,,"MATCHS")),1)-1),INDIRECT(ADDRESS(107,3,,,"MATCHS"))),,IF(IFERROR(FIND("--",INDIRECT(ADDRESS(125,3,,,"MATCHS"))),FALSE),LEFT(INDIRECT(ADDRESS(125,3,,,"MATCHS")), FIND("--",INDIRECT(ADDRESS(125,3,,,"MATCHS")),1)-1),INDIRECT(ADDRESS(125,3,,,"MATCHS"))))</f>
        <v>0</v>
      </c>
      <c r="H37" s="73">
        <f ca="1">SUM(,IF(IFERROR(FIND("--",INDIRECT(ADDRESS(15,3,,,"MATCHS"))),FALSE),RIGHT(INDIRECT(ADDRESS(15,3,,,"MATCHS")), FIND("--",INDIRECT(ADDRESS(15,3,,,"MATCHS")),1)),INDIRECT(ADDRESS(15,3,,,"MATCHS"))),,,IF(IFERROR(FIND("--",INDIRECT(ADDRESS(34,3,,,"MATCHS"))),FALSE),RIGHT(INDIRECT(ADDRESS(34,3,,,"MATCHS")), FIND("--",INDIRECT(ADDRESS(34,3,,,"MATCHS")),1)),INDIRECT(ADDRESS(34,3,,,"MATCHS"))),,IF(IFERROR(FIND("--",INDIRECT(ADDRESS(52,3,,,"MATCHS"))),FALSE),RIGHT(INDIRECT(ADDRESS(52,3,,,"MATCHS")), FIND("--",INDIRECT(ADDRESS(52,3,,,"MATCHS")),1)),INDIRECT(ADDRESS(52,3,,,"MATCHS"))),,IF(IFERROR(FIND("--",INDIRECT(ADDRESS(70,3,,,"MATCHS"))),FALSE),RIGHT(INDIRECT(ADDRESS(70,3,,,"MATCHS")), FIND("--",INDIRECT(ADDRESS(70,3,,,"MATCHS")),1)),INDIRECT(ADDRESS(70,3,,,"MATCHS"))),,IF(IFERROR(FIND("--",INDIRECT(ADDRESS(88,3,,,"MATCHS"))),FALSE),RIGHT(INDIRECT(ADDRESS(88,3,,,"MATCHS")), FIND("--",INDIRECT(ADDRESS(88,3,,,"MATCHS")),1)),INDIRECT(ADDRESS(88,3,,,"MATCHS"))),,,IF(IFERROR(FIND("--",INDIRECT(ADDRESS(107,3,,,"MATCHS"))),FALSE),RIGHT(INDIRECT(ADDRESS(107,3,,,"MATCHS")), FIND("--",INDIRECT(ADDRESS(107,3,,,"MATCHS")),1)),INDIRECT(ADDRESS(107,3,,,"MATCHS"))),,IF(IFERROR(FIND("--",INDIRECT(ADDRESS(125,3,,,"MATCHS"))),FALSE),RIGHT(INDIRECT(ADDRESS(125,3,,,"MATCHS")), FIND("--",INDIRECT(ADDRESS(125,3,,,"MATCHS")),1)),INDIRECT(ADDRESS(125,3,,,"MATCHS"))))</f>
        <v>0</v>
      </c>
      <c r="I37" s="73">
        <f ca="1">SUM(,IF(IFERROR(FIND("--",INDIRECT(ADDRESS(15,5,,,"MATCHS"))),FALSE),RIGHT(INDIRECT(ADDRESS(15,5,,,"MATCHS")), FIND("--",INDIRECT(ADDRESS(15,5,,,"MATCHS")),1)),INDIRECT(ADDRESS(15,5,,,"MATCHS"))),,,IF(IFERROR(FIND("--",INDIRECT(ADDRESS(34,5,,,"MATCHS"))),FALSE),RIGHT(INDIRECT(ADDRESS(34,5,,,"MATCHS")), FIND("--",INDIRECT(ADDRESS(34,5,,,"MATCHS")),1)),INDIRECT(ADDRESS(34,5,,,"MATCHS"))),,IF(IFERROR(FIND("--",INDIRECT(ADDRESS(52,5,,,"MATCHS"))),FALSE),RIGHT(INDIRECT(ADDRESS(52,5,,,"MATCHS")), FIND("--",INDIRECT(ADDRESS(52,5,,,"MATCHS")),1)),INDIRECT(ADDRESS(52,5,,,"MATCHS"))),,IF(IFERROR(FIND("--",INDIRECT(ADDRESS(70,5,,,"MATCHS"))),FALSE),RIGHT(INDIRECT(ADDRESS(70,5,,,"MATCHS")), FIND("--",INDIRECT(ADDRESS(70,5,,,"MATCHS")),1)),INDIRECT(ADDRESS(70,5,,,"MATCHS"))),,IF(IFERROR(FIND("--",INDIRECT(ADDRESS(88,5,,,"MATCHS"))),FALSE),RIGHT(INDIRECT(ADDRESS(88,5,,,"MATCHS")), FIND("--",INDIRECT(ADDRESS(88,5,,,"MATCHS")),1)),INDIRECT(ADDRESS(88,5,,,"MATCHS"))),,,IF(IFERROR(FIND("--",INDIRECT(ADDRESS(107,5,,,"MATCHS"))),FALSE),RIGHT(INDIRECT(ADDRESS(107,5,,,"MATCHS")), FIND("--",INDIRECT(ADDRESS(107,5,,,"MATCHS")),1)),INDIRECT(ADDRESS(107,5,,,"MATCHS"))),,IF(IFERROR(FIND("--",INDIRECT(ADDRESS(125,5,,,"MATCHS"))),FALSE),RIGHT(INDIRECT(ADDRESS(125,5,,,"MATCHS")), FIND("--",INDIRECT(ADDRESS(125,5,,,"MATCHS")),1)),INDIRECT(ADDRESS(125,5,,,"MATCHS"))))</f>
        <v>0</v>
      </c>
      <c r="J37" s="73">
        <f t="shared" ref="J37:J44" ca="1" si="6">H37 - I37</f>
        <v>0</v>
      </c>
      <c r="K37" s="73">
        <v>0</v>
      </c>
      <c r="L37" s="73">
        <v>1</v>
      </c>
      <c r="M37" s="73"/>
      <c r="N37" s="66" t="str">
        <f t="shared" ref="N37:N44" si="7">M37 &amp; "DH"</f>
        <v>DH</v>
      </c>
    </row>
    <row r="38" spans="1:14" ht="15.75" x14ac:dyDescent="0.25">
      <c r="A38" s="140"/>
      <c r="B38" s="73">
        <v>2</v>
      </c>
      <c r="C38" s="73" t="s">
        <v>86</v>
      </c>
      <c r="D38" s="73" t="str">
        <f>INSCRIPTS!C30</f>
        <v>2D</v>
      </c>
      <c r="E38" s="79">
        <f ca="1">SUM(,IF(INDIRECT(ADDRESS(15,5,,,"MATCHS"))&gt;INDIRECT(ADDRESS(15,3,,,"MATCHS")),1,0),,,IF(INDIRECT(ADDRESS(35,3,,,"MATCHS"))&gt;INDIRECT(ADDRESS(35,5,,,"MATCHS")),1,0),,IF(INDIRECT(ADDRESS(53,3,,,"MATCHS"))&gt;INDIRECT(ADDRESS(53,5,,,"MATCHS")),1,0),,IF(INDIRECT(ADDRESS(71,3,,,"MATCHS"))&gt;INDIRECT(ADDRESS(71,5,,,"MATCHS")),1,0),,,IF(INDIRECT(ADDRESS(90,3,,,"MATCHS"))&gt;INDIRECT(ADDRESS(90,5,,,"MATCHS")),1,0),,IF(INDIRECT(ADDRESS(108,3,,,"MATCHS"))&gt;INDIRECT(ADDRESS(108,5,,,"MATCHS")),1,0),,IF(INDIRECT(ADDRESS(126,3,,,"MATCHS"))&gt;INDIRECT(ADDRESS(126,5,,,"MATCHS")),1,0)) + 0.01 * K38</f>
        <v>0</v>
      </c>
      <c r="F38" s="73">
        <f ca="1">SUM(,IF(INDIRECT(ADDRESS(15,5,,,"MATCHS"))&lt;INDIRECT(ADDRESS(15,3,,,"MATCHS")),1,0),,,IF(INDIRECT(ADDRESS(35,3,,,"MATCHS"))&lt;INDIRECT(ADDRESS(35,5,,,"MATCHS")),1,0),,IF(INDIRECT(ADDRESS(53,3,,,"MATCHS"))&lt;INDIRECT(ADDRESS(53,5,,,"MATCHS")),1,0),,IF(INDIRECT(ADDRESS(71,3,,,"MATCHS"))&lt;INDIRECT(ADDRESS(71,5,,,"MATCHS")),1,0),,,IF(INDIRECT(ADDRESS(90,3,,,"MATCHS"))&lt;INDIRECT(ADDRESS(90,5,,,"MATCHS")),1,0),,IF(INDIRECT(ADDRESS(108,3,,,"MATCHS"))&lt;INDIRECT(ADDRESS(108,5,,,"MATCHS")),1,0),,IF(INDIRECT(ADDRESS(126,3,,,"MATCHS"))&lt;INDIRECT(ADDRESS(126,5,,,"MATCHS")),1,0))</f>
        <v>0</v>
      </c>
      <c r="G38" s="73">
        <f ca="1">SUM(,IF(IFERROR(FIND("--",INDIRECT(ADDRESS(15,5,,,"MATCHS"))),FALSE),LEFT(INDIRECT(ADDRESS(15,5,,,"MATCHS")), FIND("--",INDIRECT(ADDRESS(15,5,,,"MATCHS")),1)-1),INDIRECT(ADDRESS(15,5,,,"MATCHS"))),,,IF(IFERROR(FIND("--",INDIRECT(ADDRESS(35,3,,,"MATCHS"))),FALSE),LEFT(INDIRECT(ADDRESS(35,3,,,"MATCHS")), FIND("--",INDIRECT(ADDRESS(35,3,,,"MATCHS")),1)-1),INDIRECT(ADDRESS(35,3,,,"MATCHS"))),,IF(IFERROR(FIND("--",INDIRECT(ADDRESS(53,3,,,"MATCHS"))),FALSE),LEFT(INDIRECT(ADDRESS(53,3,,,"MATCHS")), FIND("--",INDIRECT(ADDRESS(53,3,,,"MATCHS")),1)-1),INDIRECT(ADDRESS(53,3,,,"MATCHS"))),,IF(IFERROR(FIND("--",INDIRECT(ADDRESS(71,3,,,"MATCHS"))),FALSE),LEFT(INDIRECT(ADDRESS(71,3,,,"MATCHS")), FIND("--",INDIRECT(ADDRESS(71,3,,,"MATCHS")),1)-1),INDIRECT(ADDRESS(71,3,,,"MATCHS"))),,,IF(IFERROR(FIND("--",INDIRECT(ADDRESS(90,3,,,"MATCHS"))),FALSE),LEFT(INDIRECT(ADDRESS(90,3,,,"MATCHS")), FIND("--",INDIRECT(ADDRESS(90,3,,,"MATCHS")),1)-1),INDIRECT(ADDRESS(90,3,,,"MATCHS"))),,IF(IFERROR(FIND("--",INDIRECT(ADDRESS(108,3,,,"MATCHS"))),FALSE),LEFT(INDIRECT(ADDRESS(108,3,,,"MATCHS")), FIND("--",INDIRECT(ADDRESS(108,3,,,"MATCHS")),1)-1),INDIRECT(ADDRESS(108,3,,,"MATCHS"))),,IF(IFERROR(FIND("--",INDIRECT(ADDRESS(126,3,,,"MATCHS"))),FALSE),LEFT(INDIRECT(ADDRESS(126,3,,,"MATCHS")), FIND("--",INDIRECT(ADDRESS(126,3,,,"MATCHS")),1)-1),INDIRECT(ADDRESS(126,3,,,"MATCHS"))))</f>
        <v>0</v>
      </c>
      <c r="H38" s="73">
        <f ca="1">SUM(,IF(IFERROR(FIND("--",INDIRECT(ADDRESS(15,5,,,"MATCHS"))),FALSE),RIGHT(INDIRECT(ADDRESS(15,5,,,"MATCHS")), FIND("--",INDIRECT(ADDRESS(15,5,,,"MATCHS")),1)),INDIRECT(ADDRESS(15,5,,,"MATCHS"))),,,IF(IFERROR(FIND("--",INDIRECT(ADDRESS(35,3,,,"MATCHS"))),FALSE),RIGHT(INDIRECT(ADDRESS(35,3,,,"MATCHS")), FIND("--",INDIRECT(ADDRESS(35,3,,,"MATCHS")),1)),INDIRECT(ADDRESS(35,3,,,"MATCHS"))),,IF(IFERROR(FIND("--",INDIRECT(ADDRESS(53,3,,,"MATCHS"))),FALSE),RIGHT(INDIRECT(ADDRESS(53,3,,,"MATCHS")), FIND("--",INDIRECT(ADDRESS(53,3,,,"MATCHS")),1)),INDIRECT(ADDRESS(53,3,,,"MATCHS"))),,IF(IFERROR(FIND("--",INDIRECT(ADDRESS(71,3,,,"MATCHS"))),FALSE),RIGHT(INDIRECT(ADDRESS(71,3,,,"MATCHS")), FIND("--",INDIRECT(ADDRESS(71,3,,,"MATCHS")),1)),INDIRECT(ADDRESS(71,3,,,"MATCHS"))),,,IF(IFERROR(FIND("--",INDIRECT(ADDRESS(90,3,,,"MATCHS"))),FALSE),RIGHT(INDIRECT(ADDRESS(90,3,,,"MATCHS")), FIND("--",INDIRECT(ADDRESS(90,3,,,"MATCHS")),1)),INDIRECT(ADDRESS(90,3,,,"MATCHS"))),,IF(IFERROR(FIND("--",INDIRECT(ADDRESS(108,3,,,"MATCHS"))),FALSE),RIGHT(INDIRECT(ADDRESS(108,3,,,"MATCHS")), FIND("--",INDIRECT(ADDRESS(108,3,,,"MATCHS")),1)),INDIRECT(ADDRESS(108,3,,,"MATCHS"))),,IF(IFERROR(FIND("--",INDIRECT(ADDRESS(126,3,,,"MATCHS"))),FALSE),RIGHT(INDIRECT(ADDRESS(126,3,,,"MATCHS")), FIND("--",INDIRECT(ADDRESS(126,3,,,"MATCHS")),1)),INDIRECT(ADDRESS(126,3,,,"MATCHS"))))</f>
        <v>0</v>
      </c>
      <c r="I38" s="73">
        <f ca="1">SUM(,IF(IFERROR(FIND("--",INDIRECT(ADDRESS(15,3,,,"MATCHS"))),FALSE),RIGHT(INDIRECT(ADDRESS(15,3,,,"MATCHS")), FIND("--",INDIRECT(ADDRESS(15,3,,,"MATCHS")),1)),INDIRECT(ADDRESS(15,3,,,"MATCHS"))),,,IF(IFERROR(FIND("--",INDIRECT(ADDRESS(35,5,,,"MATCHS"))),FALSE),RIGHT(INDIRECT(ADDRESS(35,5,,,"MATCHS")), FIND("--",INDIRECT(ADDRESS(35,5,,,"MATCHS")),1)),INDIRECT(ADDRESS(35,5,,,"MATCHS"))),,IF(IFERROR(FIND("--",INDIRECT(ADDRESS(53,5,,,"MATCHS"))),FALSE),RIGHT(INDIRECT(ADDRESS(53,5,,,"MATCHS")), FIND("--",INDIRECT(ADDRESS(53,5,,,"MATCHS")),1)),INDIRECT(ADDRESS(53,5,,,"MATCHS"))),,IF(IFERROR(FIND("--",INDIRECT(ADDRESS(71,5,,,"MATCHS"))),FALSE),RIGHT(INDIRECT(ADDRESS(71,5,,,"MATCHS")), FIND("--",INDIRECT(ADDRESS(71,5,,,"MATCHS")),1)),INDIRECT(ADDRESS(71,5,,,"MATCHS"))),,,IF(IFERROR(FIND("--",INDIRECT(ADDRESS(90,5,,,"MATCHS"))),FALSE),RIGHT(INDIRECT(ADDRESS(90,5,,,"MATCHS")), FIND("--",INDIRECT(ADDRESS(90,5,,,"MATCHS")),1)),INDIRECT(ADDRESS(90,5,,,"MATCHS"))),,IF(IFERROR(FIND("--",INDIRECT(ADDRESS(108,5,,,"MATCHS"))),FALSE),RIGHT(INDIRECT(ADDRESS(108,5,,,"MATCHS")), FIND("--",INDIRECT(ADDRESS(108,5,,,"MATCHS")),1)),INDIRECT(ADDRESS(108,5,,,"MATCHS"))),,IF(IFERROR(FIND("--",INDIRECT(ADDRESS(126,5,,,"MATCHS"))),FALSE),RIGHT(INDIRECT(ADDRESS(126,5,,,"MATCHS")), FIND("--",INDIRECT(ADDRESS(126,5,,,"MATCHS")),1)),INDIRECT(ADDRESS(126,5,,,"MATCHS"))))</f>
        <v>0</v>
      </c>
      <c r="J38" s="73">
        <f t="shared" ca="1" si="6"/>
        <v>0</v>
      </c>
      <c r="K38" s="73">
        <v>0</v>
      </c>
      <c r="L38" s="73">
        <v>2</v>
      </c>
      <c r="M38" s="73"/>
      <c r="N38" s="66" t="str">
        <f t="shared" si="7"/>
        <v>DH</v>
      </c>
    </row>
    <row r="39" spans="1:14" ht="15.75" x14ac:dyDescent="0.25">
      <c r="A39" s="140"/>
      <c r="B39" s="73">
        <v>3</v>
      </c>
      <c r="C39" s="73" t="s">
        <v>87</v>
      </c>
      <c r="D39" s="73" t="str">
        <f>INSCRIPTS!C31</f>
        <v>3D</v>
      </c>
      <c r="E39" s="79">
        <f ca="1">SUM(,IF(INDIRECT(ADDRESS(16,3,,,"MATCHS"))&gt;INDIRECT(ADDRESS(16,5,,,"MATCHS")),1,0),,,IF(INDIRECT(ADDRESS(34,5,,,"MATCHS"))&gt;INDIRECT(ADDRESS(34,3,,,"MATCHS")),1,0),,IF(INDIRECT(ADDRESS(53,5,,,"MATCHS"))&gt;INDIRECT(ADDRESS(53,3,,,"MATCHS")),1,0),,IF(INDIRECT(ADDRESS(72,3,,,"MATCHS"))&gt;INDIRECT(ADDRESS(72,5,,,"MATCHS")),1,0),,,IF(INDIRECT(ADDRESS(91,3,,,"MATCHS"))&gt;INDIRECT(ADDRESS(91,5,,,"MATCHS")),1,0),,IF(INDIRECT(ADDRESS(109,3,,,"MATCHS"))&gt;INDIRECT(ADDRESS(109,5,,,"MATCHS")),1,0),,IF(INDIRECT(ADDRESS(127,3,,,"MATCHS"))&gt;INDIRECT(ADDRESS(127,5,,,"MATCHS")),1,0)) + 0.01 * K39</f>
        <v>0</v>
      </c>
      <c r="F39" s="73">
        <f ca="1">SUM(,IF(INDIRECT(ADDRESS(16,3,,,"MATCHS"))&lt;INDIRECT(ADDRESS(16,5,,,"MATCHS")),1,0),,,IF(INDIRECT(ADDRESS(34,5,,,"MATCHS"))&lt;INDIRECT(ADDRESS(34,3,,,"MATCHS")),1,0),,IF(INDIRECT(ADDRESS(53,5,,,"MATCHS"))&lt;INDIRECT(ADDRESS(53,3,,,"MATCHS")),1,0),,IF(INDIRECT(ADDRESS(72,3,,,"MATCHS"))&lt;INDIRECT(ADDRESS(72,5,,,"MATCHS")),1,0),,,IF(INDIRECT(ADDRESS(91,3,,,"MATCHS"))&lt;INDIRECT(ADDRESS(91,5,,,"MATCHS")),1,0),,IF(INDIRECT(ADDRESS(109,3,,,"MATCHS"))&lt;INDIRECT(ADDRESS(109,5,,,"MATCHS")),1,0),,IF(INDIRECT(ADDRESS(127,3,,,"MATCHS"))&lt;INDIRECT(ADDRESS(127,5,,,"MATCHS")),1,0))</f>
        <v>0</v>
      </c>
      <c r="G39" s="73">
        <f ca="1">SUM(,IF(IFERROR(FIND("--",INDIRECT(ADDRESS(16,3,,,"MATCHS"))),FALSE),LEFT(INDIRECT(ADDRESS(16,3,,,"MATCHS")), FIND("--",INDIRECT(ADDRESS(16,3,,,"MATCHS")),1)-1),INDIRECT(ADDRESS(16,3,,,"MATCHS"))),,,IF(IFERROR(FIND("--",INDIRECT(ADDRESS(34,5,,,"MATCHS"))),FALSE),LEFT(INDIRECT(ADDRESS(34,5,,,"MATCHS")), FIND("--",INDIRECT(ADDRESS(34,5,,,"MATCHS")),1)-1),INDIRECT(ADDRESS(34,5,,,"MATCHS"))),,IF(IFERROR(FIND("--",INDIRECT(ADDRESS(53,5,,,"MATCHS"))),FALSE),LEFT(INDIRECT(ADDRESS(53,5,,,"MATCHS")), FIND("--",INDIRECT(ADDRESS(53,5,,,"MATCHS")),1)-1),INDIRECT(ADDRESS(53,5,,,"MATCHS"))),,IF(IFERROR(FIND("--",INDIRECT(ADDRESS(72,3,,,"MATCHS"))),FALSE),LEFT(INDIRECT(ADDRESS(72,3,,,"MATCHS")), FIND("--",INDIRECT(ADDRESS(72,3,,,"MATCHS")),1)-1),INDIRECT(ADDRESS(72,3,,,"MATCHS"))),,,IF(IFERROR(FIND("--",INDIRECT(ADDRESS(91,3,,,"MATCHS"))),FALSE),LEFT(INDIRECT(ADDRESS(91,3,,,"MATCHS")), FIND("--",INDIRECT(ADDRESS(91,3,,,"MATCHS")),1)-1),INDIRECT(ADDRESS(91,3,,,"MATCHS"))),,IF(IFERROR(FIND("--",INDIRECT(ADDRESS(109,3,,,"MATCHS"))),FALSE),LEFT(INDIRECT(ADDRESS(109,3,,,"MATCHS")), FIND("--",INDIRECT(ADDRESS(109,3,,,"MATCHS")),1)-1),INDIRECT(ADDRESS(109,3,,,"MATCHS"))),,IF(IFERROR(FIND("--",INDIRECT(ADDRESS(127,3,,,"MATCHS"))),FALSE),LEFT(INDIRECT(ADDRESS(127,3,,,"MATCHS")), FIND("--",INDIRECT(ADDRESS(127,3,,,"MATCHS")),1)-1),INDIRECT(ADDRESS(127,3,,,"MATCHS"))))</f>
        <v>0</v>
      </c>
      <c r="H39" s="73">
        <f ca="1">SUM(,IF(IFERROR(FIND("--",INDIRECT(ADDRESS(16,3,,,"MATCHS"))),FALSE),RIGHT(INDIRECT(ADDRESS(16,3,,,"MATCHS")), FIND("--",INDIRECT(ADDRESS(16,3,,,"MATCHS")),1)),INDIRECT(ADDRESS(16,3,,,"MATCHS"))),,,IF(IFERROR(FIND("--",INDIRECT(ADDRESS(34,5,,,"MATCHS"))),FALSE),RIGHT(INDIRECT(ADDRESS(34,5,,,"MATCHS")), FIND("--",INDIRECT(ADDRESS(34,5,,,"MATCHS")),1)),INDIRECT(ADDRESS(34,5,,,"MATCHS"))),,IF(IFERROR(FIND("--",INDIRECT(ADDRESS(53,5,,,"MATCHS"))),FALSE),RIGHT(INDIRECT(ADDRESS(53,5,,,"MATCHS")), FIND("--",INDIRECT(ADDRESS(53,5,,,"MATCHS")),1)),INDIRECT(ADDRESS(53,5,,,"MATCHS"))),,IF(IFERROR(FIND("--",INDIRECT(ADDRESS(72,3,,,"MATCHS"))),FALSE),RIGHT(INDIRECT(ADDRESS(72,3,,,"MATCHS")), FIND("--",INDIRECT(ADDRESS(72,3,,,"MATCHS")),1)),INDIRECT(ADDRESS(72,3,,,"MATCHS"))),,,IF(IFERROR(FIND("--",INDIRECT(ADDRESS(91,3,,,"MATCHS"))),FALSE),RIGHT(INDIRECT(ADDRESS(91,3,,,"MATCHS")), FIND("--",INDIRECT(ADDRESS(91,3,,,"MATCHS")),1)),INDIRECT(ADDRESS(91,3,,,"MATCHS"))),,IF(IFERROR(FIND("--",INDIRECT(ADDRESS(109,3,,,"MATCHS"))),FALSE),RIGHT(INDIRECT(ADDRESS(109,3,,,"MATCHS")), FIND("--",INDIRECT(ADDRESS(109,3,,,"MATCHS")),1)),INDIRECT(ADDRESS(109,3,,,"MATCHS"))),,IF(IFERROR(FIND("--",INDIRECT(ADDRESS(127,3,,,"MATCHS"))),FALSE),RIGHT(INDIRECT(ADDRESS(127,3,,,"MATCHS")), FIND("--",INDIRECT(ADDRESS(127,3,,,"MATCHS")),1)),INDIRECT(ADDRESS(127,3,,,"MATCHS"))))</f>
        <v>0</v>
      </c>
      <c r="I39" s="73">
        <f ca="1">SUM(,IF(IFERROR(FIND("--",INDIRECT(ADDRESS(16,5,,,"MATCHS"))),FALSE),RIGHT(INDIRECT(ADDRESS(16,5,,,"MATCHS")), FIND("--",INDIRECT(ADDRESS(16,5,,,"MATCHS")),1)),INDIRECT(ADDRESS(16,5,,,"MATCHS"))),,,IF(IFERROR(FIND("--",INDIRECT(ADDRESS(34,3,,,"MATCHS"))),FALSE),RIGHT(INDIRECT(ADDRESS(34,3,,,"MATCHS")), FIND("--",INDIRECT(ADDRESS(34,3,,,"MATCHS")),1)),INDIRECT(ADDRESS(34,3,,,"MATCHS"))),,IF(IFERROR(FIND("--",INDIRECT(ADDRESS(53,3,,,"MATCHS"))),FALSE),RIGHT(INDIRECT(ADDRESS(53,3,,,"MATCHS")), FIND("--",INDIRECT(ADDRESS(53,3,,,"MATCHS")),1)),INDIRECT(ADDRESS(53,3,,,"MATCHS"))),,IF(IFERROR(FIND("--",INDIRECT(ADDRESS(72,5,,,"MATCHS"))),FALSE),RIGHT(INDIRECT(ADDRESS(72,5,,,"MATCHS")), FIND("--",INDIRECT(ADDRESS(72,5,,,"MATCHS")),1)),INDIRECT(ADDRESS(72,5,,,"MATCHS"))),,,IF(IFERROR(FIND("--",INDIRECT(ADDRESS(91,5,,,"MATCHS"))),FALSE),RIGHT(INDIRECT(ADDRESS(91,5,,,"MATCHS")), FIND("--",INDIRECT(ADDRESS(91,5,,,"MATCHS")),1)),INDIRECT(ADDRESS(91,5,,,"MATCHS"))),,IF(IFERROR(FIND("--",INDIRECT(ADDRESS(109,5,,,"MATCHS"))),FALSE),RIGHT(INDIRECT(ADDRESS(109,5,,,"MATCHS")), FIND("--",INDIRECT(ADDRESS(109,5,,,"MATCHS")),1)),INDIRECT(ADDRESS(109,5,,,"MATCHS"))),,IF(IFERROR(FIND("--",INDIRECT(ADDRESS(127,5,,,"MATCHS"))),FALSE),RIGHT(INDIRECT(ADDRESS(127,5,,,"MATCHS")), FIND("--",INDIRECT(ADDRESS(127,5,,,"MATCHS")),1)),INDIRECT(ADDRESS(127,5,,,"MATCHS"))))</f>
        <v>0</v>
      </c>
      <c r="J39" s="73">
        <f t="shared" ca="1" si="6"/>
        <v>0</v>
      </c>
      <c r="K39" s="73">
        <v>0</v>
      </c>
      <c r="L39" s="73">
        <v>3</v>
      </c>
      <c r="M39" s="73"/>
      <c r="N39" s="66" t="str">
        <f t="shared" si="7"/>
        <v>DH</v>
      </c>
    </row>
    <row r="40" spans="1:14" ht="15.75" x14ac:dyDescent="0.25">
      <c r="A40" s="140"/>
      <c r="B40" s="73">
        <v>4</v>
      </c>
      <c r="C40" s="73" t="s">
        <v>88</v>
      </c>
      <c r="D40" s="73" t="str">
        <f>INSCRIPTS!C32</f>
        <v>4D</v>
      </c>
      <c r="E40" s="79">
        <f ca="1">SUM(,IF(INDIRECT(ADDRESS(16,5,,,"MATCHS"))&gt;INDIRECT(ADDRESS(16,3,,,"MATCHS")),1,0),,,IF(INDIRECT(ADDRESS(35,5,,,"MATCHS"))&gt;INDIRECT(ADDRESS(35,3,,,"MATCHS")),1,0),,IF(INDIRECT(ADDRESS(52,5,,,"MATCHS"))&gt;INDIRECT(ADDRESS(52,3,,,"MATCHS")),1,0),,,IF(INDIRECT(ADDRESS(74,3,,,"MATCHS"))&gt;INDIRECT(ADDRESS(74,5,,,"MATCHS")),1,0),,IF(INDIRECT(ADDRESS(92,3,,,"MATCHS"))&gt;INDIRECT(ADDRESS(92,5,,,"MATCHS")),1,0),,IF(INDIRECT(ADDRESS(110,3,,,"MATCHS"))&gt;INDIRECT(ADDRESS(110,5,,,"MATCHS")),1,0),,IF(INDIRECT(ADDRESS(128,3,,,"MATCHS"))&gt;INDIRECT(ADDRESS(128,5,,,"MATCHS")),1,0)) + 0.01 * K40</f>
        <v>0</v>
      </c>
      <c r="F40" s="73">
        <f ca="1">SUM(,IF(INDIRECT(ADDRESS(16,5,,,"MATCHS"))&lt;INDIRECT(ADDRESS(16,3,,,"MATCHS")),1,0),,,IF(INDIRECT(ADDRESS(35,5,,,"MATCHS"))&lt;INDIRECT(ADDRESS(35,3,,,"MATCHS")),1,0),,IF(INDIRECT(ADDRESS(52,5,,,"MATCHS"))&lt;INDIRECT(ADDRESS(52,3,,,"MATCHS")),1,0),,,IF(INDIRECT(ADDRESS(74,3,,,"MATCHS"))&lt;INDIRECT(ADDRESS(74,5,,,"MATCHS")),1,0),,IF(INDIRECT(ADDRESS(92,3,,,"MATCHS"))&lt;INDIRECT(ADDRESS(92,5,,,"MATCHS")),1,0),,IF(INDIRECT(ADDRESS(110,3,,,"MATCHS"))&lt;INDIRECT(ADDRESS(110,5,,,"MATCHS")),1,0),,IF(INDIRECT(ADDRESS(128,3,,,"MATCHS"))&lt;INDIRECT(ADDRESS(128,5,,,"MATCHS")),1,0))</f>
        <v>0</v>
      </c>
      <c r="G40" s="73">
        <f ca="1">SUM(,IF(IFERROR(FIND("--",INDIRECT(ADDRESS(16,5,,,"MATCHS"))),FALSE),LEFT(INDIRECT(ADDRESS(16,5,,,"MATCHS")), FIND("--",INDIRECT(ADDRESS(16,5,,,"MATCHS")),1)-1),INDIRECT(ADDRESS(16,5,,,"MATCHS"))),,,IF(IFERROR(FIND("--",INDIRECT(ADDRESS(35,5,,,"MATCHS"))),FALSE),LEFT(INDIRECT(ADDRESS(35,5,,,"MATCHS")), FIND("--",INDIRECT(ADDRESS(35,5,,,"MATCHS")),1)-1),INDIRECT(ADDRESS(35,5,,,"MATCHS"))),,IF(IFERROR(FIND("--",INDIRECT(ADDRESS(52,5,,,"MATCHS"))),FALSE),LEFT(INDIRECT(ADDRESS(52,5,,,"MATCHS")), FIND("--",INDIRECT(ADDRESS(52,5,,,"MATCHS")),1)-1),INDIRECT(ADDRESS(52,5,,,"MATCHS"))),,,IF(IFERROR(FIND("--",INDIRECT(ADDRESS(74,3,,,"MATCHS"))),FALSE),LEFT(INDIRECT(ADDRESS(74,3,,,"MATCHS")), FIND("--",INDIRECT(ADDRESS(74,3,,,"MATCHS")),1)-1),INDIRECT(ADDRESS(74,3,,,"MATCHS"))),,IF(IFERROR(FIND("--",INDIRECT(ADDRESS(92,3,,,"MATCHS"))),FALSE),LEFT(INDIRECT(ADDRESS(92,3,,,"MATCHS")), FIND("--",INDIRECT(ADDRESS(92,3,,,"MATCHS")),1)-1),INDIRECT(ADDRESS(92,3,,,"MATCHS"))),,IF(IFERROR(FIND("--",INDIRECT(ADDRESS(110,3,,,"MATCHS"))),FALSE),LEFT(INDIRECT(ADDRESS(110,3,,,"MATCHS")), FIND("--",INDIRECT(ADDRESS(110,3,,,"MATCHS")),1)-1),INDIRECT(ADDRESS(110,3,,,"MATCHS"))),,IF(IFERROR(FIND("--",INDIRECT(ADDRESS(128,3,,,"MATCHS"))),FALSE),LEFT(INDIRECT(ADDRESS(128,3,,,"MATCHS")), FIND("--",INDIRECT(ADDRESS(128,3,,,"MATCHS")),1)-1),INDIRECT(ADDRESS(128,3,,,"MATCHS"))))</f>
        <v>0</v>
      </c>
      <c r="H40" s="73">
        <f ca="1">SUM(,IF(IFERROR(FIND("--",INDIRECT(ADDRESS(16,5,,,"MATCHS"))),FALSE),RIGHT(INDIRECT(ADDRESS(16,5,,,"MATCHS")), FIND("--",INDIRECT(ADDRESS(16,5,,,"MATCHS")),1)),INDIRECT(ADDRESS(16,5,,,"MATCHS"))),,,IF(IFERROR(FIND("--",INDIRECT(ADDRESS(35,5,,,"MATCHS"))),FALSE),RIGHT(INDIRECT(ADDRESS(35,5,,,"MATCHS")), FIND("--",INDIRECT(ADDRESS(35,5,,,"MATCHS")),1)),INDIRECT(ADDRESS(35,5,,,"MATCHS"))),,IF(IFERROR(FIND("--",INDIRECT(ADDRESS(52,5,,,"MATCHS"))),FALSE),RIGHT(INDIRECT(ADDRESS(52,5,,,"MATCHS")), FIND("--",INDIRECT(ADDRESS(52,5,,,"MATCHS")),1)),INDIRECT(ADDRESS(52,5,,,"MATCHS"))),,,IF(IFERROR(FIND("--",INDIRECT(ADDRESS(74,3,,,"MATCHS"))),FALSE),RIGHT(INDIRECT(ADDRESS(74,3,,,"MATCHS")), FIND("--",INDIRECT(ADDRESS(74,3,,,"MATCHS")),1)),INDIRECT(ADDRESS(74,3,,,"MATCHS"))),,IF(IFERROR(FIND("--",INDIRECT(ADDRESS(92,3,,,"MATCHS"))),FALSE),RIGHT(INDIRECT(ADDRESS(92,3,,,"MATCHS")), FIND("--",INDIRECT(ADDRESS(92,3,,,"MATCHS")),1)),INDIRECT(ADDRESS(92,3,,,"MATCHS"))),,IF(IFERROR(FIND("--",INDIRECT(ADDRESS(110,3,,,"MATCHS"))),FALSE),RIGHT(INDIRECT(ADDRESS(110,3,,,"MATCHS")), FIND("--",INDIRECT(ADDRESS(110,3,,,"MATCHS")),1)),INDIRECT(ADDRESS(110,3,,,"MATCHS"))),,IF(IFERROR(FIND("--",INDIRECT(ADDRESS(128,3,,,"MATCHS"))),FALSE),RIGHT(INDIRECT(ADDRESS(128,3,,,"MATCHS")), FIND("--",INDIRECT(ADDRESS(128,3,,,"MATCHS")),1)),INDIRECT(ADDRESS(128,3,,,"MATCHS"))))</f>
        <v>0</v>
      </c>
      <c r="I40" s="73">
        <f ca="1">SUM(,IF(IFERROR(FIND("--",INDIRECT(ADDRESS(16,3,,,"MATCHS"))),FALSE),RIGHT(INDIRECT(ADDRESS(16,3,,,"MATCHS")), FIND("--",INDIRECT(ADDRESS(16,3,,,"MATCHS")),1)),INDIRECT(ADDRESS(16,3,,,"MATCHS"))),,,IF(IFERROR(FIND("--",INDIRECT(ADDRESS(35,3,,,"MATCHS"))),FALSE),RIGHT(INDIRECT(ADDRESS(35,3,,,"MATCHS")), FIND("--",INDIRECT(ADDRESS(35,3,,,"MATCHS")),1)),INDIRECT(ADDRESS(35,3,,,"MATCHS"))),,IF(IFERROR(FIND("--",INDIRECT(ADDRESS(52,3,,,"MATCHS"))),FALSE),RIGHT(INDIRECT(ADDRESS(52,3,,,"MATCHS")), FIND("--",INDIRECT(ADDRESS(52,3,,,"MATCHS")),1)),INDIRECT(ADDRESS(52,3,,,"MATCHS"))),,,IF(IFERROR(FIND("--",INDIRECT(ADDRESS(74,5,,,"MATCHS"))),FALSE),RIGHT(INDIRECT(ADDRESS(74,5,,,"MATCHS")), FIND("--",INDIRECT(ADDRESS(74,5,,,"MATCHS")),1)),INDIRECT(ADDRESS(74,5,,,"MATCHS"))),,IF(IFERROR(FIND("--",INDIRECT(ADDRESS(92,5,,,"MATCHS"))),FALSE),RIGHT(INDIRECT(ADDRESS(92,5,,,"MATCHS")), FIND("--",INDIRECT(ADDRESS(92,5,,,"MATCHS")),1)),INDIRECT(ADDRESS(92,5,,,"MATCHS"))),,IF(IFERROR(FIND("--",INDIRECT(ADDRESS(110,5,,,"MATCHS"))),FALSE),RIGHT(INDIRECT(ADDRESS(110,5,,,"MATCHS")), FIND("--",INDIRECT(ADDRESS(110,5,,,"MATCHS")),1)),INDIRECT(ADDRESS(110,5,,,"MATCHS"))),,IF(IFERROR(FIND("--",INDIRECT(ADDRESS(128,5,,,"MATCHS"))),FALSE),RIGHT(INDIRECT(ADDRESS(128,5,,,"MATCHS")), FIND("--",INDIRECT(ADDRESS(128,5,,,"MATCHS")),1)),INDIRECT(ADDRESS(128,5,,,"MATCHS"))))</f>
        <v>0</v>
      </c>
      <c r="J40" s="73">
        <f t="shared" ca="1" si="6"/>
        <v>0</v>
      </c>
      <c r="K40" s="73">
        <v>0</v>
      </c>
      <c r="L40" s="73">
        <v>4</v>
      </c>
      <c r="M40" s="73"/>
      <c r="N40" s="66" t="str">
        <f t="shared" si="7"/>
        <v>DH</v>
      </c>
    </row>
    <row r="41" spans="1:14" ht="15.75" x14ac:dyDescent="0.25">
      <c r="A41" s="140"/>
      <c r="B41" s="73">
        <v>5</v>
      </c>
      <c r="C41" s="73" t="s">
        <v>89</v>
      </c>
      <c r="D41" s="73" t="str">
        <f>INSCRIPTS!C33</f>
        <v>5D</v>
      </c>
      <c r="E41" s="79">
        <f ca="1">SUM(,,IF(INDIRECT(ADDRESS(18,3,,,"MATCHS"))&gt;INDIRECT(ADDRESS(18,5,,,"MATCHS")),1,0),,IF(INDIRECT(ADDRESS(36,3,,,"MATCHS"))&gt;INDIRECT(ADDRESS(36,5,,,"MATCHS")),1,0),,IF(INDIRECT(ADDRESS(54,3,,,"MATCHS"))&gt;INDIRECT(ADDRESS(54,5,,,"MATCHS")),1,0),,IF(INDIRECT(ADDRESS(70,5,,,"MATCHS"))&gt;INDIRECT(ADDRESS(70,3,,,"MATCHS")),1,0),,,IF(INDIRECT(ADDRESS(90,5,,,"MATCHS"))&gt;INDIRECT(ADDRESS(90,3,,,"MATCHS")),1,0),,IF(INDIRECT(ADDRESS(109,5,,,"MATCHS"))&gt;INDIRECT(ADDRESS(109,3,,,"MATCHS")),1,0),,IF(INDIRECT(ADDRESS(128,5,,,"MATCHS"))&gt;INDIRECT(ADDRESS(128,3,,,"MATCHS")),1,0)) + 0.01 * K41</f>
        <v>0</v>
      </c>
      <c r="F41" s="73">
        <f ca="1">SUM(,,IF(INDIRECT(ADDRESS(18,3,,,"MATCHS"))&lt;INDIRECT(ADDRESS(18,5,,,"MATCHS")),1,0),,IF(INDIRECT(ADDRESS(36,3,,,"MATCHS"))&lt;INDIRECT(ADDRESS(36,5,,,"MATCHS")),1,0),,IF(INDIRECT(ADDRESS(54,3,,,"MATCHS"))&lt;INDIRECT(ADDRESS(54,5,,,"MATCHS")),1,0),,IF(INDIRECT(ADDRESS(70,5,,,"MATCHS"))&lt;INDIRECT(ADDRESS(70,3,,,"MATCHS")),1,0),,,IF(INDIRECT(ADDRESS(90,5,,,"MATCHS"))&lt;INDIRECT(ADDRESS(90,3,,,"MATCHS")),1,0),,IF(INDIRECT(ADDRESS(109,5,,,"MATCHS"))&lt;INDIRECT(ADDRESS(109,3,,,"MATCHS")),1,0),,IF(INDIRECT(ADDRESS(128,5,,,"MATCHS"))&lt;INDIRECT(ADDRESS(128,3,,,"MATCHS")),1,0))</f>
        <v>0</v>
      </c>
      <c r="G41" s="73">
        <f ca="1">SUM(,,IF(IFERROR(FIND("--",INDIRECT(ADDRESS(18,3,,,"MATCHS"))),FALSE),LEFT(INDIRECT(ADDRESS(18,3,,,"MATCHS")), FIND("--",INDIRECT(ADDRESS(18,3,,,"MATCHS")),1)-1),INDIRECT(ADDRESS(18,3,,,"MATCHS"))),,IF(IFERROR(FIND("--",INDIRECT(ADDRESS(36,3,,,"MATCHS"))),FALSE),LEFT(INDIRECT(ADDRESS(36,3,,,"MATCHS")), FIND("--",INDIRECT(ADDRESS(36,3,,,"MATCHS")),1)-1),INDIRECT(ADDRESS(36,3,,,"MATCHS"))),,IF(IFERROR(FIND("--",INDIRECT(ADDRESS(54,3,,,"MATCHS"))),FALSE),LEFT(INDIRECT(ADDRESS(54,3,,,"MATCHS")), FIND("--",INDIRECT(ADDRESS(54,3,,,"MATCHS")),1)-1),INDIRECT(ADDRESS(54,3,,,"MATCHS"))),,IF(IFERROR(FIND("--",INDIRECT(ADDRESS(70,5,,,"MATCHS"))),FALSE),LEFT(INDIRECT(ADDRESS(70,5,,,"MATCHS")), FIND("--",INDIRECT(ADDRESS(70,5,,,"MATCHS")),1)-1),INDIRECT(ADDRESS(70,5,,,"MATCHS"))),,,IF(IFERROR(FIND("--",INDIRECT(ADDRESS(90,5,,,"MATCHS"))),FALSE),LEFT(INDIRECT(ADDRESS(90,5,,,"MATCHS")), FIND("--",INDIRECT(ADDRESS(90,5,,,"MATCHS")),1)-1),INDIRECT(ADDRESS(90,5,,,"MATCHS"))),,IF(IFERROR(FIND("--",INDIRECT(ADDRESS(109,5,,,"MATCHS"))),FALSE),LEFT(INDIRECT(ADDRESS(109,5,,,"MATCHS")), FIND("--",INDIRECT(ADDRESS(109,5,,,"MATCHS")),1)-1),INDIRECT(ADDRESS(109,5,,,"MATCHS"))),,IF(IFERROR(FIND("--",INDIRECT(ADDRESS(128,5,,,"MATCHS"))),FALSE),LEFT(INDIRECT(ADDRESS(128,5,,,"MATCHS")), FIND("--",INDIRECT(ADDRESS(128,5,,,"MATCHS")),1)-1),INDIRECT(ADDRESS(128,5,,,"MATCHS"))))</f>
        <v>0</v>
      </c>
      <c r="H41" s="73">
        <f ca="1">SUM(,,IF(IFERROR(FIND("--",INDIRECT(ADDRESS(18,3,,,"MATCHS"))),FALSE),RIGHT(INDIRECT(ADDRESS(18,3,,,"MATCHS")), FIND("--",INDIRECT(ADDRESS(18,3,,,"MATCHS")),1)),INDIRECT(ADDRESS(18,3,,,"MATCHS"))),,IF(IFERROR(FIND("--",INDIRECT(ADDRESS(36,3,,,"MATCHS"))),FALSE),RIGHT(INDIRECT(ADDRESS(36,3,,,"MATCHS")), FIND("--",INDIRECT(ADDRESS(36,3,,,"MATCHS")),1)),INDIRECT(ADDRESS(36,3,,,"MATCHS"))),,IF(IFERROR(FIND("--",INDIRECT(ADDRESS(54,3,,,"MATCHS"))),FALSE),RIGHT(INDIRECT(ADDRESS(54,3,,,"MATCHS")), FIND("--",INDIRECT(ADDRESS(54,3,,,"MATCHS")),1)),INDIRECT(ADDRESS(54,3,,,"MATCHS"))),,IF(IFERROR(FIND("--",INDIRECT(ADDRESS(70,5,,,"MATCHS"))),FALSE),RIGHT(INDIRECT(ADDRESS(70,5,,,"MATCHS")), FIND("--",INDIRECT(ADDRESS(70,5,,,"MATCHS")),1)),INDIRECT(ADDRESS(70,5,,,"MATCHS"))),,,IF(IFERROR(FIND("--",INDIRECT(ADDRESS(90,5,,,"MATCHS"))),FALSE),RIGHT(INDIRECT(ADDRESS(90,5,,,"MATCHS")), FIND("--",INDIRECT(ADDRESS(90,5,,,"MATCHS")),1)),INDIRECT(ADDRESS(90,5,,,"MATCHS"))),,IF(IFERROR(FIND("--",INDIRECT(ADDRESS(109,5,,,"MATCHS"))),FALSE),RIGHT(INDIRECT(ADDRESS(109,5,,,"MATCHS")), FIND("--",INDIRECT(ADDRESS(109,5,,,"MATCHS")),1)),INDIRECT(ADDRESS(109,5,,,"MATCHS"))),,IF(IFERROR(FIND("--",INDIRECT(ADDRESS(128,5,,,"MATCHS"))),FALSE),RIGHT(INDIRECT(ADDRESS(128,5,,,"MATCHS")), FIND("--",INDIRECT(ADDRESS(128,5,,,"MATCHS")),1)),INDIRECT(ADDRESS(128,5,,,"MATCHS"))))</f>
        <v>0</v>
      </c>
      <c r="I41" s="73">
        <f ca="1">SUM(,,IF(IFERROR(FIND("--",INDIRECT(ADDRESS(18,5,,,"MATCHS"))),FALSE),RIGHT(INDIRECT(ADDRESS(18,5,,,"MATCHS")), FIND("--",INDIRECT(ADDRESS(18,5,,,"MATCHS")),1)),INDIRECT(ADDRESS(18,5,,,"MATCHS"))),,IF(IFERROR(FIND("--",INDIRECT(ADDRESS(36,5,,,"MATCHS"))),FALSE),RIGHT(INDIRECT(ADDRESS(36,5,,,"MATCHS")), FIND("--",INDIRECT(ADDRESS(36,5,,,"MATCHS")),1)),INDIRECT(ADDRESS(36,5,,,"MATCHS"))),,IF(IFERROR(FIND("--",INDIRECT(ADDRESS(54,5,,,"MATCHS"))),FALSE),RIGHT(INDIRECT(ADDRESS(54,5,,,"MATCHS")), FIND("--",INDIRECT(ADDRESS(54,5,,,"MATCHS")),1)),INDIRECT(ADDRESS(54,5,,,"MATCHS"))),,IF(IFERROR(FIND("--",INDIRECT(ADDRESS(70,3,,,"MATCHS"))),FALSE),RIGHT(INDIRECT(ADDRESS(70,3,,,"MATCHS")), FIND("--",INDIRECT(ADDRESS(70,3,,,"MATCHS")),1)),INDIRECT(ADDRESS(70,3,,,"MATCHS"))),,,IF(IFERROR(FIND("--",INDIRECT(ADDRESS(90,3,,,"MATCHS"))),FALSE),RIGHT(INDIRECT(ADDRESS(90,3,,,"MATCHS")), FIND("--",INDIRECT(ADDRESS(90,3,,,"MATCHS")),1)),INDIRECT(ADDRESS(90,3,,,"MATCHS"))),,IF(IFERROR(FIND("--",INDIRECT(ADDRESS(109,3,,,"MATCHS"))),FALSE),RIGHT(INDIRECT(ADDRESS(109,3,,,"MATCHS")), FIND("--",INDIRECT(ADDRESS(109,3,,,"MATCHS")),1)),INDIRECT(ADDRESS(109,3,,,"MATCHS"))),,IF(IFERROR(FIND("--",INDIRECT(ADDRESS(128,3,,,"MATCHS"))),FALSE),RIGHT(INDIRECT(ADDRESS(128,3,,,"MATCHS")), FIND("--",INDIRECT(ADDRESS(128,3,,,"MATCHS")),1)),INDIRECT(ADDRESS(128,3,,,"MATCHS"))))</f>
        <v>0</v>
      </c>
      <c r="J41" s="73">
        <f t="shared" ca="1" si="6"/>
        <v>0</v>
      </c>
      <c r="K41" s="73">
        <v>0</v>
      </c>
      <c r="L41" s="73">
        <v>5</v>
      </c>
      <c r="M41" s="73"/>
      <c r="N41" s="66" t="str">
        <f t="shared" si="7"/>
        <v>DH</v>
      </c>
    </row>
    <row r="42" spans="1:14" ht="15.75" x14ac:dyDescent="0.25">
      <c r="A42" s="140"/>
      <c r="B42" s="73">
        <v>6</v>
      </c>
      <c r="C42" s="73" t="s">
        <v>90</v>
      </c>
      <c r="D42" s="73" t="str">
        <f>INSCRIPTS!C34</f>
        <v>6D</v>
      </c>
      <c r="E42" s="79">
        <f ca="1">SUM(,,IF(INDIRECT(ADDRESS(18,5,,,"MATCHS"))&gt;INDIRECT(ADDRESS(18,3,,,"MATCHS")),1,0),,IF(INDIRECT(ADDRESS(37,3,,,"MATCHS"))&gt;INDIRECT(ADDRESS(37,5,,,"MATCHS")),1,0),,IF(INDIRECT(ADDRESS(55,3,,,"MATCHS"))&gt;INDIRECT(ADDRESS(55,5,,,"MATCHS")),1,0),,IF(INDIRECT(ADDRESS(71,5,,,"MATCHS"))&gt;INDIRECT(ADDRESS(71,3,,,"MATCHS")),1,0),,IF(INDIRECT(ADDRESS(88,5,,,"MATCHS"))&gt;INDIRECT(ADDRESS(88,3,,,"MATCHS")),1,0),,,IF(INDIRECT(ADDRESS(110,5,,,"MATCHS"))&gt;INDIRECT(ADDRESS(110,3,,,"MATCHS")),1,0),,IF(INDIRECT(ADDRESS(127,5,,,"MATCHS"))&gt;INDIRECT(ADDRESS(127,3,,,"MATCHS")),1,0)) + 0.01 * K42</f>
        <v>0</v>
      </c>
      <c r="F42" s="73">
        <f ca="1">SUM(,,IF(INDIRECT(ADDRESS(18,5,,,"MATCHS"))&lt;INDIRECT(ADDRESS(18,3,,,"MATCHS")),1,0),,IF(INDIRECT(ADDRESS(37,3,,,"MATCHS"))&lt;INDIRECT(ADDRESS(37,5,,,"MATCHS")),1,0),,IF(INDIRECT(ADDRESS(55,3,,,"MATCHS"))&lt;INDIRECT(ADDRESS(55,5,,,"MATCHS")),1,0),,IF(INDIRECT(ADDRESS(71,5,,,"MATCHS"))&lt;INDIRECT(ADDRESS(71,3,,,"MATCHS")),1,0),,IF(INDIRECT(ADDRESS(88,5,,,"MATCHS"))&lt;INDIRECT(ADDRESS(88,3,,,"MATCHS")),1,0),,,IF(INDIRECT(ADDRESS(110,5,,,"MATCHS"))&lt;INDIRECT(ADDRESS(110,3,,,"MATCHS")),1,0),,IF(INDIRECT(ADDRESS(127,5,,,"MATCHS"))&lt;INDIRECT(ADDRESS(127,3,,,"MATCHS")),1,0))</f>
        <v>0</v>
      </c>
      <c r="G42" s="73">
        <f ca="1">SUM(,,IF(IFERROR(FIND("--",INDIRECT(ADDRESS(18,5,,,"MATCHS"))),FALSE),LEFT(INDIRECT(ADDRESS(18,5,,,"MATCHS")), FIND("--",INDIRECT(ADDRESS(18,5,,,"MATCHS")),1)-1),INDIRECT(ADDRESS(18,5,,,"MATCHS"))),,IF(IFERROR(FIND("--",INDIRECT(ADDRESS(37,3,,,"MATCHS"))),FALSE),LEFT(INDIRECT(ADDRESS(37,3,,,"MATCHS")), FIND("--",INDIRECT(ADDRESS(37,3,,,"MATCHS")),1)-1),INDIRECT(ADDRESS(37,3,,,"MATCHS"))),,IF(IFERROR(FIND("--",INDIRECT(ADDRESS(55,3,,,"MATCHS"))),FALSE),LEFT(INDIRECT(ADDRESS(55,3,,,"MATCHS")), FIND("--",INDIRECT(ADDRESS(55,3,,,"MATCHS")),1)-1),INDIRECT(ADDRESS(55,3,,,"MATCHS"))),,IF(IFERROR(FIND("--",INDIRECT(ADDRESS(71,5,,,"MATCHS"))),FALSE),LEFT(INDIRECT(ADDRESS(71,5,,,"MATCHS")), FIND("--",INDIRECT(ADDRESS(71,5,,,"MATCHS")),1)-1),INDIRECT(ADDRESS(71,5,,,"MATCHS"))),,IF(IFERROR(FIND("--",INDIRECT(ADDRESS(88,5,,,"MATCHS"))),FALSE),LEFT(INDIRECT(ADDRESS(88,5,,,"MATCHS")), FIND("--",INDIRECT(ADDRESS(88,5,,,"MATCHS")),1)-1),INDIRECT(ADDRESS(88,5,,,"MATCHS"))),,,IF(IFERROR(FIND("--",INDIRECT(ADDRESS(110,5,,,"MATCHS"))),FALSE),LEFT(INDIRECT(ADDRESS(110,5,,,"MATCHS")), FIND("--",INDIRECT(ADDRESS(110,5,,,"MATCHS")),1)-1),INDIRECT(ADDRESS(110,5,,,"MATCHS"))),,IF(IFERROR(FIND("--",INDIRECT(ADDRESS(127,5,,,"MATCHS"))),FALSE),LEFT(INDIRECT(ADDRESS(127,5,,,"MATCHS")), FIND("--",INDIRECT(ADDRESS(127,5,,,"MATCHS")),1)-1),INDIRECT(ADDRESS(127,5,,,"MATCHS"))))</f>
        <v>0</v>
      </c>
      <c r="H42" s="73">
        <f ca="1">SUM(,,IF(IFERROR(FIND("--",INDIRECT(ADDRESS(18,5,,,"MATCHS"))),FALSE),RIGHT(INDIRECT(ADDRESS(18,5,,,"MATCHS")), FIND("--",INDIRECT(ADDRESS(18,5,,,"MATCHS")),1)),INDIRECT(ADDRESS(18,5,,,"MATCHS"))),,IF(IFERROR(FIND("--",INDIRECT(ADDRESS(37,3,,,"MATCHS"))),FALSE),RIGHT(INDIRECT(ADDRESS(37,3,,,"MATCHS")), FIND("--",INDIRECT(ADDRESS(37,3,,,"MATCHS")),1)),INDIRECT(ADDRESS(37,3,,,"MATCHS"))),,IF(IFERROR(FIND("--",INDIRECT(ADDRESS(55,3,,,"MATCHS"))),FALSE),RIGHT(INDIRECT(ADDRESS(55,3,,,"MATCHS")), FIND("--",INDIRECT(ADDRESS(55,3,,,"MATCHS")),1)),INDIRECT(ADDRESS(55,3,,,"MATCHS"))),,IF(IFERROR(FIND("--",INDIRECT(ADDRESS(71,5,,,"MATCHS"))),FALSE),RIGHT(INDIRECT(ADDRESS(71,5,,,"MATCHS")), FIND("--",INDIRECT(ADDRESS(71,5,,,"MATCHS")),1)),INDIRECT(ADDRESS(71,5,,,"MATCHS"))),,IF(IFERROR(FIND("--",INDIRECT(ADDRESS(88,5,,,"MATCHS"))),FALSE),RIGHT(INDIRECT(ADDRESS(88,5,,,"MATCHS")), FIND("--",INDIRECT(ADDRESS(88,5,,,"MATCHS")),1)),INDIRECT(ADDRESS(88,5,,,"MATCHS"))),,,IF(IFERROR(FIND("--",INDIRECT(ADDRESS(110,5,,,"MATCHS"))),FALSE),RIGHT(INDIRECT(ADDRESS(110,5,,,"MATCHS")), FIND("--",INDIRECT(ADDRESS(110,5,,,"MATCHS")),1)),INDIRECT(ADDRESS(110,5,,,"MATCHS"))),,IF(IFERROR(FIND("--",INDIRECT(ADDRESS(127,5,,,"MATCHS"))),FALSE),RIGHT(INDIRECT(ADDRESS(127,5,,,"MATCHS")), FIND("--",INDIRECT(ADDRESS(127,5,,,"MATCHS")),1)),INDIRECT(ADDRESS(127,5,,,"MATCHS"))))</f>
        <v>0</v>
      </c>
      <c r="I42" s="73">
        <f ca="1">SUM(,,IF(IFERROR(FIND("--",INDIRECT(ADDRESS(18,3,,,"MATCHS"))),FALSE),RIGHT(INDIRECT(ADDRESS(18,3,,,"MATCHS")), FIND("--",INDIRECT(ADDRESS(18,3,,,"MATCHS")),1)),INDIRECT(ADDRESS(18,3,,,"MATCHS"))),,IF(IFERROR(FIND("--",INDIRECT(ADDRESS(37,5,,,"MATCHS"))),FALSE),RIGHT(INDIRECT(ADDRESS(37,5,,,"MATCHS")), FIND("--",INDIRECT(ADDRESS(37,5,,,"MATCHS")),1)),INDIRECT(ADDRESS(37,5,,,"MATCHS"))),,IF(IFERROR(FIND("--",INDIRECT(ADDRESS(55,5,,,"MATCHS"))),FALSE),RIGHT(INDIRECT(ADDRESS(55,5,,,"MATCHS")), FIND("--",INDIRECT(ADDRESS(55,5,,,"MATCHS")),1)),INDIRECT(ADDRESS(55,5,,,"MATCHS"))),,IF(IFERROR(FIND("--",INDIRECT(ADDRESS(71,3,,,"MATCHS"))),FALSE),RIGHT(INDIRECT(ADDRESS(71,3,,,"MATCHS")), FIND("--",INDIRECT(ADDRESS(71,3,,,"MATCHS")),1)),INDIRECT(ADDRESS(71,3,,,"MATCHS"))),,IF(IFERROR(FIND("--",INDIRECT(ADDRESS(88,3,,,"MATCHS"))),FALSE),RIGHT(INDIRECT(ADDRESS(88,3,,,"MATCHS")), FIND("--",INDIRECT(ADDRESS(88,3,,,"MATCHS")),1)),INDIRECT(ADDRESS(88,3,,,"MATCHS"))),,,IF(IFERROR(FIND("--",INDIRECT(ADDRESS(110,3,,,"MATCHS"))),FALSE),RIGHT(INDIRECT(ADDRESS(110,3,,,"MATCHS")), FIND("--",INDIRECT(ADDRESS(110,3,,,"MATCHS")),1)),INDIRECT(ADDRESS(110,3,,,"MATCHS"))),,IF(IFERROR(FIND("--",INDIRECT(ADDRESS(127,3,,,"MATCHS"))),FALSE),RIGHT(INDIRECT(ADDRESS(127,3,,,"MATCHS")), FIND("--",INDIRECT(ADDRESS(127,3,,,"MATCHS")),1)),INDIRECT(ADDRESS(127,3,,,"MATCHS"))))</f>
        <v>0</v>
      </c>
      <c r="J42" s="73">
        <f t="shared" ca="1" si="6"/>
        <v>0</v>
      </c>
      <c r="K42" s="73">
        <v>0</v>
      </c>
      <c r="L42" s="73">
        <v>6</v>
      </c>
      <c r="M42" s="73"/>
      <c r="N42" s="66" t="str">
        <f t="shared" si="7"/>
        <v>DH</v>
      </c>
    </row>
    <row r="43" spans="1:14" ht="15.75" x14ac:dyDescent="0.25">
      <c r="A43" s="140"/>
      <c r="B43" s="73">
        <v>7</v>
      </c>
      <c r="C43" s="73" t="s">
        <v>91</v>
      </c>
      <c r="D43" s="73" t="str">
        <f>INSCRIPTS!C35</f>
        <v>7D</v>
      </c>
      <c r="E43" s="79">
        <f ca="1">SUM(,,IF(INDIRECT(ADDRESS(19,3,,,"MATCHS"))&gt;INDIRECT(ADDRESS(19,5,,,"MATCHS")),1,0),,IF(INDIRECT(ADDRESS(36,5,,,"MATCHS"))&gt;INDIRECT(ADDRESS(36,3,,,"MATCHS")),1,0),,IF(INDIRECT(ADDRESS(55,5,,,"MATCHS"))&gt;INDIRECT(ADDRESS(55,3,,,"MATCHS")),1,0),,IF(INDIRECT(ADDRESS(72,5,,,"MATCHS"))&gt;INDIRECT(ADDRESS(72,3,,,"MATCHS")),1,0),,,IF(INDIRECT(ADDRESS(92,5,,,"MATCHS"))&gt;INDIRECT(ADDRESS(92,3,,,"MATCHS")),1,0),,IF(INDIRECT(ADDRESS(107,5,,,"MATCHS"))&gt;INDIRECT(ADDRESS(107,3,,,"MATCHS")),1,0),,IF(INDIRECT(ADDRESS(126,5,,,"MATCHS"))&gt;INDIRECT(ADDRESS(126,3,,,"MATCHS")),1,0)) + 0.01 * K43</f>
        <v>0</v>
      </c>
      <c r="F43" s="73">
        <f ca="1">SUM(,,IF(INDIRECT(ADDRESS(19,3,,,"MATCHS"))&lt;INDIRECT(ADDRESS(19,5,,,"MATCHS")),1,0),,IF(INDIRECT(ADDRESS(36,5,,,"MATCHS"))&lt;INDIRECT(ADDRESS(36,3,,,"MATCHS")),1,0),,IF(INDIRECT(ADDRESS(55,5,,,"MATCHS"))&lt;INDIRECT(ADDRESS(55,3,,,"MATCHS")),1,0),,IF(INDIRECT(ADDRESS(72,5,,,"MATCHS"))&lt;INDIRECT(ADDRESS(72,3,,,"MATCHS")),1,0),,,IF(INDIRECT(ADDRESS(92,5,,,"MATCHS"))&lt;INDIRECT(ADDRESS(92,3,,,"MATCHS")),1,0),,IF(INDIRECT(ADDRESS(107,5,,,"MATCHS"))&lt;INDIRECT(ADDRESS(107,3,,,"MATCHS")),1,0),,IF(INDIRECT(ADDRESS(126,5,,,"MATCHS"))&lt;INDIRECT(ADDRESS(126,3,,,"MATCHS")),1,0))</f>
        <v>0</v>
      </c>
      <c r="G43" s="73">
        <f ca="1">SUM(,,IF(IFERROR(FIND("--",INDIRECT(ADDRESS(19,3,,,"MATCHS"))),FALSE),LEFT(INDIRECT(ADDRESS(19,3,,,"MATCHS")), FIND("--",INDIRECT(ADDRESS(19,3,,,"MATCHS")),1)-1),INDIRECT(ADDRESS(19,3,,,"MATCHS"))),,IF(IFERROR(FIND("--",INDIRECT(ADDRESS(36,5,,,"MATCHS"))),FALSE),LEFT(INDIRECT(ADDRESS(36,5,,,"MATCHS")), FIND("--",INDIRECT(ADDRESS(36,5,,,"MATCHS")),1)-1),INDIRECT(ADDRESS(36,5,,,"MATCHS"))),,IF(IFERROR(FIND("--",INDIRECT(ADDRESS(55,5,,,"MATCHS"))),FALSE),LEFT(INDIRECT(ADDRESS(55,5,,,"MATCHS")), FIND("--",INDIRECT(ADDRESS(55,5,,,"MATCHS")),1)-1),INDIRECT(ADDRESS(55,5,,,"MATCHS"))),,IF(IFERROR(FIND("--",INDIRECT(ADDRESS(72,5,,,"MATCHS"))),FALSE),LEFT(INDIRECT(ADDRESS(72,5,,,"MATCHS")), FIND("--",INDIRECT(ADDRESS(72,5,,,"MATCHS")),1)-1),INDIRECT(ADDRESS(72,5,,,"MATCHS"))),,,IF(IFERROR(FIND("--",INDIRECT(ADDRESS(92,5,,,"MATCHS"))),FALSE),LEFT(INDIRECT(ADDRESS(92,5,,,"MATCHS")), FIND("--",INDIRECT(ADDRESS(92,5,,,"MATCHS")),1)-1),INDIRECT(ADDRESS(92,5,,,"MATCHS"))),,IF(IFERROR(FIND("--",INDIRECT(ADDRESS(107,5,,,"MATCHS"))),FALSE),LEFT(INDIRECT(ADDRESS(107,5,,,"MATCHS")), FIND("--",INDIRECT(ADDRESS(107,5,,,"MATCHS")),1)-1),INDIRECT(ADDRESS(107,5,,,"MATCHS"))),,IF(IFERROR(FIND("--",INDIRECT(ADDRESS(126,5,,,"MATCHS"))),FALSE),LEFT(INDIRECT(ADDRESS(126,5,,,"MATCHS")), FIND("--",INDIRECT(ADDRESS(126,5,,,"MATCHS")),1)-1),INDIRECT(ADDRESS(126,5,,,"MATCHS"))))</f>
        <v>0</v>
      </c>
      <c r="H43" s="73">
        <f ca="1">SUM(,,IF(IFERROR(FIND("--",INDIRECT(ADDRESS(19,3,,,"MATCHS"))),FALSE),RIGHT(INDIRECT(ADDRESS(19,3,,,"MATCHS")), FIND("--",INDIRECT(ADDRESS(19,3,,,"MATCHS")),1)),INDIRECT(ADDRESS(19,3,,,"MATCHS"))),,IF(IFERROR(FIND("--",INDIRECT(ADDRESS(36,5,,,"MATCHS"))),FALSE),RIGHT(INDIRECT(ADDRESS(36,5,,,"MATCHS")), FIND("--",INDIRECT(ADDRESS(36,5,,,"MATCHS")),1)),INDIRECT(ADDRESS(36,5,,,"MATCHS"))),,IF(IFERROR(FIND("--",INDIRECT(ADDRESS(55,5,,,"MATCHS"))),FALSE),RIGHT(INDIRECT(ADDRESS(55,5,,,"MATCHS")), FIND("--",INDIRECT(ADDRESS(55,5,,,"MATCHS")),1)),INDIRECT(ADDRESS(55,5,,,"MATCHS"))),,IF(IFERROR(FIND("--",INDIRECT(ADDRESS(72,5,,,"MATCHS"))),FALSE),RIGHT(INDIRECT(ADDRESS(72,5,,,"MATCHS")), FIND("--",INDIRECT(ADDRESS(72,5,,,"MATCHS")),1)),INDIRECT(ADDRESS(72,5,,,"MATCHS"))),,,IF(IFERROR(FIND("--",INDIRECT(ADDRESS(92,5,,,"MATCHS"))),FALSE),RIGHT(INDIRECT(ADDRESS(92,5,,,"MATCHS")), FIND("--",INDIRECT(ADDRESS(92,5,,,"MATCHS")),1)),INDIRECT(ADDRESS(92,5,,,"MATCHS"))),,IF(IFERROR(FIND("--",INDIRECT(ADDRESS(107,5,,,"MATCHS"))),FALSE),RIGHT(INDIRECT(ADDRESS(107,5,,,"MATCHS")), FIND("--",INDIRECT(ADDRESS(107,5,,,"MATCHS")),1)),INDIRECT(ADDRESS(107,5,,,"MATCHS"))),,IF(IFERROR(FIND("--",INDIRECT(ADDRESS(126,5,,,"MATCHS"))),FALSE),RIGHT(INDIRECT(ADDRESS(126,5,,,"MATCHS")), FIND("--",INDIRECT(ADDRESS(126,5,,,"MATCHS")),1)),INDIRECT(ADDRESS(126,5,,,"MATCHS"))))</f>
        <v>0</v>
      </c>
      <c r="I43" s="73">
        <f ca="1">SUM(,,IF(IFERROR(FIND("--",INDIRECT(ADDRESS(19,5,,,"MATCHS"))),FALSE),RIGHT(INDIRECT(ADDRESS(19,5,,,"MATCHS")), FIND("--",INDIRECT(ADDRESS(19,5,,,"MATCHS")),1)),INDIRECT(ADDRESS(19,5,,,"MATCHS"))),,IF(IFERROR(FIND("--",INDIRECT(ADDRESS(36,3,,,"MATCHS"))),FALSE),RIGHT(INDIRECT(ADDRESS(36,3,,,"MATCHS")), FIND("--",INDIRECT(ADDRESS(36,3,,,"MATCHS")),1)),INDIRECT(ADDRESS(36,3,,,"MATCHS"))),,IF(IFERROR(FIND("--",INDIRECT(ADDRESS(55,3,,,"MATCHS"))),FALSE),RIGHT(INDIRECT(ADDRESS(55,3,,,"MATCHS")), FIND("--",INDIRECT(ADDRESS(55,3,,,"MATCHS")),1)),INDIRECT(ADDRESS(55,3,,,"MATCHS"))),,IF(IFERROR(FIND("--",INDIRECT(ADDRESS(72,3,,,"MATCHS"))),FALSE),RIGHT(INDIRECT(ADDRESS(72,3,,,"MATCHS")), FIND("--",INDIRECT(ADDRESS(72,3,,,"MATCHS")),1)),INDIRECT(ADDRESS(72,3,,,"MATCHS"))),,,IF(IFERROR(FIND("--",INDIRECT(ADDRESS(92,3,,,"MATCHS"))),FALSE),RIGHT(INDIRECT(ADDRESS(92,3,,,"MATCHS")), FIND("--",INDIRECT(ADDRESS(92,3,,,"MATCHS")),1)),INDIRECT(ADDRESS(92,3,,,"MATCHS"))),,IF(IFERROR(FIND("--",INDIRECT(ADDRESS(107,3,,,"MATCHS"))),FALSE),RIGHT(INDIRECT(ADDRESS(107,3,,,"MATCHS")), FIND("--",INDIRECT(ADDRESS(107,3,,,"MATCHS")),1)),INDIRECT(ADDRESS(107,3,,,"MATCHS"))),,IF(IFERROR(FIND("--",INDIRECT(ADDRESS(126,3,,,"MATCHS"))),FALSE),RIGHT(INDIRECT(ADDRESS(126,3,,,"MATCHS")), FIND("--",INDIRECT(ADDRESS(126,3,,,"MATCHS")),1)),INDIRECT(ADDRESS(126,3,,,"MATCHS"))))</f>
        <v>0</v>
      </c>
      <c r="J43" s="73">
        <f t="shared" ca="1" si="6"/>
        <v>0</v>
      </c>
      <c r="K43" s="73">
        <v>0</v>
      </c>
      <c r="L43" s="73">
        <v>7</v>
      </c>
      <c r="M43" s="73"/>
      <c r="N43" s="66" t="str">
        <f t="shared" si="7"/>
        <v>DH</v>
      </c>
    </row>
    <row r="44" spans="1:14" ht="15.75" x14ac:dyDescent="0.25">
      <c r="A44" s="140"/>
      <c r="B44" s="73">
        <v>8</v>
      </c>
      <c r="C44" s="73" t="s">
        <v>92</v>
      </c>
      <c r="D44" s="73" t="str">
        <f>INSCRIPTS!C36</f>
        <v>8D</v>
      </c>
      <c r="E44" s="79">
        <f ca="1">SUM(,,IF(INDIRECT(ADDRESS(19,5,,,"MATCHS"))&gt;INDIRECT(ADDRESS(19,3,,,"MATCHS")),1,0),,IF(INDIRECT(ADDRESS(37,5,,,"MATCHS"))&gt;INDIRECT(ADDRESS(37,3,,,"MATCHS")),1,0),,IF(INDIRECT(ADDRESS(54,5,,,"MATCHS"))&gt;INDIRECT(ADDRESS(54,3,,,"MATCHS")),1,0),,,IF(INDIRECT(ADDRESS(74,5,,,"MATCHS"))&gt;INDIRECT(ADDRESS(74,3,,,"MATCHS")),1,0),,IF(INDIRECT(ADDRESS(91,5,,,"MATCHS"))&gt;INDIRECT(ADDRESS(91,3,,,"MATCHS")),1,0),,IF(INDIRECT(ADDRESS(108,5,,,"MATCHS"))&gt;INDIRECT(ADDRESS(108,3,,,"MATCHS")),1,0),,IF(INDIRECT(ADDRESS(125,5,,,"MATCHS"))&gt;INDIRECT(ADDRESS(125,3,,,"MATCHS")),1,0)) + 0.01 * K44</f>
        <v>0</v>
      </c>
      <c r="F44" s="73">
        <f ca="1">SUM(,,IF(INDIRECT(ADDRESS(19,5,,,"MATCHS"))&lt;INDIRECT(ADDRESS(19,3,,,"MATCHS")),1,0),,IF(INDIRECT(ADDRESS(37,5,,,"MATCHS"))&lt;INDIRECT(ADDRESS(37,3,,,"MATCHS")),1,0),,IF(INDIRECT(ADDRESS(54,5,,,"MATCHS"))&lt;INDIRECT(ADDRESS(54,3,,,"MATCHS")),1,0),,,IF(INDIRECT(ADDRESS(74,5,,,"MATCHS"))&lt;INDIRECT(ADDRESS(74,3,,,"MATCHS")),1,0),,IF(INDIRECT(ADDRESS(91,5,,,"MATCHS"))&lt;INDIRECT(ADDRESS(91,3,,,"MATCHS")),1,0),,IF(INDIRECT(ADDRESS(108,5,,,"MATCHS"))&lt;INDIRECT(ADDRESS(108,3,,,"MATCHS")),1,0),,IF(INDIRECT(ADDRESS(125,5,,,"MATCHS"))&lt;INDIRECT(ADDRESS(125,3,,,"MATCHS")),1,0))</f>
        <v>0</v>
      </c>
      <c r="G44" s="73">
        <f ca="1">SUM(,,IF(IFERROR(FIND("--",INDIRECT(ADDRESS(19,5,,,"MATCHS"))),FALSE),LEFT(INDIRECT(ADDRESS(19,5,,,"MATCHS")), FIND("--",INDIRECT(ADDRESS(19,5,,,"MATCHS")),1)-1),INDIRECT(ADDRESS(19,5,,,"MATCHS"))),,IF(IFERROR(FIND("--",INDIRECT(ADDRESS(37,5,,,"MATCHS"))),FALSE),LEFT(INDIRECT(ADDRESS(37,5,,,"MATCHS")), FIND("--",INDIRECT(ADDRESS(37,5,,,"MATCHS")),1)-1),INDIRECT(ADDRESS(37,5,,,"MATCHS"))),,IF(IFERROR(FIND("--",INDIRECT(ADDRESS(54,5,,,"MATCHS"))),FALSE),LEFT(INDIRECT(ADDRESS(54,5,,,"MATCHS")), FIND("--",INDIRECT(ADDRESS(54,5,,,"MATCHS")),1)-1),INDIRECT(ADDRESS(54,5,,,"MATCHS"))),,,IF(IFERROR(FIND("--",INDIRECT(ADDRESS(74,5,,,"MATCHS"))),FALSE),LEFT(INDIRECT(ADDRESS(74,5,,,"MATCHS")), FIND("--",INDIRECT(ADDRESS(74,5,,,"MATCHS")),1)-1),INDIRECT(ADDRESS(74,5,,,"MATCHS"))),,IF(IFERROR(FIND("--",INDIRECT(ADDRESS(91,5,,,"MATCHS"))),FALSE),LEFT(INDIRECT(ADDRESS(91,5,,,"MATCHS")), FIND("--",INDIRECT(ADDRESS(91,5,,,"MATCHS")),1)-1),INDIRECT(ADDRESS(91,5,,,"MATCHS"))),,IF(IFERROR(FIND("--",INDIRECT(ADDRESS(108,5,,,"MATCHS"))),FALSE),LEFT(INDIRECT(ADDRESS(108,5,,,"MATCHS")), FIND("--",INDIRECT(ADDRESS(108,5,,,"MATCHS")),1)-1),INDIRECT(ADDRESS(108,5,,,"MATCHS"))),,IF(IFERROR(FIND("--",INDIRECT(ADDRESS(125,5,,,"MATCHS"))),FALSE),LEFT(INDIRECT(ADDRESS(125,5,,,"MATCHS")), FIND("--",INDIRECT(ADDRESS(125,5,,,"MATCHS")),1)-1),INDIRECT(ADDRESS(125,5,,,"MATCHS"))))</f>
        <v>0</v>
      </c>
      <c r="H44" s="73">
        <f ca="1">SUM(,,IF(IFERROR(FIND("--",INDIRECT(ADDRESS(19,5,,,"MATCHS"))),FALSE),RIGHT(INDIRECT(ADDRESS(19,5,,,"MATCHS")), FIND("--",INDIRECT(ADDRESS(19,5,,,"MATCHS")),1)),INDIRECT(ADDRESS(19,5,,,"MATCHS"))),,IF(IFERROR(FIND("--",INDIRECT(ADDRESS(37,5,,,"MATCHS"))),FALSE),RIGHT(INDIRECT(ADDRESS(37,5,,,"MATCHS")), FIND("--",INDIRECT(ADDRESS(37,5,,,"MATCHS")),1)),INDIRECT(ADDRESS(37,5,,,"MATCHS"))),,IF(IFERROR(FIND("--",INDIRECT(ADDRESS(54,5,,,"MATCHS"))),FALSE),RIGHT(INDIRECT(ADDRESS(54,5,,,"MATCHS")), FIND("--",INDIRECT(ADDRESS(54,5,,,"MATCHS")),1)),INDIRECT(ADDRESS(54,5,,,"MATCHS"))),,,IF(IFERROR(FIND("--",INDIRECT(ADDRESS(74,5,,,"MATCHS"))),FALSE),RIGHT(INDIRECT(ADDRESS(74,5,,,"MATCHS")), FIND("--",INDIRECT(ADDRESS(74,5,,,"MATCHS")),1)),INDIRECT(ADDRESS(74,5,,,"MATCHS"))),,IF(IFERROR(FIND("--",INDIRECT(ADDRESS(91,5,,,"MATCHS"))),FALSE),RIGHT(INDIRECT(ADDRESS(91,5,,,"MATCHS")), FIND("--",INDIRECT(ADDRESS(91,5,,,"MATCHS")),1)),INDIRECT(ADDRESS(91,5,,,"MATCHS"))),,IF(IFERROR(FIND("--",INDIRECT(ADDRESS(108,5,,,"MATCHS"))),FALSE),RIGHT(INDIRECT(ADDRESS(108,5,,,"MATCHS")), FIND("--",INDIRECT(ADDRESS(108,5,,,"MATCHS")),1)),INDIRECT(ADDRESS(108,5,,,"MATCHS"))),,IF(IFERROR(FIND("--",INDIRECT(ADDRESS(125,5,,,"MATCHS"))),FALSE),RIGHT(INDIRECT(ADDRESS(125,5,,,"MATCHS")), FIND("--",INDIRECT(ADDRESS(125,5,,,"MATCHS")),1)),INDIRECT(ADDRESS(125,5,,,"MATCHS"))))</f>
        <v>0</v>
      </c>
      <c r="I44" s="73">
        <f ca="1">SUM(,,IF(IFERROR(FIND("--",INDIRECT(ADDRESS(19,3,,,"MATCHS"))),FALSE),RIGHT(INDIRECT(ADDRESS(19,3,,,"MATCHS")), FIND("--",INDIRECT(ADDRESS(19,3,,,"MATCHS")),1)),INDIRECT(ADDRESS(19,3,,,"MATCHS"))),,IF(IFERROR(FIND("--",INDIRECT(ADDRESS(37,3,,,"MATCHS"))),FALSE),RIGHT(INDIRECT(ADDRESS(37,3,,,"MATCHS")), FIND("--",INDIRECT(ADDRESS(37,3,,,"MATCHS")),1)),INDIRECT(ADDRESS(37,3,,,"MATCHS"))),,IF(IFERROR(FIND("--",INDIRECT(ADDRESS(54,3,,,"MATCHS"))),FALSE),RIGHT(INDIRECT(ADDRESS(54,3,,,"MATCHS")), FIND("--",INDIRECT(ADDRESS(54,3,,,"MATCHS")),1)),INDIRECT(ADDRESS(54,3,,,"MATCHS"))),,,IF(IFERROR(FIND("--",INDIRECT(ADDRESS(74,3,,,"MATCHS"))),FALSE),RIGHT(INDIRECT(ADDRESS(74,3,,,"MATCHS")), FIND("--",INDIRECT(ADDRESS(74,3,,,"MATCHS")),1)),INDIRECT(ADDRESS(74,3,,,"MATCHS"))),,IF(IFERROR(FIND("--",INDIRECT(ADDRESS(91,3,,,"MATCHS"))),FALSE),RIGHT(INDIRECT(ADDRESS(91,3,,,"MATCHS")), FIND("--",INDIRECT(ADDRESS(91,3,,,"MATCHS")),1)),INDIRECT(ADDRESS(91,3,,,"MATCHS"))),,IF(IFERROR(FIND("--",INDIRECT(ADDRESS(108,3,,,"MATCHS"))),FALSE),RIGHT(INDIRECT(ADDRESS(108,3,,,"MATCHS")), FIND("--",INDIRECT(ADDRESS(108,3,,,"MATCHS")),1)),INDIRECT(ADDRESS(108,3,,,"MATCHS"))),,IF(IFERROR(FIND("--",INDIRECT(ADDRESS(125,3,,,"MATCHS"))),FALSE),RIGHT(INDIRECT(ADDRESS(125,3,,,"MATCHS")), FIND("--",INDIRECT(ADDRESS(125,3,,,"MATCHS")),1)),INDIRECT(ADDRESS(125,3,,,"MATCHS"))))</f>
        <v>0</v>
      </c>
      <c r="J44" s="73">
        <f t="shared" ca="1" si="6"/>
        <v>0</v>
      </c>
      <c r="K44" s="73">
        <v>0</v>
      </c>
      <c r="L44" s="73">
        <v>8</v>
      </c>
      <c r="M44" s="73"/>
      <c r="N44" s="66" t="str">
        <f t="shared" si="7"/>
        <v>DH</v>
      </c>
    </row>
  </sheetData>
  <mergeCells count="4">
    <mergeCell ref="A4:A11"/>
    <mergeCell ref="A15:A22"/>
    <mergeCell ref="A26:A33"/>
    <mergeCell ref="A37:A44"/>
  </mergeCells>
  <dataValidations count="2">
    <dataValidation type="whole" allowBlank="1" showErrorMessage="1" errorTitle="ATTENTION" error="NOMBRE ENTIER UNIQUEMENT_x000a_COMPRIS ENTRE --&gt; 1 ET 16" sqref="M1:M1048576" xr:uid="{8FDB32FB-5C08-4B1E-8660-E426E898CEB9}">
      <formula1>1</formula1>
      <formula2>16</formula2>
    </dataValidation>
    <dataValidation type="whole" operator="greaterThanOrEqual" allowBlank="1" showErrorMessage="1" errorTitle="ATTENTION" error="NOMBRE ENTIER UNIQUEMENT_x000a_MINIMUM --&gt; 0" sqref="J1:J1048576" xr:uid="{116637CB-7231-450C-B9B6-69686FD598A3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ValiderOrdrePhaseFinale">
              <controlPr defaultSize="0" print="0" autoFill="0" autoPict="0" macro="[0]!listmatchph14ind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C4PPClassement">
              <controlPr defaultSize="0" print="0" autoFill="0" autoPict="0" macro="[0]!'copyimage &quot;A2:J44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8E02E-3663-4C96-B8A9-8E55A3BD1EDC}">
  <sheetPr codeName="Feuil18"/>
  <dimension ref="B1:O66"/>
  <sheetViews>
    <sheetView workbookViewId="0"/>
  </sheetViews>
  <sheetFormatPr baseColWidth="10" defaultRowHeight="15" x14ac:dyDescent="0.25"/>
  <cols>
    <col min="1" max="1" width="11.42578125" style="80"/>
    <col min="2" max="2" width="4.28515625" style="85" customWidth="1"/>
    <col min="3" max="3" width="22.85546875" style="80" customWidth="1"/>
    <col min="4" max="4" width="2.85546875" style="80" customWidth="1"/>
    <col min="5" max="5" width="4.28515625" style="85" customWidth="1"/>
    <col min="6" max="6" width="22.85546875" style="80" customWidth="1"/>
    <col min="7" max="7" width="2.85546875" style="80" customWidth="1"/>
    <col min="8" max="8" width="22.85546875" style="80" customWidth="1"/>
    <col min="9" max="9" width="4.28515625" style="85" customWidth="1"/>
    <col min="10" max="10" width="2.85546875" style="80" customWidth="1"/>
    <col min="11" max="11" width="22.85546875" style="80" customWidth="1"/>
    <col min="12" max="12" width="4.28515625" style="85" customWidth="1"/>
    <col min="13" max="13" width="2.85546875" style="80" customWidth="1"/>
    <col min="14" max="14" width="22.85546875" style="80" customWidth="1"/>
    <col min="15" max="15" width="4.28515625" style="85" customWidth="1"/>
    <col min="16" max="16384" width="11.42578125" style="80"/>
  </cols>
  <sheetData>
    <row r="1" spans="2:15" x14ac:dyDescent="0.25">
      <c r="H1" s="80" t="s">
        <v>117</v>
      </c>
    </row>
    <row r="2" spans="2:15" x14ac:dyDescent="0.25">
      <c r="H2" s="80" t="s">
        <v>119</v>
      </c>
    </row>
    <row r="3" spans="2:15" ht="15.75" thickBot="1" x14ac:dyDescent="0.3">
      <c r="H3" s="80" t="s">
        <v>120</v>
      </c>
    </row>
    <row r="4" spans="2:15" x14ac:dyDescent="0.25">
      <c r="H4" s="81"/>
      <c r="I4" s="88"/>
    </row>
    <row r="5" spans="2:15" ht="15.75" thickBot="1" x14ac:dyDescent="0.3">
      <c r="F5" s="80" t="s">
        <v>125</v>
      </c>
      <c r="H5" s="83"/>
      <c r="I5" s="89"/>
      <c r="K5" s="80" t="s">
        <v>122</v>
      </c>
    </row>
    <row r="6" spans="2:15" x14ac:dyDescent="0.25">
      <c r="C6" s="80" t="s">
        <v>127</v>
      </c>
      <c r="E6" s="86"/>
      <c r="F6" s="82" t="str">
        <f>IF(OR(I4="",I5=""),"",IF(I4&lt;I5,H4,H5))</f>
        <v/>
      </c>
      <c r="K6" s="81" t="str">
        <f>IF(OR(I4="",I5=""),"",IF(I4&gt;I5,H4,H5))</f>
        <v/>
      </c>
      <c r="L6" s="88"/>
      <c r="N6" s="80" t="s">
        <v>125</v>
      </c>
    </row>
    <row r="7" spans="2:15" ht="15.75" thickBot="1" x14ac:dyDescent="0.3">
      <c r="C7" s="80" t="s">
        <v>130</v>
      </c>
      <c r="E7" s="87"/>
      <c r="F7" s="84" t="str">
        <f>IF(OR(I8="",I9=""),"",IF(I8&lt;I9,H8,H9))</f>
        <v/>
      </c>
      <c r="H7" s="80" t="s">
        <v>121</v>
      </c>
      <c r="K7" s="83" t="str">
        <f>IF(OR(I8="",I9=""),"",IF(I8&gt;I9,H8,H9))</f>
        <v/>
      </c>
      <c r="L7" s="89"/>
      <c r="N7" s="80" t="s">
        <v>128</v>
      </c>
    </row>
    <row r="8" spans="2:15" x14ac:dyDescent="0.25">
      <c r="B8" s="86"/>
      <c r="C8" s="82" t="str">
        <f>IF(OR(E6="",E7=""),"",IF(E6&gt;E7,F6,F7))</f>
        <v/>
      </c>
      <c r="H8" s="81"/>
      <c r="I8" s="88"/>
      <c r="N8" s="81" t="str">
        <f>IF(OR(L6="",L7=""),"",IF(L6&gt;L7,K6,K7))</f>
        <v/>
      </c>
      <c r="O8" s="88"/>
    </row>
    <row r="9" spans="2:15" ht="15.75" thickBot="1" x14ac:dyDescent="0.3">
      <c r="B9" s="87"/>
      <c r="C9" s="84" t="str">
        <f>IF(OR(E14="",E15=""),"",IF(E14&gt;E15,F14,F15))</f>
        <v/>
      </c>
      <c r="H9" s="83"/>
      <c r="I9" s="89"/>
      <c r="N9" s="83" t="str">
        <f>IF(OR(L14="",L15=""),"",IF(L14&gt;L15,K14,K15))</f>
        <v/>
      </c>
      <c r="O9" s="89"/>
    </row>
    <row r="10" spans="2:15" x14ac:dyDescent="0.25">
      <c r="C10" s="80" t="s">
        <v>120</v>
      </c>
      <c r="N10" s="80" t="s">
        <v>126</v>
      </c>
    </row>
    <row r="11" spans="2:15" ht="15.75" thickBot="1" x14ac:dyDescent="0.3">
      <c r="C11" s="80" t="s">
        <v>131</v>
      </c>
      <c r="H11" s="80" t="s">
        <v>122</v>
      </c>
      <c r="N11" s="80" t="s">
        <v>129</v>
      </c>
    </row>
    <row r="12" spans="2:15" x14ac:dyDescent="0.25">
      <c r="B12" s="86"/>
      <c r="C12" s="82" t="str">
        <f>IF(OR(E6="",E7=""),"",IF(E6&lt;E7,F6,F7))</f>
        <v/>
      </c>
      <c r="H12" s="81"/>
      <c r="I12" s="88"/>
      <c r="N12" s="81" t="str">
        <f>IF(OR(L6="",L7=""),"",IF(L6&lt;L7,K6,K7))</f>
        <v/>
      </c>
      <c r="O12" s="88"/>
    </row>
    <row r="13" spans="2:15" ht="15.75" thickBot="1" x14ac:dyDescent="0.3">
      <c r="B13" s="87"/>
      <c r="C13" s="84" t="str">
        <f>IF(OR(E14="",E15=""),"",IF(E14&lt;E15,F14,F15))</f>
        <v/>
      </c>
      <c r="F13" s="80" t="s">
        <v>126</v>
      </c>
      <c r="H13" s="83"/>
      <c r="I13" s="89"/>
      <c r="K13" s="80" t="s">
        <v>123</v>
      </c>
      <c r="N13" s="83" t="str">
        <f>IF(OR(L14="",L15=""),"",IF(L14&lt;L15,K14,K15))</f>
        <v/>
      </c>
      <c r="O13" s="89"/>
    </row>
    <row r="14" spans="2:15" x14ac:dyDescent="0.25">
      <c r="E14" s="86"/>
      <c r="F14" s="82" t="str">
        <f>IF(OR(I12="",I13=""),"",IF(I12&lt;I13,H12,H13))</f>
        <v/>
      </c>
      <c r="K14" s="81" t="str">
        <f>IF(OR(I12="",I13=""),"",IF(I12&gt;I13,H12,H13))</f>
        <v/>
      </c>
      <c r="L14" s="88"/>
    </row>
    <row r="15" spans="2:15" ht="15.75" thickBot="1" x14ac:dyDescent="0.3">
      <c r="E15" s="87"/>
      <c r="F15" s="84" t="str">
        <f>IF(OR(I16="",I17=""),"",IF(I16&lt;I17,H16,H17))</f>
        <v/>
      </c>
      <c r="H15" s="80" t="s">
        <v>123</v>
      </c>
      <c r="K15" s="83" t="str">
        <f>IF(OR(I16="",I17=""),"",IF(I16&gt;I17,H16,H17))</f>
        <v/>
      </c>
      <c r="L15" s="89"/>
    </row>
    <row r="16" spans="2:15" x14ac:dyDescent="0.25">
      <c r="H16" s="81"/>
      <c r="I16" s="88"/>
    </row>
    <row r="17" spans="2:15" ht="15.75" thickBot="1" x14ac:dyDescent="0.3">
      <c r="H17" s="83"/>
      <c r="I17" s="89"/>
    </row>
    <row r="19" spans="2:15" x14ac:dyDescent="0.25">
      <c r="H19" s="80" t="s">
        <v>124</v>
      </c>
    </row>
    <row r="20" spans="2:15" ht="15.75" thickBot="1" x14ac:dyDescent="0.3">
      <c r="H20" s="80" t="s">
        <v>125</v>
      </c>
    </row>
    <row r="21" spans="2:15" x14ac:dyDescent="0.25">
      <c r="H21" s="81"/>
      <c r="I21" s="88"/>
    </row>
    <row r="22" spans="2:15" ht="15.75" thickBot="1" x14ac:dyDescent="0.3">
      <c r="F22" s="80" t="s">
        <v>121</v>
      </c>
      <c r="H22" s="83"/>
      <c r="I22" s="89"/>
      <c r="K22" s="80" t="s">
        <v>127</v>
      </c>
    </row>
    <row r="23" spans="2:15" x14ac:dyDescent="0.25">
      <c r="C23" s="80" t="s">
        <v>123</v>
      </c>
      <c r="E23" s="86"/>
      <c r="F23" s="82" t="str">
        <f>IF(OR(I21="",I22=""),"",IF(I21&lt;I22,H21,H22))</f>
        <v/>
      </c>
      <c r="K23" s="81" t="str">
        <f>IF(OR(I21="",I22=""),"",IF(I21&gt;I22,H21,H22))</f>
        <v/>
      </c>
      <c r="L23" s="88"/>
      <c r="N23" s="80" t="s">
        <v>121</v>
      </c>
    </row>
    <row r="24" spans="2:15" ht="15.75" thickBot="1" x14ac:dyDescent="0.3">
      <c r="C24" s="80" t="s">
        <v>134</v>
      </c>
      <c r="E24" s="87"/>
      <c r="F24" s="84" t="str">
        <f>IF(OR(I25="",I26=""),"",IF(I25&lt;I26,H25,H26))</f>
        <v/>
      </c>
      <c r="H24" s="80" t="s">
        <v>126</v>
      </c>
      <c r="K24" s="83" t="str">
        <f>IF(OR(I25="",I26=""),"",IF(I25&gt;I26,H25,H26))</f>
        <v/>
      </c>
      <c r="L24" s="89"/>
      <c r="N24" s="80" t="s">
        <v>132</v>
      </c>
    </row>
    <row r="25" spans="2:15" x14ac:dyDescent="0.25">
      <c r="B25" s="86"/>
      <c r="C25" s="82" t="str">
        <f>IF(OR(E23="",E24=""),"",IF(E23&gt;E24,F23,F24))</f>
        <v/>
      </c>
      <c r="H25" s="81"/>
      <c r="I25" s="88"/>
      <c r="N25" s="81" t="str">
        <f>IF(OR(L23="",L24=""),"",IF(L23&gt;L24,K23,K24))</f>
        <v/>
      </c>
      <c r="O25" s="88"/>
    </row>
    <row r="26" spans="2:15" ht="15.75" thickBot="1" x14ac:dyDescent="0.3">
      <c r="B26" s="87"/>
      <c r="C26" s="84" t="str">
        <f>IF(OR(E31="",E32=""),"",IF(E31&gt;E32,F31,F32))</f>
        <v/>
      </c>
      <c r="H26" s="83"/>
      <c r="I26" s="89"/>
      <c r="N26" s="83" t="str">
        <f>IF(OR(L31="",L32=""),"",IF(L31&gt;L32,K31,K32))</f>
        <v/>
      </c>
      <c r="O26" s="89"/>
    </row>
    <row r="27" spans="2:15" x14ac:dyDescent="0.25">
      <c r="C27" s="80" t="s">
        <v>125</v>
      </c>
      <c r="N27" s="80" t="s">
        <v>122</v>
      </c>
    </row>
    <row r="28" spans="2:15" ht="15.75" thickBot="1" x14ac:dyDescent="0.3">
      <c r="C28" s="80" t="s">
        <v>135</v>
      </c>
      <c r="H28" s="80" t="s">
        <v>127</v>
      </c>
      <c r="N28" s="80" t="s">
        <v>133</v>
      </c>
    </row>
    <row r="29" spans="2:15" x14ac:dyDescent="0.25">
      <c r="B29" s="86"/>
      <c r="C29" s="82" t="str">
        <f>IF(OR(E23="",E24=""),"",IF(E23&lt;E24,F23,F24))</f>
        <v/>
      </c>
      <c r="H29" s="81"/>
      <c r="I29" s="88"/>
      <c r="N29" s="81" t="str">
        <f>IF(OR(L23="",L24=""),"",IF(L23&lt;L24,K23,K24))</f>
        <v/>
      </c>
      <c r="O29" s="88"/>
    </row>
    <row r="30" spans="2:15" ht="15.75" thickBot="1" x14ac:dyDescent="0.3">
      <c r="B30" s="87"/>
      <c r="C30" s="84" t="str">
        <f>IF(OR(E31="",E32=""),"",IF(E31&lt;E32,F31,F32))</f>
        <v/>
      </c>
      <c r="F30" s="80" t="s">
        <v>122</v>
      </c>
      <c r="H30" s="83"/>
      <c r="I30" s="89"/>
      <c r="K30" s="80" t="s">
        <v>120</v>
      </c>
      <c r="N30" s="83" t="str">
        <f>IF(OR(L31="",L32=""),"",IF(L31&lt;L32,K31,K32))</f>
        <v/>
      </c>
      <c r="O30" s="89"/>
    </row>
    <row r="31" spans="2:15" x14ac:dyDescent="0.25">
      <c r="E31" s="86"/>
      <c r="F31" s="82" t="str">
        <f>IF(OR(I29="",I30=""),"",IF(I29&lt;I30,H29,H30))</f>
        <v/>
      </c>
      <c r="K31" s="81" t="str">
        <f>IF(OR(I29="",I30=""),"",IF(I29&gt;I30,H29,H30))</f>
        <v/>
      </c>
      <c r="L31" s="88"/>
    </row>
    <row r="32" spans="2:15" ht="15.75" thickBot="1" x14ac:dyDescent="0.3">
      <c r="E32" s="87"/>
      <c r="F32" s="84" t="str">
        <f>IF(OR(I33="",I34=""),"",IF(I33&lt;I34,H33,H34))</f>
        <v/>
      </c>
      <c r="H32" s="80" t="s">
        <v>120</v>
      </c>
      <c r="K32" s="83" t="str">
        <f>IF(OR(I33="",I34=""),"",IF(I33&gt;I34,H33,H34))</f>
        <v/>
      </c>
      <c r="L32" s="89"/>
    </row>
    <row r="33" spans="3:14" x14ac:dyDescent="0.25">
      <c r="H33" s="81"/>
      <c r="I33" s="88"/>
    </row>
    <row r="34" spans="3:14" ht="15.75" thickBot="1" x14ac:dyDescent="0.3">
      <c r="H34" s="83"/>
      <c r="I34" s="89"/>
    </row>
    <row r="40" spans="3:14" x14ac:dyDescent="0.25">
      <c r="F40" s="80" t="str">
        <f>IF(OR(I38="",I39=""),"",IF(I38&lt;I39,H38,H39))</f>
        <v/>
      </c>
      <c r="K40" s="80" t="str">
        <f>IF(OR(I38="",I39=""),"",IF(I38&gt;I39,H38,H39))</f>
        <v/>
      </c>
    </row>
    <row r="41" spans="3:14" x14ac:dyDescent="0.25">
      <c r="F41" s="80" t="str">
        <f>IF(OR(I42="",I43=""),"",IF(I42&lt;I43,H42,H43))</f>
        <v/>
      </c>
      <c r="K41" s="80" t="str">
        <f>IF(OR(I42="",I43=""),"",IF(I42&gt;I43,H42,H43))</f>
        <v/>
      </c>
    </row>
    <row r="42" spans="3:14" x14ac:dyDescent="0.25">
      <c r="C42" s="80" t="str">
        <f>IF(OR(E40="",E41=""),"",IF(E40&gt;E41,F40,F41))</f>
        <v/>
      </c>
      <c r="N42" s="80" t="str">
        <f>IF(OR(L40="",L41=""),"",IF(L40&gt;L41,K40,K41))</f>
        <v/>
      </c>
    </row>
    <row r="43" spans="3:14" x14ac:dyDescent="0.25">
      <c r="C43" s="80" t="str">
        <f>IF(OR(E48="",E49=""),"",IF(E48&gt;E49,F48,F49))</f>
        <v/>
      </c>
      <c r="N43" s="80" t="str">
        <f>IF(OR(L48="",L49=""),"",IF(L48&gt;L49,K48,K49))</f>
        <v/>
      </c>
    </row>
    <row r="46" spans="3:14" x14ac:dyDescent="0.25">
      <c r="C46" s="80" t="str">
        <f>IF(OR(E40="",E41=""),"",IF(E40&lt;E41,F40,F41))</f>
        <v/>
      </c>
      <c r="N46" s="80" t="str">
        <f>IF(OR(L40="",L41=""),"",IF(L40&lt;L41,K40,K41))</f>
        <v/>
      </c>
    </row>
    <row r="47" spans="3:14" x14ac:dyDescent="0.25">
      <c r="C47" s="80" t="str">
        <f>IF(OR(E48="",E49=""),"",IF(E48&lt;E49,F48,F49))</f>
        <v/>
      </c>
      <c r="N47" s="80" t="str">
        <f>IF(OR(L48="",L49=""),"",IF(L48&lt;L49,K48,K49))</f>
        <v/>
      </c>
    </row>
    <row r="48" spans="3:14" x14ac:dyDescent="0.25">
      <c r="F48" s="80" t="str">
        <f>IF(OR(I46="",I47=""),"",IF(I46&lt;I47,H46,H47))</f>
        <v/>
      </c>
      <c r="K48" s="80" t="str">
        <f>IF(OR(I46="",I47=""),"",IF(I46&gt;I47,H46,H47))</f>
        <v/>
      </c>
    </row>
    <row r="49" spans="3:14" x14ac:dyDescent="0.25">
      <c r="F49" s="80" t="str">
        <f>IF(OR(I50="",I51=""),"",IF(I50&lt;I51,H50,H51))</f>
        <v/>
      </c>
      <c r="K49" s="80" t="str">
        <f>IF(OR(I50="",I51=""),"",IF(I50&gt;I51,H50,H51))</f>
        <v/>
      </c>
    </row>
    <row r="57" spans="3:14" x14ac:dyDescent="0.25">
      <c r="F57" s="80" t="str">
        <f>IF(OR(I55="",I56=""),"",IF(I55&lt;I56,H55,H56))</f>
        <v/>
      </c>
      <c r="K57" s="80" t="str">
        <f>IF(OR(I55="",I56=""),"",IF(I55&gt;I56,H55,H56))</f>
        <v/>
      </c>
    </row>
    <row r="58" spans="3:14" x14ac:dyDescent="0.25">
      <c r="F58" s="80" t="str">
        <f>IF(OR(I59="",I60=""),"",IF(I59&lt;I60,H59,H60))</f>
        <v/>
      </c>
      <c r="K58" s="80" t="str">
        <f>IF(OR(I59="",I60=""),"",IF(I59&gt;I60,H59,H60))</f>
        <v/>
      </c>
    </row>
    <row r="59" spans="3:14" x14ac:dyDescent="0.25">
      <c r="C59" s="80" t="str">
        <f>IF(OR(E57="",E58=""),"",IF(E57&gt;E58,F57,F58))</f>
        <v/>
      </c>
      <c r="N59" s="80" t="str">
        <f>IF(OR(L57="",L58=""),"",IF(L57&gt;L58,K57,K58))</f>
        <v/>
      </c>
    </row>
    <row r="60" spans="3:14" x14ac:dyDescent="0.25">
      <c r="C60" s="80" t="str">
        <f>IF(OR(E65="",E66=""),"",IF(E65&gt;E66,F65,F66))</f>
        <v/>
      </c>
      <c r="N60" s="80" t="str">
        <f>IF(OR(L65="",L66=""),"",IF(L65&gt;L66,K65,K66))</f>
        <v/>
      </c>
    </row>
    <row r="63" spans="3:14" x14ac:dyDescent="0.25">
      <c r="C63" s="80" t="str">
        <f>IF(OR(E57="",E58=""),"",IF(E57&lt;E58,F57,F58))</f>
        <v/>
      </c>
      <c r="N63" s="80" t="str">
        <f>IF(OR(L57="",L58=""),"",IF(L57&lt;L58,K57,K58))</f>
        <v/>
      </c>
    </row>
    <row r="64" spans="3:14" x14ac:dyDescent="0.25">
      <c r="C64" s="80" t="str">
        <f>IF(OR(E65="",E66=""),"",IF(E65&lt;E66,F65,F66))</f>
        <v/>
      </c>
      <c r="N64" s="80" t="str">
        <f>IF(OR(L65="",L66=""),"",IF(L65&lt;L66,K65,K66))</f>
        <v/>
      </c>
    </row>
    <row r="65" spans="6:11" x14ac:dyDescent="0.25">
      <c r="F65" s="80" t="str">
        <f>IF(OR(I63="",I64=""),"",IF(I63&lt;I64,H63,H64))</f>
        <v/>
      </c>
      <c r="K65" s="80" t="str">
        <f>IF(OR(I63="",I64=""),"",IF(I63&gt;I64,H63,H64))</f>
        <v/>
      </c>
    </row>
    <row r="66" spans="6:11" x14ac:dyDescent="0.25">
      <c r="F66" s="80" t="str">
        <f>IF(OR(I67="",I68=""),"",IF(I67&lt;I68,H67,H68))</f>
        <v/>
      </c>
      <c r="K66" s="80" t="str">
        <f>IF(OR(I67="",I68=""),"",IF(I67&gt;I68,H67,H68))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B4C246EE-DDE3-4127-8F45-83BB63B8A0E3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5991-0806-4857-B0E0-CC83C7B6F7D5}">
  <sheetPr codeName="Feuil19"/>
  <dimension ref="B1:O66"/>
  <sheetViews>
    <sheetView workbookViewId="0"/>
  </sheetViews>
  <sheetFormatPr baseColWidth="10" defaultRowHeight="15" x14ac:dyDescent="0.25"/>
  <cols>
    <col min="1" max="1" width="11.42578125" style="80"/>
    <col min="2" max="2" width="4.28515625" style="85" customWidth="1"/>
    <col min="3" max="3" width="22.85546875" style="80" customWidth="1"/>
    <col min="4" max="4" width="2.85546875" style="80" customWidth="1"/>
    <col min="5" max="5" width="4.28515625" style="85" customWidth="1"/>
    <col min="6" max="6" width="22.85546875" style="80" customWidth="1"/>
    <col min="7" max="7" width="2.85546875" style="80" customWidth="1"/>
    <col min="8" max="8" width="22.85546875" style="80" customWidth="1"/>
    <col min="9" max="9" width="4.28515625" style="85" customWidth="1"/>
    <col min="10" max="10" width="2.85546875" style="80" customWidth="1"/>
    <col min="11" max="11" width="22.85546875" style="80" customWidth="1"/>
    <col min="12" max="12" width="4.28515625" style="85" customWidth="1"/>
    <col min="13" max="13" width="2.85546875" style="80" customWidth="1"/>
    <col min="14" max="14" width="22.85546875" style="80" customWidth="1"/>
    <col min="15" max="15" width="4.28515625" style="85" customWidth="1"/>
    <col min="16" max="16384" width="11.42578125" style="80"/>
  </cols>
  <sheetData>
    <row r="1" spans="2:15" x14ac:dyDescent="0.25">
      <c r="H1" s="80" t="s">
        <v>118</v>
      </c>
    </row>
    <row r="2" spans="2:15" x14ac:dyDescent="0.25">
      <c r="H2" s="80" t="s">
        <v>119</v>
      </c>
    </row>
    <row r="3" spans="2:15" ht="15.75" thickBot="1" x14ac:dyDescent="0.3">
      <c r="H3" s="80" t="s">
        <v>121</v>
      </c>
    </row>
    <row r="4" spans="2:15" x14ac:dyDescent="0.25">
      <c r="H4" s="81"/>
      <c r="I4" s="88"/>
    </row>
    <row r="5" spans="2:15" ht="15.75" thickBot="1" x14ac:dyDescent="0.3">
      <c r="F5" s="80" t="s">
        <v>126</v>
      </c>
      <c r="H5" s="83"/>
      <c r="I5" s="89"/>
      <c r="K5" s="80" t="s">
        <v>123</v>
      </c>
    </row>
    <row r="6" spans="2:15" x14ac:dyDescent="0.25">
      <c r="C6" s="80" t="s">
        <v>120</v>
      </c>
      <c r="E6" s="86"/>
      <c r="F6" s="82" t="str">
        <f>IF(OR(I4="",I5=""),"",IF(I4&lt;I5,H4,H5))</f>
        <v/>
      </c>
      <c r="K6" s="81" t="str">
        <f>IF(OR(I4="",I5=""),"",IF(I4&gt;I5,H4,H5))</f>
        <v/>
      </c>
      <c r="L6" s="88"/>
      <c r="N6" s="80" t="s">
        <v>126</v>
      </c>
    </row>
    <row r="7" spans="2:15" ht="15.75" thickBot="1" x14ac:dyDescent="0.3">
      <c r="C7" s="80" t="s">
        <v>130</v>
      </c>
      <c r="E7" s="87"/>
      <c r="F7" s="84" t="str">
        <f>IF(OR(I8="",I9=""),"",IF(I8&lt;I9,H8,H9))</f>
        <v/>
      </c>
      <c r="H7" s="80" t="s">
        <v>122</v>
      </c>
      <c r="K7" s="83" t="str">
        <f>IF(OR(I8="",I9=""),"",IF(I8&gt;I9,H8,H9))</f>
        <v/>
      </c>
      <c r="L7" s="89"/>
      <c r="N7" s="80" t="s">
        <v>128</v>
      </c>
    </row>
    <row r="8" spans="2:15" x14ac:dyDescent="0.25">
      <c r="B8" s="86"/>
      <c r="C8" s="82" t="str">
        <f>IF(OR(E6="",E7=""),"",IF(E6&gt;E7,F6,F7))</f>
        <v/>
      </c>
      <c r="H8" s="81"/>
      <c r="I8" s="88"/>
      <c r="N8" s="81" t="str">
        <f>IF(OR(L6="",L7=""),"",IF(L6&gt;L7,K6,K7))</f>
        <v/>
      </c>
      <c r="O8" s="88"/>
    </row>
    <row r="9" spans="2:15" ht="15.75" thickBot="1" x14ac:dyDescent="0.3">
      <c r="B9" s="87"/>
      <c r="C9" s="84" t="str">
        <f>IF(OR(E14="",E15=""),"",IF(E14&gt;E15,F14,F15))</f>
        <v/>
      </c>
      <c r="H9" s="83"/>
      <c r="I9" s="89"/>
      <c r="N9" s="83" t="str">
        <f>IF(OR(L14="",L15=""),"",IF(L14&gt;L15,K14,K15))</f>
        <v/>
      </c>
      <c r="O9" s="89"/>
    </row>
    <row r="10" spans="2:15" x14ac:dyDescent="0.25">
      <c r="C10" s="80" t="s">
        <v>121</v>
      </c>
      <c r="N10" s="80" t="s">
        <v>127</v>
      </c>
    </row>
    <row r="11" spans="2:15" ht="15.75" thickBot="1" x14ac:dyDescent="0.3">
      <c r="C11" s="80" t="s">
        <v>131</v>
      </c>
      <c r="H11" s="80" t="s">
        <v>123</v>
      </c>
      <c r="N11" s="80" t="s">
        <v>129</v>
      </c>
    </row>
    <row r="12" spans="2:15" x14ac:dyDescent="0.25">
      <c r="B12" s="86"/>
      <c r="C12" s="82" t="str">
        <f>IF(OR(E6="",E7=""),"",IF(E6&lt;E7,F6,F7))</f>
        <v/>
      </c>
      <c r="H12" s="81"/>
      <c r="I12" s="88"/>
      <c r="N12" s="81" t="str">
        <f>IF(OR(L6="",L7=""),"",IF(L6&lt;L7,K6,K7))</f>
        <v/>
      </c>
      <c r="O12" s="88"/>
    </row>
    <row r="13" spans="2:15" ht="15.75" thickBot="1" x14ac:dyDescent="0.3">
      <c r="B13" s="87"/>
      <c r="C13" s="84" t="str">
        <f>IF(OR(E14="",E15=""),"",IF(E14&lt;E15,F14,F15))</f>
        <v/>
      </c>
      <c r="F13" s="80" t="s">
        <v>127</v>
      </c>
      <c r="H13" s="83"/>
      <c r="I13" s="89"/>
      <c r="K13" s="80" t="s">
        <v>125</v>
      </c>
      <c r="N13" s="83" t="str">
        <f>IF(OR(L14="",L15=""),"",IF(L14&lt;L15,K14,K15))</f>
        <v/>
      </c>
      <c r="O13" s="89"/>
    </row>
    <row r="14" spans="2:15" x14ac:dyDescent="0.25">
      <c r="E14" s="86"/>
      <c r="F14" s="82" t="str">
        <f>IF(OR(I12="",I13=""),"",IF(I12&lt;I13,H12,H13))</f>
        <v/>
      </c>
      <c r="K14" s="81" t="str">
        <f>IF(OR(I12="",I13=""),"",IF(I12&gt;I13,H12,H13))</f>
        <v/>
      </c>
      <c r="L14" s="88"/>
    </row>
    <row r="15" spans="2:15" ht="15.75" thickBot="1" x14ac:dyDescent="0.3">
      <c r="E15" s="87"/>
      <c r="F15" s="84" t="str">
        <f>IF(OR(I16="",I17=""),"",IF(I16&lt;I17,H16,H17))</f>
        <v/>
      </c>
      <c r="H15" s="80" t="s">
        <v>125</v>
      </c>
      <c r="K15" s="83" t="str">
        <f>IF(OR(I16="",I17=""),"",IF(I16&gt;I17,H16,H17))</f>
        <v/>
      </c>
      <c r="L15" s="89"/>
    </row>
    <row r="16" spans="2:15" x14ac:dyDescent="0.25">
      <c r="H16" s="81"/>
      <c r="I16" s="88"/>
    </row>
    <row r="17" spans="2:15" ht="15.75" thickBot="1" x14ac:dyDescent="0.3">
      <c r="H17" s="83"/>
      <c r="I17" s="89"/>
    </row>
    <row r="19" spans="2:15" x14ac:dyDescent="0.25">
      <c r="H19" s="80" t="s">
        <v>124</v>
      </c>
    </row>
    <row r="20" spans="2:15" ht="15.75" thickBot="1" x14ac:dyDescent="0.3">
      <c r="H20" s="80" t="s">
        <v>126</v>
      </c>
    </row>
    <row r="21" spans="2:15" x14ac:dyDescent="0.25">
      <c r="H21" s="81"/>
      <c r="I21" s="88"/>
    </row>
    <row r="22" spans="2:15" ht="15.75" thickBot="1" x14ac:dyDescent="0.3">
      <c r="F22" s="80" t="s">
        <v>122</v>
      </c>
      <c r="H22" s="83"/>
      <c r="I22" s="89"/>
      <c r="K22" s="80" t="s">
        <v>120</v>
      </c>
    </row>
    <row r="23" spans="2:15" x14ac:dyDescent="0.25">
      <c r="C23" s="80" t="s">
        <v>125</v>
      </c>
      <c r="E23" s="86"/>
      <c r="F23" s="82" t="str">
        <f>IF(OR(I21="",I22=""),"",IF(I21&lt;I22,H21,H22))</f>
        <v/>
      </c>
      <c r="K23" s="81" t="str">
        <f>IF(OR(I21="",I22=""),"",IF(I21&gt;I22,H21,H22))</f>
        <v/>
      </c>
      <c r="L23" s="88"/>
      <c r="N23" s="80" t="s">
        <v>122</v>
      </c>
    </row>
    <row r="24" spans="2:15" ht="15.75" thickBot="1" x14ac:dyDescent="0.3">
      <c r="C24" s="80" t="s">
        <v>134</v>
      </c>
      <c r="E24" s="87"/>
      <c r="F24" s="84" t="str">
        <f>IF(OR(I25="",I26=""),"",IF(I25&lt;I26,H25,H26))</f>
        <v/>
      </c>
      <c r="H24" s="80" t="s">
        <v>127</v>
      </c>
      <c r="K24" s="83" t="str">
        <f>IF(OR(I25="",I26=""),"",IF(I25&gt;I26,H25,H26))</f>
        <v/>
      </c>
      <c r="L24" s="89"/>
      <c r="N24" s="80" t="s">
        <v>132</v>
      </c>
    </row>
    <row r="25" spans="2:15" x14ac:dyDescent="0.25">
      <c r="B25" s="86"/>
      <c r="C25" s="82" t="str">
        <f>IF(OR(E23="",E24=""),"",IF(E23&gt;E24,F23,F24))</f>
        <v/>
      </c>
      <c r="H25" s="81"/>
      <c r="I25" s="88"/>
      <c r="N25" s="81" t="str">
        <f>IF(OR(L23="",L24=""),"",IF(L23&gt;L24,K23,K24))</f>
        <v/>
      </c>
      <c r="O25" s="88"/>
    </row>
    <row r="26" spans="2:15" ht="15.75" thickBot="1" x14ac:dyDescent="0.3">
      <c r="B26" s="87"/>
      <c r="C26" s="84" t="str">
        <f>IF(OR(E31="",E32=""),"",IF(E31&gt;E32,F31,F32))</f>
        <v/>
      </c>
      <c r="H26" s="83"/>
      <c r="I26" s="89"/>
      <c r="N26" s="83" t="str">
        <f>IF(OR(L31="",L32=""),"",IF(L31&gt;L32,K31,K32))</f>
        <v/>
      </c>
      <c r="O26" s="89"/>
    </row>
    <row r="27" spans="2:15" x14ac:dyDescent="0.25">
      <c r="C27" s="80" t="s">
        <v>126</v>
      </c>
      <c r="N27" s="80" t="s">
        <v>123</v>
      </c>
    </row>
    <row r="28" spans="2:15" ht="15.75" thickBot="1" x14ac:dyDescent="0.3">
      <c r="C28" s="80" t="s">
        <v>135</v>
      </c>
      <c r="H28" s="80" t="s">
        <v>120</v>
      </c>
      <c r="N28" s="80" t="s">
        <v>133</v>
      </c>
    </row>
    <row r="29" spans="2:15" x14ac:dyDescent="0.25">
      <c r="B29" s="86"/>
      <c r="C29" s="82" t="str">
        <f>IF(OR(E23="",E24=""),"",IF(E23&lt;E24,F23,F24))</f>
        <v/>
      </c>
      <c r="H29" s="81"/>
      <c r="I29" s="88"/>
      <c r="N29" s="81" t="str">
        <f>IF(OR(L23="",L24=""),"",IF(L23&lt;L24,K23,K24))</f>
        <v/>
      </c>
      <c r="O29" s="88"/>
    </row>
    <row r="30" spans="2:15" ht="15.75" thickBot="1" x14ac:dyDescent="0.3">
      <c r="B30" s="87"/>
      <c r="C30" s="84" t="str">
        <f>IF(OR(E31="",E32=""),"",IF(E31&lt;E32,F31,F32))</f>
        <v/>
      </c>
      <c r="F30" s="80" t="s">
        <v>123</v>
      </c>
      <c r="H30" s="83"/>
      <c r="I30" s="89"/>
      <c r="K30" s="80" t="s">
        <v>121</v>
      </c>
      <c r="N30" s="83" t="str">
        <f>IF(OR(L31="",L32=""),"",IF(L31&lt;L32,K31,K32))</f>
        <v/>
      </c>
      <c r="O30" s="89"/>
    </row>
    <row r="31" spans="2:15" x14ac:dyDescent="0.25">
      <c r="E31" s="86"/>
      <c r="F31" s="82" t="str">
        <f>IF(OR(I29="",I30=""),"",IF(I29&lt;I30,H29,H30))</f>
        <v/>
      </c>
      <c r="K31" s="81" t="str">
        <f>IF(OR(I29="",I30=""),"",IF(I29&gt;I30,H29,H30))</f>
        <v/>
      </c>
      <c r="L31" s="88"/>
    </row>
    <row r="32" spans="2:15" ht="15.75" thickBot="1" x14ac:dyDescent="0.3">
      <c r="E32" s="87"/>
      <c r="F32" s="84" t="str">
        <f>IF(OR(I33="",I34=""),"",IF(I33&lt;I34,H33,H34))</f>
        <v/>
      </c>
      <c r="H32" s="80" t="s">
        <v>121</v>
      </c>
      <c r="K32" s="83" t="str">
        <f>IF(OR(I33="",I34=""),"",IF(I33&gt;I34,H33,H34))</f>
        <v/>
      </c>
      <c r="L32" s="89"/>
    </row>
    <row r="33" spans="3:14" x14ac:dyDescent="0.25">
      <c r="H33" s="81"/>
      <c r="I33" s="88"/>
    </row>
    <row r="34" spans="3:14" ht="15.75" thickBot="1" x14ac:dyDescent="0.3">
      <c r="H34" s="83"/>
      <c r="I34" s="89"/>
    </row>
    <row r="40" spans="3:14" x14ac:dyDescent="0.25">
      <c r="F40" s="80" t="str">
        <f>IF(OR(I38="",I39=""),"",IF(I38&lt;I39,H38,H39))</f>
        <v/>
      </c>
      <c r="K40" s="80" t="str">
        <f>IF(OR(I38="",I39=""),"",IF(I38&gt;I39,H38,H39))</f>
        <v/>
      </c>
    </row>
    <row r="41" spans="3:14" x14ac:dyDescent="0.25">
      <c r="F41" s="80" t="str">
        <f>IF(OR(I42="",I43=""),"",IF(I42&lt;I43,H42,H43))</f>
        <v/>
      </c>
      <c r="K41" s="80" t="str">
        <f>IF(OR(I42="",I43=""),"",IF(I42&gt;I43,H42,H43))</f>
        <v/>
      </c>
    </row>
    <row r="42" spans="3:14" x14ac:dyDescent="0.25">
      <c r="C42" s="80" t="str">
        <f>IF(OR(E40="",E41=""),"",IF(E40&gt;E41,F40,F41))</f>
        <v/>
      </c>
      <c r="N42" s="80" t="str">
        <f>IF(OR(L40="",L41=""),"",IF(L40&gt;L41,K40,K41))</f>
        <v/>
      </c>
    </row>
    <row r="43" spans="3:14" x14ac:dyDescent="0.25">
      <c r="C43" s="80" t="str">
        <f>IF(OR(E48="",E49=""),"",IF(E48&gt;E49,F48,F49))</f>
        <v/>
      </c>
      <c r="N43" s="80" t="str">
        <f>IF(OR(L48="",L49=""),"",IF(L48&gt;L49,K48,K49))</f>
        <v/>
      </c>
    </row>
    <row r="46" spans="3:14" x14ac:dyDescent="0.25">
      <c r="C46" s="80" t="str">
        <f>IF(OR(E40="",E41=""),"",IF(E40&lt;E41,F40,F41))</f>
        <v/>
      </c>
      <c r="N46" s="80" t="str">
        <f>IF(OR(L40="",L41=""),"",IF(L40&lt;L41,K40,K41))</f>
        <v/>
      </c>
    </row>
    <row r="47" spans="3:14" x14ac:dyDescent="0.25">
      <c r="C47" s="80" t="str">
        <f>IF(OR(E48="",E49=""),"",IF(E48&lt;E49,F48,F49))</f>
        <v/>
      </c>
      <c r="N47" s="80" t="str">
        <f>IF(OR(L48="",L49=""),"",IF(L48&lt;L49,K48,K49))</f>
        <v/>
      </c>
    </row>
    <row r="48" spans="3:14" x14ac:dyDescent="0.25">
      <c r="F48" s="80" t="str">
        <f>IF(OR(I46="",I47=""),"",IF(I46&lt;I47,H46,H47))</f>
        <v/>
      </c>
      <c r="K48" s="80" t="str">
        <f>IF(OR(I46="",I47=""),"",IF(I46&gt;I47,H46,H47))</f>
        <v/>
      </c>
    </row>
    <row r="49" spans="3:14" x14ac:dyDescent="0.25">
      <c r="F49" s="80" t="str">
        <f>IF(OR(I50="",I51=""),"",IF(I50&lt;I51,H50,H51))</f>
        <v/>
      </c>
      <c r="K49" s="80" t="str">
        <f>IF(OR(I50="",I51=""),"",IF(I50&gt;I51,H50,H51))</f>
        <v/>
      </c>
    </row>
    <row r="57" spans="3:14" x14ac:dyDescent="0.25">
      <c r="F57" s="80" t="str">
        <f>IF(OR(I55="",I56=""),"",IF(I55&lt;I56,H55,H56))</f>
        <v/>
      </c>
      <c r="K57" s="80" t="str">
        <f>IF(OR(I55="",I56=""),"",IF(I55&gt;I56,H55,H56))</f>
        <v/>
      </c>
    </row>
    <row r="58" spans="3:14" x14ac:dyDescent="0.25">
      <c r="F58" s="80" t="str">
        <f>IF(OR(I59="",I60=""),"",IF(I59&lt;I60,H59,H60))</f>
        <v/>
      </c>
      <c r="K58" s="80" t="str">
        <f>IF(OR(I59="",I60=""),"",IF(I59&gt;I60,H59,H60))</f>
        <v/>
      </c>
    </row>
    <row r="59" spans="3:14" x14ac:dyDescent="0.25">
      <c r="C59" s="80" t="str">
        <f>IF(OR(E57="",E58=""),"",IF(E57&gt;E58,F57,F58))</f>
        <v/>
      </c>
      <c r="N59" s="80" t="str">
        <f>IF(OR(L57="",L58=""),"",IF(L57&gt;L58,K57,K58))</f>
        <v/>
      </c>
    </row>
    <row r="60" spans="3:14" x14ac:dyDescent="0.25">
      <c r="C60" s="80" t="str">
        <f>IF(OR(E65="",E66=""),"",IF(E65&gt;E66,F65,F66))</f>
        <v/>
      </c>
      <c r="N60" s="80" t="str">
        <f>IF(OR(L65="",L66=""),"",IF(L65&gt;L66,K65,K66))</f>
        <v/>
      </c>
    </row>
    <row r="63" spans="3:14" x14ac:dyDescent="0.25">
      <c r="C63" s="80" t="str">
        <f>IF(OR(E57="",E58=""),"",IF(E57&lt;E58,F57,F58))</f>
        <v/>
      </c>
      <c r="N63" s="80" t="str">
        <f>IF(OR(L57="",L58=""),"",IF(L57&lt;L58,K57,K58))</f>
        <v/>
      </c>
    </row>
    <row r="64" spans="3:14" x14ac:dyDescent="0.25">
      <c r="C64" s="80" t="str">
        <f>IF(OR(E65="",E66=""),"",IF(E65&lt;E66,F65,F66))</f>
        <v/>
      </c>
      <c r="N64" s="80" t="str">
        <f>IF(OR(L65="",L66=""),"",IF(L65&lt;L66,K65,K66))</f>
        <v/>
      </c>
    </row>
    <row r="65" spans="6:11" x14ac:dyDescent="0.25">
      <c r="F65" s="80" t="str">
        <f>IF(OR(I63="",I64=""),"",IF(I63&lt;I64,H63,H64))</f>
        <v/>
      </c>
      <c r="K65" s="80" t="str">
        <f>IF(OR(I63="",I64=""),"",IF(I63&gt;I64,H63,H64))</f>
        <v/>
      </c>
    </row>
    <row r="66" spans="6:11" x14ac:dyDescent="0.25">
      <c r="F66" s="80" t="str">
        <f>IF(OR(I67="",I68=""),"",IF(I67&lt;I68,H67,H68))</f>
        <v/>
      </c>
      <c r="K66" s="80" t="str">
        <f>IF(OR(I67="",I68=""),"",IF(I67&gt;I68,H67,H68))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DD908A9F-FA6A-4832-BC9E-75355E5F06F9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B1AFB-4B7E-4942-9E5E-81781ECF0CF3}">
  <sheetPr codeName="Feuil20"/>
  <dimension ref="A1:G89"/>
  <sheetViews>
    <sheetView topLeftCell="B1" workbookViewId="0"/>
  </sheetViews>
  <sheetFormatPr baseColWidth="10" defaultRowHeight="15" x14ac:dyDescent="0.25"/>
  <cols>
    <col min="1" max="1" width="0" style="42" hidden="1" customWidth="1"/>
    <col min="2" max="2" width="43.5703125" style="42" customWidth="1"/>
    <col min="3" max="3" width="6" style="66" customWidth="1"/>
    <col min="4" max="4" width="16.7109375" style="42" customWidth="1"/>
    <col min="5" max="5" width="6" style="66" customWidth="1"/>
    <col min="6" max="6" width="43.5703125" style="42" customWidth="1"/>
    <col min="7" max="7" width="6" style="42" hidden="1" customWidth="1"/>
    <col min="8" max="16384" width="11.42578125" style="42"/>
  </cols>
  <sheetData>
    <row r="1" spans="1:7" x14ac:dyDescent="0.25">
      <c r="A1" s="57"/>
      <c r="B1" s="57"/>
      <c r="C1" s="64"/>
      <c r="D1" s="58">
        <f>MATCHS!D121 + "00:30:00"</f>
        <v>0.68749999999999578</v>
      </c>
      <c r="E1" s="64"/>
      <c r="F1" s="57"/>
      <c r="G1" s="57"/>
    </row>
    <row r="2" spans="1:7" x14ac:dyDescent="0.25">
      <c r="A2" s="60"/>
      <c r="B2" s="60">
        <f>PHASE_FINAL_DM!H4</f>
        <v>0</v>
      </c>
      <c r="C2" s="65" t="str">
        <f>IF(PHASE_FINAL_DM!I4&lt;&gt;"",PHASE_FINAL_DM!I4,"")</f>
        <v/>
      </c>
      <c r="D2" s="59" t="s">
        <v>93</v>
      </c>
      <c r="E2" s="65" t="str">
        <f>IF(PHASE_FINAL_DM!I5&lt;&gt;"",PHASE_FINAL_DM!I5,"")</f>
        <v/>
      </c>
      <c r="F2" s="60">
        <f>PHASE_FINAL_DM!H5</f>
        <v>0</v>
      </c>
      <c r="G2" s="60"/>
    </row>
    <row r="3" spans="1:7" x14ac:dyDescent="0.25">
      <c r="A3" s="60"/>
      <c r="B3" s="60">
        <f>PHASE_FINAL_DM!H8</f>
        <v>0</v>
      </c>
      <c r="C3" s="65" t="str">
        <f>IF(PHASE_FINAL_DM!I8&lt;&gt;"",PHASE_FINAL_DM!I8,"")</f>
        <v/>
      </c>
      <c r="D3" s="59" t="s">
        <v>94</v>
      </c>
      <c r="E3" s="65" t="str">
        <f>IF(PHASE_FINAL_DM!I9&lt;&gt;"",PHASE_FINAL_DM!I9,"")</f>
        <v/>
      </c>
      <c r="F3" s="60">
        <f>PHASE_FINAL_DM!H9</f>
        <v>0</v>
      </c>
      <c r="G3" s="60"/>
    </row>
    <row r="4" spans="1:7" x14ac:dyDescent="0.25">
      <c r="A4" s="60"/>
      <c r="B4" s="60">
        <f>PHASE_FINAL_DM!H12</f>
        <v>0</v>
      </c>
      <c r="C4" s="65" t="str">
        <f>IF(PHASE_FINAL_DM!I12&lt;&gt;"",PHASE_FINAL_DM!I12,"")</f>
        <v/>
      </c>
      <c r="D4" s="59" t="s">
        <v>95</v>
      </c>
      <c r="E4" s="65" t="str">
        <f>IF(PHASE_FINAL_DM!I13&lt;&gt;"",PHASE_FINAL_DM!I13,"")</f>
        <v/>
      </c>
      <c r="F4" s="60">
        <f>PHASE_FINAL_DM!H13</f>
        <v>0</v>
      </c>
      <c r="G4" s="60"/>
    </row>
    <row r="5" spans="1:7" x14ac:dyDescent="0.25">
      <c r="A5" s="60"/>
      <c r="B5" s="60">
        <f>PHASE_FINAL_DM!H16</f>
        <v>0</v>
      </c>
      <c r="C5" s="65" t="str">
        <f>IF(PHASE_FINAL_DM!I16&lt;&gt;"",PHASE_FINAL_DM!I16,"")</f>
        <v/>
      </c>
      <c r="D5" s="59" t="s">
        <v>96</v>
      </c>
      <c r="E5" s="65" t="str">
        <f>IF(PHASE_FINAL_DM!I17&lt;&gt;"",PHASE_FINAL_DM!I17,"")</f>
        <v/>
      </c>
      <c r="F5" s="60">
        <f>PHASE_FINAL_DM!H17</f>
        <v>0</v>
      </c>
      <c r="G5" s="60"/>
    </row>
    <row r="6" spans="1:7" x14ac:dyDescent="0.25">
      <c r="A6" s="60"/>
      <c r="B6" s="60">
        <f>PHASE_FINAL_DM!H21</f>
        <v>0</v>
      </c>
      <c r="C6" s="65" t="str">
        <f>IF(PHASE_FINAL_DM!I21&lt;&gt;"",PHASE_FINAL_DM!I21,"")</f>
        <v/>
      </c>
      <c r="D6" s="59" t="s">
        <v>101</v>
      </c>
      <c r="E6" s="65" t="str">
        <f>IF(PHASE_FINAL_DM!I22&lt;&gt;"",PHASE_FINAL_DM!I22,"")</f>
        <v/>
      </c>
      <c r="F6" s="60">
        <f>PHASE_FINAL_DM!H22</f>
        <v>0</v>
      </c>
      <c r="G6" s="60"/>
    </row>
    <row r="7" spans="1:7" x14ac:dyDescent="0.25">
      <c r="A7" s="60"/>
      <c r="B7" s="60">
        <f>PHASE_FINAL_DM!H25</f>
        <v>0</v>
      </c>
      <c r="C7" s="65" t="str">
        <f>IF(PHASE_FINAL_DM!I25&lt;&gt;"",PHASE_FINAL_DM!I25,"")</f>
        <v/>
      </c>
      <c r="D7" s="59" t="s">
        <v>103</v>
      </c>
      <c r="E7" s="65" t="str">
        <f>IF(PHASE_FINAL_DM!I26&lt;&gt;"",PHASE_FINAL_DM!I26,"")</f>
        <v/>
      </c>
      <c r="F7" s="60">
        <f>PHASE_FINAL_DM!H26</f>
        <v>0</v>
      </c>
      <c r="G7" s="60"/>
    </row>
    <row r="8" spans="1:7" x14ac:dyDescent="0.25">
      <c r="A8" s="60"/>
      <c r="B8" s="60">
        <f>PHASE_FINAL_DM!H29</f>
        <v>0</v>
      </c>
      <c r="C8" s="65" t="str">
        <f>IF(PHASE_FINAL_DM!I29&lt;&gt;"",PHASE_FINAL_DM!I29,"")</f>
        <v/>
      </c>
      <c r="D8" s="59" t="s">
        <v>105</v>
      </c>
      <c r="E8" s="65" t="str">
        <f>IF(PHASE_FINAL_DM!I30&lt;&gt;"",PHASE_FINAL_DM!I30,"")</f>
        <v/>
      </c>
      <c r="F8" s="60">
        <f>PHASE_FINAL_DM!H30</f>
        <v>0</v>
      </c>
      <c r="G8" s="60"/>
    </row>
    <row r="9" spans="1:7" x14ac:dyDescent="0.25">
      <c r="A9" s="57"/>
      <c r="B9" s="57"/>
      <c r="C9" s="64"/>
      <c r="D9" s="58">
        <f>0.687499999999996 + "00:30:00"</f>
        <v>0.70833333333332937</v>
      </c>
      <c r="E9" s="64"/>
      <c r="F9" s="57"/>
      <c r="G9" s="57"/>
    </row>
    <row r="10" spans="1:7" x14ac:dyDescent="0.25">
      <c r="A10" s="60"/>
      <c r="B10" s="60">
        <f>PHASE_FINAL_DM!H33</f>
        <v>0</v>
      </c>
      <c r="C10" s="65" t="str">
        <f>IF(PHASE_FINAL_DM!I33&lt;&gt;"",PHASE_FINAL_DM!I33,"")</f>
        <v/>
      </c>
      <c r="D10" s="59" t="s">
        <v>93</v>
      </c>
      <c r="E10" s="65" t="str">
        <f>IF(PHASE_FINAL_DM!I34&lt;&gt;"",PHASE_FINAL_DM!I34,"")</f>
        <v/>
      </c>
      <c r="F10" s="60">
        <f>PHASE_FINAL_DM!H34</f>
        <v>0</v>
      </c>
      <c r="G10" s="60"/>
    </row>
    <row r="11" spans="1:7" x14ac:dyDescent="0.25">
      <c r="A11" s="60"/>
      <c r="B11" s="60">
        <f>PHASE_FINAL_DH!H4</f>
        <v>0</v>
      </c>
      <c r="C11" s="65" t="str">
        <f>IF(PHASE_FINAL_DH!I4&lt;&gt;"",PHASE_FINAL_DH!I4,"")</f>
        <v/>
      </c>
      <c r="D11" s="59" t="s">
        <v>94</v>
      </c>
      <c r="E11" s="65" t="str">
        <f>IF(PHASE_FINAL_DH!I5&lt;&gt;"",PHASE_FINAL_DH!I5,"")</f>
        <v/>
      </c>
      <c r="F11" s="60">
        <f>PHASE_FINAL_DH!H5</f>
        <v>0</v>
      </c>
      <c r="G11" s="60"/>
    </row>
    <row r="12" spans="1:7" x14ac:dyDescent="0.25">
      <c r="A12" s="60"/>
      <c r="B12" s="60">
        <f>PHASE_FINAL_DH!H8</f>
        <v>0</v>
      </c>
      <c r="C12" s="65" t="str">
        <f>IF(PHASE_FINAL_DH!I8&lt;&gt;"",PHASE_FINAL_DH!I8,"")</f>
        <v/>
      </c>
      <c r="D12" s="59" t="s">
        <v>95</v>
      </c>
      <c r="E12" s="65" t="str">
        <f>IF(PHASE_FINAL_DH!I9&lt;&gt;"",PHASE_FINAL_DH!I9,"")</f>
        <v/>
      </c>
      <c r="F12" s="60">
        <f>PHASE_FINAL_DH!H9</f>
        <v>0</v>
      </c>
      <c r="G12" s="60"/>
    </row>
    <row r="13" spans="1:7" x14ac:dyDescent="0.25">
      <c r="A13" s="60"/>
      <c r="B13" s="60">
        <f>PHASE_FINAL_DH!H12</f>
        <v>0</v>
      </c>
      <c r="C13" s="65" t="str">
        <f>IF(PHASE_FINAL_DH!I12&lt;&gt;"",PHASE_FINAL_DH!I12,"")</f>
        <v/>
      </c>
      <c r="D13" s="59" t="s">
        <v>96</v>
      </c>
      <c r="E13" s="65" t="str">
        <f>IF(PHASE_FINAL_DH!I13&lt;&gt;"",PHASE_FINAL_DH!I13,"")</f>
        <v/>
      </c>
      <c r="F13" s="60">
        <f>PHASE_FINAL_DH!H13</f>
        <v>0</v>
      </c>
      <c r="G13" s="60"/>
    </row>
    <row r="14" spans="1:7" x14ac:dyDescent="0.25">
      <c r="A14" s="60"/>
      <c r="B14" s="60">
        <f>PHASE_FINAL_DH!H16</f>
        <v>0</v>
      </c>
      <c r="C14" s="65" t="str">
        <f>IF(PHASE_FINAL_DH!I16&lt;&gt;"",PHASE_FINAL_DH!I16,"")</f>
        <v/>
      </c>
      <c r="D14" s="59" t="s">
        <v>101</v>
      </c>
      <c r="E14" s="65" t="str">
        <f>IF(PHASE_FINAL_DH!I17&lt;&gt;"",PHASE_FINAL_DH!I17,"")</f>
        <v/>
      </c>
      <c r="F14" s="60">
        <f>PHASE_FINAL_DH!H17</f>
        <v>0</v>
      </c>
      <c r="G14" s="60"/>
    </row>
    <row r="15" spans="1:7" x14ac:dyDescent="0.25">
      <c r="A15" s="60"/>
      <c r="B15" s="60">
        <f>PHASE_FINAL_DH!H21</f>
        <v>0</v>
      </c>
      <c r="C15" s="65" t="str">
        <f>IF(PHASE_FINAL_DH!I21&lt;&gt;"",PHASE_FINAL_DH!I21,"")</f>
        <v/>
      </c>
      <c r="D15" s="59" t="s">
        <v>103</v>
      </c>
      <c r="E15" s="65" t="str">
        <f>IF(PHASE_FINAL_DH!I22&lt;&gt;"",PHASE_FINAL_DH!I22,"")</f>
        <v/>
      </c>
      <c r="F15" s="60">
        <f>PHASE_FINAL_DH!H22</f>
        <v>0</v>
      </c>
      <c r="G15" s="60"/>
    </row>
    <row r="16" spans="1:7" x14ac:dyDescent="0.25">
      <c r="A16" s="60"/>
      <c r="B16" s="60">
        <f>PHASE_FINAL_DH!H25</f>
        <v>0</v>
      </c>
      <c r="C16" s="65" t="str">
        <f>IF(PHASE_FINAL_DH!I25&lt;&gt;"",PHASE_FINAL_DH!I25,"")</f>
        <v/>
      </c>
      <c r="D16" s="59" t="s">
        <v>105</v>
      </c>
      <c r="E16" s="65" t="str">
        <f>IF(PHASE_FINAL_DH!I26&lt;&gt;"",PHASE_FINAL_DH!I26,"")</f>
        <v/>
      </c>
      <c r="F16" s="60">
        <f>PHASE_FINAL_DH!H26</f>
        <v>0</v>
      </c>
      <c r="G16" s="60"/>
    </row>
    <row r="17" spans="1:7" x14ac:dyDescent="0.25">
      <c r="A17" s="57"/>
      <c r="B17" s="57"/>
      <c r="C17" s="64"/>
      <c r="D17" s="58">
        <f>0.708333333333329 + "00:30:00"</f>
        <v>0.72916666666666241</v>
      </c>
      <c r="E17" s="64"/>
      <c r="F17" s="57"/>
      <c r="G17" s="57"/>
    </row>
    <row r="18" spans="1:7" x14ac:dyDescent="0.25">
      <c r="A18" s="60"/>
      <c r="B18" s="60">
        <f>PHASE_FINAL_DH!H29</f>
        <v>0</v>
      </c>
      <c r="C18" s="65" t="str">
        <f>IF(PHASE_FINAL_DH!I29&lt;&gt;"",PHASE_FINAL_DH!I29,"")</f>
        <v/>
      </c>
      <c r="D18" s="59" t="s">
        <v>93</v>
      </c>
      <c r="E18" s="65" t="str">
        <f>IF(PHASE_FINAL_DH!I30&lt;&gt;"",PHASE_FINAL_DH!I30,"")</f>
        <v/>
      </c>
      <c r="F18" s="60">
        <f>PHASE_FINAL_DH!H30</f>
        <v>0</v>
      </c>
      <c r="G18" s="60"/>
    </row>
    <row r="19" spans="1:7" x14ac:dyDescent="0.25">
      <c r="A19" s="60"/>
      <c r="B19" s="60">
        <f>PHASE_FINAL_DH!H33</f>
        <v>0</v>
      </c>
      <c r="C19" s="65" t="str">
        <f>IF(PHASE_FINAL_DH!I33&lt;&gt;"",PHASE_FINAL_DH!I33,"")</f>
        <v/>
      </c>
      <c r="D19" s="59" t="s">
        <v>94</v>
      </c>
      <c r="E19" s="65" t="str">
        <f>IF(PHASE_FINAL_DH!I34&lt;&gt;"",PHASE_FINAL_DH!I34,"")</f>
        <v/>
      </c>
      <c r="F19" s="60">
        <f>PHASE_FINAL_DH!H34</f>
        <v>0</v>
      </c>
      <c r="G19" s="60"/>
    </row>
    <row r="20" spans="1:7" x14ac:dyDescent="0.25">
      <c r="A20" s="61"/>
      <c r="B20" s="61" t="str">
        <f>PHASE_FINAL_DM!K6</f>
        <v/>
      </c>
      <c r="C20" s="65" t="str">
        <f>IF(PHASE_FINAL_DM!L6&lt;&gt;"",PHASE_FINAL_DM!L6,"")</f>
        <v/>
      </c>
      <c r="D20" s="59" t="s">
        <v>95</v>
      </c>
      <c r="E20" s="65" t="str">
        <f>IF(PHASE_FINAL_DM!L7&lt;&gt;"",PHASE_FINAL_DM!L7,"")</f>
        <v/>
      </c>
      <c r="F20" s="61" t="str">
        <f>PHASE_FINAL_DM!K7</f>
        <v/>
      </c>
      <c r="G20" s="61"/>
    </row>
    <row r="21" spans="1:7" x14ac:dyDescent="0.25">
      <c r="A21" s="61"/>
      <c r="B21" s="61" t="str">
        <f>PHASE_FINAL_DM!K14</f>
        <v/>
      </c>
      <c r="C21" s="65" t="str">
        <f>IF(PHASE_FINAL_DM!L14&lt;&gt;"",PHASE_FINAL_DM!L14,"")</f>
        <v/>
      </c>
      <c r="D21" s="59" t="s">
        <v>96</v>
      </c>
      <c r="E21" s="65" t="str">
        <f>IF(PHASE_FINAL_DM!L15&lt;&gt;"",PHASE_FINAL_DM!L15,"")</f>
        <v/>
      </c>
      <c r="F21" s="61" t="str">
        <f>PHASE_FINAL_DM!K15</f>
        <v/>
      </c>
      <c r="G21" s="61"/>
    </row>
    <row r="22" spans="1:7" x14ac:dyDescent="0.25">
      <c r="A22" s="61"/>
      <c r="B22" s="61" t="str">
        <f>PHASE_FINAL_DM!F6</f>
        <v/>
      </c>
      <c r="C22" s="65" t="str">
        <f>IF(PHASE_FINAL_DM!E6&lt;&gt;"",PHASE_FINAL_DM!E6,"")</f>
        <v/>
      </c>
      <c r="D22" s="59" t="s">
        <v>101</v>
      </c>
      <c r="E22" s="65" t="str">
        <f>IF(PHASE_FINAL_DM!E7&lt;&gt;"",PHASE_FINAL_DM!E7,"")</f>
        <v/>
      </c>
      <c r="F22" s="61" t="str">
        <f>PHASE_FINAL_DM!F7</f>
        <v/>
      </c>
      <c r="G22" s="61"/>
    </row>
    <row r="23" spans="1:7" x14ac:dyDescent="0.25">
      <c r="A23" s="61"/>
      <c r="B23" s="61" t="str">
        <f>PHASE_FINAL_DM!F14</f>
        <v/>
      </c>
      <c r="C23" s="65" t="str">
        <f>IF(PHASE_FINAL_DM!E14&lt;&gt;"",PHASE_FINAL_DM!E14,"")</f>
        <v/>
      </c>
      <c r="D23" s="59" t="s">
        <v>103</v>
      </c>
      <c r="E23" s="65" t="str">
        <f>IF(PHASE_FINAL_DM!E15&lt;&gt;"",PHASE_FINAL_DM!E15,"")</f>
        <v/>
      </c>
      <c r="F23" s="61" t="str">
        <f>PHASE_FINAL_DM!F15</f>
        <v/>
      </c>
      <c r="G23" s="61"/>
    </row>
    <row r="24" spans="1:7" x14ac:dyDescent="0.25">
      <c r="A24" s="61"/>
      <c r="B24" s="61" t="str">
        <f>PHASE_FINAL_DM!K23</f>
        <v/>
      </c>
      <c r="C24" s="65" t="str">
        <f>IF(PHASE_FINAL_DM!L23&lt;&gt;"",PHASE_FINAL_DM!L23,"")</f>
        <v/>
      </c>
      <c r="D24" s="59" t="s">
        <v>105</v>
      </c>
      <c r="E24" s="65" t="str">
        <f>IF(PHASE_FINAL_DM!L24&lt;&gt;"",PHASE_FINAL_DM!L24,"")</f>
        <v/>
      </c>
      <c r="F24" s="61" t="str">
        <f>PHASE_FINAL_DM!K24</f>
        <v/>
      </c>
      <c r="G24" s="61"/>
    </row>
    <row r="25" spans="1:7" x14ac:dyDescent="0.25">
      <c r="A25" s="57"/>
      <c r="B25" s="57"/>
      <c r="C25" s="64"/>
      <c r="D25" s="58">
        <f>0.729166666666662 + "00:30:00"</f>
        <v>0.74999999999999534</v>
      </c>
      <c r="E25" s="64"/>
      <c r="F25" s="57"/>
      <c r="G25" s="57"/>
    </row>
    <row r="26" spans="1:7" x14ac:dyDescent="0.25">
      <c r="A26" s="61"/>
      <c r="B26" s="61" t="str">
        <f>PHASE_FINAL_DM!K31</f>
        <v/>
      </c>
      <c r="C26" s="65" t="str">
        <f>IF(PHASE_FINAL_DM!L31&lt;&gt;"",PHASE_FINAL_DM!L31,"")</f>
        <v/>
      </c>
      <c r="D26" s="59" t="s">
        <v>93</v>
      </c>
      <c r="E26" s="65" t="str">
        <f>IF(PHASE_FINAL_DM!L32&lt;&gt;"",PHASE_FINAL_DM!L32,"")</f>
        <v/>
      </c>
      <c r="F26" s="61" t="str">
        <f>PHASE_FINAL_DM!K32</f>
        <v/>
      </c>
      <c r="G26" s="61"/>
    </row>
    <row r="27" spans="1:7" x14ac:dyDescent="0.25">
      <c r="A27" s="61"/>
      <c r="B27" s="61" t="str">
        <f>PHASE_FINAL_DM!F23</f>
        <v/>
      </c>
      <c r="C27" s="65" t="str">
        <f>IF(PHASE_FINAL_DM!E23&lt;&gt;"",PHASE_FINAL_DM!E23,"")</f>
        <v/>
      </c>
      <c r="D27" s="59" t="s">
        <v>94</v>
      </c>
      <c r="E27" s="65" t="str">
        <f>IF(PHASE_FINAL_DM!E24&lt;&gt;"",PHASE_FINAL_DM!E24,"")</f>
        <v/>
      </c>
      <c r="F27" s="61" t="str">
        <f>PHASE_FINAL_DM!F24</f>
        <v/>
      </c>
      <c r="G27" s="61"/>
    </row>
    <row r="28" spans="1:7" x14ac:dyDescent="0.25">
      <c r="A28" s="61"/>
      <c r="B28" s="61" t="str">
        <f>PHASE_FINAL_DM!F31</f>
        <v/>
      </c>
      <c r="C28" s="65" t="str">
        <f>IF(PHASE_FINAL_DM!E31&lt;&gt;"",PHASE_FINAL_DM!E31,"")</f>
        <v/>
      </c>
      <c r="D28" s="59" t="s">
        <v>95</v>
      </c>
      <c r="E28" s="65" t="str">
        <f>IF(PHASE_FINAL_DM!E32&lt;&gt;"",PHASE_FINAL_DM!E32,"")</f>
        <v/>
      </c>
      <c r="F28" s="61" t="str">
        <f>PHASE_FINAL_DM!F32</f>
        <v/>
      </c>
      <c r="G28" s="61"/>
    </row>
    <row r="29" spans="1:7" x14ac:dyDescent="0.25">
      <c r="A29" s="61"/>
      <c r="B29" s="61" t="str">
        <f>PHASE_FINAL_DH!K6</f>
        <v/>
      </c>
      <c r="C29" s="65" t="str">
        <f>IF(PHASE_FINAL_DH!L6&lt;&gt;"",PHASE_FINAL_DH!L6,"")</f>
        <v/>
      </c>
      <c r="D29" s="59" t="s">
        <v>96</v>
      </c>
      <c r="E29" s="65" t="str">
        <f>IF(PHASE_FINAL_DH!L7&lt;&gt;"",PHASE_FINAL_DH!L7,"")</f>
        <v/>
      </c>
      <c r="F29" s="61" t="str">
        <f>PHASE_FINAL_DH!K7</f>
        <v/>
      </c>
      <c r="G29" s="61"/>
    </row>
    <row r="30" spans="1:7" x14ac:dyDescent="0.25">
      <c r="A30" s="61"/>
      <c r="B30" s="61" t="str">
        <f>PHASE_FINAL_DH!K14</f>
        <v/>
      </c>
      <c r="C30" s="65" t="str">
        <f>IF(PHASE_FINAL_DH!L14&lt;&gt;"",PHASE_FINAL_DH!L14,"")</f>
        <v/>
      </c>
      <c r="D30" s="59" t="s">
        <v>101</v>
      </c>
      <c r="E30" s="65" t="str">
        <f>IF(PHASE_FINAL_DH!L15&lt;&gt;"",PHASE_FINAL_DH!L15,"")</f>
        <v/>
      </c>
      <c r="F30" s="61" t="str">
        <f>PHASE_FINAL_DH!K15</f>
        <v/>
      </c>
      <c r="G30" s="61"/>
    </row>
    <row r="31" spans="1:7" x14ac:dyDescent="0.25">
      <c r="A31" s="61"/>
      <c r="B31" s="61" t="str">
        <f>PHASE_FINAL_DH!F6</f>
        <v/>
      </c>
      <c r="C31" s="65" t="str">
        <f>IF(PHASE_FINAL_DH!E6&lt;&gt;"",PHASE_FINAL_DH!E6,"")</f>
        <v/>
      </c>
      <c r="D31" s="59" t="s">
        <v>103</v>
      </c>
      <c r="E31" s="65" t="str">
        <f>IF(PHASE_FINAL_DH!E7&lt;&gt;"",PHASE_FINAL_DH!E7,"")</f>
        <v/>
      </c>
      <c r="F31" s="61" t="str">
        <f>PHASE_FINAL_DH!F7</f>
        <v/>
      </c>
      <c r="G31" s="61"/>
    </row>
    <row r="32" spans="1:7" x14ac:dyDescent="0.25">
      <c r="A32" s="61"/>
      <c r="B32" s="61" t="str">
        <f>PHASE_FINAL_DH!F14</f>
        <v/>
      </c>
      <c r="C32" s="65" t="str">
        <f>IF(PHASE_FINAL_DH!E14&lt;&gt;"",PHASE_FINAL_DH!E14,"")</f>
        <v/>
      </c>
      <c r="D32" s="59" t="s">
        <v>105</v>
      </c>
      <c r="E32" s="65" t="str">
        <f>IF(PHASE_FINAL_DH!E15&lt;&gt;"",PHASE_FINAL_DH!E15,"")</f>
        <v/>
      </c>
      <c r="F32" s="61" t="str">
        <f>PHASE_FINAL_DH!F15</f>
        <v/>
      </c>
      <c r="G32" s="61"/>
    </row>
    <row r="33" spans="1:7" x14ac:dyDescent="0.25">
      <c r="A33" s="57"/>
      <c r="B33" s="57"/>
      <c r="C33" s="64"/>
      <c r="D33" s="58">
        <f>0.749999999999995 + "00:30:00"</f>
        <v>0.77083333333332837</v>
      </c>
      <c r="E33" s="64"/>
      <c r="F33" s="57"/>
      <c r="G33" s="57"/>
    </row>
    <row r="34" spans="1:7" x14ac:dyDescent="0.25">
      <c r="A34" s="61"/>
      <c r="B34" s="61" t="str">
        <f>PHASE_FINAL_DH!K23</f>
        <v/>
      </c>
      <c r="C34" s="65" t="str">
        <f>IF(PHASE_FINAL_DH!L23&lt;&gt;"",PHASE_FINAL_DH!L23,"")</f>
        <v/>
      </c>
      <c r="D34" s="59" t="s">
        <v>93</v>
      </c>
      <c r="E34" s="65" t="str">
        <f>IF(PHASE_FINAL_DH!L24&lt;&gt;"",PHASE_FINAL_DH!L24,"")</f>
        <v/>
      </c>
      <c r="F34" s="61" t="str">
        <f>PHASE_FINAL_DH!K24</f>
        <v/>
      </c>
      <c r="G34" s="61"/>
    </row>
    <row r="35" spans="1:7" x14ac:dyDescent="0.25">
      <c r="A35" s="61"/>
      <c r="B35" s="61" t="str">
        <f>PHASE_FINAL_DH!K31</f>
        <v/>
      </c>
      <c r="C35" s="65" t="str">
        <f>IF(PHASE_FINAL_DH!L31&lt;&gt;"",PHASE_FINAL_DH!L31,"")</f>
        <v/>
      </c>
      <c r="D35" s="59" t="s">
        <v>94</v>
      </c>
      <c r="E35" s="65" t="str">
        <f>IF(PHASE_FINAL_DH!L32&lt;&gt;"",PHASE_FINAL_DH!L32,"")</f>
        <v/>
      </c>
      <c r="F35" s="61" t="str">
        <f>PHASE_FINAL_DH!K32</f>
        <v/>
      </c>
      <c r="G35" s="61"/>
    </row>
    <row r="36" spans="1:7" x14ac:dyDescent="0.25">
      <c r="A36" s="61"/>
      <c r="B36" s="61" t="str">
        <f>PHASE_FINAL_DH!F23</f>
        <v/>
      </c>
      <c r="C36" s="65" t="str">
        <f>IF(PHASE_FINAL_DH!E23&lt;&gt;"",PHASE_FINAL_DH!E23,"")</f>
        <v/>
      </c>
      <c r="D36" s="59" t="s">
        <v>95</v>
      </c>
      <c r="E36" s="65" t="str">
        <f>IF(PHASE_FINAL_DH!E24&lt;&gt;"",PHASE_FINAL_DH!E24,"")</f>
        <v/>
      </c>
      <c r="F36" s="61" t="str">
        <f>PHASE_FINAL_DH!F24</f>
        <v/>
      </c>
      <c r="G36" s="61"/>
    </row>
    <row r="37" spans="1:7" x14ac:dyDescent="0.25">
      <c r="A37" s="61"/>
      <c r="B37" s="61" t="str">
        <f>PHASE_FINAL_DH!F31</f>
        <v/>
      </c>
      <c r="C37" s="65" t="str">
        <f>IF(PHASE_FINAL_DH!E31&lt;&gt;"",PHASE_FINAL_DH!E31,"")</f>
        <v/>
      </c>
      <c r="D37" s="59" t="s">
        <v>96</v>
      </c>
      <c r="E37" s="65" t="str">
        <f>IF(PHASE_FINAL_DH!E32&lt;&gt;"",PHASE_FINAL_DH!E32,"")</f>
        <v/>
      </c>
      <c r="F37" s="61" t="str">
        <f>PHASE_FINAL_DH!F32</f>
        <v/>
      </c>
      <c r="G37" s="61"/>
    </row>
    <row r="38" spans="1:7" x14ac:dyDescent="0.25">
      <c r="A38" s="62"/>
      <c r="B38" s="62" t="str">
        <f>PHASE_FINAL_DM!N8</f>
        <v/>
      </c>
      <c r="C38" s="65" t="str">
        <f>IF(PHASE_FINAL_DM!O8&lt;&gt;"",PHASE_FINAL_DM!O8,"")</f>
        <v/>
      </c>
      <c r="D38" s="59" t="s">
        <v>101</v>
      </c>
      <c r="E38" s="65" t="str">
        <f>IF(PHASE_FINAL_DM!O9&lt;&gt;"",PHASE_FINAL_DM!O9,"")</f>
        <v/>
      </c>
      <c r="F38" s="62" t="str">
        <f>PHASE_FINAL_DM!N9</f>
        <v/>
      </c>
      <c r="G38" s="62"/>
    </row>
    <row r="39" spans="1:7" x14ac:dyDescent="0.25">
      <c r="A39" s="62"/>
      <c r="B39" s="62" t="str">
        <f>PHASE_FINAL_DM!N12</f>
        <v/>
      </c>
      <c r="C39" s="65" t="str">
        <f>IF(PHASE_FINAL_DM!O12&lt;&gt;"",PHASE_FINAL_DM!O12,"")</f>
        <v/>
      </c>
      <c r="D39" s="59" t="s">
        <v>103</v>
      </c>
      <c r="E39" s="65" t="str">
        <f>IF(PHASE_FINAL_DM!O13&lt;&gt;"",PHASE_FINAL_DM!O13,"")</f>
        <v/>
      </c>
      <c r="F39" s="62" t="str">
        <f>PHASE_FINAL_DM!N13</f>
        <v/>
      </c>
      <c r="G39" s="62"/>
    </row>
    <row r="40" spans="1:7" x14ac:dyDescent="0.25">
      <c r="A40" s="62"/>
      <c r="B40" s="62" t="str">
        <f>PHASE_FINAL_DM!C8</f>
        <v/>
      </c>
      <c r="C40" s="65" t="str">
        <f>IF(PHASE_FINAL_DM!B8&lt;&gt;"",PHASE_FINAL_DM!B8,"")</f>
        <v/>
      </c>
      <c r="D40" s="59" t="s">
        <v>105</v>
      </c>
      <c r="E40" s="65" t="str">
        <f>IF(PHASE_FINAL_DM!B9&lt;&gt;"",PHASE_FINAL_DM!B9,"")</f>
        <v/>
      </c>
      <c r="F40" s="62" t="str">
        <f>PHASE_FINAL_DM!C9</f>
        <v/>
      </c>
      <c r="G40" s="62"/>
    </row>
    <row r="41" spans="1:7" x14ac:dyDescent="0.25">
      <c r="A41" s="57"/>
      <c r="B41" s="57"/>
      <c r="C41" s="64"/>
      <c r="D41" s="58">
        <f>0.770833333333328 + "00:30:00"</f>
        <v>0.79166666666666141</v>
      </c>
      <c r="E41" s="64"/>
      <c r="F41" s="57"/>
      <c r="G41" s="57"/>
    </row>
    <row r="42" spans="1:7" x14ac:dyDescent="0.25">
      <c r="A42" s="62"/>
      <c r="B42" s="62" t="str">
        <f>PHASE_FINAL_DM!C12</f>
        <v/>
      </c>
      <c r="C42" s="65" t="str">
        <f>IF(PHASE_FINAL_DM!B12&lt;&gt;"",PHASE_FINAL_DM!B12,"")</f>
        <v/>
      </c>
      <c r="D42" s="59" t="s">
        <v>93</v>
      </c>
      <c r="E42" s="65" t="str">
        <f>IF(PHASE_FINAL_DM!B13&lt;&gt;"",PHASE_FINAL_DM!B13,"")</f>
        <v/>
      </c>
      <c r="F42" s="62" t="str">
        <f>PHASE_FINAL_DM!C13</f>
        <v/>
      </c>
      <c r="G42" s="62"/>
    </row>
    <row r="43" spans="1:7" x14ac:dyDescent="0.25">
      <c r="A43" s="62"/>
      <c r="B43" s="62" t="str">
        <f>PHASE_FINAL_DM!N25</f>
        <v/>
      </c>
      <c r="C43" s="65" t="str">
        <f>IF(PHASE_FINAL_DM!O25&lt;&gt;"",PHASE_FINAL_DM!O25,"")</f>
        <v/>
      </c>
      <c r="D43" s="59" t="s">
        <v>94</v>
      </c>
      <c r="E43" s="65" t="str">
        <f>IF(PHASE_FINAL_DM!O26&lt;&gt;"",PHASE_FINAL_DM!O26,"")</f>
        <v/>
      </c>
      <c r="F43" s="62" t="str">
        <f>PHASE_FINAL_DM!N26</f>
        <v/>
      </c>
      <c r="G43" s="62"/>
    </row>
    <row r="44" spans="1:7" x14ac:dyDescent="0.25">
      <c r="A44" s="62"/>
      <c r="B44" s="62" t="str">
        <f>PHASE_FINAL_DM!N29</f>
        <v/>
      </c>
      <c r="C44" s="65" t="str">
        <f>IF(PHASE_FINAL_DM!O29&lt;&gt;"",PHASE_FINAL_DM!O29,"")</f>
        <v/>
      </c>
      <c r="D44" s="59" t="s">
        <v>95</v>
      </c>
      <c r="E44" s="65" t="str">
        <f>IF(PHASE_FINAL_DM!O30&lt;&gt;"",PHASE_FINAL_DM!O30,"")</f>
        <v/>
      </c>
      <c r="F44" s="62" t="str">
        <f>PHASE_FINAL_DM!N30</f>
        <v/>
      </c>
      <c r="G44" s="62"/>
    </row>
    <row r="45" spans="1:7" x14ac:dyDescent="0.25">
      <c r="A45" s="62"/>
      <c r="B45" s="62" t="str">
        <f>PHASE_FINAL_DM!C25</f>
        <v/>
      </c>
      <c r="C45" s="65" t="str">
        <f>IF(PHASE_FINAL_DM!B25&lt;&gt;"",PHASE_FINAL_DM!B25,"")</f>
        <v/>
      </c>
      <c r="D45" s="59" t="s">
        <v>96</v>
      </c>
      <c r="E45" s="65" t="str">
        <f>IF(PHASE_FINAL_DM!B26&lt;&gt;"",PHASE_FINAL_DM!B26,"")</f>
        <v/>
      </c>
      <c r="F45" s="62" t="str">
        <f>PHASE_FINAL_DM!C26</f>
        <v/>
      </c>
      <c r="G45" s="62"/>
    </row>
    <row r="46" spans="1:7" x14ac:dyDescent="0.25">
      <c r="A46" s="62"/>
      <c r="B46" s="62" t="str">
        <f>PHASE_FINAL_DM!C29</f>
        <v/>
      </c>
      <c r="C46" s="65" t="str">
        <f>IF(PHASE_FINAL_DM!B29&lt;&gt;"",PHASE_FINAL_DM!B29,"")</f>
        <v/>
      </c>
      <c r="D46" s="59" t="s">
        <v>101</v>
      </c>
      <c r="E46" s="65" t="str">
        <f>IF(PHASE_FINAL_DM!B30&lt;&gt;"",PHASE_FINAL_DM!B30,"")</f>
        <v/>
      </c>
      <c r="F46" s="62" t="str">
        <f>PHASE_FINAL_DM!C30</f>
        <v/>
      </c>
      <c r="G46" s="62"/>
    </row>
    <row r="47" spans="1:7" x14ac:dyDescent="0.25">
      <c r="A47" s="62"/>
      <c r="B47" s="62" t="str">
        <f>PHASE_FINAL_DH!N8</f>
        <v/>
      </c>
      <c r="C47" s="65" t="str">
        <f>IF(PHASE_FINAL_DH!O8&lt;&gt;"",PHASE_FINAL_DH!O8,"")</f>
        <v/>
      </c>
      <c r="D47" s="59" t="s">
        <v>103</v>
      </c>
      <c r="E47" s="65" t="str">
        <f>IF(PHASE_FINAL_DH!O9&lt;&gt;"",PHASE_FINAL_DH!O9,"")</f>
        <v/>
      </c>
      <c r="F47" s="62" t="str">
        <f>PHASE_FINAL_DH!N9</f>
        <v/>
      </c>
      <c r="G47" s="62"/>
    </row>
    <row r="48" spans="1:7" x14ac:dyDescent="0.25">
      <c r="A48" s="62"/>
      <c r="B48" s="62" t="str">
        <f>PHASE_FINAL_DH!N12</f>
        <v/>
      </c>
      <c r="C48" s="65" t="str">
        <f>IF(PHASE_FINAL_DH!O12&lt;&gt;"",PHASE_FINAL_DH!O12,"")</f>
        <v/>
      </c>
      <c r="D48" s="59" t="s">
        <v>105</v>
      </c>
      <c r="E48" s="65" t="str">
        <f>IF(PHASE_FINAL_DH!O13&lt;&gt;"",PHASE_FINAL_DH!O13,"")</f>
        <v/>
      </c>
      <c r="F48" s="62" t="str">
        <f>PHASE_FINAL_DH!N13</f>
        <v/>
      </c>
      <c r="G48" s="62"/>
    </row>
    <row r="49" spans="1:7" x14ac:dyDescent="0.25">
      <c r="A49" s="57"/>
      <c r="B49" s="57"/>
      <c r="C49" s="64"/>
      <c r="D49" s="58">
        <f>0.791666666666661 + "00:30:00"</f>
        <v>0.81249999999999434</v>
      </c>
      <c r="E49" s="64"/>
      <c r="F49" s="57"/>
      <c r="G49" s="57"/>
    </row>
    <row r="50" spans="1:7" x14ac:dyDescent="0.25">
      <c r="A50" s="62"/>
      <c r="B50" s="62" t="str">
        <f>PHASE_FINAL_DH!C8</f>
        <v/>
      </c>
      <c r="C50" s="65" t="str">
        <f>IF(PHASE_FINAL_DH!B8&lt;&gt;"",PHASE_FINAL_DH!B8,"")</f>
        <v/>
      </c>
      <c r="D50" s="59" t="s">
        <v>93</v>
      </c>
      <c r="E50" s="65" t="str">
        <f>IF(PHASE_FINAL_DH!B9&lt;&gt;"",PHASE_FINAL_DH!B9,"")</f>
        <v/>
      </c>
      <c r="F50" s="62" t="str">
        <f>PHASE_FINAL_DH!C9</f>
        <v/>
      </c>
      <c r="G50" s="62"/>
    </row>
    <row r="51" spans="1:7" x14ac:dyDescent="0.25">
      <c r="A51" s="62"/>
      <c r="B51" s="62" t="str">
        <f>PHASE_FINAL_DH!C12</f>
        <v/>
      </c>
      <c r="C51" s="65" t="str">
        <f>IF(PHASE_FINAL_DH!B12&lt;&gt;"",PHASE_FINAL_DH!B12,"")</f>
        <v/>
      </c>
      <c r="D51" s="59" t="s">
        <v>94</v>
      </c>
      <c r="E51" s="65" t="str">
        <f>IF(PHASE_FINAL_DH!B13&lt;&gt;"",PHASE_FINAL_DH!B13,"")</f>
        <v/>
      </c>
      <c r="F51" s="62" t="str">
        <f>PHASE_FINAL_DH!C13</f>
        <v/>
      </c>
      <c r="G51" s="62"/>
    </row>
    <row r="52" spans="1:7" x14ac:dyDescent="0.25">
      <c r="A52" s="62"/>
      <c r="B52" s="62" t="str">
        <f>PHASE_FINAL_DH!N25</f>
        <v/>
      </c>
      <c r="C52" s="65" t="str">
        <f>IF(PHASE_FINAL_DH!O25&lt;&gt;"",PHASE_FINAL_DH!O25,"")</f>
        <v/>
      </c>
      <c r="D52" s="59" t="s">
        <v>95</v>
      </c>
      <c r="E52" s="65" t="str">
        <f>IF(PHASE_FINAL_DH!O26&lt;&gt;"",PHASE_FINAL_DH!O26,"")</f>
        <v/>
      </c>
      <c r="F52" s="62" t="str">
        <f>PHASE_FINAL_DH!N26</f>
        <v/>
      </c>
      <c r="G52" s="62"/>
    </row>
    <row r="53" spans="1:7" x14ac:dyDescent="0.25">
      <c r="A53" s="62"/>
      <c r="B53" s="62" t="str">
        <f>PHASE_FINAL_DH!N29</f>
        <v/>
      </c>
      <c r="C53" s="65" t="str">
        <f>IF(PHASE_FINAL_DH!O29&lt;&gt;"",PHASE_FINAL_DH!O29,"")</f>
        <v/>
      </c>
      <c r="D53" s="59" t="s">
        <v>96</v>
      </c>
      <c r="E53" s="65" t="str">
        <f>IF(PHASE_FINAL_DH!O30&lt;&gt;"",PHASE_FINAL_DH!O30,"")</f>
        <v/>
      </c>
      <c r="F53" s="62" t="str">
        <f>PHASE_FINAL_DH!N30</f>
        <v/>
      </c>
      <c r="G53" s="62"/>
    </row>
    <row r="54" spans="1:7" x14ac:dyDescent="0.25">
      <c r="A54" s="62"/>
      <c r="B54" s="62" t="str">
        <f>PHASE_FINAL_DH!C25</f>
        <v/>
      </c>
      <c r="C54" s="65" t="str">
        <f>IF(PHASE_FINAL_DH!B25&lt;&gt;"",PHASE_FINAL_DH!B25,"")</f>
        <v/>
      </c>
      <c r="D54" s="59" t="s">
        <v>101</v>
      </c>
      <c r="E54" s="65" t="str">
        <f>IF(PHASE_FINAL_DH!B26&lt;&gt;"",PHASE_FINAL_DH!B26,"")</f>
        <v/>
      </c>
      <c r="F54" s="62" t="str">
        <f>PHASE_FINAL_DH!C26</f>
        <v/>
      </c>
      <c r="G54" s="62"/>
    </row>
    <row r="55" spans="1:7" x14ac:dyDescent="0.25">
      <c r="A55" s="62"/>
      <c r="B55" s="62" t="str">
        <f>PHASE_FINAL_DH!C29</f>
        <v/>
      </c>
      <c r="C55" s="65" t="str">
        <f>IF(PHASE_FINAL_DH!B29&lt;&gt;"",PHASE_FINAL_DH!B29,"")</f>
        <v/>
      </c>
      <c r="D55" s="59" t="s">
        <v>103</v>
      </c>
      <c r="E55" s="65" t="str">
        <f>IF(PHASE_FINAL_DH!B30&lt;&gt;"",PHASE_FINAL_DH!B30,"")</f>
        <v/>
      </c>
      <c r="F55" s="62" t="str">
        <f>PHASE_FINAL_DH!C30</f>
        <v/>
      </c>
      <c r="G55" s="62"/>
    </row>
    <row r="57" spans="1:7" x14ac:dyDescent="0.25">
      <c r="D57" s="42">
        <f>0.812499999999994 + "00:30:00"</f>
        <v>0.83333333333332738</v>
      </c>
    </row>
    <row r="65" spans="4:4" x14ac:dyDescent="0.25">
      <c r="D65" s="42">
        <f>0.833333333333327 + "00:30:00"</f>
        <v>0.85416666666666041</v>
      </c>
    </row>
    <row r="73" spans="4:4" x14ac:dyDescent="0.25">
      <c r="D73" s="42">
        <f>0.85416666666666 + "00:30:00"</f>
        <v>0.87499999999999334</v>
      </c>
    </row>
    <row r="81" spans="4:4" x14ac:dyDescent="0.25">
      <c r="D81" s="42">
        <f>0.874999999999993 + "00:30:00"</f>
        <v>0.89583333333332638</v>
      </c>
    </row>
    <row r="89" spans="4:4" x14ac:dyDescent="0.25">
      <c r="D89" s="42">
        <f>0.895833333333326 + "00:30:00"</f>
        <v>0.91666666666665941</v>
      </c>
    </row>
  </sheetData>
  <conditionalFormatting sqref="C2">
    <cfRule type="expression" dxfId="191" priority="192">
      <formula>$C2&gt;$E2</formula>
    </cfRule>
    <cfRule type="expression" dxfId="190" priority="191">
      <formula>$C2&lt;$E2</formula>
    </cfRule>
  </conditionalFormatting>
  <conditionalFormatting sqref="E2">
    <cfRule type="expression" dxfId="189" priority="190">
      <formula>$C2&lt;$E2</formula>
    </cfRule>
    <cfRule type="expression" dxfId="188" priority="189">
      <formula>$C2&gt;$E2</formula>
    </cfRule>
  </conditionalFormatting>
  <conditionalFormatting sqref="C3">
    <cfRule type="expression" dxfId="187" priority="188">
      <formula>$C3&gt;$E3</formula>
    </cfRule>
    <cfRule type="expression" dxfId="186" priority="187">
      <formula>$C3&lt;$E3</formula>
    </cfRule>
  </conditionalFormatting>
  <conditionalFormatting sqref="E3">
    <cfRule type="expression" dxfId="185" priority="186">
      <formula>$C3&lt;$E3</formula>
    </cfRule>
    <cfRule type="expression" dxfId="184" priority="185">
      <formula>$C3&gt;$E3</formula>
    </cfRule>
  </conditionalFormatting>
  <conditionalFormatting sqref="C4">
    <cfRule type="expression" dxfId="183" priority="184">
      <formula>$C4&gt;$E4</formula>
    </cfRule>
    <cfRule type="expression" dxfId="182" priority="183">
      <formula>$C4&lt;$E4</formula>
    </cfRule>
  </conditionalFormatting>
  <conditionalFormatting sqref="E4">
    <cfRule type="expression" dxfId="181" priority="182">
      <formula>$C4&lt;$E4</formula>
    </cfRule>
    <cfRule type="expression" dxfId="180" priority="181">
      <formula>$C4&gt;$E4</formula>
    </cfRule>
  </conditionalFormatting>
  <conditionalFormatting sqref="C5">
    <cfRule type="expression" dxfId="179" priority="180">
      <formula>$C5&gt;$E5</formula>
    </cfRule>
    <cfRule type="expression" dxfId="178" priority="179">
      <formula>$C5&lt;$E5</formula>
    </cfRule>
  </conditionalFormatting>
  <conditionalFormatting sqref="E5">
    <cfRule type="expression" dxfId="177" priority="178">
      <formula>$C5&lt;$E5</formula>
    </cfRule>
    <cfRule type="expression" dxfId="176" priority="177">
      <formula>$C5&gt;$E5</formula>
    </cfRule>
  </conditionalFormatting>
  <conditionalFormatting sqref="C6">
    <cfRule type="expression" dxfId="175" priority="176">
      <formula>$C6&gt;$E6</formula>
    </cfRule>
    <cfRule type="expression" dxfId="174" priority="175">
      <formula>$C6&lt;$E6</formula>
    </cfRule>
  </conditionalFormatting>
  <conditionalFormatting sqref="E6">
    <cfRule type="expression" dxfId="173" priority="174">
      <formula>$C6&lt;$E6</formula>
    </cfRule>
    <cfRule type="expression" dxfId="172" priority="173">
      <formula>$C6&gt;$E6</formula>
    </cfRule>
  </conditionalFormatting>
  <conditionalFormatting sqref="C7">
    <cfRule type="expression" dxfId="171" priority="172">
      <formula>$C7&gt;$E7</formula>
    </cfRule>
    <cfRule type="expression" dxfId="170" priority="171">
      <formula>$C7&lt;$E7</formula>
    </cfRule>
  </conditionalFormatting>
  <conditionalFormatting sqref="E7">
    <cfRule type="expression" dxfId="169" priority="170">
      <formula>$C7&lt;$E7</formula>
    </cfRule>
    <cfRule type="expression" dxfId="168" priority="169">
      <formula>$C7&gt;$E7</formula>
    </cfRule>
  </conditionalFormatting>
  <conditionalFormatting sqref="C8">
    <cfRule type="expression" dxfId="167" priority="168">
      <formula>$C8&gt;$E8</formula>
    </cfRule>
    <cfRule type="expression" dxfId="166" priority="167">
      <formula>$C8&lt;$E8</formula>
    </cfRule>
  </conditionalFormatting>
  <conditionalFormatting sqref="E8">
    <cfRule type="expression" dxfId="165" priority="166">
      <formula>$C8&lt;$E8</formula>
    </cfRule>
    <cfRule type="expression" dxfId="164" priority="165">
      <formula>$C8&gt;$E8</formula>
    </cfRule>
  </conditionalFormatting>
  <conditionalFormatting sqref="C10">
    <cfRule type="expression" dxfId="163" priority="164">
      <formula>$C10&gt;$E10</formula>
    </cfRule>
    <cfRule type="expression" dxfId="162" priority="163">
      <formula>$C10&lt;$E10</formula>
    </cfRule>
  </conditionalFormatting>
  <conditionalFormatting sqref="E10">
    <cfRule type="expression" dxfId="161" priority="162">
      <formula>$C10&lt;$E10</formula>
    </cfRule>
    <cfRule type="expression" dxfId="160" priority="161">
      <formula>$C10&gt;$E10</formula>
    </cfRule>
  </conditionalFormatting>
  <conditionalFormatting sqref="C11">
    <cfRule type="expression" dxfId="159" priority="160">
      <formula>$C11&gt;$E11</formula>
    </cfRule>
    <cfRule type="expression" dxfId="158" priority="159">
      <formula>$C11&lt;$E11</formula>
    </cfRule>
  </conditionalFormatting>
  <conditionalFormatting sqref="E11">
    <cfRule type="expression" dxfId="157" priority="158">
      <formula>$C11&lt;$E11</formula>
    </cfRule>
    <cfRule type="expression" dxfId="156" priority="157">
      <formula>$C11&gt;$E11</formula>
    </cfRule>
  </conditionalFormatting>
  <conditionalFormatting sqref="C12">
    <cfRule type="expression" dxfId="155" priority="156">
      <formula>$C12&gt;$E12</formula>
    </cfRule>
    <cfRule type="expression" dxfId="154" priority="155">
      <formula>$C12&lt;$E12</formula>
    </cfRule>
  </conditionalFormatting>
  <conditionalFormatting sqref="E12">
    <cfRule type="expression" dxfId="153" priority="154">
      <formula>$C12&lt;$E12</formula>
    </cfRule>
    <cfRule type="expression" dxfId="152" priority="153">
      <formula>$C12&gt;$E12</formula>
    </cfRule>
  </conditionalFormatting>
  <conditionalFormatting sqref="C13">
    <cfRule type="expression" dxfId="151" priority="152">
      <formula>$C13&gt;$E13</formula>
    </cfRule>
  </conditionalFormatting>
  <conditionalFormatting sqref="C13">
    <cfRule type="expression" dxfId="150" priority="151">
      <formula>$C13&lt;$E13</formula>
    </cfRule>
  </conditionalFormatting>
  <conditionalFormatting sqref="E13">
    <cfRule type="expression" dxfId="149" priority="150">
      <formula>$C13&lt;$E13</formula>
    </cfRule>
  </conditionalFormatting>
  <conditionalFormatting sqref="E13">
    <cfRule type="expression" dxfId="148" priority="149">
      <formula>$C13&gt;$E13</formula>
    </cfRule>
  </conditionalFormatting>
  <conditionalFormatting sqref="C14">
    <cfRule type="expression" dxfId="147" priority="148">
      <formula>$C14&gt;$E14</formula>
    </cfRule>
  </conditionalFormatting>
  <conditionalFormatting sqref="C14">
    <cfRule type="expression" dxfId="146" priority="147">
      <formula>$C14&lt;$E14</formula>
    </cfRule>
  </conditionalFormatting>
  <conditionalFormatting sqref="E14">
    <cfRule type="expression" dxfId="145" priority="146">
      <formula>$C14&lt;$E14</formula>
    </cfRule>
  </conditionalFormatting>
  <conditionalFormatting sqref="E14">
    <cfRule type="expression" dxfId="144" priority="145">
      <formula>$C14&gt;$E14</formula>
    </cfRule>
  </conditionalFormatting>
  <conditionalFormatting sqref="C15">
    <cfRule type="expression" dxfId="143" priority="144">
      <formula>$C15&gt;$E15</formula>
    </cfRule>
  </conditionalFormatting>
  <conditionalFormatting sqref="C15">
    <cfRule type="expression" dxfId="142" priority="143">
      <formula>$C15&lt;$E15</formula>
    </cfRule>
  </conditionalFormatting>
  <conditionalFormatting sqref="E15">
    <cfRule type="expression" dxfId="141" priority="142">
      <formula>$C15&lt;$E15</formula>
    </cfRule>
  </conditionalFormatting>
  <conditionalFormatting sqref="E15">
    <cfRule type="expression" dxfId="140" priority="141">
      <formula>$C15&gt;$E15</formula>
    </cfRule>
  </conditionalFormatting>
  <conditionalFormatting sqref="C16">
    <cfRule type="expression" dxfId="139" priority="140">
      <formula>$C16&gt;$E16</formula>
    </cfRule>
  </conditionalFormatting>
  <conditionalFormatting sqref="C16">
    <cfRule type="expression" dxfId="138" priority="139">
      <formula>$C16&lt;$E16</formula>
    </cfRule>
  </conditionalFormatting>
  <conditionalFormatting sqref="E16">
    <cfRule type="expression" dxfId="137" priority="138">
      <formula>$C16&lt;$E16</formula>
    </cfRule>
  </conditionalFormatting>
  <conditionalFormatting sqref="E16">
    <cfRule type="expression" dxfId="136" priority="137">
      <formula>$C16&gt;$E16</formula>
    </cfRule>
  </conditionalFormatting>
  <conditionalFormatting sqref="C18">
    <cfRule type="expression" dxfId="135" priority="136">
      <formula>$C18&gt;$E18</formula>
    </cfRule>
  </conditionalFormatting>
  <conditionalFormatting sqref="C18">
    <cfRule type="expression" dxfId="134" priority="135">
      <formula>$C18&lt;$E18</formula>
    </cfRule>
  </conditionalFormatting>
  <conditionalFormatting sqref="E18">
    <cfRule type="expression" dxfId="133" priority="134">
      <formula>$C18&lt;$E18</formula>
    </cfRule>
  </conditionalFormatting>
  <conditionalFormatting sqref="E18">
    <cfRule type="expression" dxfId="132" priority="133">
      <formula>$C18&gt;$E18</formula>
    </cfRule>
  </conditionalFormatting>
  <conditionalFormatting sqref="C19">
    <cfRule type="expression" dxfId="131" priority="132">
      <formula>$C19&gt;$E19</formula>
    </cfRule>
  </conditionalFormatting>
  <conditionalFormatting sqref="C19">
    <cfRule type="expression" dxfId="130" priority="131">
      <formula>$C19&lt;$E19</formula>
    </cfRule>
  </conditionalFormatting>
  <conditionalFormatting sqref="E19">
    <cfRule type="expression" dxfId="129" priority="130">
      <formula>$C19&lt;$E19</formula>
    </cfRule>
  </conditionalFormatting>
  <conditionalFormatting sqref="E19">
    <cfRule type="expression" dxfId="128" priority="129">
      <formula>$C19&gt;$E19</formula>
    </cfRule>
  </conditionalFormatting>
  <conditionalFormatting sqref="C20">
    <cfRule type="expression" dxfId="127" priority="128">
      <formula>$C20&gt;$E20</formula>
    </cfRule>
  </conditionalFormatting>
  <conditionalFormatting sqref="C20">
    <cfRule type="expression" dxfId="126" priority="127">
      <formula>$C20&lt;$E20</formula>
    </cfRule>
  </conditionalFormatting>
  <conditionalFormatting sqref="E20">
    <cfRule type="expression" dxfId="125" priority="126">
      <formula>$C20&lt;$E20</formula>
    </cfRule>
  </conditionalFormatting>
  <conditionalFormatting sqref="E20">
    <cfRule type="expression" dxfId="124" priority="125">
      <formula>$C20&gt;$E20</formula>
    </cfRule>
  </conditionalFormatting>
  <conditionalFormatting sqref="C21">
    <cfRule type="expression" dxfId="123" priority="124">
      <formula>$C21&gt;$E21</formula>
    </cfRule>
  </conditionalFormatting>
  <conditionalFormatting sqref="C21">
    <cfRule type="expression" dxfId="122" priority="123">
      <formula>$C21&lt;$E21</formula>
    </cfRule>
  </conditionalFormatting>
  <conditionalFormatting sqref="E21">
    <cfRule type="expression" dxfId="121" priority="122">
      <formula>$C21&lt;$E21</formula>
    </cfRule>
  </conditionalFormatting>
  <conditionalFormatting sqref="E21">
    <cfRule type="expression" dxfId="120" priority="121">
      <formula>$C21&gt;$E21</formula>
    </cfRule>
  </conditionalFormatting>
  <conditionalFormatting sqref="C22">
    <cfRule type="expression" dxfId="119" priority="120">
      <formula>$C22&gt;$E22</formula>
    </cfRule>
  </conditionalFormatting>
  <conditionalFormatting sqref="C22">
    <cfRule type="expression" dxfId="118" priority="119">
      <formula>$C22&lt;$E22</formula>
    </cfRule>
  </conditionalFormatting>
  <conditionalFormatting sqref="E22">
    <cfRule type="expression" dxfId="117" priority="118">
      <formula>$C22&lt;$E22</formula>
    </cfRule>
  </conditionalFormatting>
  <conditionalFormatting sqref="E22">
    <cfRule type="expression" dxfId="116" priority="117">
      <formula>$C22&gt;$E22</formula>
    </cfRule>
  </conditionalFormatting>
  <conditionalFormatting sqref="C23">
    <cfRule type="expression" dxfId="115" priority="116">
      <formula>$C23&gt;$E23</formula>
    </cfRule>
  </conditionalFormatting>
  <conditionalFormatting sqref="C23">
    <cfRule type="expression" dxfId="114" priority="115">
      <formula>$C23&lt;$E23</formula>
    </cfRule>
  </conditionalFormatting>
  <conditionalFormatting sqref="E23">
    <cfRule type="expression" dxfId="113" priority="114">
      <formula>$C23&lt;$E23</formula>
    </cfRule>
  </conditionalFormatting>
  <conditionalFormatting sqref="E23">
    <cfRule type="expression" dxfId="112" priority="113">
      <formula>$C23&gt;$E23</formula>
    </cfRule>
  </conditionalFormatting>
  <conditionalFormatting sqref="C24">
    <cfRule type="expression" dxfId="111" priority="112">
      <formula>$C24&gt;$E24</formula>
    </cfRule>
  </conditionalFormatting>
  <conditionalFormatting sqref="C24">
    <cfRule type="expression" dxfId="110" priority="111">
      <formula>$C24&lt;$E24</formula>
    </cfRule>
  </conditionalFormatting>
  <conditionalFormatting sqref="E24">
    <cfRule type="expression" dxfId="109" priority="110">
      <formula>$C24&lt;$E24</formula>
    </cfRule>
  </conditionalFormatting>
  <conditionalFormatting sqref="E24">
    <cfRule type="expression" dxfId="108" priority="109">
      <formula>$C24&gt;$E24</formula>
    </cfRule>
  </conditionalFormatting>
  <conditionalFormatting sqref="C26">
    <cfRule type="expression" dxfId="107" priority="108">
      <formula>$C26&gt;$E26</formula>
    </cfRule>
  </conditionalFormatting>
  <conditionalFormatting sqref="C26">
    <cfRule type="expression" dxfId="106" priority="107">
      <formula>$C26&lt;$E26</formula>
    </cfRule>
  </conditionalFormatting>
  <conditionalFormatting sqref="E26">
    <cfRule type="expression" dxfId="105" priority="106">
      <formula>$C26&lt;$E26</formula>
    </cfRule>
  </conditionalFormatting>
  <conditionalFormatting sqref="E26">
    <cfRule type="expression" dxfId="104" priority="105">
      <formula>$C26&gt;$E26</formula>
    </cfRule>
  </conditionalFormatting>
  <conditionalFormatting sqref="C27">
    <cfRule type="expression" dxfId="103" priority="104">
      <formula>$C27&gt;$E27</formula>
    </cfRule>
  </conditionalFormatting>
  <conditionalFormatting sqref="C27">
    <cfRule type="expression" dxfId="102" priority="103">
      <formula>$C27&lt;$E27</formula>
    </cfRule>
  </conditionalFormatting>
  <conditionalFormatting sqref="E27">
    <cfRule type="expression" dxfId="101" priority="102">
      <formula>$C27&lt;$E27</formula>
    </cfRule>
  </conditionalFormatting>
  <conditionalFormatting sqref="E27">
    <cfRule type="expression" dxfId="100" priority="101">
      <formula>$C27&gt;$E27</formula>
    </cfRule>
  </conditionalFormatting>
  <conditionalFormatting sqref="C28">
    <cfRule type="expression" dxfId="99" priority="100">
      <formula>$C28&gt;$E28</formula>
    </cfRule>
  </conditionalFormatting>
  <conditionalFormatting sqref="C28">
    <cfRule type="expression" dxfId="98" priority="99">
      <formula>$C28&lt;$E28</formula>
    </cfRule>
  </conditionalFormatting>
  <conditionalFormatting sqref="E28">
    <cfRule type="expression" dxfId="97" priority="98">
      <formula>$C28&lt;$E28</formula>
    </cfRule>
  </conditionalFormatting>
  <conditionalFormatting sqref="E28">
    <cfRule type="expression" dxfId="96" priority="97">
      <formula>$C28&gt;$E28</formula>
    </cfRule>
  </conditionalFormatting>
  <conditionalFormatting sqref="C29">
    <cfRule type="expression" dxfId="95" priority="96">
      <formula>$C29&gt;$E29</formula>
    </cfRule>
  </conditionalFormatting>
  <conditionalFormatting sqref="C29">
    <cfRule type="expression" dxfId="94" priority="95">
      <formula>$C29&lt;$E29</formula>
    </cfRule>
  </conditionalFormatting>
  <conditionalFormatting sqref="E29">
    <cfRule type="expression" dxfId="93" priority="94">
      <formula>$C29&lt;$E29</formula>
    </cfRule>
  </conditionalFormatting>
  <conditionalFormatting sqref="E29">
    <cfRule type="expression" dxfId="92" priority="93">
      <formula>$C29&gt;$E29</formula>
    </cfRule>
  </conditionalFormatting>
  <conditionalFormatting sqref="C30">
    <cfRule type="expression" dxfId="91" priority="92">
      <formula>$C30&gt;$E30</formula>
    </cfRule>
  </conditionalFormatting>
  <conditionalFormatting sqref="C30">
    <cfRule type="expression" dxfId="90" priority="91">
      <formula>$C30&lt;$E30</formula>
    </cfRule>
  </conditionalFormatting>
  <conditionalFormatting sqref="E30">
    <cfRule type="expression" dxfId="89" priority="90">
      <formula>$C30&lt;$E30</formula>
    </cfRule>
  </conditionalFormatting>
  <conditionalFormatting sqref="E30">
    <cfRule type="expression" dxfId="88" priority="89">
      <formula>$C30&gt;$E30</formula>
    </cfRule>
  </conditionalFormatting>
  <conditionalFormatting sqref="C31">
    <cfRule type="expression" dxfId="87" priority="88">
      <formula>$C31&gt;$E31</formula>
    </cfRule>
  </conditionalFormatting>
  <conditionalFormatting sqref="C31">
    <cfRule type="expression" dxfId="86" priority="87">
      <formula>$C31&lt;$E31</formula>
    </cfRule>
  </conditionalFormatting>
  <conditionalFormatting sqref="E31">
    <cfRule type="expression" dxfId="85" priority="86">
      <formula>$C31&lt;$E31</formula>
    </cfRule>
  </conditionalFormatting>
  <conditionalFormatting sqref="E31">
    <cfRule type="expression" dxfId="84" priority="85">
      <formula>$C31&gt;$E31</formula>
    </cfRule>
  </conditionalFormatting>
  <conditionalFormatting sqref="C32">
    <cfRule type="expression" dxfId="83" priority="84">
      <formula>$C32&gt;$E32</formula>
    </cfRule>
  </conditionalFormatting>
  <conditionalFormatting sqref="C32">
    <cfRule type="expression" dxfId="82" priority="83">
      <formula>$C32&lt;$E32</formula>
    </cfRule>
  </conditionalFormatting>
  <conditionalFormatting sqref="E32">
    <cfRule type="expression" dxfId="81" priority="82">
      <formula>$C32&lt;$E32</formula>
    </cfRule>
  </conditionalFormatting>
  <conditionalFormatting sqref="E32">
    <cfRule type="expression" dxfId="80" priority="81">
      <formula>$C32&gt;$E32</formula>
    </cfRule>
  </conditionalFormatting>
  <conditionalFormatting sqref="C34">
    <cfRule type="expression" dxfId="79" priority="80">
      <formula>$C34&gt;$E34</formula>
    </cfRule>
  </conditionalFormatting>
  <conditionalFormatting sqref="C34">
    <cfRule type="expression" dxfId="78" priority="79">
      <formula>$C34&lt;$E34</formula>
    </cfRule>
  </conditionalFormatting>
  <conditionalFormatting sqref="E34">
    <cfRule type="expression" dxfId="77" priority="78">
      <formula>$C34&lt;$E34</formula>
    </cfRule>
  </conditionalFormatting>
  <conditionalFormatting sqref="E34">
    <cfRule type="expression" dxfId="76" priority="77">
      <formula>$C34&gt;$E34</formula>
    </cfRule>
  </conditionalFormatting>
  <conditionalFormatting sqref="C35">
    <cfRule type="expression" dxfId="75" priority="76">
      <formula>$C35&gt;$E35</formula>
    </cfRule>
  </conditionalFormatting>
  <conditionalFormatting sqref="C35">
    <cfRule type="expression" dxfId="74" priority="75">
      <formula>$C35&lt;$E35</formula>
    </cfRule>
  </conditionalFormatting>
  <conditionalFormatting sqref="E35">
    <cfRule type="expression" dxfId="73" priority="74">
      <formula>$C35&lt;$E35</formula>
    </cfRule>
  </conditionalFormatting>
  <conditionalFormatting sqref="E35">
    <cfRule type="expression" dxfId="72" priority="73">
      <formula>$C35&gt;$E35</formula>
    </cfRule>
  </conditionalFormatting>
  <conditionalFormatting sqref="C36">
    <cfRule type="expression" dxfId="71" priority="72">
      <formula>$C36&gt;$E36</formula>
    </cfRule>
  </conditionalFormatting>
  <conditionalFormatting sqref="C36">
    <cfRule type="expression" dxfId="70" priority="71">
      <formula>$C36&lt;$E36</formula>
    </cfRule>
  </conditionalFormatting>
  <conditionalFormatting sqref="E36">
    <cfRule type="expression" dxfId="69" priority="70">
      <formula>$C36&lt;$E36</formula>
    </cfRule>
  </conditionalFormatting>
  <conditionalFormatting sqref="E36">
    <cfRule type="expression" dxfId="68" priority="69">
      <formula>$C36&gt;$E36</formula>
    </cfRule>
  </conditionalFormatting>
  <conditionalFormatting sqref="C37">
    <cfRule type="expression" dxfId="67" priority="68">
      <formula>$C37&gt;$E37</formula>
    </cfRule>
  </conditionalFormatting>
  <conditionalFormatting sqref="C37">
    <cfRule type="expression" dxfId="66" priority="67">
      <formula>$C37&lt;$E37</formula>
    </cfRule>
  </conditionalFormatting>
  <conditionalFormatting sqref="E37">
    <cfRule type="expression" dxfId="65" priority="66">
      <formula>$C37&lt;$E37</formula>
    </cfRule>
  </conditionalFormatting>
  <conditionalFormatting sqref="E37">
    <cfRule type="expression" dxfId="64" priority="65">
      <formula>$C37&gt;$E37</formula>
    </cfRule>
  </conditionalFormatting>
  <conditionalFormatting sqref="C38">
    <cfRule type="expression" dxfId="63" priority="64">
      <formula>$C38&gt;$E38</formula>
    </cfRule>
  </conditionalFormatting>
  <conditionalFormatting sqref="C38">
    <cfRule type="expression" dxfId="62" priority="63">
      <formula>$C38&lt;$E38</formula>
    </cfRule>
  </conditionalFormatting>
  <conditionalFormatting sqref="E38">
    <cfRule type="expression" dxfId="61" priority="62">
      <formula>$C38&lt;$E38</formula>
    </cfRule>
  </conditionalFormatting>
  <conditionalFormatting sqref="E38">
    <cfRule type="expression" dxfId="60" priority="61">
      <formula>$C38&gt;$E38</formula>
    </cfRule>
  </conditionalFormatting>
  <conditionalFormatting sqref="C39">
    <cfRule type="expression" dxfId="59" priority="60">
      <formula>$C39&gt;$E39</formula>
    </cfRule>
  </conditionalFormatting>
  <conditionalFormatting sqref="C39">
    <cfRule type="expression" dxfId="58" priority="59">
      <formula>$C39&lt;$E39</formula>
    </cfRule>
  </conditionalFormatting>
  <conditionalFormatting sqref="E39">
    <cfRule type="expression" dxfId="57" priority="58">
      <formula>$C39&lt;$E39</formula>
    </cfRule>
  </conditionalFormatting>
  <conditionalFormatting sqref="E39">
    <cfRule type="expression" dxfId="56" priority="57">
      <formula>$C39&gt;$E39</formula>
    </cfRule>
  </conditionalFormatting>
  <conditionalFormatting sqref="C40">
    <cfRule type="expression" dxfId="55" priority="56">
      <formula>$C40&gt;$E40</formula>
    </cfRule>
  </conditionalFormatting>
  <conditionalFormatting sqref="C40">
    <cfRule type="expression" dxfId="54" priority="55">
      <formula>$C40&lt;$E40</formula>
    </cfRule>
  </conditionalFormatting>
  <conditionalFormatting sqref="E40">
    <cfRule type="expression" dxfId="53" priority="54">
      <formula>$C40&lt;$E40</formula>
    </cfRule>
  </conditionalFormatting>
  <conditionalFormatting sqref="E40">
    <cfRule type="expression" dxfId="52" priority="53">
      <formula>$C40&gt;$E40</formula>
    </cfRule>
  </conditionalFormatting>
  <conditionalFormatting sqref="C42">
    <cfRule type="expression" dxfId="51" priority="52">
      <formula>$C42&gt;$E42</formula>
    </cfRule>
  </conditionalFormatting>
  <conditionalFormatting sqref="C42">
    <cfRule type="expression" dxfId="50" priority="51">
      <formula>$C42&lt;$E42</formula>
    </cfRule>
  </conditionalFormatting>
  <conditionalFormatting sqref="E42">
    <cfRule type="expression" dxfId="49" priority="50">
      <formula>$C42&lt;$E42</formula>
    </cfRule>
  </conditionalFormatting>
  <conditionalFormatting sqref="E42">
    <cfRule type="expression" dxfId="48" priority="49">
      <formula>$C42&gt;$E42</formula>
    </cfRule>
  </conditionalFormatting>
  <conditionalFormatting sqref="C43">
    <cfRule type="expression" dxfId="47" priority="48">
      <formula>$C43&gt;$E43</formula>
    </cfRule>
  </conditionalFormatting>
  <conditionalFormatting sqref="C43">
    <cfRule type="expression" dxfId="46" priority="47">
      <formula>$C43&lt;$E43</formula>
    </cfRule>
  </conditionalFormatting>
  <conditionalFormatting sqref="E43">
    <cfRule type="expression" dxfId="45" priority="46">
      <formula>$C43&lt;$E43</formula>
    </cfRule>
  </conditionalFormatting>
  <conditionalFormatting sqref="E43">
    <cfRule type="expression" dxfId="44" priority="45">
      <formula>$C43&gt;$E43</formula>
    </cfRule>
  </conditionalFormatting>
  <conditionalFormatting sqref="C44">
    <cfRule type="expression" dxfId="43" priority="44">
      <formula>$C44&gt;$E44</formula>
    </cfRule>
  </conditionalFormatting>
  <conditionalFormatting sqref="C44">
    <cfRule type="expression" dxfId="42" priority="43">
      <formula>$C44&lt;$E44</formula>
    </cfRule>
  </conditionalFormatting>
  <conditionalFormatting sqref="E44">
    <cfRule type="expression" dxfId="41" priority="42">
      <formula>$C44&lt;$E44</formula>
    </cfRule>
  </conditionalFormatting>
  <conditionalFormatting sqref="E44">
    <cfRule type="expression" dxfId="40" priority="41">
      <formula>$C44&gt;$E44</formula>
    </cfRule>
  </conditionalFormatting>
  <conditionalFormatting sqref="C45">
    <cfRule type="expression" dxfId="39" priority="40">
      <formula>$C45&gt;$E45</formula>
    </cfRule>
  </conditionalFormatting>
  <conditionalFormatting sqref="C45">
    <cfRule type="expression" dxfId="38" priority="39">
      <formula>$C45&lt;$E45</formula>
    </cfRule>
  </conditionalFormatting>
  <conditionalFormatting sqref="E45">
    <cfRule type="expression" dxfId="37" priority="38">
      <formula>$C45&lt;$E45</formula>
    </cfRule>
  </conditionalFormatting>
  <conditionalFormatting sqref="E45">
    <cfRule type="expression" dxfId="36" priority="37">
      <formula>$C45&gt;$E45</formula>
    </cfRule>
  </conditionalFormatting>
  <conditionalFormatting sqref="C46">
    <cfRule type="expression" dxfId="35" priority="36">
      <formula>$C46&gt;$E46</formula>
    </cfRule>
  </conditionalFormatting>
  <conditionalFormatting sqref="C46">
    <cfRule type="expression" dxfId="34" priority="35">
      <formula>$C46&lt;$E46</formula>
    </cfRule>
  </conditionalFormatting>
  <conditionalFormatting sqref="E46">
    <cfRule type="expression" dxfId="33" priority="34">
      <formula>$C46&lt;$E46</formula>
    </cfRule>
  </conditionalFormatting>
  <conditionalFormatting sqref="E46">
    <cfRule type="expression" dxfId="32" priority="33">
      <formula>$C46&gt;$E46</formula>
    </cfRule>
  </conditionalFormatting>
  <conditionalFormatting sqref="C47">
    <cfRule type="expression" dxfId="31" priority="32">
      <formula>$C47&gt;$E47</formula>
    </cfRule>
  </conditionalFormatting>
  <conditionalFormatting sqref="C47">
    <cfRule type="expression" dxfId="30" priority="31">
      <formula>$C47&lt;$E47</formula>
    </cfRule>
  </conditionalFormatting>
  <conditionalFormatting sqref="E47">
    <cfRule type="expression" dxfId="29" priority="30">
      <formula>$C47&lt;$E47</formula>
    </cfRule>
  </conditionalFormatting>
  <conditionalFormatting sqref="E47">
    <cfRule type="expression" dxfId="28" priority="29">
      <formula>$C47&gt;$E47</formula>
    </cfRule>
  </conditionalFormatting>
  <conditionalFormatting sqref="C48">
    <cfRule type="expression" dxfId="27" priority="28">
      <formula>$C48&gt;$E48</formula>
    </cfRule>
  </conditionalFormatting>
  <conditionalFormatting sqref="C48">
    <cfRule type="expression" dxfId="26" priority="27">
      <formula>$C48&lt;$E48</formula>
    </cfRule>
  </conditionalFormatting>
  <conditionalFormatting sqref="E48">
    <cfRule type="expression" dxfId="25" priority="26">
      <formula>$C48&lt;$E48</formula>
    </cfRule>
  </conditionalFormatting>
  <conditionalFormatting sqref="E48">
    <cfRule type="expression" dxfId="24" priority="25">
      <formula>$C48&gt;$E48</formula>
    </cfRule>
  </conditionalFormatting>
  <conditionalFormatting sqref="C50">
    <cfRule type="expression" dxfId="23" priority="24">
      <formula>$C50&gt;$E50</formula>
    </cfRule>
  </conditionalFormatting>
  <conditionalFormatting sqref="C50">
    <cfRule type="expression" dxfId="22" priority="23">
      <formula>$C50&lt;$E50</formula>
    </cfRule>
  </conditionalFormatting>
  <conditionalFormatting sqref="E50">
    <cfRule type="expression" dxfId="21" priority="22">
      <formula>$C50&lt;$E50</formula>
    </cfRule>
  </conditionalFormatting>
  <conditionalFormatting sqref="E50">
    <cfRule type="expression" dxfId="20" priority="21">
      <formula>$C50&gt;$E50</formula>
    </cfRule>
  </conditionalFormatting>
  <conditionalFormatting sqref="C51">
    <cfRule type="expression" dxfId="19" priority="20">
      <formula>$C51&gt;$E51</formula>
    </cfRule>
  </conditionalFormatting>
  <conditionalFormatting sqref="C51">
    <cfRule type="expression" dxfId="18" priority="19">
      <formula>$C51&lt;$E51</formula>
    </cfRule>
  </conditionalFormatting>
  <conditionalFormatting sqref="E51">
    <cfRule type="expression" dxfId="17" priority="18">
      <formula>$C51&lt;$E51</formula>
    </cfRule>
  </conditionalFormatting>
  <conditionalFormatting sqref="E51">
    <cfRule type="expression" dxfId="16" priority="17">
      <formula>$C51&gt;$E51</formula>
    </cfRule>
  </conditionalFormatting>
  <conditionalFormatting sqref="C52">
    <cfRule type="expression" dxfId="15" priority="16">
      <formula>$C52&gt;$E52</formula>
    </cfRule>
  </conditionalFormatting>
  <conditionalFormatting sqref="C52">
    <cfRule type="expression" dxfId="14" priority="15">
      <formula>$C52&lt;$E52</formula>
    </cfRule>
  </conditionalFormatting>
  <conditionalFormatting sqref="E52">
    <cfRule type="expression" dxfId="13" priority="14">
      <formula>$C52&lt;$E52</formula>
    </cfRule>
  </conditionalFormatting>
  <conditionalFormatting sqref="E52">
    <cfRule type="expression" dxfId="12" priority="13">
      <formula>$C52&gt;$E52</formula>
    </cfRule>
  </conditionalFormatting>
  <conditionalFormatting sqref="C53">
    <cfRule type="expression" dxfId="11" priority="12">
      <formula>$C53&gt;$E53</formula>
    </cfRule>
  </conditionalFormatting>
  <conditionalFormatting sqref="C53">
    <cfRule type="expression" dxfId="10" priority="11">
      <formula>$C53&lt;$E53</formula>
    </cfRule>
  </conditionalFormatting>
  <conditionalFormatting sqref="E53">
    <cfRule type="expression" dxfId="9" priority="10">
      <formula>$C53&lt;$E53</formula>
    </cfRule>
  </conditionalFormatting>
  <conditionalFormatting sqref="E53">
    <cfRule type="expression" dxfId="8" priority="9">
      <formula>$C53&gt;$E53</formula>
    </cfRule>
  </conditionalFormatting>
  <conditionalFormatting sqref="C54">
    <cfRule type="expression" dxfId="7" priority="8">
      <formula>$C54&gt;$E54</formula>
    </cfRule>
  </conditionalFormatting>
  <conditionalFormatting sqref="C54">
    <cfRule type="expression" dxfId="6" priority="7">
      <formula>$C54&lt;$E54</formula>
    </cfRule>
  </conditionalFormatting>
  <conditionalFormatting sqref="E54">
    <cfRule type="expression" dxfId="5" priority="6">
      <formula>$C54&lt;$E54</formula>
    </cfRule>
  </conditionalFormatting>
  <conditionalFormatting sqref="E54">
    <cfRule type="expression" dxfId="4" priority="5">
      <formula>$C54&gt;$E54</formula>
    </cfRule>
  </conditionalFormatting>
  <conditionalFormatting sqref="C55">
    <cfRule type="expression" dxfId="3" priority="4">
      <formula>$C55&gt;$E55</formula>
    </cfRule>
  </conditionalFormatting>
  <conditionalFormatting sqref="C55">
    <cfRule type="expression" dxfId="2" priority="3">
      <formula>$C55&lt;$E55</formula>
    </cfRule>
  </conditionalFormatting>
  <conditionalFormatting sqref="E55">
    <cfRule type="expression" dxfId="1" priority="2">
      <formula>$C55&lt;$E55</formula>
    </cfRule>
  </conditionalFormatting>
  <conditionalFormatting sqref="E55">
    <cfRule type="expression" dxfId="0" priority="1">
      <formula>$C55&gt;$E55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C77E9845-416F-42BC-9885-7275ACE8BE89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C4PPMatchph">
              <controlPr defaultSize="0" print="0" autoFill="0" autoPict="0" macro="[0]!'copyimage &quot;A2:F4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FDBB2-4082-4BBC-88CD-472DECC51238}">
  <sheetPr codeName="Feuil21"/>
  <dimension ref="A2:L19"/>
  <sheetViews>
    <sheetView workbookViewId="0"/>
  </sheetViews>
  <sheetFormatPr baseColWidth="10" defaultRowHeight="15" x14ac:dyDescent="0.25"/>
  <cols>
    <col min="1" max="1" width="30.7109375" style="80" customWidth="1"/>
    <col min="2" max="2" width="6.7109375" style="80" customWidth="1"/>
    <col min="3" max="16384" width="11.42578125" style="80"/>
  </cols>
  <sheetData>
    <row r="2" spans="1:12" ht="15.75" thickBot="1" x14ac:dyDescent="0.3">
      <c r="A2" s="80" t="s">
        <v>136</v>
      </c>
    </row>
    <row r="3" spans="1:12" x14ac:dyDescent="0.25">
      <c r="A3" s="81" t="str">
        <f>IF(OR(PHASE_FINAL_DM!O8="",PHASE_FINAL_DM!O9=""),"",IF(PHASE_FINAL_DM!O8&gt;PHASE_FINAL_DM!O9,PHASE_FINAL_DM!N8,PHASE_FINAL_DM!N9))</f>
        <v/>
      </c>
      <c r="B3" s="82">
        <v>1</v>
      </c>
    </row>
    <row r="4" spans="1:12" x14ac:dyDescent="0.25">
      <c r="A4" s="90" t="str">
        <f>IF(OR(PHASE_FINAL_DM!O8="",PHASE_FINAL_DM!O9=""),"",IF(PHASE_FINAL_DM!O8&lt;PHASE_FINAL_DM!O9,PHASE_FINAL_DM!N8,PHASE_FINAL_DM!N9))</f>
        <v/>
      </c>
      <c r="B4" s="91">
        <v>2</v>
      </c>
    </row>
    <row r="5" spans="1:12" x14ac:dyDescent="0.25">
      <c r="A5" s="90" t="str">
        <f>IF(OR(PHASE_FINAL_DM!O12="",PHASE_FINAL_DM!O13=""),"",IF(PHASE_FINAL_DM!O12&gt;PHASE_FINAL_DM!O13,PHASE_FINAL_DM!N12,PHASE_FINAL_DM!N13))</f>
        <v/>
      </c>
      <c r="B5" s="91">
        <v>3</v>
      </c>
    </row>
    <row r="6" spans="1:12" x14ac:dyDescent="0.25">
      <c r="A6" s="90" t="str">
        <f>IF(OR(PHASE_FINAL_DM!O12="",PHASE_FINAL_DM!O13=""),"",IF(PHASE_FINAL_DM!O12&lt;PHASE_FINAL_DM!O13,PHASE_FINAL_DM!N12,PHASE_FINAL_DM!N13))</f>
        <v/>
      </c>
      <c r="B6" s="91">
        <v>4</v>
      </c>
    </row>
    <row r="7" spans="1:12" x14ac:dyDescent="0.25">
      <c r="A7" s="90" t="str">
        <f>IF(OR(PHASE_FINAL_DM!B8="",PHASE_FINAL_DM!B9=""),"",IF(PHASE_FINAL_DM!B8&gt;PHASE_FINAL_DM!B9,PHASE_FINAL_DM!C8,PHASE_FINAL_DM!C9))</f>
        <v/>
      </c>
      <c r="B7" s="91">
        <v>5</v>
      </c>
      <c r="G7" s="147" t="str">
        <f>A3</f>
        <v/>
      </c>
      <c r="H7" s="147"/>
      <c r="I7" s="147"/>
    </row>
    <row r="8" spans="1:12" x14ac:dyDescent="0.25">
      <c r="A8" s="90" t="str">
        <f>IF(OR(PHASE_FINAL_DM!B8="",PHASE_FINAL_DM!B9=""),"",IF(PHASE_FINAL_DM!B8&lt;PHASE_FINAL_DM!B9,PHASE_FINAL_DM!C8,PHASE_FINAL_DM!C9))</f>
        <v/>
      </c>
      <c r="B8" s="91">
        <v>6</v>
      </c>
      <c r="D8" s="147" t="str">
        <f>A4</f>
        <v/>
      </c>
      <c r="E8" s="147"/>
      <c r="F8" s="147"/>
      <c r="G8" s="149"/>
      <c r="H8" s="149"/>
      <c r="I8" s="149"/>
    </row>
    <row r="9" spans="1:12" x14ac:dyDescent="0.25">
      <c r="A9" s="90" t="str">
        <f>IF(OR(PHASE_FINAL_DM!B12="",PHASE_FINAL_DM!B13=""),"",IF(PHASE_FINAL_DM!B12&gt;PHASE_FINAL_DM!B13,PHASE_FINAL_DM!C12,PHASE_FINAL_DM!C13))</f>
        <v/>
      </c>
      <c r="B9" s="91">
        <v>7</v>
      </c>
      <c r="D9" s="149"/>
      <c r="E9" s="149"/>
      <c r="F9" s="149"/>
      <c r="G9" s="94"/>
      <c r="H9" s="92"/>
      <c r="I9" s="92"/>
      <c r="J9" s="146" t="str">
        <f>A5</f>
        <v/>
      </c>
      <c r="K9" s="147"/>
      <c r="L9" s="147"/>
    </row>
    <row r="10" spans="1:12" x14ac:dyDescent="0.25">
      <c r="A10" s="90" t="str">
        <f>IF(OR(PHASE_FINAL_DM!B12="",PHASE_FINAL_DM!B13=""),"",IF(PHASE_FINAL_DM!B12&lt;PHASE_FINAL_DM!B13,PHASE_FINAL_DM!C12,PHASE_FINAL_DM!C13))</f>
        <v/>
      </c>
      <c r="B10" s="91">
        <v>8</v>
      </c>
      <c r="D10" s="92"/>
      <c r="E10" s="92"/>
      <c r="F10" s="92"/>
      <c r="G10" s="92"/>
      <c r="H10" s="145">
        <v>1</v>
      </c>
      <c r="I10" s="92"/>
      <c r="J10" s="148"/>
      <c r="K10" s="149"/>
      <c r="L10" s="149"/>
    </row>
    <row r="11" spans="1:12" x14ac:dyDescent="0.25">
      <c r="A11" s="90" t="str">
        <f>IF(OR(PHASE_FINAL_DM!O25="",PHASE_FINAL_DM!O26=""),"",IF(PHASE_FINAL_DM!O25&gt;PHASE_FINAL_DM!O26,PHASE_FINAL_DM!N25,PHASE_FINAL_DM!N26))</f>
        <v/>
      </c>
      <c r="B11" s="91">
        <v>9</v>
      </c>
      <c r="D11" s="92"/>
      <c r="E11" s="141">
        <v>2</v>
      </c>
      <c r="F11" s="92"/>
      <c r="G11" s="92"/>
      <c r="H11" s="145"/>
      <c r="I11" s="92"/>
      <c r="J11" s="92"/>
      <c r="K11" s="143">
        <v>3</v>
      </c>
      <c r="L11" s="92"/>
    </row>
    <row r="12" spans="1:12" x14ac:dyDescent="0.25">
      <c r="A12" s="90" t="str">
        <f>IF(OR(PHASE_FINAL_DM!O25="",PHASE_FINAL_DM!O26=""),"",IF(PHASE_FINAL_DM!O25&lt;PHASE_FINAL_DM!O26,PHASE_FINAL_DM!N25,PHASE_FINAL_DM!N26))</f>
        <v/>
      </c>
      <c r="B12" s="91">
        <v>10</v>
      </c>
      <c r="D12" s="93"/>
      <c r="E12" s="142"/>
      <c r="F12" s="93"/>
      <c r="G12" s="93"/>
      <c r="H12" s="93"/>
      <c r="I12" s="93"/>
      <c r="J12" s="93"/>
      <c r="K12" s="144"/>
      <c r="L12" s="93"/>
    </row>
    <row r="13" spans="1:12" x14ac:dyDescent="0.25">
      <c r="A13" s="90" t="str">
        <f>IF(OR(PHASE_FINAL_DM!O29="",PHASE_FINAL_DM!O30=""),"",IF(PHASE_FINAL_DM!O29&gt;PHASE_FINAL_DM!O30,PHASE_FINAL_DM!N29,PHASE_FINAL_DM!N30))</f>
        <v/>
      </c>
      <c r="B13" s="91">
        <v>11</v>
      </c>
    </row>
    <row r="14" spans="1:12" x14ac:dyDescent="0.25">
      <c r="A14" s="90" t="str">
        <f>IF(OR(PHASE_FINAL_DM!O29="",PHASE_FINAL_DM!O30=""),"",IF(PHASE_FINAL_DM!O29&lt;PHASE_FINAL_DM!O30,PHASE_FINAL_DM!N29,PHASE_FINAL_DM!N30))</f>
        <v/>
      </c>
      <c r="B14" s="91">
        <v>12</v>
      </c>
    </row>
    <row r="15" spans="1:12" x14ac:dyDescent="0.25">
      <c r="A15" s="90" t="str">
        <f>IF(OR(PHASE_FINAL_DM!B25="",PHASE_FINAL_DM!B26=""),"",IF(PHASE_FINAL_DM!B25&gt;PHASE_FINAL_DM!B26,PHASE_FINAL_DM!C25,PHASE_FINAL_DM!C26))</f>
        <v/>
      </c>
      <c r="B15" s="91">
        <v>13</v>
      </c>
    </row>
    <row r="16" spans="1:12" x14ac:dyDescent="0.25">
      <c r="A16" s="90" t="str">
        <f>IF(OR(PHASE_FINAL_DM!B25="",PHASE_FINAL_DM!B26=""),"",IF(PHASE_FINAL_DM!B25&lt;PHASE_FINAL_DM!B26,PHASE_FINAL_DM!C25,PHASE_FINAL_DM!C26))</f>
        <v/>
      </c>
      <c r="B16" s="91">
        <v>14</v>
      </c>
    </row>
    <row r="17" spans="1:2" x14ac:dyDescent="0.25">
      <c r="A17" s="90" t="str">
        <f>IF(OR(PHASE_FINAL_DM!B29="",PHASE_FINAL_DM!B30=""),"",IF(PHASE_FINAL_DM!B29&gt;PHASE_FINAL_DM!B30,PHASE_FINAL_DM!C29,PHASE_FINAL_DM!C30))</f>
        <v/>
      </c>
      <c r="B17" s="91">
        <v>15</v>
      </c>
    </row>
    <row r="18" spans="1:2" ht="15.75" thickBot="1" x14ac:dyDescent="0.3">
      <c r="A18" s="83" t="str">
        <f>IF(OR(PHASE_FINAL_DM!B29="",PHASE_FINAL_DM!B30=""),"",IF(PHASE_FINAL_DM!B29&lt;PHASE_FINAL_DM!B30,PHASE_FINAL_DM!C29,PHASE_FINAL_DM!C30))</f>
        <v/>
      </c>
      <c r="B18" s="84">
        <v>16</v>
      </c>
    </row>
    <row r="19" spans="1:2" x14ac:dyDescent="0.25">
      <c r="A19" s="80" t="str">
        <f>IF(OR(PHASE_FINAL_DM!O42="",PHASE_FINAL_DM!O43=""),"",IF(PHASE_FINAL_DM!O42&gt;PHASE_FINAL_DM!O43,PHASE_FINAL_DM!N42,PHASE_FINAL_DM!N43))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C4PPphfinalh">
              <controlPr defaultSize="0" print="0" autoFill="0" autoPict="0" macro="[0]!'copyimage &quot;A2:L3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EB075-3678-4926-9466-77AA4E85442B}">
  <sheetPr codeName="Feuil22"/>
  <dimension ref="A2:L19"/>
  <sheetViews>
    <sheetView workbookViewId="0"/>
  </sheetViews>
  <sheetFormatPr baseColWidth="10" defaultRowHeight="15" x14ac:dyDescent="0.25"/>
  <cols>
    <col min="1" max="1" width="30.7109375" style="80" customWidth="1"/>
    <col min="2" max="2" width="6.7109375" style="80" customWidth="1"/>
    <col min="3" max="16384" width="11.42578125" style="80"/>
  </cols>
  <sheetData>
    <row r="2" spans="1:12" ht="15.75" thickBot="1" x14ac:dyDescent="0.3">
      <c r="A2" s="80" t="s">
        <v>137</v>
      </c>
    </row>
    <row r="3" spans="1:12" x14ac:dyDescent="0.25">
      <c r="A3" s="81" t="str">
        <f>IF(OR(PHASE_FINAL_DH!O8="",PHASE_FINAL_DH!O9=""),"",IF(PHASE_FINAL_DH!O8&gt;PHASE_FINAL_DH!O9,PHASE_FINAL_DH!N8,PHASE_FINAL_DH!N9))</f>
        <v/>
      </c>
      <c r="B3" s="82">
        <v>1</v>
      </c>
    </row>
    <row r="4" spans="1:12" x14ac:dyDescent="0.25">
      <c r="A4" s="90" t="str">
        <f>IF(OR(PHASE_FINAL_DH!O8="",PHASE_FINAL_DH!O9=""),"",IF(PHASE_FINAL_DH!O8&lt;PHASE_FINAL_DH!O9,PHASE_FINAL_DH!N8,PHASE_FINAL_DH!N9))</f>
        <v/>
      </c>
      <c r="B4" s="91">
        <v>2</v>
      </c>
    </row>
    <row r="5" spans="1:12" x14ac:dyDescent="0.25">
      <c r="A5" s="90" t="str">
        <f>IF(OR(PHASE_FINAL_DH!O12="",PHASE_FINAL_DH!O13=""),"",IF(PHASE_FINAL_DH!O12&gt;PHASE_FINAL_DH!O13,PHASE_FINAL_DH!N12,PHASE_FINAL_DH!N13))</f>
        <v/>
      </c>
      <c r="B5" s="91">
        <v>3</v>
      </c>
    </row>
    <row r="6" spans="1:12" x14ac:dyDescent="0.25">
      <c r="A6" s="90" t="str">
        <f>IF(OR(PHASE_FINAL_DH!O12="",PHASE_FINAL_DH!O13=""),"",IF(PHASE_FINAL_DH!O12&lt;PHASE_FINAL_DH!O13,PHASE_FINAL_DH!N12,PHASE_FINAL_DH!N13))</f>
        <v/>
      </c>
      <c r="B6" s="91">
        <v>4</v>
      </c>
    </row>
    <row r="7" spans="1:12" x14ac:dyDescent="0.25">
      <c r="A7" s="90" t="str">
        <f>IF(OR(PHASE_FINAL_DH!B8="",PHASE_FINAL_DH!B9=""),"",IF(PHASE_FINAL_DH!B8&gt;PHASE_FINAL_DH!B9,PHASE_FINAL_DH!C8,PHASE_FINAL_DH!C9))</f>
        <v/>
      </c>
      <c r="B7" s="91">
        <v>5</v>
      </c>
      <c r="G7" s="147" t="str">
        <f>A3</f>
        <v/>
      </c>
      <c r="H7" s="147"/>
      <c r="I7" s="147"/>
    </row>
    <row r="8" spans="1:12" x14ac:dyDescent="0.25">
      <c r="A8" s="90" t="str">
        <f>IF(OR(PHASE_FINAL_DH!B8="",PHASE_FINAL_DH!B9=""),"",IF(PHASE_FINAL_DH!B8&lt;PHASE_FINAL_DH!B9,PHASE_FINAL_DH!C8,PHASE_FINAL_DH!C9))</f>
        <v/>
      </c>
      <c r="B8" s="91">
        <v>6</v>
      </c>
      <c r="D8" s="147" t="str">
        <f>A4</f>
        <v/>
      </c>
      <c r="E8" s="147"/>
      <c r="F8" s="147"/>
      <c r="G8" s="149"/>
      <c r="H8" s="149"/>
      <c r="I8" s="149"/>
    </row>
    <row r="9" spans="1:12" x14ac:dyDescent="0.25">
      <c r="A9" s="90" t="str">
        <f>IF(OR(PHASE_FINAL_DH!B12="",PHASE_FINAL_DH!B13=""),"",IF(PHASE_FINAL_DH!B12&gt;PHASE_FINAL_DH!B13,PHASE_FINAL_DH!C12,PHASE_FINAL_DH!C13))</f>
        <v/>
      </c>
      <c r="B9" s="91">
        <v>7</v>
      </c>
      <c r="D9" s="149"/>
      <c r="E9" s="149"/>
      <c r="F9" s="149"/>
      <c r="G9" s="94"/>
      <c r="H9" s="92"/>
      <c r="I9" s="92"/>
      <c r="J9" s="146" t="str">
        <f>A5</f>
        <v/>
      </c>
      <c r="K9" s="147"/>
      <c r="L9" s="147"/>
    </row>
    <row r="10" spans="1:12" x14ac:dyDescent="0.25">
      <c r="A10" s="90" t="str">
        <f>IF(OR(PHASE_FINAL_DH!B12="",PHASE_FINAL_DH!B13=""),"",IF(PHASE_FINAL_DH!B12&lt;PHASE_FINAL_DH!B13,PHASE_FINAL_DH!C12,PHASE_FINAL_DH!C13))</f>
        <v/>
      </c>
      <c r="B10" s="91">
        <v>8</v>
      </c>
      <c r="D10" s="92"/>
      <c r="E10" s="92"/>
      <c r="F10" s="92"/>
      <c r="G10" s="92"/>
      <c r="H10" s="145">
        <v>1</v>
      </c>
      <c r="I10" s="92"/>
      <c r="J10" s="148"/>
      <c r="K10" s="149"/>
      <c r="L10" s="149"/>
    </row>
    <row r="11" spans="1:12" x14ac:dyDescent="0.25">
      <c r="A11" s="90" t="str">
        <f>IF(OR(PHASE_FINAL_DH!O25="",PHASE_FINAL_DH!O26=""),"",IF(PHASE_FINAL_DH!O25&gt;PHASE_FINAL_DH!O26,PHASE_FINAL_DH!N25,PHASE_FINAL_DH!N26))</f>
        <v/>
      </c>
      <c r="B11" s="91">
        <v>9</v>
      </c>
      <c r="D11" s="92"/>
      <c r="E11" s="141">
        <v>2</v>
      </c>
      <c r="F11" s="92"/>
      <c r="G11" s="92"/>
      <c r="H11" s="145"/>
      <c r="I11" s="92"/>
      <c r="J11" s="92"/>
      <c r="K11" s="143">
        <v>3</v>
      </c>
      <c r="L11" s="92"/>
    </row>
    <row r="12" spans="1:12" x14ac:dyDescent="0.25">
      <c r="A12" s="90" t="str">
        <f>IF(OR(PHASE_FINAL_DH!O25="",PHASE_FINAL_DH!O26=""),"",IF(PHASE_FINAL_DH!O25&lt;PHASE_FINAL_DH!O26,PHASE_FINAL_DH!N25,PHASE_FINAL_DH!N26))</f>
        <v/>
      </c>
      <c r="B12" s="91">
        <v>10</v>
      </c>
      <c r="D12" s="93"/>
      <c r="E12" s="142"/>
      <c r="F12" s="93"/>
      <c r="G12" s="93"/>
      <c r="H12" s="93"/>
      <c r="I12" s="93"/>
      <c r="J12" s="93"/>
      <c r="K12" s="144"/>
      <c r="L12" s="93"/>
    </row>
    <row r="13" spans="1:12" x14ac:dyDescent="0.25">
      <c r="A13" s="90" t="str">
        <f>IF(OR(PHASE_FINAL_DH!O29="",PHASE_FINAL_DH!O30=""),"",IF(PHASE_FINAL_DH!O29&gt;PHASE_FINAL_DH!O30,PHASE_FINAL_DH!N29,PHASE_FINAL_DH!N30))</f>
        <v/>
      </c>
      <c r="B13" s="91">
        <v>11</v>
      </c>
    </row>
    <row r="14" spans="1:12" x14ac:dyDescent="0.25">
      <c r="A14" s="90" t="str">
        <f>IF(OR(PHASE_FINAL_DH!O29="",PHASE_FINAL_DH!O30=""),"",IF(PHASE_FINAL_DH!O29&lt;PHASE_FINAL_DH!O30,PHASE_FINAL_DH!N29,PHASE_FINAL_DH!N30))</f>
        <v/>
      </c>
      <c r="B14" s="91">
        <v>12</v>
      </c>
    </row>
    <row r="15" spans="1:12" x14ac:dyDescent="0.25">
      <c r="A15" s="90" t="str">
        <f>IF(OR(PHASE_FINAL_DH!B25="",PHASE_FINAL_DH!B26=""),"",IF(PHASE_FINAL_DH!B25&gt;PHASE_FINAL_DH!B26,PHASE_FINAL_DH!C25,PHASE_FINAL_DH!C26))</f>
        <v/>
      </c>
      <c r="B15" s="91">
        <v>13</v>
      </c>
    </row>
    <row r="16" spans="1:12" x14ac:dyDescent="0.25">
      <c r="A16" s="90" t="str">
        <f>IF(OR(PHASE_FINAL_DH!B25="",PHASE_FINAL_DH!B26=""),"",IF(PHASE_FINAL_DH!B25&lt;PHASE_FINAL_DH!B26,PHASE_FINAL_DH!C25,PHASE_FINAL_DH!C26))</f>
        <v/>
      </c>
      <c r="B16" s="91">
        <v>14</v>
      </c>
    </row>
    <row r="17" spans="1:2" x14ac:dyDescent="0.25">
      <c r="A17" s="90" t="str">
        <f>IF(OR(PHASE_FINAL_DH!B29="",PHASE_FINAL_DH!B30=""),"",IF(PHASE_FINAL_DH!B29&gt;PHASE_FINAL_DH!B30,PHASE_FINAL_DH!C29,PHASE_FINAL_DH!C30))</f>
        <v/>
      </c>
      <c r="B17" s="91">
        <v>15</v>
      </c>
    </row>
    <row r="18" spans="1:2" ht="15.75" thickBot="1" x14ac:dyDescent="0.3">
      <c r="A18" s="83" t="str">
        <f>IF(OR(PHASE_FINAL_DH!B29="",PHASE_FINAL_DH!B30=""),"",IF(PHASE_FINAL_DH!B29&lt;PHASE_FINAL_DH!B30,PHASE_FINAL_DH!C29,PHASE_FINAL_DH!C30))</f>
        <v/>
      </c>
      <c r="B18" s="84">
        <v>16</v>
      </c>
    </row>
    <row r="19" spans="1:2" x14ac:dyDescent="0.25">
      <c r="A19" s="80" t="str">
        <f>IF(OR(PHASE_FINAL_DH!O42="",PHASE_FINAL_DH!O43=""),"",IF(PHASE_FINAL_DH!O42&gt;PHASE_FINAL_DH!O43,PHASE_FINAL_DH!N42,PHASE_FINAL_DH!N43))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C4PPphfinalh">
              <controlPr defaultSize="0" print="0" autoFill="0" autoPict="0" macro="[0]!'copyimage &quot;A2:L3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Accueil</vt:lpstr>
      <vt:lpstr>Parametres</vt:lpstr>
      <vt:lpstr>NOTES</vt:lpstr>
      <vt:lpstr>OMPN</vt:lpstr>
      <vt:lpstr>INSCRIPTS</vt:lpstr>
      <vt:lpstr>MATCHS</vt:lpstr>
      <vt:lpstr>CLASSEMENTS</vt:lpstr>
      <vt:lpstr>PHASE_FINAL_DM</vt:lpstr>
      <vt:lpstr>PHASE_FINAL_DH</vt:lpstr>
      <vt:lpstr>FINAL_MATCHS</vt:lpstr>
      <vt:lpstr>PLACE_FINAL_DM</vt:lpstr>
      <vt:lpstr>PLACE_FINAL_DH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2023-01-21T07:20:49Z</dcterms:modified>
</cp:coreProperties>
</file>