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1D66EB26-8016-453B-AF72-4DE50A03A928}" xr6:coauthVersionLast="47" xr6:coauthVersionMax="47" xr10:uidLastSave="{00000000-0000-0000-0000-000000000000}"/>
  <bookViews>
    <workbookView xWindow="-28920" yWindow="-120" windowWidth="29040" windowHeight="16440" firstSheet="1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  <sheet name="INSCRIPTS" sheetId="134" r:id="rId6"/>
    <sheet name="MATCHS" sheetId="135" r:id="rId7"/>
    <sheet name="CLASSEMENTS" sheetId="136" r:id="rId8"/>
    <sheet name="PHASE_FINAL" sheetId="137" r:id="rId9"/>
    <sheet name="FINAL_MATCHS" sheetId="138" r:id="rId10"/>
    <sheet name="PLACE_FINAL" sheetId="139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3" i="139"/>
  <c r="G7" i="139" s="1"/>
  <c r="J9" i="139"/>
  <c r="D8" i="139"/>
  <c r="D11" i="138"/>
  <c r="D6" i="138"/>
  <c r="E15" i="138"/>
  <c r="C15" i="138"/>
  <c r="F15" i="138"/>
  <c r="B15" i="138"/>
  <c r="E14" i="138"/>
  <c r="C14" i="138"/>
  <c r="F14" i="138"/>
  <c r="B14" i="138"/>
  <c r="E13" i="138"/>
  <c r="C13" i="138"/>
  <c r="F13" i="138"/>
  <c r="B13" i="138"/>
  <c r="E12" i="138"/>
  <c r="C12" i="138"/>
  <c r="F12" i="138"/>
  <c r="B12" i="138"/>
  <c r="E10" i="138"/>
  <c r="C10" i="138"/>
  <c r="F10" i="138"/>
  <c r="B10" i="138"/>
  <c r="E9" i="138"/>
  <c r="C9" i="138"/>
  <c r="F9" i="138"/>
  <c r="B9" i="138"/>
  <c r="E8" i="138"/>
  <c r="C8" i="138"/>
  <c r="F8" i="138"/>
  <c r="B8" i="138"/>
  <c r="E7" i="138"/>
  <c r="C7" i="138"/>
  <c r="F7" i="138"/>
  <c r="B7" i="138"/>
  <c r="E5" i="138"/>
  <c r="C5" i="138"/>
  <c r="F5" i="138"/>
  <c r="B5" i="138"/>
  <c r="E4" i="138"/>
  <c r="C4" i="138"/>
  <c r="F4" i="138"/>
  <c r="B4" i="138"/>
  <c r="E3" i="138"/>
  <c r="C3" i="138"/>
  <c r="F3" i="138"/>
  <c r="B3" i="138"/>
  <c r="E2" i="138"/>
  <c r="C2" i="138"/>
  <c r="F2" i="138"/>
  <c r="B2" i="138"/>
  <c r="C13" i="137"/>
  <c r="C12" i="137"/>
  <c r="C9" i="137"/>
  <c r="C8" i="137"/>
  <c r="F15" i="137"/>
  <c r="F14" i="137"/>
  <c r="F7" i="137"/>
  <c r="F6" i="137"/>
  <c r="K15" i="137"/>
  <c r="K14" i="137"/>
  <c r="K7" i="137"/>
  <c r="K6" i="137"/>
  <c r="N13" i="137"/>
  <c r="N12" i="137"/>
  <c r="N9" i="137"/>
  <c r="N8" i="137"/>
  <c r="D14" i="136"/>
  <c r="D13" i="136"/>
  <c r="D12" i="136"/>
  <c r="D11" i="136"/>
  <c r="D7" i="136"/>
  <c r="D6" i="136"/>
  <c r="D5" i="136"/>
  <c r="D4" i="136"/>
  <c r="F14" i="135"/>
  <c r="F10" i="135"/>
  <c r="F5" i="135"/>
  <c r="F15" i="135"/>
  <c r="F9" i="135"/>
  <c r="B5" i="135"/>
  <c r="B15" i="135"/>
  <c r="B10" i="135"/>
  <c r="F4" i="135"/>
  <c r="B14" i="135"/>
  <c r="B9" i="135"/>
  <c r="B4" i="135"/>
  <c r="F12" i="135"/>
  <c r="F8" i="135"/>
  <c r="F3" i="135"/>
  <c r="F13" i="135"/>
  <c r="F7" i="135"/>
  <c r="B3" i="135"/>
  <c r="B13" i="135"/>
  <c r="B8" i="135"/>
  <c r="F2" i="135"/>
  <c r="B12" i="135"/>
  <c r="B7" i="135"/>
  <c r="B2" i="135"/>
  <c r="D56" i="135"/>
  <c r="D51" i="135"/>
  <c r="D46" i="135"/>
  <c r="D41" i="135"/>
  <c r="D36" i="135"/>
  <c r="D31" i="135"/>
  <c r="D26" i="135"/>
  <c r="D21" i="135"/>
  <c r="D16" i="135"/>
  <c r="D11" i="135"/>
  <c r="D6" i="135"/>
  <c r="B30" i="1" a="1"/>
  <c r="B30" i="1" s="1"/>
  <c r="E3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17" i="1"/>
  <c r="I14" i="136"/>
  <c r="H14" i="136"/>
  <c r="F14" i="136"/>
  <c r="E14" i="136"/>
  <c r="I13" i="136"/>
  <c r="H13" i="136"/>
  <c r="F13" i="136"/>
  <c r="E13" i="136"/>
  <c r="I12" i="136"/>
  <c r="H12" i="136"/>
  <c r="F12" i="136"/>
  <c r="E12" i="136"/>
  <c r="I11" i="136"/>
  <c r="H11" i="136"/>
  <c r="F11" i="136"/>
  <c r="E11" i="136"/>
  <c r="I7" i="136"/>
  <c r="H7" i="136"/>
  <c r="F7" i="136"/>
  <c r="E7" i="136"/>
  <c r="I6" i="136"/>
  <c r="H6" i="136"/>
  <c r="F6" i="136"/>
  <c r="E6" i="136"/>
  <c r="I5" i="136"/>
  <c r="H5" i="136"/>
  <c r="F5" i="136"/>
  <c r="E5" i="136"/>
  <c r="I4" i="136"/>
  <c r="H4" i="136"/>
  <c r="F4" i="136"/>
  <c r="E4" i="136"/>
  <c r="A34" i="1"/>
  <c r="J14" i="136" l="1"/>
  <c r="J13" i="136"/>
  <c r="J12" i="136"/>
  <c r="J11" i="136"/>
  <c r="J7" i="136"/>
  <c r="J6" i="136"/>
  <c r="J5" i="136"/>
  <c r="J4" i="136"/>
  <c r="A38" i="1"/>
  <c r="A19" i="1" l="1"/>
</calcChain>
</file>

<file path=xl/sharedStrings.xml><?xml version="1.0" encoding="utf-8"?>
<sst xmlns="http://schemas.openxmlformats.org/spreadsheetml/2006/main" count="2670" uniqueCount="90">
  <si>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</si>
  <si>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</si>
  <si>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</si>
  <si>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</si>
  <si>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</si>
  <si>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</si>
  <si>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</si>
  <si>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</si>
  <si>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</si>
  <si>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</si>
  <si>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</si>
  <si>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</si>
  <si>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</si>
  <si>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</si>
  <si>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</si>
  <si>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</si>
  <si>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</si>
  <si>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</si>
  <si>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</si>
  <si>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</si>
  <si>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</si>
  <si>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</si>
  <si>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</si>
  <si>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</si>
  <si>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</si>
  <si>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</si>
  <si>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</si>
  <si>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</si>
  <si>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</si>
  <si>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</si>
  <si>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</si>
  <si>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</si>
  <si>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</si>
  <si>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Ordre Ph</t>
  </si>
  <si>
    <t>Nombre de Match en +</t>
  </si>
  <si>
    <t>Nombre de Tour en +</t>
  </si>
  <si>
    <t>VRAI/FAUX</t>
  </si>
  <si>
    <t>08:00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</si>
  <si>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</si>
  <si>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</si>
  <si>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</si>
  <si>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Joueurs par poule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</si>
  <si>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</si>
  <si>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</si>
  <si>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</si>
  <si>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</si>
  <si>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</si>
  <si>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</si>
  <si>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</si>
  <si>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</si>
  <si>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</si>
  <si>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</si>
  <si>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</si>
  <si>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Pour avoir accédé a cette feuille vous avez accepter les conditions de la licence</t>
  </si>
  <si>
    <t>00:15</t>
  </si>
  <si>
    <t>1A</t>
  </si>
  <si>
    <t>2A</t>
  </si>
  <si>
    <t>3A</t>
  </si>
  <si>
    <t>4A</t>
  </si>
  <si>
    <t>1B</t>
  </si>
  <si>
    <t>2B</t>
  </si>
  <si>
    <t>3B</t>
  </si>
  <si>
    <t>4B</t>
  </si>
  <si>
    <t>A</t>
  </si>
  <si>
    <t>B</t>
  </si>
  <si>
    <t>1 TERRAIN 1</t>
  </si>
  <si>
    <t>2 TERRAIN 2</t>
  </si>
  <si>
    <t>3 TERRAIN 3</t>
  </si>
  <si>
    <t>4 TERRAIN 4</t>
  </si>
  <si>
    <t>Lettre</t>
  </si>
  <si>
    <t>Equipe</t>
  </si>
  <si>
    <t>Gagnés</t>
  </si>
  <si>
    <t>Perdus</t>
  </si>
  <si>
    <t>Set Gagnés</t>
  </si>
  <si>
    <t>Marqués</t>
  </si>
  <si>
    <t>Encaissés</t>
  </si>
  <si>
    <t>Différence</t>
  </si>
  <si>
    <t>Confrontation Direct</t>
  </si>
  <si>
    <t>Ordre Inscrip</t>
  </si>
  <si>
    <t>PHASE FINAL 1</t>
  </si>
  <si>
    <t>TERRAIN 1</t>
  </si>
  <si>
    <t>TERRAIN 2</t>
  </si>
  <si>
    <t>TERRAIN 3</t>
  </si>
  <si>
    <t>TERRAIN 4</t>
  </si>
  <si>
    <t>Place 1 et 2</t>
  </si>
  <si>
    <t>Place 3 et 4</t>
  </si>
  <si>
    <t>Place 5 et 6</t>
  </si>
  <si>
    <t>Place 7 et 8</t>
  </si>
  <si>
    <t>CLASSEMENT FINAL</t>
  </si>
  <si>
    <t>Version 2.99I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</si>
</sst>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hh:mm;@"/>
    <numFmt numFmtId="166" formatCode="hh:mm"/>
  </numFmts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75"/>
      <color rgb="FFFFFFFF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36"/>
      <color theme="9" tint="-0.249977111117893"/>
      <name val="Calibri"/>
      <family val="2"/>
      <scheme val="minor"/>
    </font>
    <font>
      <sz val="36"/>
      <color theme="5" tint="-0.249977111117893"/>
      <name val="Calibri"/>
      <family val="2"/>
      <scheme val="minor"/>
    </font>
    <font>
      <sz val="1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/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2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10" fillId="7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5" borderId="32" xfId="0" applyFont="1" applyFill="1" applyBorder="1" applyAlignment="1">
      <alignment horizontal="center" vertical="center"/>
    </xf>
    <xf numFmtId="0" fontId="15" fillId="5" borderId="33" xfId="0" applyFont="1" applyFill="1" applyBorder="1" applyAlignment="1">
      <alignment horizontal="center" vertical="center"/>
    </xf>
    <xf numFmtId="0" fontId="15" fillId="5" borderId="34" xfId="0" applyFont="1" applyFill="1" applyBorder="1" applyAlignment="1">
      <alignment horizontal="center" vertical="center"/>
    </xf>
    <xf numFmtId="0" fontId="9" fillId="5" borderId="35" xfId="0" applyFont="1" applyFill="1" applyBorder="1" applyAlignment="1" applyProtection="1">
      <alignment horizontal="center" vertical="center"/>
      <protection locked="0"/>
    </xf>
    <xf numFmtId="0" fontId="9" fillId="5" borderId="36" xfId="0" applyFont="1" applyFill="1" applyBorder="1" applyAlignment="1" applyProtection="1">
      <alignment horizontal="center" vertical="center"/>
      <protection locked="0"/>
    </xf>
    <xf numFmtId="0" fontId="9" fillId="5" borderId="37" xfId="0" applyFont="1" applyFill="1" applyBorder="1" applyAlignment="1" applyProtection="1">
      <alignment horizontal="center" vertical="center"/>
      <protection locked="0"/>
    </xf>
    <xf numFmtId="0" fontId="15" fillId="6" borderId="32" xfId="0" applyFont="1" applyFill="1" applyBorder="1" applyAlignment="1">
      <alignment horizontal="center" vertical="center"/>
    </xf>
    <xf numFmtId="0" fontId="15" fillId="6" borderId="33" xfId="0" applyFont="1" applyFill="1" applyBorder="1" applyAlignment="1">
      <alignment horizontal="center" vertical="center"/>
    </xf>
    <xf numFmtId="0" fontId="15" fillId="6" borderId="34" xfId="0" applyFont="1" applyFill="1" applyBorder="1" applyAlignment="1">
      <alignment horizontal="center" vertical="center"/>
    </xf>
    <xf numFmtId="0" fontId="9" fillId="6" borderId="35" xfId="0" applyFont="1" applyFill="1" applyBorder="1" applyAlignment="1" applyProtection="1">
      <alignment horizontal="center" vertical="center"/>
      <protection locked="0"/>
    </xf>
    <xf numFmtId="0" fontId="9" fillId="6" borderId="36" xfId="0" applyFont="1" applyFill="1" applyBorder="1" applyAlignment="1" applyProtection="1">
      <alignment horizontal="center" vertical="center"/>
      <protection locked="0"/>
    </xf>
    <xf numFmtId="0" fontId="9" fillId="6" borderId="37" xfId="0" applyFont="1" applyFill="1" applyBorder="1" applyAlignment="1" applyProtection="1">
      <alignment horizontal="center" vertical="center"/>
      <protection locked="0"/>
    </xf>
    <xf numFmtId="0" fontId="16" fillId="8" borderId="0" xfId="0" applyFont="1" applyFill="1" applyAlignment="1">
      <alignment horizontal="center" vertical="center"/>
    </xf>
    <xf numFmtId="166" fontId="16" fillId="8" borderId="0" xfId="0" applyNumberFormat="1" applyFont="1" applyFill="1" applyAlignment="1">
      <alignment horizontal="center" vertical="center"/>
    </xf>
    <xf numFmtId="0" fontId="16" fillId="8" borderId="38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center" vertical="center"/>
    </xf>
    <xf numFmtId="0" fontId="16" fillId="8" borderId="0" xfId="0" applyFont="1" applyFill="1" applyAlignment="1" applyProtection="1">
      <alignment horizontal="center" vertical="center"/>
      <protection locked="0"/>
    </xf>
    <xf numFmtId="0" fontId="17" fillId="0" borderId="39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18" fillId="7" borderId="30" xfId="0" applyFont="1" applyFill="1" applyBorder="1" applyAlignment="1">
      <alignment horizontal="center" vertical="center"/>
    </xf>
    <xf numFmtId="0" fontId="15" fillId="5" borderId="0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1" fontId="0" fillId="4" borderId="0" xfId="0" applyNumberFormat="1" applyFill="1"/>
    <xf numFmtId="1" fontId="18" fillId="7" borderId="30" xfId="0" applyNumberFormat="1" applyFont="1" applyFill="1" applyBorder="1" applyAlignment="1">
      <alignment horizontal="center" vertical="center"/>
    </xf>
    <xf numFmtId="1" fontId="9" fillId="5" borderId="31" xfId="0" applyNumberFormat="1" applyFont="1" applyFill="1" applyBorder="1" applyAlignment="1" applyProtection="1">
      <alignment horizontal="center" vertical="center"/>
      <protection locked="0"/>
    </xf>
    <xf numFmtId="1" fontId="9" fillId="6" borderId="31" xfId="0" applyNumberFormat="1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Alignment="1">
      <alignment horizontal="center" vertical="center"/>
    </xf>
    <xf numFmtId="0" fontId="17" fillId="7" borderId="3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6" fillId="4" borderId="0" xfId="0" applyFont="1" applyFill="1" applyAlignment="1" applyProtection="1">
      <alignment horizontal="center" vertical="center"/>
      <protection locked="0"/>
    </xf>
    <xf numFmtId="0" fontId="17" fillId="7" borderId="3" xfId="0" applyFont="1" applyFill="1" applyBorder="1" applyAlignment="1" applyProtection="1">
      <alignment horizontal="center" vertical="center"/>
      <protection locked="0"/>
    </xf>
    <xf numFmtId="0" fontId="17" fillId="7" borderId="10" xfId="0" applyFont="1" applyFill="1" applyBorder="1" applyAlignment="1" applyProtection="1">
      <alignment horizontal="center" vertical="center"/>
      <protection locked="0"/>
    </xf>
    <xf numFmtId="0" fontId="17" fillId="7" borderId="4" xfId="0" applyFont="1" applyFill="1" applyBorder="1" applyAlignment="1" applyProtection="1">
      <alignment horizontal="center" vertical="center"/>
      <protection locked="0"/>
    </xf>
    <xf numFmtId="0" fontId="17" fillId="7" borderId="11" xfId="0" applyFont="1" applyFill="1" applyBorder="1" applyAlignment="1" applyProtection="1">
      <alignment horizontal="center" vertical="center"/>
      <protection locked="0"/>
    </xf>
    <xf numFmtId="0" fontId="14" fillId="9" borderId="31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10" borderId="40" xfId="0" applyFont="1" applyFill="1" applyBorder="1" applyAlignment="1">
      <alignment horizontal="center" vertical="center"/>
    </xf>
    <xf numFmtId="0" fontId="16" fillId="10" borderId="43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20" fillId="10" borderId="4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21" fillId="10" borderId="40" xfId="0" applyFont="1" applyFill="1" applyBorder="1" applyAlignment="1">
      <alignment horizontal="center" vertical="center"/>
    </xf>
    <xf numFmtId="0" fontId="22" fillId="10" borderId="0" xfId="0" applyFont="1" applyFill="1" applyBorder="1" applyAlignment="1">
      <alignment horizontal="center"/>
    </xf>
    <xf numFmtId="0" fontId="22" fillId="10" borderId="40" xfId="0" applyFont="1" applyFill="1" applyBorder="1" applyAlignment="1">
      <alignment horizontal="center"/>
    </xf>
    <xf numFmtId="0" fontId="22" fillId="10" borderId="42" xfId="0" applyFont="1" applyFill="1" applyBorder="1" applyAlignment="1">
      <alignment horizontal="center"/>
    </xf>
    <xf numFmtId="0" fontId="22" fillId="10" borderId="41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96"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72705" name="C4PPinscript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5B79A077-000F-8822-1BB8-974B5F849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73729" name="MAJHEUREB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67E1235-DEF8-7108-B167-34DEC08AD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73730" name="C4PPMatch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34B595E7-D234-F9E4-BCE0-A5C2BDCA8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4753" name="TRIPOULE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6D0DC3CB-50E8-85BA-4B9C-7566863EE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 POULE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74754" name="ValiderOrdrePhaseFinale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6451005C-F5C4-84D4-EE5C-04A303A11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 Ordre Phase Finale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74755" name="C4PPClassement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B41E0BEA-3FC9-33D0-A8E8-21D6E7AEC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75777" name="C4PPph14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D61D7948-2DCE-942B-919D-8A445B1DED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76801" name="MAJHEUREB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9622E1AB-5F73-44DD-0CB1-2F01E26EA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HEURE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76802" name="C4PPMatchph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79186B9-D4FE-3D8C-0AAD-4AC064999A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77825" name="C4PPphfinalh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52A91DC3-280E-CF88-3257-B12182408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C4PP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64" t="s">
        <v>13</v>
      </c>
      <c r="B1" s="65"/>
      <c r="C1" s="65"/>
      <c r="D1" s="65"/>
      <c r="E1" s="65"/>
      <c r="F1" s="65"/>
      <c r="G1" s="65"/>
      <c r="H1" s="65"/>
      <c r="I1" s="65"/>
      <c r="J1" s="65"/>
      <c r="K1" s="66"/>
    </row>
    <row r="2" spans="1:11" ht="15" customHeight="1" x14ac:dyDescent="0.25">
      <c r="A2" s="67"/>
      <c r="B2" s="68"/>
      <c r="C2" s="68"/>
      <c r="D2" s="68"/>
      <c r="E2" s="68"/>
      <c r="F2" s="68"/>
      <c r="G2" s="68"/>
      <c r="H2" s="68"/>
      <c r="I2" s="68"/>
      <c r="J2" s="68"/>
      <c r="K2" s="69"/>
    </row>
    <row r="3" spans="1:11" ht="15" customHeight="1" x14ac:dyDescent="0.25">
      <c r="A3" s="67"/>
      <c r="B3" s="68"/>
      <c r="C3" s="68"/>
      <c r="D3" s="68"/>
      <c r="E3" s="68"/>
      <c r="F3" s="68"/>
      <c r="G3" s="68"/>
      <c r="H3" s="68"/>
      <c r="I3" s="68"/>
      <c r="J3" s="68"/>
      <c r="K3" s="69"/>
    </row>
    <row r="4" spans="1:11" ht="15" customHeight="1" x14ac:dyDescent="0.25">
      <c r="A4" s="67"/>
      <c r="B4" s="68"/>
      <c r="C4" s="68"/>
      <c r="D4" s="68"/>
      <c r="E4" s="68"/>
      <c r="F4" s="68"/>
      <c r="G4" s="68"/>
      <c r="H4" s="68"/>
      <c r="I4" s="68"/>
      <c r="J4" s="68"/>
      <c r="K4" s="69"/>
    </row>
    <row r="5" spans="1:11" ht="15" customHeight="1" x14ac:dyDescent="0.25">
      <c r="A5" s="67"/>
      <c r="B5" s="68"/>
      <c r="C5" s="68"/>
      <c r="D5" s="68"/>
      <c r="E5" s="68"/>
      <c r="F5" s="68"/>
      <c r="G5" s="68"/>
      <c r="H5" s="68"/>
      <c r="I5" s="68"/>
      <c r="J5" s="68"/>
      <c r="K5" s="69"/>
    </row>
    <row r="6" spans="1:11" ht="15" customHeight="1" x14ac:dyDescent="0.25">
      <c r="A6" s="67"/>
      <c r="B6" s="68"/>
      <c r="C6" s="68"/>
      <c r="D6" s="68"/>
      <c r="E6" s="68"/>
      <c r="F6" s="68"/>
      <c r="G6" s="68"/>
      <c r="H6" s="68"/>
      <c r="I6" s="68"/>
      <c r="J6" s="68"/>
      <c r="K6" s="69"/>
    </row>
    <row r="7" spans="1:11" ht="15" customHeight="1" x14ac:dyDescent="0.25">
      <c r="A7" s="67"/>
      <c r="B7" s="68"/>
      <c r="C7" s="68"/>
      <c r="D7" s="68"/>
      <c r="E7" s="68"/>
      <c r="F7" s="68"/>
      <c r="G7" s="68"/>
      <c r="H7" s="68"/>
      <c r="I7" s="68"/>
      <c r="J7" s="68"/>
      <c r="K7" s="69"/>
    </row>
    <row r="8" spans="1:11" ht="15" customHeight="1" x14ac:dyDescent="0.25">
      <c r="A8" s="67"/>
      <c r="B8" s="68"/>
      <c r="C8" s="68"/>
      <c r="D8" s="68"/>
      <c r="E8" s="68"/>
      <c r="F8" s="68"/>
      <c r="G8" s="68"/>
      <c r="H8" s="68"/>
      <c r="I8" s="68"/>
      <c r="J8" s="68"/>
      <c r="K8" s="69"/>
    </row>
    <row r="9" spans="1:11" ht="15" customHeight="1" x14ac:dyDescent="0.25">
      <c r="A9" s="67"/>
      <c r="B9" s="68"/>
      <c r="C9" s="68"/>
      <c r="D9" s="68"/>
      <c r="E9" s="68"/>
      <c r="F9" s="68"/>
      <c r="G9" s="68"/>
      <c r="H9" s="68"/>
      <c r="I9" s="68"/>
      <c r="J9" s="68"/>
      <c r="K9" s="69"/>
    </row>
    <row r="10" spans="1:11" ht="15" customHeight="1" x14ac:dyDescent="0.25">
      <c r="A10" s="67"/>
      <c r="B10" s="68"/>
      <c r="C10" s="68"/>
      <c r="D10" s="68"/>
      <c r="E10" s="68"/>
      <c r="F10" s="68"/>
      <c r="G10" s="68"/>
      <c r="H10" s="68"/>
      <c r="I10" s="68"/>
      <c r="J10" s="68"/>
      <c r="K10" s="69"/>
    </row>
    <row r="11" spans="1:11" ht="15" customHeight="1" x14ac:dyDescent="0.25">
      <c r="A11" s="67"/>
      <c r="B11" s="68"/>
      <c r="C11" s="68"/>
      <c r="D11" s="68"/>
      <c r="E11" s="68"/>
      <c r="F11" s="68"/>
      <c r="G11" s="68"/>
      <c r="H11" s="68"/>
      <c r="I11" s="68"/>
      <c r="J11" s="68"/>
      <c r="K11" s="69"/>
    </row>
    <row r="12" spans="1:11" ht="15" customHeight="1" x14ac:dyDescent="0.25">
      <c r="A12" s="67"/>
      <c r="B12" s="68"/>
      <c r="C12" s="68"/>
      <c r="D12" s="68"/>
      <c r="E12" s="68"/>
      <c r="F12" s="68"/>
      <c r="G12" s="68"/>
      <c r="H12" s="68"/>
      <c r="I12" s="68"/>
      <c r="J12" s="68"/>
      <c r="K12" s="69"/>
    </row>
    <row r="13" spans="1:11" ht="15" customHeight="1" x14ac:dyDescent="0.25">
      <c r="A13" s="67"/>
      <c r="B13" s="68"/>
      <c r="C13" s="68"/>
      <c r="D13" s="68"/>
      <c r="E13" s="68"/>
      <c r="F13" s="68"/>
      <c r="G13" s="68"/>
      <c r="H13" s="68"/>
      <c r="I13" s="68"/>
      <c r="J13" s="68"/>
      <c r="K13" s="69"/>
    </row>
    <row r="14" spans="1:11" ht="15" customHeight="1" x14ac:dyDescent="0.25">
      <c r="A14" s="67"/>
      <c r="B14" s="68"/>
      <c r="C14" s="68"/>
      <c r="D14" s="68"/>
      <c r="E14" s="68"/>
      <c r="F14" s="68"/>
      <c r="G14" s="68"/>
      <c r="H14" s="68"/>
      <c r="I14" s="68"/>
      <c r="J14" s="68"/>
      <c r="K14" s="69"/>
    </row>
    <row r="15" spans="1:11" ht="15" customHeight="1" x14ac:dyDescent="0.25">
      <c r="A15" s="67"/>
      <c r="B15" s="68"/>
      <c r="C15" s="68"/>
      <c r="D15" s="68"/>
      <c r="E15" s="68"/>
      <c r="F15" s="68"/>
      <c r="G15" s="68"/>
      <c r="H15" s="68"/>
      <c r="I15" s="68"/>
      <c r="J15" s="68"/>
      <c r="K15" s="69"/>
    </row>
    <row r="16" spans="1:11" ht="15" customHeight="1" x14ac:dyDescent="0.25">
      <c r="A16" s="67"/>
      <c r="B16" s="68"/>
      <c r="C16" s="68"/>
      <c r="D16" s="68"/>
      <c r="E16" s="68"/>
      <c r="F16" s="68"/>
      <c r="G16" s="68"/>
      <c r="H16" s="68"/>
      <c r="I16" s="68"/>
      <c r="J16" s="68"/>
      <c r="K16" s="69"/>
    </row>
    <row r="17" spans="1:11" ht="15" customHeight="1" x14ac:dyDescent="0.25">
      <c r="A17" s="67"/>
      <c r="B17" s="68"/>
      <c r="C17" s="68"/>
      <c r="D17" s="68"/>
      <c r="E17" s="68"/>
      <c r="F17" s="68"/>
      <c r="G17" s="68"/>
      <c r="H17" s="68"/>
      <c r="I17" s="68"/>
      <c r="J17" s="68"/>
      <c r="K17" s="69"/>
    </row>
    <row r="18" spans="1:11" ht="15" customHeight="1" x14ac:dyDescent="0.25">
      <c r="A18" s="67"/>
      <c r="B18" s="68"/>
      <c r="C18" s="68"/>
      <c r="D18" s="68"/>
      <c r="E18" s="68"/>
      <c r="F18" s="68"/>
      <c r="G18" s="68"/>
      <c r="H18" s="68"/>
      <c r="I18" s="68"/>
      <c r="J18" s="68"/>
      <c r="K18" s="69"/>
    </row>
    <row r="19" spans="1:11" ht="15" customHeight="1" x14ac:dyDescent="0.25">
      <c r="A19" s="67"/>
      <c r="B19" s="68"/>
      <c r="C19" s="68"/>
      <c r="D19" s="68"/>
      <c r="E19" s="68"/>
      <c r="F19" s="68"/>
      <c r="G19" s="68"/>
      <c r="H19" s="68"/>
      <c r="I19" s="68"/>
      <c r="J19" s="68"/>
      <c r="K19" s="69"/>
    </row>
    <row r="20" spans="1:11" ht="15" customHeight="1" x14ac:dyDescent="0.25">
      <c r="A20" s="67"/>
      <c r="B20" s="68"/>
      <c r="C20" s="68"/>
      <c r="D20" s="68"/>
      <c r="E20" s="68"/>
      <c r="F20" s="68"/>
      <c r="G20" s="68"/>
      <c r="H20" s="68"/>
      <c r="I20" s="68"/>
      <c r="J20" s="68"/>
      <c r="K20" s="69"/>
    </row>
    <row r="21" spans="1:11" ht="15" customHeight="1" x14ac:dyDescent="0.25">
      <c r="A21" s="67"/>
      <c r="B21" s="68"/>
      <c r="C21" s="68"/>
      <c r="D21" s="68"/>
      <c r="E21" s="68"/>
      <c r="F21" s="68"/>
      <c r="G21" s="68"/>
      <c r="H21" s="68"/>
      <c r="I21" s="68"/>
      <c r="J21" s="68"/>
      <c r="K21" s="69"/>
    </row>
    <row r="22" spans="1:11" ht="15" customHeight="1" x14ac:dyDescent="0.25">
      <c r="A22" s="67"/>
      <c r="B22" s="68"/>
      <c r="C22" s="68"/>
      <c r="D22" s="68"/>
      <c r="E22" s="68"/>
      <c r="F22" s="68"/>
      <c r="G22" s="68"/>
      <c r="H22" s="68"/>
      <c r="I22" s="68"/>
      <c r="J22" s="68"/>
      <c r="K22" s="69"/>
    </row>
    <row r="23" spans="1:11" ht="15" customHeight="1" x14ac:dyDescent="0.25">
      <c r="A23" s="61" t="s">
        <v>15</v>
      </c>
      <c r="B23" s="62"/>
      <c r="C23" s="62"/>
      <c r="D23" s="62"/>
      <c r="E23" s="62"/>
      <c r="F23" s="62"/>
      <c r="G23" s="62"/>
      <c r="H23" s="62"/>
      <c r="I23" s="62"/>
      <c r="J23" s="62"/>
      <c r="K23" s="63"/>
    </row>
    <row r="24" spans="1:11" ht="15" customHeight="1" x14ac:dyDescent="0.25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3"/>
    </row>
    <row r="25" spans="1:11" ht="15" customHeight="1" x14ac:dyDescent="0.25">
      <c r="A25" s="61"/>
      <c r="B25" s="62"/>
      <c r="C25" s="62"/>
      <c r="D25" s="62"/>
      <c r="E25" s="62"/>
      <c r="F25" s="62"/>
      <c r="G25" s="62"/>
      <c r="H25" s="62"/>
      <c r="I25" s="62"/>
      <c r="J25" s="62"/>
      <c r="K25" s="63"/>
    </row>
    <row r="26" spans="1:11" ht="15" customHeight="1" x14ac:dyDescent="0.25">
      <c r="A26" s="61"/>
      <c r="B26" s="62"/>
      <c r="C26" s="62"/>
      <c r="D26" s="62"/>
      <c r="E26" s="62"/>
      <c r="F26" s="62"/>
      <c r="G26" s="62"/>
      <c r="H26" s="62"/>
      <c r="I26" s="62"/>
      <c r="J26" s="62"/>
      <c r="K26" s="63"/>
    </row>
    <row r="27" spans="1:11" ht="15" customHeight="1" x14ac:dyDescent="0.25">
      <c r="A27" s="46"/>
      <c r="B27" s="47"/>
      <c r="C27" s="47"/>
      <c r="D27" s="47"/>
      <c r="E27" s="47"/>
      <c r="F27" s="47"/>
      <c r="G27" s="47"/>
      <c r="H27" s="47"/>
      <c r="I27" s="47"/>
      <c r="J27" s="47"/>
      <c r="K27" s="48"/>
    </row>
    <row r="28" spans="1:11" ht="15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1"/>
    </row>
    <row r="29" spans="1:11" ht="15" customHeight="1" x14ac:dyDescent="0.25">
      <c r="A29" s="52" t="s">
        <v>14</v>
      </c>
      <c r="B29" s="53"/>
      <c r="C29" s="53"/>
      <c r="D29" s="53"/>
      <c r="E29" s="53"/>
      <c r="F29" s="53"/>
      <c r="G29" s="53"/>
      <c r="H29" s="53"/>
      <c r="I29" s="53"/>
      <c r="J29" s="53"/>
      <c r="K29" s="54"/>
    </row>
    <row r="30" spans="1:11" ht="15" customHeight="1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7"/>
    </row>
    <row r="31" spans="1:11" ht="15" customHeight="1" thickBot="1" x14ac:dyDescent="0.3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60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J21" sqref="J21"/>
    </sheetView>
  </sheetViews>
  <sheetFormatPr baseColWidth="10" defaultRowHeight="15" x14ac:dyDescent="0.25"/>
  <sheetData>
    <row r="1" spans="1:8" x14ac:dyDescent="0.25">
      <c r="A1" s="70" t="s">
        <v>38</v>
      </c>
      <c r="B1" s="70"/>
      <c r="C1" s="70"/>
      <c r="D1" s="70"/>
      <c r="E1" s="70"/>
      <c r="F1" s="70"/>
      <c r="G1" s="70"/>
      <c r="H1" s="70"/>
    </row>
    <row r="2" spans="1:8" x14ac:dyDescent="0.25">
      <c r="A2" s="70"/>
      <c r="B2" s="70"/>
      <c r="C2" s="70"/>
      <c r="D2" s="70"/>
      <c r="E2" s="70"/>
      <c r="F2" s="70"/>
      <c r="G2" s="70"/>
      <c r="H2" s="70"/>
    </row>
    <row r="3" spans="1:8" x14ac:dyDescent="0.25">
      <c r="A3" s="70"/>
      <c r="B3" s="70"/>
      <c r="C3" s="70"/>
      <c r="D3" s="70"/>
      <c r="E3" s="70"/>
      <c r="F3" s="70"/>
      <c r="G3" s="70"/>
      <c r="H3" s="70"/>
    </row>
    <row r="4" spans="1:8" x14ac:dyDescent="0.25">
      <c r="A4" s="71" t="str">
        <f>Parametres!F16</f>
        <v>Version 2.99I</v>
      </c>
      <c r="B4" s="71"/>
      <c r="C4" s="71"/>
      <c r="D4" s="71"/>
      <c r="E4" s="71"/>
      <c r="F4" s="71"/>
      <c r="G4" s="71"/>
      <c r="H4" s="71"/>
    </row>
  </sheetData>
  <mergeCells count="2">
    <mergeCell ref="A1:H3"/>
    <mergeCell ref="A4:H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tabSelected="1" zoomScale="85" zoomScaleNormal="85" workbookViewId="0">
      <selection activeCell="F17" sqref="F17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44</v>
      </c>
      <c r="B1" s="1"/>
      <c r="C1" s="74"/>
      <c r="D1" s="24" t="s">
        <v>39</v>
      </c>
      <c r="E1" s="44" t="s">
        <v>40</v>
      </c>
      <c r="F1" s="3" t="s">
        <v>42</v>
      </c>
      <c r="H1" s="16" t="s">
        <v>55</v>
      </c>
      <c r="I1" s="16" t="s">
        <v>56</v>
      </c>
    </row>
    <row r="2" spans="1:27" ht="15.75" thickBot="1" x14ac:dyDescent="0.3">
      <c r="A2" s="7" t="s">
        <v>54</v>
      </c>
      <c r="C2" s="74"/>
      <c r="D2" s="28">
        <v>2</v>
      </c>
      <c r="E2" s="29" t="s">
        <v>6</v>
      </c>
      <c r="F2" s="23">
        <v>1</v>
      </c>
      <c r="H2" s="16" t="s">
        <v>57</v>
      </c>
      <c r="I2" s="16" t="s">
        <v>58</v>
      </c>
    </row>
    <row r="3" spans="1:27" ht="15.75" thickBot="1" x14ac:dyDescent="0.3">
      <c r="A3" s="8">
        <v>1.3888888888888889E-3</v>
      </c>
      <c r="C3" s="75"/>
      <c r="D3" s="4" t="s">
        <v>41</v>
      </c>
      <c r="E3" s="38" t="str">
        <f>"Nbre de Catégories : " &amp; B30</f>
        <v>Nbre de Catégories : 1</v>
      </c>
      <c r="H3" s="16" t="s">
        <v>59</v>
      </c>
      <c r="I3" s="16" t="s">
        <v>60</v>
      </c>
    </row>
    <row r="4" spans="1:27" x14ac:dyDescent="0.25">
      <c r="A4" s="9" t="s">
        <v>45</v>
      </c>
      <c r="B4" s="2">
        <v>1</v>
      </c>
      <c r="C4" s="25" t="str">
        <f t="shared" ref="C4:C29" si="0">IF($D$2&gt;=B4,CHAR(64+B4),"")</f>
        <v>A</v>
      </c>
      <c r="D4" s="30">
        <v>4</v>
      </c>
      <c r="E4" s="6">
        <v>4131</v>
      </c>
      <c r="H4" s="16" t="s">
        <v>61</v>
      </c>
      <c r="I4" s="16" t="s">
        <v>62</v>
      </c>
      <c r="AA4" s="2">
        <v>4131</v>
      </c>
    </row>
    <row r="5" spans="1:27" ht="15.75" thickBot="1" x14ac:dyDescent="0.3">
      <c r="A5" s="23">
        <f>ROUNDUP(SUM(D4:D29)/8,0)</f>
        <v>1</v>
      </c>
      <c r="B5" s="2">
        <v>2</v>
      </c>
      <c r="C5" s="26" t="str">
        <f t="shared" si="0"/>
        <v>B</v>
      </c>
      <c r="D5" s="30">
        <v>4</v>
      </c>
      <c r="E5" s="6"/>
      <c r="AA5"/>
    </row>
    <row r="6" spans="1:27" ht="15.75" thickBot="1" x14ac:dyDescent="0.3">
      <c r="B6" s="2">
        <v>3</v>
      </c>
      <c r="C6" s="26" t="str">
        <f t="shared" si="0"/>
        <v/>
      </c>
      <c r="D6" s="30"/>
      <c r="E6" s="6"/>
      <c r="H6" s="16" t="s">
        <v>55</v>
      </c>
      <c r="I6" s="16" t="s">
        <v>57</v>
      </c>
      <c r="AA6"/>
    </row>
    <row r="7" spans="1:27" x14ac:dyDescent="0.25">
      <c r="A7" s="10" t="s">
        <v>46</v>
      </c>
      <c r="B7" s="2">
        <v>4</v>
      </c>
      <c r="C7" s="26" t="str">
        <f t="shared" si="0"/>
        <v/>
      </c>
      <c r="D7" s="30"/>
      <c r="E7" s="6"/>
      <c r="H7" s="16" t="s">
        <v>56</v>
      </c>
      <c r="I7" s="16" t="s">
        <v>58</v>
      </c>
      <c r="AA7"/>
    </row>
    <row r="8" spans="1:27" ht="15.75" thickBot="1" x14ac:dyDescent="0.3">
      <c r="A8" s="5">
        <f>ROUNDUP(SUM(D4:D29)/16,0)</f>
        <v>1</v>
      </c>
      <c r="B8" s="2">
        <v>5</v>
      </c>
      <c r="C8" s="26" t="str">
        <f t="shared" si="0"/>
        <v/>
      </c>
      <c r="D8" s="30"/>
      <c r="E8" s="6"/>
      <c r="H8" s="16" t="s">
        <v>59</v>
      </c>
      <c r="I8" s="16" t="s">
        <v>61</v>
      </c>
      <c r="AA8"/>
    </row>
    <row r="9" spans="1:27" x14ac:dyDescent="0.25">
      <c r="B9" s="2">
        <v>6</v>
      </c>
      <c r="C9" s="26" t="str">
        <f t="shared" si="0"/>
        <v/>
      </c>
      <c r="D9" s="30"/>
      <c r="E9" s="6"/>
      <c r="H9" s="16" t="s">
        <v>60</v>
      </c>
      <c r="I9" s="16" t="s">
        <v>62</v>
      </c>
      <c r="AA9"/>
    </row>
    <row r="10" spans="1:27" ht="15.75" thickBot="1" x14ac:dyDescent="0.3">
      <c r="B10" s="2">
        <v>7</v>
      </c>
      <c r="C10" s="26" t="str">
        <f t="shared" si="0"/>
        <v/>
      </c>
      <c r="D10" s="30"/>
      <c r="E10" s="6"/>
      <c r="AA10"/>
    </row>
    <row r="11" spans="1:27" x14ac:dyDescent="0.25">
      <c r="A11" s="3" t="s">
        <v>0</v>
      </c>
      <c r="B11" s="2">
        <v>8</v>
      </c>
      <c r="C11" s="26" t="str">
        <f t="shared" si="0"/>
        <v/>
      </c>
      <c r="D11" s="30"/>
      <c r="E11" s="6"/>
      <c r="H11" s="16" t="s">
        <v>55</v>
      </c>
      <c r="I11" s="16" t="s">
        <v>58</v>
      </c>
      <c r="AA11"/>
    </row>
    <row r="12" spans="1:27" x14ac:dyDescent="0.25">
      <c r="A12" s="11" t="str">
        <f>A1</f>
        <v>Temps du match</v>
      </c>
      <c r="B12" s="2">
        <v>9</v>
      </c>
      <c r="C12" s="26" t="str">
        <f t="shared" si="0"/>
        <v/>
      </c>
      <c r="D12" s="30"/>
      <c r="E12" s="6"/>
      <c r="H12" s="16" t="s">
        <v>56</v>
      </c>
      <c r="I12" s="16" t="s">
        <v>57</v>
      </c>
      <c r="AA12"/>
    </row>
    <row r="13" spans="1:27" x14ac:dyDescent="0.25">
      <c r="A13" s="12" t="str">
        <f>A2</f>
        <v>00:15</v>
      </c>
      <c r="B13" s="2">
        <v>10</v>
      </c>
      <c r="C13" s="26" t="str">
        <f t="shared" si="0"/>
        <v/>
      </c>
      <c r="D13" s="30"/>
      <c r="E13" s="6"/>
      <c r="H13" s="16" t="s">
        <v>59</v>
      </c>
      <c r="I13" s="16" t="s">
        <v>62</v>
      </c>
      <c r="AA13"/>
    </row>
    <row r="14" spans="1:27" x14ac:dyDescent="0.25">
      <c r="A14" s="11" t="s">
        <v>47</v>
      </c>
      <c r="B14" s="2">
        <v>11</v>
      </c>
      <c r="C14" s="26" t="str">
        <f t="shared" si="0"/>
        <v/>
      </c>
      <c r="D14" s="30"/>
      <c r="E14" s="6"/>
      <c r="H14" s="16" t="s">
        <v>60</v>
      </c>
      <c r="I14" s="16" t="s">
        <v>61</v>
      </c>
      <c r="AA14"/>
    </row>
    <row r="15" spans="1:27" x14ac:dyDescent="0.25">
      <c r="A15" s="7">
        <v>0.83333333333333337</v>
      </c>
      <c r="B15" s="2">
        <v>12</v>
      </c>
      <c r="C15" s="26" t="str">
        <f t="shared" si="0"/>
        <v/>
      </c>
      <c r="D15" s="30"/>
      <c r="E15" s="6"/>
      <c r="AA15"/>
    </row>
    <row r="16" spans="1:27" x14ac:dyDescent="0.25">
      <c r="A16" s="11" t="s">
        <v>48</v>
      </c>
      <c r="B16" s="2">
        <v>13</v>
      </c>
      <c r="C16" s="26" t="str">
        <f t="shared" si="0"/>
        <v/>
      </c>
      <c r="D16" s="30"/>
      <c r="E16" s="6"/>
      <c r="F16" s="2" t="s">
        <v>89</v>
      </c>
      <c r="AA16"/>
    </row>
    <row r="17" spans="1:27" x14ac:dyDescent="0.25">
      <c r="A17" s="37">
        <f>(counttour()/E2*(A2+A3)) + (ROUNDUP(IF(B31=TRUE,12*A5,12*A5*B30)/E2,0)*(A2+A3))</f>
        <v>7.0833333333333331E-2</v>
      </c>
      <c r="B17" s="2">
        <v>14</v>
      </c>
      <c r="C17" s="26" t="str">
        <f t="shared" si="0"/>
        <v/>
      </c>
      <c r="D17" s="30"/>
      <c r="E17" s="6"/>
      <c r="AA17"/>
    </row>
    <row r="18" spans="1:27" x14ac:dyDescent="0.25">
      <c r="A18" s="11" t="s">
        <v>1</v>
      </c>
      <c r="B18" s="2">
        <v>15</v>
      </c>
      <c r="C18" s="26" t="str">
        <f t="shared" si="0"/>
        <v/>
      </c>
      <c r="D18" s="30"/>
      <c r="E18" s="6"/>
      <c r="F18" s="72" t="s">
        <v>43</v>
      </c>
      <c r="AA18"/>
    </row>
    <row r="19" spans="1:27" x14ac:dyDescent="0.25">
      <c r="A19" s="12">
        <f>A15+A17+A21</f>
        <v>0.92500000000000004</v>
      </c>
      <c r="B19" s="2">
        <v>16</v>
      </c>
      <c r="C19" s="26" t="str">
        <f t="shared" si="0"/>
        <v/>
      </c>
      <c r="D19" s="30"/>
      <c r="E19" s="6"/>
      <c r="F19" s="72"/>
      <c r="AA19"/>
    </row>
    <row r="20" spans="1:27" x14ac:dyDescent="0.25">
      <c r="A20" s="11" t="s">
        <v>2</v>
      </c>
      <c r="B20" s="2">
        <v>17</v>
      </c>
      <c r="C20" s="26" t="str">
        <f t="shared" si="0"/>
        <v/>
      </c>
      <c r="D20" s="30"/>
      <c r="E20" s="6"/>
      <c r="F20" s="72"/>
      <c r="AA20"/>
    </row>
    <row r="21" spans="1:27" ht="15.75" thickBot="1" x14ac:dyDescent="0.3">
      <c r="A21" s="8">
        <v>2.0833333333333332E-2</v>
      </c>
      <c r="B21" s="2">
        <v>18</v>
      </c>
      <c r="C21" s="26" t="str">
        <f t="shared" si="0"/>
        <v/>
      </c>
      <c r="D21" s="30"/>
      <c r="E21" s="6"/>
      <c r="F21" s="72"/>
      <c r="AA21"/>
    </row>
    <row r="22" spans="1:27" x14ac:dyDescent="0.25">
      <c r="B22" s="2">
        <v>19</v>
      </c>
      <c r="C22" s="26" t="str">
        <f t="shared" si="0"/>
        <v/>
      </c>
      <c r="D22" s="30"/>
      <c r="E22" s="6"/>
      <c r="F22" s="21"/>
      <c r="AA22"/>
    </row>
    <row r="23" spans="1:27" x14ac:dyDescent="0.25">
      <c r="B23" s="2">
        <v>20</v>
      </c>
      <c r="C23" s="26" t="str">
        <f t="shared" si="0"/>
        <v/>
      </c>
      <c r="D23" s="30"/>
      <c r="E23" s="6"/>
      <c r="AA23"/>
    </row>
    <row r="24" spans="1:27" x14ac:dyDescent="0.25">
      <c r="A24" s="13"/>
      <c r="B24" s="2">
        <v>21</v>
      </c>
      <c r="C24" s="26" t="str">
        <f t="shared" si="0"/>
        <v/>
      </c>
      <c r="D24" s="30"/>
      <c r="E24" s="6"/>
      <c r="F24" s="73" t="s">
        <v>14</v>
      </c>
      <c r="AA24"/>
    </row>
    <row r="25" spans="1:27" ht="15.75" x14ac:dyDescent="0.25">
      <c r="A25" s="14"/>
      <c r="B25" s="2">
        <v>22</v>
      </c>
      <c r="C25" s="26" t="str">
        <f t="shared" si="0"/>
        <v/>
      </c>
      <c r="D25" s="30"/>
      <c r="E25" s="6"/>
      <c r="F25" s="73"/>
      <c r="AA25"/>
    </row>
    <row r="26" spans="1:27" ht="15.75" x14ac:dyDescent="0.25">
      <c r="A26" s="14"/>
      <c r="B26" s="2">
        <v>23</v>
      </c>
      <c r="C26" s="26" t="str">
        <f t="shared" si="0"/>
        <v/>
      </c>
      <c r="D26" s="30"/>
      <c r="E26" s="6"/>
      <c r="F26" s="73"/>
      <c r="AA26"/>
    </row>
    <row r="27" spans="1:27" ht="15.75" x14ac:dyDescent="0.25">
      <c r="A27" s="14"/>
      <c r="B27" s="2">
        <v>24</v>
      </c>
      <c r="C27" s="26" t="str">
        <f t="shared" si="0"/>
        <v/>
      </c>
      <c r="D27" s="30"/>
      <c r="E27" s="6"/>
      <c r="F27" s="73"/>
      <c r="AA27"/>
    </row>
    <row r="28" spans="1:27" ht="15.75" x14ac:dyDescent="0.25">
      <c r="A28" s="14"/>
      <c r="B28" s="2">
        <v>25</v>
      </c>
      <c r="C28" s="26" t="str">
        <f t="shared" si="0"/>
        <v/>
      </c>
      <c r="D28" s="30"/>
      <c r="E28" s="6"/>
      <c r="F28" s="73"/>
      <c r="AA28"/>
    </row>
    <row r="29" spans="1:27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73" t="s">
        <v>53</v>
      </c>
      <c r="AA29"/>
    </row>
    <row r="30" spans="1:27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73"/>
    </row>
    <row r="31" spans="1:27" x14ac:dyDescent="0.25">
      <c r="A31" s="11" t="s">
        <v>47</v>
      </c>
      <c r="B31" s="36" t="b">
        <v>0</v>
      </c>
      <c r="D31" s="11" t="s">
        <v>34</v>
      </c>
      <c r="F31" s="73"/>
    </row>
    <row r="32" spans="1:27" x14ac:dyDescent="0.25">
      <c r="A32" s="45" t="s">
        <v>37</v>
      </c>
      <c r="B32" s="36" t="b">
        <v>1</v>
      </c>
      <c r="D32" s="29">
        <v>0</v>
      </c>
    </row>
    <row r="33" spans="1:6" x14ac:dyDescent="0.25">
      <c r="A33" s="11" t="s">
        <v>49</v>
      </c>
      <c r="B33" s="36" t="b">
        <v>0</v>
      </c>
      <c r="D33" s="11" t="s">
        <v>35</v>
      </c>
      <c r="F33" s="32"/>
    </row>
    <row r="34" spans="1:6" x14ac:dyDescent="0.25">
      <c r="A34" s="39">
        <f>(counttour()/E2*(A2+A3))+A32</f>
        <v>0.36874999999999997</v>
      </c>
      <c r="B34" s="36" t="b">
        <v>0</v>
      </c>
      <c r="D34" s="29">
        <v>0</v>
      </c>
    </row>
    <row r="35" spans="1:6" x14ac:dyDescent="0.25">
      <c r="A35" s="11" t="s">
        <v>50</v>
      </c>
      <c r="D35" s="11" t="s">
        <v>52</v>
      </c>
    </row>
    <row r="36" spans="1:6" x14ac:dyDescent="0.25">
      <c r="A36" s="45" t="s">
        <v>37</v>
      </c>
      <c r="D36" s="29" t="b">
        <v>0</v>
      </c>
      <c r="E36" s="2" t="s">
        <v>36</v>
      </c>
    </row>
    <row r="37" spans="1:6" x14ac:dyDescent="0.25">
      <c r="A37" s="11" t="s">
        <v>32</v>
      </c>
    </row>
    <row r="38" spans="1:6" x14ac:dyDescent="0.25">
      <c r="A38" s="39">
        <f>A36+(ROUNDUP(IF(B31=TRUE,12*A5,12*A5*B30)/E2,0)*(A2+A3))</f>
        <v>0.36874999999999997</v>
      </c>
    </row>
    <row r="39" spans="1:6" ht="16.5" thickBot="1" x14ac:dyDescent="0.3">
      <c r="A39" s="14"/>
    </row>
    <row r="40" spans="1:6" x14ac:dyDescent="0.25">
      <c r="A40" s="3" t="s">
        <v>51</v>
      </c>
    </row>
    <row r="41" spans="1:6" x14ac:dyDescent="0.25">
      <c r="A41" s="29" t="s">
        <v>6</v>
      </c>
    </row>
    <row r="42" spans="1:6" ht="15.75" x14ac:dyDescent="0.25">
      <c r="A42" s="14"/>
    </row>
    <row r="43" spans="1:6" ht="15.75" x14ac:dyDescent="0.25">
      <c r="A43" s="14"/>
    </row>
    <row r="44" spans="1:6" x14ac:dyDescent="0.25">
      <c r="A44" s="18"/>
    </row>
    <row r="45" spans="1:6" x14ac:dyDescent="0.25">
      <c r="A45" s="18"/>
    </row>
    <row r="46" spans="1:6" x14ac:dyDescent="0.25">
      <c r="A46" s="17"/>
    </row>
    <row r="47" spans="1:6" x14ac:dyDescent="0.25">
      <c r="A47" s="13"/>
    </row>
    <row r="48" spans="1:6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M1:M28"/>
  <sheetViews>
    <sheetView workbookViewId="0">
      <selection activeCell="P13" sqref="P13"/>
    </sheetView>
  </sheetViews>
  <sheetFormatPr baseColWidth="10" defaultRowHeight="15" x14ac:dyDescent="0.25"/>
  <cols>
    <col min="13" max="13" width="6" style="40" customWidth="1"/>
  </cols>
  <sheetData>
    <row r="1" spans="13:13" ht="15.75" thickBot="1" x14ac:dyDescent="0.3"/>
    <row r="2" spans="13:13" ht="24.75" thickBot="1" x14ac:dyDescent="0.3">
      <c r="M2" s="41" t="s">
        <v>33</v>
      </c>
    </row>
    <row r="4" spans="13:13" ht="15.75" x14ac:dyDescent="0.25">
      <c r="M4" s="42">
        <v>1</v>
      </c>
    </row>
    <row r="5" spans="13:13" ht="15.75" x14ac:dyDescent="0.25">
      <c r="M5" s="42">
        <v>3</v>
      </c>
    </row>
    <row r="6" spans="13:13" ht="15.75" x14ac:dyDescent="0.25">
      <c r="M6" s="42">
        <v>2</v>
      </c>
    </row>
    <row r="7" spans="13:13" ht="15.75" x14ac:dyDescent="0.25">
      <c r="M7" s="42">
        <v>4</v>
      </c>
    </row>
    <row r="8" spans="13:13" ht="15.75" thickBot="1" x14ac:dyDescent="0.3"/>
    <row r="9" spans="13:13" ht="24.75" thickBot="1" x14ac:dyDescent="0.3">
      <c r="M9" s="41" t="s">
        <v>33</v>
      </c>
    </row>
    <row r="11" spans="13:13" ht="15.75" x14ac:dyDescent="0.25">
      <c r="M11" s="43">
        <v>4</v>
      </c>
    </row>
    <row r="12" spans="13:13" ht="15.75" x14ac:dyDescent="0.25">
      <c r="M12" s="43">
        <v>2</v>
      </c>
    </row>
    <row r="13" spans="13:13" ht="15.75" x14ac:dyDescent="0.25">
      <c r="M13" s="43">
        <v>3</v>
      </c>
    </row>
    <row r="14" spans="13:13" ht="15.75" x14ac:dyDescent="0.25">
      <c r="M14" s="43">
        <v>1</v>
      </c>
    </row>
    <row r="15" spans="13:13" ht="15.75" thickBot="1" x14ac:dyDescent="0.3"/>
    <row r="16" spans="13:13" ht="24.75" thickBot="1" x14ac:dyDescent="0.3">
      <c r="M16" s="41" t="s">
        <v>33</v>
      </c>
    </row>
    <row r="18" spans="13:13" ht="15.75" x14ac:dyDescent="0.25">
      <c r="M18" s="42">
        <v>1</v>
      </c>
    </row>
    <row r="19" spans="13:13" ht="15.75" x14ac:dyDescent="0.25">
      <c r="M19" s="42">
        <v>3</v>
      </c>
    </row>
    <row r="20" spans="13:13" ht="15.75" x14ac:dyDescent="0.25">
      <c r="M20" s="42">
        <v>2</v>
      </c>
    </row>
    <row r="21" spans="13:13" ht="15.75" x14ac:dyDescent="0.25">
      <c r="M21" s="42">
        <v>4</v>
      </c>
    </row>
    <row r="22" spans="13:13" ht="15.75" thickBot="1" x14ac:dyDescent="0.3"/>
    <row r="23" spans="13:13" ht="24.75" thickBot="1" x14ac:dyDescent="0.3">
      <c r="M23" s="41" t="s">
        <v>33</v>
      </c>
    </row>
    <row r="25" spans="13:13" ht="15.75" x14ac:dyDescent="0.25">
      <c r="M25" s="43">
        <v>4</v>
      </c>
    </row>
    <row r="26" spans="13:13" ht="15.75" x14ac:dyDescent="0.25">
      <c r="M26" s="43">
        <v>2</v>
      </c>
    </row>
    <row r="27" spans="13:13" ht="15.75" x14ac:dyDescent="0.25">
      <c r="M27" s="43">
        <v>3</v>
      </c>
    </row>
    <row r="28" spans="13:13" ht="15.75" x14ac:dyDescent="0.25">
      <c r="M28" s="43">
        <v>1</v>
      </c>
    </row>
  </sheetData>
  <sheetProtection selectLockedCells="1"/>
  <dataValidations count="1">
    <dataValidation type="whole" allowBlank="1" showErrorMessage="1" errorTitle="ATTENTION" error="NOMBRE ENTIER UNIQUEMENT_x000a_COMPRIS ENTRE --&gt; 1 ET 8" sqref="M1:M1048576" xr:uid="{2B43E35B-7C9E-4BB5-9B32-358242856220}">
      <formula1>1</formula1>
      <formula2>8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17</v>
      </c>
      <c r="B1" s="34" t="s">
        <v>16</v>
      </c>
      <c r="C1" s="34" t="s">
        <v>17</v>
      </c>
      <c r="D1" s="34" t="s">
        <v>18</v>
      </c>
      <c r="E1" s="34" t="s">
        <v>17</v>
      </c>
      <c r="F1" s="34" t="s">
        <v>19</v>
      </c>
      <c r="G1" s="34" t="s">
        <v>17</v>
      </c>
      <c r="H1" s="34" t="s">
        <v>20</v>
      </c>
      <c r="I1" s="34" t="s">
        <v>17</v>
      </c>
      <c r="J1" s="34" t="s">
        <v>21</v>
      </c>
      <c r="K1" s="34" t="s">
        <v>17</v>
      </c>
      <c r="L1" s="34" t="s">
        <v>16</v>
      </c>
      <c r="M1" s="34" t="s">
        <v>17</v>
      </c>
      <c r="N1" s="34" t="s">
        <v>18</v>
      </c>
      <c r="O1" s="34" t="s">
        <v>17</v>
      </c>
      <c r="P1" s="34" t="s">
        <v>19</v>
      </c>
      <c r="Q1" s="34" t="s">
        <v>17</v>
      </c>
      <c r="R1" s="34" t="s">
        <v>20</v>
      </c>
      <c r="S1" s="34" t="s">
        <v>17</v>
      </c>
      <c r="T1" s="34" t="s">
        <v>21</v>
      </c>
      <c r="U1" s="34" t="s">
        <v>17</v>
      </c>
      <c r="V1" s="34" t="s">
        <v>16</v>
      </c>
      <c r="W1" s="34" t="s">
        <v>17</v>
      </c>
      <c r="X1" s="34" t="s">
        <v>18</v>
      </c>
      <c r="Y1" s="34" t="s">
        <v>17</v>
      </c>
      <c r="Z1" s="34" t="s">
        <v>19</v>
      </c>
      <c r="AA1" s="34" t="s">
        <v>17</v>
      </c>
      <c r="AB1" s="34" t="s">
        <v>20</v>
      </c>
      <c r="AC1" s="34" t="s">
        <v>17</v>
      </c>
      <c r="AD1" s="34" t="s">
        <v>21</v>
      </c>
      <c r="AE1" s="34" t="s">
        <v>17</v>
      </c>
      <c r="AF1" s="34" t="s">
        <v>16</v>
      </c>
      <c r="AG1" s="34" t="s">
        <v>17</v>
      </c>
      <c r="AH1" s="34" t="s">
        <v>18</v>
      </c>
      <c r="AI1" s="34" t="s">
        <v>17</v>
      </c>
      <c r="AJ1" s="34" t="s">
        <v>19</v>
      </c>
      <c r="AK1" s="34" t="s">
        <v>17</v>
      </c>
      <c r="AL1" s="34" t="s">
        <v>20</v>
      </c>
      <c r="AM1" s="34" t="s">
        <v>17</v>
      </c>
      <c r="AN1" s="34" t="s">
        <v>21</v>
      </c>
      <c r="AO1" s="34" t="s">
        <v>17</v>
      </c>
      <c r="AP1" s="34" t="s">
        <v>16</v>
      </c>
      <c r="AQ1" s="34" t="s">
        <v>17</v>
      </c>
      <c r="AR1" s="34" t="s">
        <v>18</v>
      </c>
      <c r="AS1" s="34" t="s">
        <v>17</v>
      </c>
      <c r="AT1" s="34" t="s">
        <v>19</v>
      </c>
      <c r="AU1" s="34" t="s">
        <v>17</v>
      </c>
      <c r="AV1" s="34" t="s">
        <v>20</v>
      </c>
      <c r="AW1" s="34" t="s">
        <v>17</v>
      </c>
      <c r="AX1" s="34" t="s">
        <v>21</v>
      </c>
      <c r="AY1" s="34" t="s">
        <v>17</v>
      </c>
      <c r="AZ1" s="34" t="s">
        <v>16</v>
      </c>
      <c r="BA1" s="34" t="s">
        <v>17</v>
      </c>
      <c r="BB1" s="34" t="s">
        <v>18</v>
      </c>
      <c r="BC1" s="34" t="s">
        <v>17</v>
      </c>
      <c r="BD1" s="34" t="s">
        <v>19</v>
      </c>
      <c r="BE1" s="34" t="s">
        <v>17</v>
      </c>
      <c r="BF1" s="34" t="s">
        <v>20</v>
      </c>
      <c r="BG1" s="34" t="s">
        <v>17</v>
      </c>
      <c r="BH1" s="34" t="s">
        <v>21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3</v>
      </c>
      <c r="B3" s="20" t="s">
        <v>4</v>
      </c>
      <c r="C3" s="19" t="s">
        <v>3</v>
      </c>
      <c r="D3" s="20" t="s">
        <v>5</v>
      </c>
      <c r="E3" s="19" t="s">
        <v>4</v>
      </c>
      <c r="F3" s="20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3</v>
      </c>
      <c r="B4" s="20" t="s">
        <v>4</v>
      </c>
      <c r="C4" s="19" t="s">
        <v>5</v>
      </c>
      <c r="D4" s="20" t="s">
        <v>6</v>
      </c>
      <c r="E4" s="19" t="s">
        <v>3</v>
      </c>
      <c r="F4" s="20" t="s">
        <v>5</v>
      </c>
      <c r="G4" s="19" t="s">
        <v>4</v>
      </c>
      <c r="H4" s="20" t="s">
        <v>6</v>
      </c>
      <c r="I4" s="19" t="s">
        <v>3</v>
      </c>
      <c r="J4" s="20" t="s">
        <v>6</v>
      </c>
      <c r="K4" s="19" t="s">
        <v>4</v>
      </c>
      <c r="L4" s="20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3</v>
      </c>
      <c r="B5" s="20" t="s">
        <v>4</v>
      </c>
      <c r="C5" s="19" t="s">
        <v>5</v>
      </c>
      <c r="D5" s="20" t="s">
        <v>6</v>
      </c>
      <c r="E5" s="19" t="s">
        <v>3</v>
      </c>
      <c r="F5" s="20" t="s">
        <v>5</v>
      </c>
      <c r="G5" s="19" t="s">
        <v>4</v>
      </c>
      <c r="H5" s="20" t="s">
        <v>7</v>
      </c>
      <c r="I5" s="19" t="s">
        <v>3</v>
      </c>
      <c r="J5" s="20" t="s">
        <v>6</v>
      </c>
      <c r="K5" s="19" t="s">
        <v>5</v>
      </c>
      <c r="L5" s="20" t="s">
        <v>7</v>
      </c>
      <c r="M5" s="19" t="s">
        <v>3</v>
      </c>
      <c r="N5" s="20" t="s">
        <v>7</v>
      </c>
      <c r="O5" s="19" t="s">
        <v>4</v>
      </c>
      <c r="P5" s="20" t="s">
        <v>6</v>
      </c>
      <c r="Q5" s="19" t="s">
        <v>4</v>
      </c>
      <c r="R5" s="20" t="s">
        <v>5</v>
      </c>
      <c r="S5" s="19" t="s">
        <v>6</v>
      </c>
      <c r="T5" s="20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3</v>
      </c>
      <c r="B7" s="20" t="s">
        <v>4</v>
      </c>
      <c r="C7" s="19" t="s">
        <v>5</v>
      </c>
      <c r="D7" s="20" t="s">
        <v>6</v>
      </c>
      <c r="E7" s="19" t="s">
        <v>7</v>
      </c>
      <c r="F7" s="20" t="s">
        <v>8</v>
      </c>
      <c r="G7" s="19" t="s">
        <v>3</v>
      </c>
      <c r="H7" s="20" t="s">
        <v>5</v>
      </c>
      <c r="I7" s="19" t="s">
        <v>7</v>
      </c>
      <c r="J7" s="20" t="s">
        <v>6</v>
      </c>
      <c r="K7" s="19" t="s">
        <v>8</v>
      </c>
      <c r="L7" s="20" t="s">
        <v>9</v>
      </c>
      <c r="M7" s="19" t="s">
        <v>3</v>
      </c>
      <c r="N7" s="20" t="s">
        <v>6</v>
      </c>
      <c r="O7" s="19" t="s">
        <v>4</v>
      </c>
      <c r="P7" s="20" t="s">
        <v>7</v>
      </c>
      <c r="Q7" s="19" t="s">
        <v>9</v>
      </c>
      <c r="R7" s="20" t="s">
        <v>5</v>
      </c>
      <c r="S7" s="19" t="s">
        <v>3</v>
      </c>
      <c r="T7" s="20" t="s">
        <v>7</v>
      </c>
      <c r="U7" s="19" t="s">
        <v>8</v>
      </c>
      <c r="V7" s="20" t="s">
        <v>5</v>
      </c>
      <c r="W7" s="19" t="s">
        <v>4</v>
      </c>
      <c r="X7" s="20" t="s">
        <v>9</v>
      </c>
      <c r="Y7" s="19" t="s">
        <v>5</v>
      </c>
      <c r="Z7" s="20" t="s">
        <v>7</v>
      </c>
      <c r="AA7" s="19" t="s">
        <v>4</v>
      </c>
      <c r="AB7" s="20" t="s">
        <v>8</v>
      </c>
      <c r="AC7" s="19" t="s">
        <v>6</v>
      </c>
      <c r="AD7" s="20" t="s">
        <v>9</v>
      </c>
      <c r="AE7" s="19" t="s">
        <v>3</v>
      </c>
      <c r="AF7" s="20" t="s">
        <v>8</v>
      </c>
      <c r="AG7" s="19" t="s">
        <v>4</v>
      </c>
      <c r="AH7" s="20" t="s">
        <v>6</v>
      </c>
      <c r="AI7" s="19" t="s">
        <v>7</v>
      </c>
      <c r="AJ7" s="20" t="s">
        <v>9</v>
      </c>
      <c r="AK7" s="19" t="s">
        <v>3</v>
      </c>
      <c r="AL7" s="20" t="s">
        <v>9</v>
      </c>
      <c r="AM7" s="19" t="s">
        <v>4</v>
      </c>
      <c r="AN7" s="20" t="s">
        <v>5</v>
      </c>
      <c r="AO7" s="19" t="s">
        <v>6</v>
      </c>
      <c r="AP7" s="20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3</v>
      </c>
      <c r="B9" s="20" t="s">
        <v>4</v>
      </c>
      <c r="C9" s="19" t="s">
        <v>5</v>
      </c>
      <c r="D9" s="20" t="s">
        <v>6</v>
      </c>
      <c r="E9" s="19" t="s">
        <v>7</v>
      </c>
      <c r="F9" s="20" t="s">
        <v>8</v>
      </c>
      <c r="G9" s="19" t="s">
        <v>9</v>
      </c>
      <c r="H9" s="20" t="s">
        <v>10</v>
      </c>
      <c r="I9" s="19" t="s">
        <v>3</v>
      </c>
      <c r="J9" s="20" t="s">
        <v>11</v>
      </c>
      <c r="K9" s="19" t="s">
        <v>4</v>
      </c>
      <c r="L9" s="20" t="s">
        <v>5</v>
      </c>
      <c r="M9" s="19" t="s">
        <v>6</v>
      </c>
      <c r="N9" s="20" t="s">
        <v>7</v>
      </c>
      <c r="O9" s="19" t="s">
        <v>8</v>
      </c>
      <c r="P9" s="20" t="s">
        <v>9</v>
      </c>
      <c r="Q9" s="19" t="s">
        <v>3</v>
      </c>
      <c r="R9" s="20" t="s">
        <v>10</v>
      </c>
      <c r="S9" s="19" t="s">
        <v>4</v>
      </c>
      <c r="T9" s="20" t="s">
        <v>6</v>
      </c>
      <c r="U9" s="19" t="s">
        <v>7</v>
      </c>
      <c r="V9" s="20" t="s">
        <v>9</v>
      </c>
      <c r="W9" s="19" t="s">
        <v>8</v>
      </c>
      <c r="X9" s="20" t="s">
        <v>11</v>
      </c>
      <c r="Y9" s="19" t="s">
        <v>3</v>
      </c>
      <c r="Z9" s="20" t="s">
        <v>5</v>
      </c>
      <c r="AA9" s="19" t="s">
        <v>4</v>
      </c>
      <c r="AB9" s="20" t="s">
        <v>11</v>
      </c>
      <c r="AC9" s="19" t="s">
        <v>6</v>
      </c>
      <c r="AD9" s="20" t="s">
        <v>8</v>
      </c>
      <c r="AE9" s="19" t="s">
        <v>10</v>
      </c>
      <c r="AF9" s="20" t="s">
        <v>7</v>
      </c>
      <c r="AG9" s="19" t="s">
        <v>3</v>
      </c>
      <c r="AH9" s="20" t="s">
        <v>9</v>
      </c>
      <c r="AI9" s="19" t="s">
        <v>4</v>
      </c>
      <c r="AJ9" s="20" t="s">
        <v>8</v>
      </c>
      <c r="AK9" s="19" t="s">
        <v>5</v>
      </c>
      <c r="AL9" s="20" t="s">
        <v>7</v>
      </c>
      <c r="AM9" s="19" t="s">
        <v>10</v>
      </c>
      <c r="AN9" s="20" t="s">
        <v>11</v>
      </c>
      <c r="AO9" s="19" t="s">
        <v>6</v>
      </c>
      <c r="AP9" s="20" t="s">
        <v>11</v>
      </c>
      <c r="AQ9" s="19" t="s">
        <v>4</v>
      </c>
      <c r="AR9" s="20" t="s">
        <v>7</v>
      </c>
      <c r="AS9" s="19" t="s">
        <v>5</v>
      </c>
      <c r="AT9" s="20" t="s">
        <v>9</v>
      </c>
      <c r="AU9" s="19" t="s">
        <v>8</v>
      </c>
      <c r="AV9" s="20" t="s">
        <v>10</v>
      </c>
      <c r="AW9" s="19" t="s">
        <v>3</v>
      </c>
      <c r="AX9" s="20" t="s">
        <v>6</v>
      </c>
      <c r="AY9" s="19" t="s">
        <v>4</v>
      </c>
      <c r="AZ9" s="20" t="s">
        <v>9</v>
      </c>
      <c r="BA9" s="19" t="s">
        <v>5</v>
      </c>
      <c r="BB9" s="20" t="s">
        <v>10</v>
      </c>
      <c r="BC9" s="19" t="s">
        <v>7</v>
      </c>
      <c r="BD9" s="20" t="s">
        <v>11</v>
      </c>
      <c r="BE9" s="19" t="s">
        <v>3</v>
      </c>
      <c r="BF9" s="20" t="s">
        <v>8</v>
      </c>
      <c r="BG9" s="19" t="s">
        <v>5</v>
      </c>
      <c r="BH9" s="20" t="s">
        <v>11</v>
      </c>
      <c r="BI9" s="19" t="s">
        <v>4</v>
      </c>
      <c r="BJ9" s="20" t="s">
        <v>10</v>
      </c>
      <c r="BK9" s="19" t="s">
        <v>6</v>
      </c>
      <c r="BL9" s="20" t="s">
        <v>9</v>
      </c>
      <c r="BM9" s="19" t="s">
        <v>3</v>
      </c>
      <c r="BN9" s="20" t="s">
        <v>7</v>
      </c>
      <c r="BO9" s="19" t="s">
        <v>9</v>
      </c>
      <c r="BP9" s="20" t="s">
        <v>11</v>
      </c>
      <c r="BQ9" s="19" t="s">
        <v>8</v>
      </c>
      <c r="BR9" s="20" t="s">
        <v>5</v>
      </c>
      <c r="BS9" s="19" t="s">
        <v>6</v>
      </c>
      <c r="BT9" s="20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3</v>
      </c>
      <c r="B10" s="20" t="s">
        <v>4</v>
      </c>
      <c r="C10" s="19" t="s">
        <v>5</v>
      </c>
      <c r="D10" s="20" t="s">
        <v>6</v>
      </c>
      <c r="E10" s="19" t="s">
        <v>7</v>
      </c>
      <c r="F10" s="20" t="s">
        <v>8</v>
      </c>
      <c r="G10" s="19" t="s">
        <v>9</v>
      </c>
      <c r="H10" s="20" t="s">
        <v>10</v>
      </c>
      <c r="I10" s="19" t="s">
        <v>11</v>
      </c>
      <c r="J10" s="20" t="s">
        <v>12</v>
      </c>
      <c r="K10" s="19" t="s">
        <v>8</v>
      </c>
      <c r="L10" s="20" t="s">
        <v>6</v>
      </c>
      <c r="M10" s="19" t="s">
        <v>4</v>
      </c>
      <c r="N10" s="20" t="s">
        <v>12</v>
      </c>
      <c r="O10" s="19" t="s">
        <v>7</v>
      </c>
      <c r="P10" s="20" t="s">
        <v>10</v>
      </c>
      <c r="Q10" s="19" t="s">
        <v>9</v>
      </c>
      <c r="R10" s="20" t="s">
        <v>11</v>
      </c>
      <c r="S10" s="19" t="s">
        <v>3</v>
      </c>
      <c r="T10" s="20" t="s">
        <v>5</v>
      </c>
      <c r="U10" s="19" t="s">
        <v>5</v>
      </c>
      <c r="V10" s="20" t="s">
        <v>7</v>
      </c>
      <c r="W10" s="19" t="s">
        <v>10</v>
      </c>
      <c r="X10" s="20" t="s">
        <v>3</v>
      </c>
      <c r="Y10" s="19" t="s">
        <v>12</v>
      </c>
      <c r="Z10" s="20" t="s">
        <v>9</v>
      </c>
      <c r="AA10" s="19" t="s">
        <v>8</v>
      </c>
      <c r="AB10" s="20" t="s">
        <v>11</v>
      </c>
      <c r="AC10" s="19" t="s">
        <v>4</v>
      </c>
      <c r="AD10" s="20" t="s">
        <v>6</v>
      </c>
      <c r="AE10" s="19" t="s">
        <v>10</v>
      </c>
      <c r="AF10" s="20" t="s">
        <v>12</v>
      </c>
      <c r="AG10" s="19" t="s">
        <v>8</v>
      </c>
      <c r="AH10" s="20" t="s">
        <v>5</v>
      </c>
      <c r="AI10" s="19" t="s">
        <v>11</v>
      </c>
      <c r="AJ10" s="20" t="s">
        <v>3</v>
      </c>
      <c r="AK10" s="19" t="s">
        <v>4</v>
      </c>
      <c r="AL10" s="20" t="s">
        <v>7</v>
      </c>
      <c r="AM10" s="19" t="s">
        <v>6</v>
      </c>
      <c r="AN10" s="20" t="s">
        <v>9</v>
      </c>
      <c r="AO10" s="19" t="s">
        <v>4</v>
      </c>
      <c r="AP10" s="20" t="s">
        <v>11</v>
      </c>
      <c r="AQ10" s="19" t="s">
        <v>12</v>
      </c>
      <c r="AR10" s="20" t="s">
        <v>7</v>
      </c>
      <c r="AS10" s="19" t="s">
        <v>8</v>
      </c>
      <c r="AT10" s="20" t="s">
        <v>10</v>
      </c>
      <c r="AU10" s="19" t="s">
        <v>6</v>
      </c>
      <c r="AV10" s="20" t="s">
        <v>3</v>
      </c>
      <c r="AW10" s="19" t="s">
        <v>9</v>
      </c>
      <c r="AX10" s="20" t="s">
        <v>5</v>
      </c>
      <c r="AY10" s="19" t="s">
        <v>5</v>
      </c>
      <c r="AZ10" s="20" t="s">
        <v>12</v>
      </c>
      <c r="BA10" s="19" t="s">
        <v>7</v>
      </c>
      <c r="BB10" s="20" t="s">
        <v>6</v>
      </c>
      <c r="BC10" s="19" t="s">
        <v>9</v>
      </c>
      <c r="BD10" s="20" t="s">
        <v>4</v>
      </c>
      <c r="BE10" s="19" t="s">
        <v>11</v>
      </c>
      <c r="BF10" s="20" t="s">
        <v>10</v>
      </c>
      <c r="BG10" s="19" t="s">
        <v>3</v>
      </c>
      <c r="BH10" s="20" t="s">
        <v>8</v>
      </c>
      <c r="BI10" s="19" t="s">
        <v>12</v>
      </c>
      <c r="BJ10" s="20" t="s">
        <v>3</v>
      </c>
      <c r="BK10" s="19" t="s">
        <v>7</v>
      </c>
      <c r="BL10" s="20" t="s">
        <v>9</v>
      </c>
      <c r="BM10" s="19" t="s">
        <v>10</v>
      </c>
      <c r="BN10" s="20" t="s">
        <v>5</v>
      </c>
      <c r="BO10" s="19" t="s">
        <v>4</v>
      </c>
      <c r="BP10" s="20" t="s">
        <v>8</v>
      </c>
      <c r="BQ10" s="19" t="s">
        <v>6</v>
      </c>
      <c r="BR10" s="20" t="s">
        <v>11</v>
      </c>
      <c r="BS10" s="19" t="s">
        <v>5</v>
      </c>
      <c r="BT10" s="20" t="s">
        <v>11</v>
      </c>
      <c r="BU10" s="19" t="s">
        <v>8</v>
      </c>
      <c r="BV10" s="20" t="s">
        <v>9</v>
      </c>
      <c r="BW10" s="19" t="s">
        <v>3</v>
      </c>
      <c r="BX10" s="20" t="s">
        <v>7</v>
      </c>
      <c r="BY10" s="19" t="s">
        <v>12</v>
      </c>
      <c r="BZ10" s="20" t="s">
        <v>6</v>
      </c>
      <c r="CA10" s="19" t="s">
        <v>10</v>
      </c>
      <c r="CB10" s="20" t="s">
        <v>4</v>
      </c>
      <c r="CC10" s="19" t="s">
        <v>3</v>
      </c>
      <c r="CD10" s="20" t="s">
        <v>9</v>
      </c>
      <c r="CE10" s="19" t="s">
        <v>4</v>
      </c>
      <c r="CF10" s="20" t="s">
        <v>5</v>
      </c>
      <c r="CG10" s="19" t="s">
        <v>11</v>
      </c>
      <c r="CH10" s="20" t="s">
        <v>7</v>
      </c>
      <c r="CI10" s="19" t="s">
        <v>6</v>
      </c>
      <c r="CJ10" s="20" t="s">
        <v>10</v>
      </c>
      <c r="CK10" s="19" t="s">
        <v>8</v>
      </c>
      <c r="CL10" s="20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3</v>
      </c>
      <c r="B11" s="20" t="s">
        <v>4</v>
      </c>
      <c r="C11" s="19" t="s">
        <v>9</v>
      </c>
      <c r="D11" s="20" t="s">
        <v>10</v>
      </c>
      <c r="E11" s="19" t="s">
        <v>6</v>
      </c>
      <c r="F11" s="20" t="s">
        <v>7</v>
      </c>
      <c r="G11" s="19" t="s">
        <v>12</v>
      </c>
      <c r="H11" s="20" t="s">
        <v>22</v>
      </c>
      <c r="I11" s="19" t="s">
        <v>4</v>
      </c>
      <c r="J11" s="20" t="s">
        <v>5</v>
      </c>
      <c r="K11" s="19" t="s">
        <v>10</v>
      </c>
      <c r="L11" s="20" t="s">
        <v>11</v>
      </c>
      <c r="M11" s="19" t="s">
        <v>7</v>
      </c>
      <c r="N11" s="20" t="s">
        <v>8</v>
      </c>
      <c r="O11" s="19" t="s">
        <v>5</v>
      </c>
      <c r="P11" s="20" t="s">
        <v>3</v>
      </c>
      <c r="Q11" s="19" t="s">
        <v>11</v>
      </c>
      <c r="R11" s="20" t="s">
        <v>9</v>
      </c>
      <c r="S11" s="19" t="s">
        <v>8</v>
      </c>
      <c r="T11" s="20" t="s">
        <v>6</v>
      </c>
      <c r="U11" s="19" t="s">
        <v>4</v>
      </c>
      <c r="V11" s="20" t="s">
        <v>7</v>
      </c>
      <c r="W11" s="19" t="s">
        <v>10</v>
      </c>
      <c r="X11" s="20" t="s">
        <v>22</v>
      </c>
      <c r="Y11" s="19" t="s">
        <v>3</v>
      </c>
      <c r="Z11" s="20" t="s">
        <v>6</v>
      </c>
      <c r="AA11" s="19" t="s">
        <v>9</v>
      </c>
      <c r="AB11" s="20" t="s">
        <v>12</v>
      </c>
      <c r="AC11" s="19" t="s">
        <v>7</v>
      </c>
      <c r="AD11" s="20" t="s">
        <v>5</v>
      </c>
      <c r="AE11" s="19" t="s">
        <v>22</v>
      </c>
      <c r="AF11" s="20" t="s">
        <v>11</v>
      </c>
      <c r="AG11" s="19" t="s">
        <v>3</v>
      </c>
      <c r="AH11" s="20" t="s">
        <v>8</v>
      </c>
      <c r="AI11" s="19" t="s">
        <v>6</v>
      </c>
      <c r="AJ11" s="20" t="s">
        <v>4</v>
      </c>
      <c r="AK11" s="19" t="s">
        <v>12</v>
      </c>
      <c r="AL11" s="20" t="s">
        <v>10</v>
      </c>
      <c r="AM11" s="19" t="s">
        <v>5</v>
      </c>
      <c r="AN11" s="20" t="s">
        <v>8</v>
      </c>
      <c r="AO11" s="19" t="s">
        <v>7</v>
      </c>
      <c r="AP11" s="20" t="s">
        <v>3</v>
      </c>
      <c r="AQ11" s="19" t="s">
        <v>22</v>
      </c>
      <c r="AR11" s="20" t="s">
        <v>9</v>
      </c>
      <c r="AS11" s="19" t="s">
        <v>5</v>
      </c>
      <c r="AT11" s="20" t="s">
        <v>6</v>
      </c>
      <c r="AU11" s="19" t="s">
        <v>11</v>
      </c>
      <c r="AV11" s="20" t="s">
        <v>12</v>
      </c>
      <c r="AW11" s="19" t="s">
        <v>8</v>
      </c>
      <c r="AX11" s="20" t="s">
        <v>4</v>
      </c>
      <c r="AY11" s="19" t="s">
        <v>3</v>
      </c>
      <c r="AZ11" s="20" t="s">
        <v>9</v>
      </c>
      <c r="BA11" s="19" t="s">
        <v>5</v>
      </c>
      <c r="BB11" s="20" t="s">
        <v>11</v>
      </c>
      <c r="BC11" s="19" t="s">
        <v>12</v>
      </c>
      <c r="BD11" s="20" t="s">
        <v>6</v>
      </c>
      <c r="BE11" s="19" t="s">
        <v>10</v>
      </c>
      <c r="BF11" s="20" t="s">
        <v>4</v>
      </c>
      <c r="BG11" s="19" t="s">
        <v>7</v>
      </c>
      <c r="BH11" s="20" t="s">
        <v>22</v>
      </c>
      <c r="BI11" s="19" t="s">
        <v>3</v>
      </c>
      <c r="BJ11" s="20" t="s">
        <v>10</v>
      </c>
      <c r="BK11" s="19" t="s">
        <v>11</v>
      </c>
      <c r="BL11" s="20" t="s">
        <v>4</v>
      </c>
      <c r="BM11" s="19" t="s">
        <v>5</v>
      </c>
      <c r="BN11" s="20" t="s">
        <v>12</v>
      </c>
      <c r="BO11" s="19" t="s">
        <v>6</v>
      </c>
      <c r="BP11" s="20" t="s">
        <v>22</v>
      </c>
      <c r="BQ11" s="19" t="s">
        <v>8</v>
      </c>
      <c r="BR11" s="20" t="s">
        <v>9</v>
      </c>
      <c r="BS11" s="19" t="s">
        <v>11</v>
      </c>
      <c r="BT11" s="20" t="s">
        <v>3</v>
      </c>
      <c r="BU11" s="19" t="s">
        <v>4</v>
      </c>
      <c r="BV11" s="20" t="s">
        <v>12</v>
      </c>
      <c r="BW11" s="19" t="s">
        <v>22</v>
      </c>
      <c r="BX11" s="20" t="s">
        <v>5</v>
      </c>
      <c r="BY11" s="19" t="s">
        <v>9</v>
      </c>
      <c r="BZ11" s="20" t="s">
        <v>7</v>
      </c>
      <c r="CA11" s="19" t="s">
        <v>8</v>
      </c>
      <c r="CB11" s="20" t="s">
        <v>10</v>
      </c>
      <c r="CC11" s="19" t="s">
        <v>12</v>
      </c>
      <c r="CD11" s="20" t="s">
        <v>3</v>
      </c>
      <c r="CE11" s="19" t="s">
        <v>22</v>
      </c>
      <c r="CF11" s="20" t="s">
        <v>4</v>
      </c>
      <c r="CG11" s="19" t="s">
        <v>6</v>
      </c>
      <c r="CH11" s="20" t="s">
        <v>9</v>
      </c>
      <c r="CI11" s="19" t="s">
        <v>10</v>
      </c>
      <c r="CJ11" s="20" t="s">
        <v>7</v>
      </c>
      <c r="CK11" s="19" t="s">
        <v>8</v>
      </c>
      <c r="CL11" s="20" t="s">
        <v>11</v>
      </c>
      <c r="CM11" s="19" t="s">
        <v>22</v>
      </c>
      <c r="CN11" s="20" t="s">
        <v>3</v>
      </c>
      <c r="CO11" s="19" t="s">
        <v>9</v>
      </c>
      <c r="CP11" s="20" t="s">
        <v>5</v>
      </c>
      <c r="CQ11" s="19" t="s">
        <v>6</v>
      </c>
      <c r="CR11" s="20" t="s">
        <v>10</v>
      </c>
      <c r="CS11" s="19" t="s">
        <v>11</v>
      </c>
      <c r="CT11" s="20" t="s">
        <v>7</v>
      </c>
      <c r="CU11" s="19" t="s">
        <v>8</v>
      </c>
      <c r="CV11" s="20" t="s">
        <v>12</v>
      </c>
      <c r="CW11" s="19" t="s">
        <v>4</v>
      </c>
      <c r="CX11" s="20" t="s">
        <v>9</v>
      </c>
      <c r="CY11" s="19" t="s">
        <v>10</v>
      </c>
      <c r="CZ11" s="20" t="s">
        <v>5</v>
      </c>
      <c r="DA11" s="19" t="s">
        <v>6</v>
      </c>
      <c r="DB11" s="20" t="s">
        <v>11</v>
      </c>
      <c r="DC11" s="19" t="s">
        <v>12</v>
      </c>
      <c r="DD11" s="20" t="s">
        <v>7</v>
      </c>
      <c r="DE11" s="19" t="s">
        <v>8</v>
      </c>
      <c r="DF11" s="20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4</v>
      </c>
      <c r="B13" s="20" t="s">
        <v>24</v>
      </c>
      <c r="C13" s="19" t="s">
        <v>5</v>
      </c>
      <c r="D13" s="20" t="s">
        <v>23</v>
      </c>
      <c r="E13" s="19" t="s">
        <v>6</v>
      </c>
      <c r="F13" s="20" t="s">
        <v>22</v>
      </c>
      <c r="G13" s="19" t="s">
        <v>7</v>
      </c>
      <c r="H13" s="20" t="s">
        <v>12</v>
      </c>
      <c r="I13" s="19" t="s">
        <v>8</v>
      </c>
      <c r="J13" s="20" t="s">
        <v>11</v>
      </c>
      <c r="K13" s="19" t="s">
        <v>9</v>
      </c>
      <c r="L13" s="20" t="s">
        <v>10</v>
      </c>
      <c r="M13" s="19" t="s">
        <v>3</v>
      </c>
      <c r="N13" s="20" t="s">
        <v>24</v>
      </c>
      <c r="O13" s="19" t="s">
        <v>4</v>
      </c>
      <c r="P13" s="20" t="s">
        <v>22</v>
      </c>
      <c r="Q13" s="19" t="s">
        <v>5</v>
      </c>
      <c r="R13" s="20" t="s">
        <v>12</v>
      </c>
      <c r="S13" s="19" t="s">
        <v>6</v>
      </c>
      <c r="T13" s="20" t="s">
        <v>11</v>
      </c>
      <c r="U13" s="19" t="s">
        <v>7</v>
      </c>
      <c r="V13" s="20" t="s">
        <v>10</v>
      </c>
      <c r="W13" s="19" t="s">
        <v>8</v>
      </c>
      <c r="X13" s="20" t="s">
        <v>9</v>
      </c>
      <c r="Y13" s="19" t="s">
        <v>3</v>
      </c>
      <c r="Z13" s="20" t="s">
        <v>23</v>
      </c>
      <c r="AA13" s="19" t="s">
        <v>24</v>
      </c>
      <c r="AB13" s="20" t="s">
        <v>22</v>
      </c>
      <c r="AC13" s="19" t="s">
        <v>4</v>
      </c>
      <c r="AD13" s="20" t="s">
        <v>11</v>
      </c>
      <c r="AE13" s="19" t="s">
        <v>5</v>
      </c>
      <c r="AF13" s="20" t="s">
        <v>10</v>
      </c>
      <c r="AG13" s="19" t="s">
        <v>6</v>
      </c>
      <c r="AH13" s="20" t="s">
        <v>9</v>
      </c>
      <c r="AI13" s="19" t="s">
        <v>7</v>
      </c>
      <c r="AJ13" s="20" t="s">
        <v>8</v>
      </c>
      <c r="AK13" s="19" t="s">
        <v>3</v>
      </c>
      <c r="AL13" s="20" t="s">
        <v>22</v>
      </c>
      <c r="AM13" s="19" t="s">
        <v>23</v>
      </c>
      <c r="AN13" s="20" t="s">
        <v>12</v>
      </c>
      <c r="AO13" s="19" t="s">
        <v>24</v>
      </c>
      <c r="AP13" s="20" t="s">
        <v>11</v>
      </c>
      <c r="AQ13" s="19" t="s">
        <v>4</v>
      </c>
      <c r="AR13" s="20" t="s">
        <v>9</v>
      </c>
      <c r="AS13" s="19" t="s">
        <v>5</v>
      </c>
      <c r="AT13" s="20" t="s">
        <v>8</v>
      </c>
      <c r="AU13" s="19" t="s">
        <v>6</v>
      </c>
      <c r="AV13" s="20" t="s">
        <v>7</v>
      </c>
      <c r="AW13" s="19" t="s">
        <v>3</v>
      </c>
      <c r="AX13" s="20" t="s">
        <v>12</v>
      </c>
      <c r="AY13" s="19" t="s">
        <v>22</v>
      </c>
      <c r="AZ13" s="20" t="s">
        <v>11</v>
      </c>
      <c r="BA13" s="19" t="s">
        <v>23</v>
      </c>
      <c r="BB13" s="20" t="s">
        <v>10</v>
      </c>
      <c r="BC13" s="19" t="s">
        <v>24</v>
      </c>
      <c r="BD13" s="20" t="s">
        <v>9</v>
      </c>
      <c r="BE13" s="19" t="s">
        <v>4</v>
      </c>
      <c r="BF13" s="20" t="s">
        <v>7</v>
      </c>
      <c r="BG13" s="19" t="s">
        <v>5</v>
      </c>
      <c r="BH13" s="20" t="s">
        <v>6</v>
      </c>
      <c r="BI13" s="19" t="s">
        <v>3</v>
      </c>
      <c r="BJ13" s="20" t="s">
        <v>11</v>
      </c>
      <c r="BK13" s="19" t="s">
        <v>12</v>
      </c>
      <c r="BL13" s="20" t="s">
        <v>10</v>
      </c>
      <c r="BM13" s="19" t="s">
        <v>22</v>
      </c>
      <c r="BN13" s="20" t="s">
        <v>9</v>
      </c>
      <c r="BO13" s="19" t="s">
        <v>23</v>
      </c>
      <c r="BP13" s="20" t="s">
        <v>8</v>
      </c>
      <c r="BQ13" s="19" t="s">
        <v>24</v>
      </c>
      <c r="BR13" s="20" t="s">
        <v>7</v>
      </c>
      <c r="BS13" s="19" t="s">
        <v>4</v>
      </c>
      <c r="BT13" s="20" t="s">
        <v>5</v>
      </c>
      <c r="BU13" s="19" t="s">
        <v>3</v>
      </c>
      <c r="BV13" s="20" t="s">
        <v>10</v>
      </c>
      <c r="BW13" s="19" t="s">
        <v>11</v>
      </c>
      <c r="BX13" s="20" t="s">
        <v>9</v>
      </c>
      <c r="BY13" s="19" t="s">
        <v>12</v>
      </c>
      <c r="BZ13" s="20" t="s">
        <v>8</v>
      </c>
      <c r="CA13" s="19" t="s">
        <v>22</v>
      </c>
      <c r="CB13" s="20" t="s">
        <v>7</v>
      </c>
      <c r="CC13" s="19" t="s">
        <v>23</v>
      </c>
      <c r="CD13" s="20" t="s">
        <v>6</v>
      </c>
      <c r="CE13" s="19" t="s">
        <v>24</v>
      </c>
      <c r="CF13" s="20" t="s">
        <v>5</v>
      </c>
      <c r="CG13" s="19" t="s">
        <v>3</v>
      </c>
      <c r="CH13" s="20" t="s">
        <v>9</v>
      </c>
      <c r="CI13" s="19" t="s">
        <v>10</v>
      </c>
      <c r="CJ13" s="20" t="s">
        <v>8</v>
      </c>
      <c r="CK13" s="19" t="s">
        <v>11</v>
      </c>
      <c r="CL13" s="20" t="s">
        <v>7</v>
      </c>
      <c r="CM13" s="19" t="s">
        <v>12</v>
      </c>
      <c r="CN13" s="20" t="s">
        <v>6</v>
      </c>
      <c r="CO13" s="19" t="s">
        <v>22</v>
      </c>
      <c r="CP13" s="20" t="s">
        <v>5</v>
      </c>
      <c r="CQ13" s="19" t="s">
        <v>23</v>
      </c>
      <c r="CR13" s="20" t="s">
        <v>4</v>
      </c>
      <c r="CS13" s="19" t="s">
        <v>3</v>
      </c>
      <c r="CT13" s="20" t="s">
        <v>8</v>
      </c>
      <c r="CU13" s="19" t="s">
        <v>9</v>
      </c>
      <c r="CV13" s="20" t="s">
        <v>7</v>
      </c>
      <c r="CW13" s="19" t="s">
        <v>10</v>
      </c>
      <c r="CX13" s="20" t="s">
        <v>6</v>
      </c>
      <c r="CY13" s="19" t="s">
        <v>11</v>
      </c>
      <c r="CZ13" s="20" t="s">
        <v>5</v>
      </c>
      <c r="DA13" s="19" t="s">
        <v>12</v>
      </c>
      <c r="DB13" s="20" t="s">
        <v>4</v>
      </c>
      <c r="DC13" s="19" t="s">
        <v>23</v>
      </c>
      <c r="DD13" s="20" t="s">
        <v>24</v>
      </c>
      <c r="DE13" s="19" t="s">
        <v>3</v>
      </c>
      <c r="DF13" s="20" t="s">
        <v>7</v>
      </c>
      <c r="DG13" s="19" t="s">
        <v>8</v>
      </c>
      <c r="DH13" s="20" t="s">
        <v>6</v>
      </c>
      <c r="DI13" s="19" t="s">
        <v>9</v>
      </c>
      <c r="DJ13" s="20" t="s">
        <v>5</v>
      </c>
      <c r="DK13" s="19" t="s">
        <v>10</v>
      </c>
      <c r="DL13" s="20" t="s">
        <v>4</v>
      </c>
      <c r="DM13" s="19" t="s">
        <v>12</v>
      </c>
      <c r="DN13" s="20" t="s">
        <v>24</v>
      </c>
      <c r="DO13" s="19" t="s">
        <v>22</v>
      </c>
      <c r="DP13" s="20" t="s">
        <v>23</v>
      </c>
      <c r="DQ13" s="19" t="s">
        <v>3</v>
      </c>
      <c r="DR13" s="20" t="s">
        <v>6</v>
      </c>
      <c r="DS13" s="19" t="s">
        <v>7</v>
      </c>
      <c r="DT13" s="20" t="s">
        <v>5</v>
      </c>
      <c r="DU13" s="19" t="s">
        <v>8</v>
      </c>
      <c r="DV13" s="20" t="s">
        <v>4</v>
      </c>
      <c r="DW13" s="19" t="s">
        <v>10</v>
      </c>
      <c r="DX13" s="20" t="s">
        <v>24</v>
      </c>
      <c r="DY13" s="19" t="s">
        <v>11</v>
      </c>
      <c r="DZ13" s="20" t="s">
        <v>23</v>
      </c>
      <c r="EA13" s="19" t="s">
        <v>12</v>
      </c>
      <c r="EB13" s="20" t="s">
        <v>22</v>
      </c>
      <c r="EC13" s="19" t="s">
        <v>3</v>
      </c>
      <c r="ED13" s="20" t="s">
        <v>5</v>
      </c>
      <c r="EE13" s="19" t="s">
        <v>6</v>
      </c>
      <c r="EF13" s="20" t="s">
        <v>4</v>
      </c>
      <c r="EG13" s="19" t="s">
        <v>8</v>
      </c>
      <c r="EH13" s="20" t="s">
        <v>24</v>
      </c>
      <c r="EI13" s="19" t="s">
        <v>9</v>
      </c>
      <c r="EJ13" s="20" t="s">
        <v>23</v>
      </c>
      <c r="EK13" s="19" t="s">
        <v>10</v>
      </c>
      <c r="EL13" s="20" t="s">
        <v>22</v>
      </c>
      <c r="EM13" s="19" t="s">
        <v>11</v>
      </c>
      <c r="EN13" s="20" t="s">
        <v>12</v>
      </c>
      <c r="EO13" s="19" t="s">
        <v>3</v>
      </c>
      <c r="EP13" s="20" t="s">
        <v>4</v>
      </c>
      <c r="EQ13" s="19" t="s">
        <v>6</v>
      </c>
      <c r="ER13" s="20" t="s">
        <v>24</v>
      </c>
      <c r="ES13" s="19" t="s">
        <v>7</v>
      </c>
      <c r="ET13" s="20" t="s">
        <v>23</v>
      </c>
      <c r="EU13" s="19" t="s">
        <v>8</v>
      </c>
      <c r="EV13" s="20" t="s">
        <v>22</v>
      </c>
      <c r="EW13" s="19" t="s">
        <v>9</v>
      </c>
      <c r="EX13" s="20" t="s">
        <v>12</v>
      </c>
      <c r="EY13" s="19" t="s">
        <v>10</v>
      </c>
      <c r="EZ13" s="20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3</v>
      </c>
      <c r="B14" s="20" t="s">
        <v>25</v>
      </c>
      <c r="C14" s="19" t="s">
        <v>4</v>
      </c>
      <c r="D14" s="20" t="s">
        <v>24</v>
      </c>
      <c r="E14" s="19" t="s">
        <v>5</v>
      </c>
      <c r="F14" s="20" t="s">
        <v>23</v>
      </c>
      <c r="G14" s="19" t="s">
        <v>6</v>
      </c>
      <c r="H14" s="20" t="s">
        <v>22</v>
      </c>
      <c r="I14" s="19" t="s">
        <v>7</v>
      </c>
      <c r="J14" s="20" t="s">
        <v>12</v>
      </c>
      <c r="K14" s="19" t="s">
        <v>8</v>
      </c>
      <c r="L14" s="20" t="s">
        <v>11</v>
      </c>
      <c r="M14" s="19" t="s">
        <v>9</v>
      </c>
      <c r="N14" s="20" t="s">
        <v>10</v>
      </c>
      <c r="O14" s="19" t="s">
        <v>3</v>
      </c>
      <c r="P14" s="20" t="s">
        <v>24</v>
      </c>
      <c r="Q14" s="19" t="s">
        <v>25</v>
      </c>
      <c r="R14" s="20" t="s">
        <v>23</v>
      </c>
      <c r="S14" s="19" t="s">
        <v>4</v>
      </c>
      <c r="T14" s="20" t="s">
        <v>22</v>
      </c>
      <c r="U14" s="19" t="s">
        <v>5</v>
      </c>
      <c r="V14" s="20" t="s">
        <v>12</v>
      </c>
      <c r="W14" s="19" t="s">
        <v>6</v>
      </c>
      <c r="X14" s="20" t="s">
        <v>11</v>
      </c>
      <c r="Y14" s="19" t="s">
        <v>7</v>
      </c>
      <c r="Z14" s="20" t="s">
        <v>10</v>
      </c>
      <c r="AA14" s="19" t="s">
        <v>8</v>
      </c>
      <c r="AB14" s="20" t="s">
        <v>9</v>
      </c>
      <c r="AC14" s="19" t="s">
        <v>3</v>
      </c>
      <c r="AD14" s="20" t="s">
        <v>23</v>
      </c>
      <c r="AE14" s="19" t="s">
        <v>24</v>
      </c>
      <c r="AF14" s="20" t="s">
        <v>22</v>
      </c>
      <c r="AG14" s="19" t="s">
        <v>25</v>
      </c>
      <c r="AH14" s="20" t="s">
        <v>12</v>
      </c>
      <c r="AI14" s="19" t="s">
        <v>4</v>
      </c>
      <c r="AJ14" s="20" t="s">
        <v>11</v>
      </c>
      <c r="AK14" s="19" t="s">
        <v>5</v>
      </c>
      <c r="AL14" s="20" t="s">
        <v>10</v>
      </c>
      <c r="AM14" s="19" t="s">
        <v>6</v>
      </c>
      <c r="AN14" s="20" t="s">
        <v>9</v>
      </c>
      <c r="AO14" s="19" t="s">
        <v>7</v>
      </c>
      <c r="AP14" s="20" t="s">
        <v>8</v>
      </c>
      <c r="AQ14" s="19" t="s">
        <v>3</v>
      </c>
      <c r="AR14" s="20" t="s">
        <v>22</v>
      </c>
      <c r="AS14" s="19" t="s">
        <v>23</v>
      </c>
      <c r="AT14" s="20" t="s">
        <v>12</v>
      </c>
      <c r="AU14" s="19" t="s">
        <v>24</v>
      </c>
      <c r="AV14" s="20" t="s">
        <v>11</v>
      </c>
      <c r="AW14" s="19" t="s">
        <v>25</v>
      </c>
      <c r="AX14" s="20" t="s">
        <v>10</v>
      </c>
      <c r="AY14" s="19" t="s">
        <v>4</v>
      </c>
      <c r="AZ14" s="20" t="s">
        <v>9</v>
      </c>
      <c r="BA14" s="19" t="s">
        <v>5</v>
      </c>
      <c r="BB14" s="20" t="s">
        <v>8</v>
      </c>
      <c r="BC14" s="19" t="s">
        <v>6</v>
      </c>
      <c r="BD14" s="20" t="s">
        <v>7</v>
      </c>
      <c r="BE14" s="19" t="s">
        <v>3</v>
      </c>
      <c r="BF14" s="20" t="s">
        <v>12</v>
      </c>
      <c r="BG14" s="19" t="s">
        <v>22</v>
      </c>
      <c r="BH14" s="20" t="s">
        <v>11</v>
      </c>
      <c r="BI14" s="19" t="s">
        <v>23</v>
      </c>
      <c r="BJ14" s="20" t="s">
        <v>10</v>
      </c>
      <c r="BK14" s="19" t="s">
        <v>24</v>
      </c>
      <c r="BL14" s="20" t="s">
        <v>9</v>
      </c>
      <c r="BM14" s="19" t="s">
        <v>25</v>
      </c>
      <c r="BN14" s="20" t="s">
        <v>8</v>
      </c>
      <c r="BO14" s="19" t="s">
        <v>4</v>
      </c>
      <c r="BP14" s="20" t="s">
        <v>7</v>
      </c>
      <c r="BQ14" s="19" t="s">
        <v>5</v>
      </c>
      <c r="BR14" s="20" t="s">
        <v>6</v>
      </c>
      <c r="BS14" s="19" t="s">
        <v>3</v>
      </c>
      <c r="BT14" s="20" t="s">
        <v>11</v>
      </c>
      <c r="BU14" s="19" t="s">
        <v>12</v>
      </c>
      <c r="BV14" s="20" t="s">
        <v>10</v>
      </c>
      <c r="BW14" s="19" t="s">
        <v>22</v>
      </c>
      <c r="BX14" s="20" t="s">
        <v>9</v>
      </c>
      <c r="BY14" s="19" t="s">
        <v>23</v>
      </c>
      <c r="BZ14" s="20" t="s">
        <v>8</v>
      </c>
      <c r="CA14" s="19" t="s">
        <v>24</v>
      </c>
      <c r="CB14" s="20" t="s">
        <v>7</v>
      </c>
      <c r="CC14" s="19" t="s">
        <v>25</v>
      </c>
      <c r="CD14" s="20" t="s">
        <v>6</v>
      </c>
      <c r="CE14" s="19" t="s">
        <v>4</v>
      </c>
      <c r="CF14" s="20" t="s">
        <v>5</v>
      </c>
      <c r="CG14" s="19" t="s">
        <v>3</v>
      </c>
      <c r="CH14" s="20" t="s">
        <v>10</v>
      </c>
      <c r="CI14" s="19" t="s">
        <v>11</v>
      </c>
      <c r="CJ14" s="20" t="s">
        <v>9</v>
      </c>
      <c r="CK14" s="19" t="s">
        <v>12</v>
      </c>
      <c r="CL14" s="20" t="s">
        <v>8</v>
      </c>
      <c r="CM14" s="19" t="s">
        <v>22</v>
      </c>
      <c r="CN14" s="20" t="s">
        <v>7</v>
      </c>
      <c r="CO14" s="19" t="s">
        <v>23</v>
      </c>
      <c r="CP14" s="20" t="s">
        <v>6</v>
      </c>
      <c r="CQ14" s="19" t="s">
        <v>24</v>
      </c>
      <c r="CR14" s="20" t="s">
        <v>5</v>
      </c>
      <c r="CS14" s="19" t="s">
        <v>25</v>
      </c>
      <c r="CT14" s="20" t="s">
        <v>4</v>
      </c>
      <c r="CU14" s="19" t="s">
        <v>3</v>
      </c>
      <c r="CV14" s="20" t="s">
        <v>9</v>
      </c>
      <c r="CW14" s="19" t="s">
        <v>10</v>
      </c>
      <c r="CX14" s="20" t="s">
        <v>8</v>
      </c>
      <c r="CY14" s="19" t="s">
        <v>11</v>
      </c>
      <c r="CZ14" s="20" t="s">
        <v>7</v>
      </c>
      <c r="DA14" s="19" t="s">
        <v>12</v>
      </c>
      <c r="DB14" s="20" t="s">
        <v>6</v>
      </c>
      <c r="DC14" s="19" t="s">
        <v>22</v>
      </c>
      <c r="DD14" s="20" t="s">
        <v>5</v>
      </c>
      <c r="DE14" s="19" t="s">
        <v>23</v>
      </c>
      <c r="DF14" s="20" t="s">
        <v>4</v>
      </c>
      <c r="DG14" s="19" t="s">
        <v>24</v>
      </c>
      <c r="DH14" s="20" t="s">
        <v>25</v>
      </c>
      <c r="DI14" s="19" t="s">
        <v>3</v>
      </c>
      <c r="DJ14" s="20" t="s">
        <v>8</v>
      </c>
      <c r="DK14" s="19" t="s">
        <v>9</v>
      </c>
      <c r="DL14" s="20" t="s">
        <v>7</v>
      </c>
      <c r="DM14" s="19" t="s">
        <v>10</v>
      </c>
      <c r="DN14" s="20" t="s">
        <v>6</v>
      </c>
      <c r="DO14" s="19" t="s">
        <v>11</v>
      </c>
      <c r="DP14" s="20" t="s">
        <v>5</v>
      </c>
      <c r="DQ14" s="19" t="s">
        <v>12</v>
      </c>
      <c r="DR14" s="20" t="s">
        <v>4</v>
      </c>
      <c r="DS14" s="19" t="s">
        <v>22</v>
      </c>
      <c r="DT14" s="20" t="s">
        <v>25</v>
      </c>
      <c r="DU14" s="19" t="s">
        <v>23</v>
      </c>
      <c r="DV14" s="20" t="s">
        <v>24</v>
      </c>
      <c r="DW14" s="19" t="s">
        <v>3</v>
      </c>
      <c r="DX14" s="20" t="s">
        <v>7</v>
      </c>
      <c r="DY14" s="19" t="s">
        <v>8</v>
      </c>
      <c r="DZ14" s="20" t="s">
        <v>6</v>
      </c>
      <c r="EA14" s="19" t="s">
        <v>9</v>
      </c>
      <c r="EB14" s="20" t="s">
        <v>5</v>
      </c>
      <c r="EC14" s="19" t="s">
        <v>10</v>
      </c>
      <c r="ED14" s="20" t="s">
        <v>4</v>
      </c>
      <c r="EE14" s="19" t="s">
        <v>11</v>
      </c>
      <c r="EF14" s="20" t="s">
        <v>25</v>
      </c>
      <c r="EG14" s="19" t="s">
        <v>12</v>
      </c>
      <c r="EH14" s="20" t="s">
        <v>24</v>
      </c>
      <c r="EI14" s="19" t="s">
        <v>22</v>
      </c>
      <c r="EJ14" s="20" t="s">
        <v>23</v>
      </c>
      <c r="EK14" s="19" t="s">
        <v>3</v>
      </c>
      <c r="EL14" s="20" t="s">
        <v>6</v>
      </c>
      <c r="EM14" s="19" t="s">
        <v>7</v>
      </c>
      <c r="EN14" s="20" t="s">
        <v>5</v>
      </c>
      <c r="EO14" s="19" t="s">
        <v>8</v>
      </c>
      <c r="EP14" s="20" t="s">
        <v>4</v>
      </c>
      <c r="EQ14" s="19" t="s">
        <v>9</v>
      </c>
      <c r="ER14" s="20" t="s">
        <v>25</v>
      </c>
      <c r="ES14" s="19" t="s">
        <v>10</v>
      </c>
      <c r="ET14" s="20" t="s">
        <v>24</v>
      </c>
      <c r="EU14" s="19" t="s">
        <v>11</v>
      </c>
      <c r="EV14" s="20" t="s">
        <v>23</v>
      </c>
      <c r="EW14" s="19" t="s">
        <v>12</v>
      </c>
      <c r="EX14" s="20" t="s">
        <v>22</v>
      </c>
      <c r="EY14" s="19" t="s">
        <v>3</v>
      </c>
      <c r="EZ14" s="20" t="s">
        <v>5</v>
      </c>
      <c r="FA14" s="19" t="s">
        <v>6</v>
      </c>
      <c r="FB14" s="20" t="s">
        <v>4</v>
      </c>
      <c r="FC14" s="19" t="s">
        <v>7</v>
      </c>
      <c r="FD14" s="20" t="s">
        <v>25</v>
      </c>
      <c r="FE14" s="19" t="s">
        <v>8</v>
      </c>
      <c r="FF14" s="20" t="s">
        <v>24</v>
      </c>
      <c r="FG14" s="19" t="s">
        <v>9</v>
      </c>
      <c r="FH14" s="20" t="s">
        <v>23</v>
      </c>
      <c r="FI14" s="19" t="s">
        <v>10</v>
      </c>
      <c r="FJ14" s="20" t="s">
        <v>22</v>
      </c>
      <c r="FK14" s="19" t="s">
        <v>11</v>
      </c>
      <c r="FL14" s="20" t="s">
        <v>12</v>
      </c>
      <c r="FM14" s="19" t="s">
        <v>3</v>
      </c>
      <c r="FN14" s="20" t="s">
        <v>4</v>
      </c>
      <c r="FO14" s="19" t="s">
        <v>5</v>
      </c>
      <c r="FP14" s="20" t="s">
        <v>25</v>
      </c>
      <c r="FQ14" s="19" t="s">
        <v>6</v>
      </c>
      <c r="FR14" s="20" t="s">
        <v>24</v>
      </c>
      <c r="FS14" s="19" t="s">
        <v>7</v>
      </c>
      <c r="FT14" s="20" t="s">
        <v>23</v>
      </c>
      <c r="FU14" s="19" t="s">
        <v>8</v>
      </c>
      <c r="FV14" s="20" t="s">
        <v>22</v>
      </c>
      <c r="FW14" s="19" t="s">
        <v>9</v>
      </c>
      <c r="FX14" s="20" t="s">
        <v>12</v>
      </c>
      <c r="FY14" s="19" t="s">
        <v>10</v>
      </c>
      <c r="FZ14" s="20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4</v>
      </c>
      <c r="B15" s="20" t="s">
        <v>26</v>
      </c>
      <c r="C15" s="19" t="s">
        <v>5</v>
      </c>
      <c r="D15" s="20" t="s">
        <v>25</v>
      </c>
      <c r="E15" s="19" t="s">
        <v>6</v>
      </c>
      <c r="F15" s="20" t="s">
        <v>24</v>
      </c>
      <c r="G15" s="19" t="s">
        <v>7</v>
      </c>
      <c r="H15" s="20" t="s">
        <v>23</v>
      </c>
      <c r="I15" s="19" t="s">
        <v>8</v>
      </c>
      <c r="J15" s="20" t="s">
        <v>22</v>
      </c>
      <c r="K15" s="19" t="s">
        <v>9</v>
      </c>
      <c r="L15" s="20" t="s">
        <v>12</v>
      </c>
      <c r="M15" s="19" t="s">
        <v>10</v>
      </c>
      <c r="N15" s="20" t="s">
        <v>11</v>
      </c>
      <c r="O15" s="19" t="s">
        <v>3</v>
      </c>
      <c r="P15" s="20" t="s">
        <v>26</v>
      </c>
      <c r="Q15" s="19" t="s">
        <v>4</v>
      </c>
      <c r="R15" s="20" t="s">
        <v>24</v>
      </c>
      <c r="S15" s="19" t="s">
        <v>5</v>
      </c>
      <c r="T15" s="20" t="s">
        <v>23</v>
      </c>
      <c r="U15" s="19" t="s">
        <v>6</v>
      </c>
      <c r="V15" s="20" t="s">
        <v>22</v>
      </c>
      <c r="W15" s="19" t="s">
        <v>7</v>
      </c>
      <c r="X15" s="20" t="s">
        <v>12</v>
      </c>
      <c r="Y15" s="19" t="s">
        <v>8</v>
      </c>
      <c r="Z15" s="20" t="s">
        <v>11</v>
      </c>
      <c r="AA15" s="19" t="s">
        <v>9</v>
      </c>
      <c r="AB15" s="20" t="s">
        <v>10</v>
      </c>
      <c r="AC15" s="19" t="s">
        <v>3</v>
      </c>
      <c r="AD15" s="20" t="s">
        <v>25</v>
      </c>
      <c r="AE15" s="19" t="s">
        <v>26</v>
      </c>
      <c r="AF15" s="20" t="s">
        <v>24</v>
      </c>
      <c r="AG15" s="19" t="s">
        <v>4</v>
      </c>
      <c r="AH15" s="20" t="s">
        <v>22</v>
      </c>
      <c r="AI15" s="19" t="s">
        <v>5</v>
      </c>
      <c r="AJ15" s="20" t="s">
        <v>12</v>
      </c>
      <c r="AK15" s="19" t="s">
        <v>6</v>
      </c>
      <c r="AL15" s="20" t="s">
        <v>11</v>
      </c>
      <c r="AM15" s="19" t="s">
        <v>7</v>
      </c>
      <c r="AN15" s="20" t="s">
        <v>10</v>
      </c>
      <c r="AO15" s="19" t="s">
        <v>8</v>
      </c>
      <c r="AP15" s="20" t="s">
        <v>9</v>
      </c>
      <c r="AQ15" s="19" t="s">
        <v>3</v>
      </c>
      <c r="AR15" s="20" t="s">
        <v>24</v>
      </c>
      <c r="AS15" s="19" t="s">
        <v>25</v>
      </c>
      <c r="AT15" s="20" t="s">
        <v>23</v>
      </c>
      <c r="AU15" s="19" t="s">
        <v>26</v>
      </c>
      <c r="AV15" s="20" t="s">
        <v>22</v>
      </c>
      <c r="AW15" s="19" t="s">
        <v>4</v>
      </c>
      <c r="AX15" s="20" t="s">
        <v>11</v>
      </c>
      <c r="AY15" s="19" t="s">
        <v>5</v>
      </c>
      <c r="AZ15" s="20" t="s">
        <v>10</v>
      </c>
      <c r="BA15" s="19" t="s">
        <v>6</v>
      </c>
      <c r="BB15" s="20" t="s">
        <v>9</v>
      </c>
      <c r="BC15" s="19" t="s">
        <v>7</v>
      </c>
      <c r="BD15" s="20" t="s">
        <v>8</v>
      </c>
      <c r="BE15" s="19" t="s">
        <v>3</v>
      </c>
      <c r="BF15" s="20" t="s">
        <v>23</v>
      </c>
      <c r="BG15" s="19" t="s">
        <v>24</v>
      </c>
      <c r="BH15" s="20" t="s">
        <v>22</v>
      </c>
      <c r="BI15" s="19" t="s">
        <v>25</v>
      </c>
      <c r="BJ15" s="20" t="s">
        <v>12</v>
      </c>
      <c r="BK15" s="19" t="s">
        <v>26</v>
      </c>
      <c r="BL15" s="20" t="s">
        <v>11</v>
      </c>
      <c r="BM15" s="19" t="s">
        <v>4</v>
      </c>
      <c r="BN15" s="20" t="s">
        <v>9</v>
      </c>
      <c r="BO15" s="19" t="s">
        <v>5</v>
      </c>
      <c r="BP15" s="20" t="s">
        <v>8</v>
      </c>
      <c r="BQ15" s="19" t="s">
        <v>6</v>
      </c>
      <c r="BR15" s="20" t="s">
        <v>7</v>
      </c>
      <c r="BS15" s="19" t="s">
        <v>3</v>
      </c>
      <c r="BT15" s="20" t="s">
        <v>22</v>
      </c>
      <c r="BU15" s="19" t="s">
        <v>23</v>
      </c>
      <c r="BV15" s="20" t="s">
        <v>12</v>
      </c>
      <c r="BW15" s="19" t="s">
        <v>24</v>
      </c>
      <c r="BX15" s="20" t="s">
        <v>11</v>
      </c>
      <c r="BY15" s="19" t="s">
        <v>25</v>
      </c>
      <c r="BZ15" s="20" t="s">
        <v>10</v>
      </c>
      <c r="CA15" s="19" t="s">
        <v>26</v>
      </c>
      <c r="CB15" s="20" t="s">
        <v>9</v>
      </c>
      <c r="CC15" s="19" t="s">
        <v>4</v>
      </c>
      <c r="CD15" s="20" t="s">
        <v>7</v>
      </c>
      <c r="CE15" s="19" t="s">
        <v>5</v>
      </c>
      <c r="CF15" s="20" t="s">
        <v>6</v>
      </c>
      <c r="CG15" s="19" t="s">
        <v>3</v>
      </c>
      <c r="CH15" s="20" t="s">
        <v>12</v>
      </c>
      <c r="CI15" s="19" t="s">
        <v>22</v>
      </c>
      <c r="CJ15" s="20" t="s">
        <v>11</v>
      </c>
      <c r="CK15" s="19" t="s">
        <v>23</v>
      </c>
      <c r="CL15" s="20" t="s">
        <v>10</v>
      </c>
      <c r="CM15" s="19" t="s">
        <v>24</v>
      </c>
      <c r="CN15" s="20" t="s">
        <v>9</v>
      </c>
      <c r="CO15" s="19" t="s">
        <v>25</v>
      </c>
      <c r="CP15" s="20" t="s">
        <v>8</v>
      </c>
      <c r="CQ15" s="19" t="s">
        <v>26</v>
      </c>
      <c r="CR15" s="20" t="s">
        <v>7</v>
      </c>
      <c r="CS15" s="19" t="s">
        <v>4</v>
      </c>
      <c r="CT15" s="20" t="s">
        <v>5</v>
      </c>
      <c r="CU15" s="19" t="s">
        <v>3</v>
      </c>
      <c r="CV15" s="20" t="s">
        <v>11</v>
      </c>
      <c r="CW15" s="19" t="s">
        <v>12</v>
      </c>
      <c r="CX15" s="20" t="s">
        <v>10</v>
      </c>
      <c r="CY15" s="19" t="s">
        <v>22</v>
      </c>
      <c r="CZ15" s="20" t="s">
        <v>9</v>
      </c>
      <c r="DA15" s="19" t="s">
        <v>23</v>
      </c>
      <c r="DB15" s="20" t="s">
        <v>8</v>
      </c>
      <c r="DC15" s="19" t="s">
        <v>24</v>
      </c>
      <c r="DD15" s="20" t="s">
        <v>7</v>
      </c>
      <c r="DE15" s="19" t="s">
        <v>25</v>
      </c>
      <c r="DF15" s="20" t="s">
        <v>6</v>
      </c>
      <c r="DG15" s="19" t="s">
        <v>26</v>
      </c>
      <c r="DH15" s="20" t="s">
        <v>5</v>
      </c>
      <c r="DI15" s="19" t="s">
        <v>3</v>
      </c>
      <c r="DJ15" s="20" t="s">
        <v>10</v>
      </c>
      <c r="DK15" s="19" t="s">
        <v>11</v>
      </c>
      <c r="DL15" s="20" t="s">
        <v>9</v>
      </c>
      <c r="DM15" s="19" t="s">
        <v>12</v>
      </c>
      <c r="DN15" s="20" t="s">
        <v>8</v>
      </c>
      <c r="DO15" s="19" t="s">
        <v>22</v>
      </c>
      <c r="DP15" s="20" t="s">
        <v>7</v>
      </c>
      <c r="DQ15" s="19" t="s">
        <v>23</v>
      </c>
      <c r="DR15" s="20" t="s">
        <v>6</v>
      </c>
      <c r="DS15" s="19" t="s">
        <v>24</v>
      </c>
      <c r="DT15" s="20" t="s">
        <v>5</v>
      </c>
      <c r="DU15" s="19" t="s">
        <v>25</v>
      </c>
      <c r="DV15" s="20" t="s">
        <v>4</v>
      </c>
      <c r="DW15" s="19" t="s">
        <v>3</v>
      </c>
      <c r="DX15" s="20" t="s">
        <v>9</v>
      </c>
      <c r="DY15" s="19" t="s">
        <v>10</v>
      </c>
      <c r="DZ15" s="20" t="s">
        <v>8</v>
      </c>
      <c r="EA15" s="19" t="s">
        <v>11</v>
      </c>
      <c r="EB15" s="20" t="s">
        <v>7</v>
      </c>
      <c r="EC15" s="19" t="s">
        <v>12</v>
      </c>
      <c r="ED15" s="20" t="s">
        <v>6</v>
      </c>
      <c r="EE15" s="19" t="s">
        <v>22</v>
      </c>
      <c r="EF15" s="20" t="s">
        <v>5</v>
      </c>
      <c r="EG15" s="19" t="s">
        <v>23</v>
      </c>
      <c r="EH15" s="20" t="s">
        <v>4</v>
      </c>
      <c r="EI15" s="19" t="s">
        <v>25</v>
      </c>
      <c r="EJ15" s="20" t="s">
        <v>26</v>
      </c>
      <c r="EK15" s="19" t="s">
        <v>3</v>
      </c>
      <c r="EL15" s="20" t="s">
        <v>8</v>
      </c>
      <c r="EM15" s="19" t="s">
        <v>9</v>
      </c>
      <c r="EN15" s="20" t="s">
        <v>7</v>
      </c>
      <c r="EO15" s="19" t="s">
        <v>10</v>
      </c>
      <c r="EP15" s="20" t="s">
        <v>6</v>
      </c>
      <c r="EQ15" s="19" t="s">
        <v>11</v>
      </c>
      <c r="ER15" s="20" t="s">
        <v>5</v>
      </c>
      <c r="ES15" s="19" t="s">
        <v>12</v>
      </c>
      <c r="ET15" s="20" t="s">
        <v>4</v>
      </c>
      <c r="EU15" s="19" t="s">
        <v>23</v>
      </c>
      <c r="EV15" s="20" t="s">
        <v>26</v>
      </c>
      <c r="EW15" s="19" t="s">
        <v>24</v>
      </c>
      <c r="EX15" s="20" t="s">
        <v>25</v>
      </c>
      <c r="EY15" s="19" t="s">
        <v>3</v>
      </c>
      <c r="EZ15" s="20" t="s">
        <v>7</v>
      </c>
      <c r="FA15" s="19" t="s">
        <v>8</v>
      </c>
      <c r="FB15" s="20" t="s">
        <v>6</v>
      </c>
      <c r="FC15" s="19" t="s">
        <v>9</v>
      </c>
      <c r="FD15" s="20" t="s">
        <v>5</v>
      </c>
      <c r="FE15" s="19" t="s">
        <v>10</v>
      </c>
      <c r="FF15" s="20" t="s">
        <v>4</v>
      </c>
      <c r="FG15" s="19" t="s">
        <v>12</v>
      </c>
      <c r="FH15" s="20" t="s">
        <v>26</v>
      </c>
      <c r="FI15" s="19" t="s">
        <v>22</v>
      </c>
      <c r="FJ15" s="20" t="s">
        <v>25</v>
      </c>
      <c r="FK15" s="19" t="s">
        <v>23</v>
      </c>
      <c r="FL15" s="20" t="s">
        <v>24</v>
      </c>
      <c r="FM15" s="19" t="s">
        <v>3</v>
      </c>
      <c r="FN15" s="20" t="s">
        <v>6</v>
      </c>
      <c r="FO15" s="19" t="s">
        <v>7</v>
      </c>
      <c r="FP15" s="20" t="s">
        <v>5</v>
      </c>
      <c r="FQ15" s="19" t="s">
        <v>8</v>
      </c>
      <c r="FR15" s="20" t="s">
        <v>4</v>
      </c>
      <c r="FS15" s="19" t="s">
        <v>10</v>
      </c>
      <c r="FT15" s="20" t="s">
        <v>26</v>
      </c>
      <c r="FU15" s="19" t="s">
        <v>11</v>
      </c>
      <c r="FV15" s="20" t="s">
        <v>25</v>
      </c>
      <c r="FW15" s="19" t="s">
        <v>12</v>
      </c>
      <c r="FX15" s="20" t="s">
        <v>24</v>
      </c>
      <c r="FY15" s="19" t="s">
        <v>22</v>
      </c>
      <c r="FZ15" s="20" t="s">
        <v>23</v>
      </c>
      <c r="GA15" s="19" t="s">
        <v>3</v>
      </c>
      <c r="GB15" s="20" t="s">
        <v>5</v>
      </c>
      <c r="GC15" s="19" t="s">
        <v>6</v>
      </c>
      <c r="GD15" s="20" t="s">
        <v>4</v>
      </c>
      <c r="GE15" s="19" t="s">
        <v>8</v>
      </c>
      <c r="GF15" s="20" t="s">
        <v>26</v>
      </c>
      <c r="GG15" s="19" t="s">
        <v>9</v>
      </c>
      <c r="GH15" s="20" t="s">
        <v>25</v>
      </c>
      <c r="GI15" s="19" t="s">
        <v>10</v>
      </c>
      <c r="GJ15" s="20" t="s">
        <v>24</v>
      </c>
      <c r="GK15" s="19" t="s">
        <v>11</v>
      </c>
      <c r="GL15" s="20" t="s">
        <v>23</v>
      </c>
      <c r="GM15" s="19" t="s">
        <v>12</v>
      </c>
      <c r="GN15" s="20" t="s">
        <v>22</v>
      </c>
      <c r="GO15" s="19" t="s">
        <v>3</v>
      </c>
      <c r="GP15" s="20" t="s">
        <v>4</v>
      </c>
      <c r="GQ15" s="19" t="s">
        <v>6</v>
      </c>
      <c r="GR15" s="20" t="s">
        <v>26</v>
      </c>
      <c r="GS15" s="19" t="s">
        <v>7</v>
      </c>
      <c r="GT15" s="20" t="s">
        <v>25</v>
      </c>
      <c r="GU15" s="19" t="s">
        <v>8</v>
      </c>
      <c r="GV15" s="20" t="s">
        <v>24</v>
      </c>
      <c r="GW15" s="19" t="s">
        <v>9</v>
      </c>
      <c r="GX15" s="20" t="s">
        <v>23</v>
      </c>
      <c r="GY15" s="19" t="s">
        <v>10</v>
      </c>
      <c r="GZ15" s="20" t="s">
        <v>22</v>
      </c>
      <c r="HA15" s="19" t="s">
        <v>11</v>
      </c>
      <c r="HB15" s="20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3</v>
      </c>
      <c r="B16" s="20" t="s">
        <v>4</v>
      </c>
      <c r="C16" s="19" t="s">
        <v>5</v>
      </c>
      <c r="D16" s="20" t="s">
        <v>6</v>
      </c>
      <c r="E16" s="19" t="s">
        <v>7</v>
      </c>
      <c r="F16" s="20" t="s">
        <v>8</v>
      </c>
      <c r="G16" s="19" t="s">
        <v>9</v>
      </c>
      <c r="H16" s="20" t="s">
        <v>10</v>
      </c>
      <c r="I16" s="19" t="s">
        <v>11</v>
      </c>
      <c r="J16" s="20" t="s">
        <v>12</v>
      </c>
      <c r="K16" s="19" t="s">
        <v>22</v>
      </c>
      <c r="L16" s="20" t="s">
        <v>23</v>
      </c>
      <c r="M16" s="19" t="s">
        <v>24</v>
      </c>
      <c r="N16" s="20" t="s">
        <v>25</v>
      </c>
      <c r="O16" s="19" t="s">
        <v>26</v>
      </c>
      <c r="P16" s="20" t="s">
        <v>27</v>
      </c>
      <c r="Q16" s="19" t="s">
        <v>3</v>
      </c>
      <c r="R16" s="20" t="s">
        <v>5</v>
      </c>
      <c r="S16" s="19" t="s">
        <v>4</v>
      </c>
      <c r="T16" s="20" t="s">
        <v>6</v>
      </c>
      <c r="U16" s="19" t="s">
        <v>7</v>
      </c>
      <c r="V16" s="20" t="s">
        <v>9</v>
      </c>
      <c r="W16" s="19" t="s">
        <v>8</v>
      </c>
      <c r="X16" s="20" t="s">
        <v>10</v>
      </c>
      <c r="Y16" s="19" t="s">
        <v>11</v>
      </c>
      <c r="Z16" s="20" t="s">
        <v>22</v>
      </c>
      <c r="AA16" s="19" t="s">
        <v>12</v>
      </c>
      <c r="AB16" s="20" t="s">
        <v>23</v>
      </c>
      <c r="AC16" s="19" t="s">
        <v>24</v>
      </c>
      <c r="AD16" s="20" t="s">
        <v>26</v>
      </c>
      <c r="AE16" s="19" t="s">
        <v>25</v>
      </c>
      <c r="AF16" s="20" t="s">
        <v>27</v>
      </c>
      <c r="AG16" s="19" t="s">
        <v>3</v>
      </c>
      <c r="AH16" s="20" t="s">
        <v>6</v>
      </c>
      <c r="AI16" s="19" t="s">
        <v>4</v>
      </c>
      <c r="AJ16" s="20" t="s">
        <v>5</v>
      </c>
      <c r="AK16" s="19" t="s">
        <v>7</v>
      </c>
      <c r="AL16" s="20" t="s">
        <v>10</v>
      </c>
      <c r="AM16" s="19" t="s">
        <v>8</v>
      </c>
      <c r="AN16" s="20" t="s">
        <v>9</v>
      </c>
      <c r="AO16" s="19" t="s">
        <v>11</v>
      </c>
      <c r="AP16" s="20" t="s">
        <v>23</v>
      </c>
      <c r="AQ16" s="19" t="s">
        <v>12</v>
      </c>
      <c r="AR16" s="20" t="s">
        <v>22</v>
      </c>
      <c r="AS16" s="19" t="s">
        <v>24</v>
      </c>
      <c r="AT16" s="20" t="s">
        <v>27</v>
      </c>
      <c r="AU16" s="19" t="s">
        <v>25</v>
      </c>
      <c r="AV16" s="20" t="s">
        <v>26</v>
      </c>
      <c r="AW16" s="19" t="s">
        <v>3</v>
      </c>
      <c r="AX16" s="20" t="s">
        <v>7</v>
      </c>
      <c r="AY16" s="19" t="s">
        <v>4</v>
      </c>
      <c r="AZ16" s="20" t="s">
        <v>8</v>
      </c>
      <c r="BA16" s="19" t="s">
        <v>5</v>
      </c>
      <c r="BB16" s="20" t="s">
        <v>9</v>
      </c>
      <c r="BC16" s="19" t="s">
        <v>6</v>
      </c>
      <c r="BD16" s="20" t="s">
        <v>10</v>
      </c>
      <c r="BE16" s="19" t="s">
        <v>11</v>
      </c>
      <c r="BF16" s="20" t="s">
        <v>24</v>
      </c>
      <c r="BG16" s="19" t="s">
        <v>12</v>
      </c>
      <c r="BH16" s="20" t="s">
        <v>25</v>
      </c>
      <c r="BI16" s="19" t="s">
        <v>22</v>
      </c>
      <c r="BJ16" s="20" t="s">
        <v>26</v>
      </c>
      <c r="BK16" s="19" t="s">
        <v>23</v>
      </c>
      <c r="BL16" s="20" t="s">
        <v>27</v>
      </c>
      <c r="BM16" s="19" t="s">
        <v>3</v>
      </c>
      <c r="BN16" s="20" t="s">
        <v>8</v>
      </c>
      <c r="BO16" s="19" t="s">
        <v>4</v>
      </c>
      <c r="BP16" s="20" t="s">
        <v>7</v>
      </c>
      <c r="BQ16" s="19" t="s">
        <v>5</v>
      </c>
      <c r="BR16" s="20" t="s">
        <v>10</v>
      </c>
      <c r="BS16" s="19" t="s">
        <v>6</v>
      </c>
      <c r="BT16" s="20" t="s">
        <v>9</v>
      </c>
      <c r="BU16" s="19" t="s">
        <v>11</v>
      </c>
      <c r="BV16" s="20" t="s">
        <v>25</v>
      </c>
      <c r="BW16" s="19" t="s">
        <v>12</v>
      </c>
      <c r="BX16" s="20" t="s">
        <v>24</v>
      </c>
      <c r="BY16" s="19" t="s">
        <v>22</v>
      </c>
      <c r="BZ16" s="20" t="s">
        <v>27</v>
      </c>
      <c r="CA16" s="19" t="s">
        <v>23</v>
      </c>
      <c r="CB16" s="20" t="s">
        <v>26</v>
      </c>
      <c r="CC16" s="19" t="s">
        <v>3</v>
      </c>
      <c r="CD16" s="20" t="s">
        <v>9</v>
      </c>
      <c r="CE16" s="19" t="s">
        <v>4</v>
      </c>
      <c r="CF16" s="20" t="s">
        <v>10</v>
      </c>
      <c r="CG16" s="19" t="s">
        <v>5</v>
      </c>
      <c r="CH16" s="20" t="s">
        <v>7</v>
      </c>
      <c r="CI16" s="19" t="s">
        <v>6</v>
      </c>
      <c r="CJ16" s="20" t="s">
        <v>8</v>
      </c>
      <c r="CK16" s="19" t="s">
        <v>11</v>
      </c>
      <c r="CL16" s="20" t="s">
        <v>26</v>
      </c>
      <c r="CM16" s="19" t="s">
        <v>12</v>
      </c>
      <c r="CN16" s="20" t="s">
        <v>27</v>
      </c>
      <c r="CO16" s="19" t="s">
        <v>22</v>
      </c>
      <c r="CP16" s="20" t="s">
        <v>24</v>
      </c>
      <c r="CQ16" s="19" t="s">
        <v>23</v>
      </c>
      <c r="CR16" s="20" t="s">
        <v>25</v>
      </c>
      <c r="CS16" s="19" t="s">
        <v>3</v>
      </c>
      <c r="CT16" s="20" t="s">
        <v>10</v>
      </c>
      <c r="CU16" s="19" t="s">
        <v>4</v>
      </c>
      <c r="CV16" s="20" t="s">
        <v>9</v>
      </c>
      <c r="CW16" s="19" t="s">
        <v>5</v>
      </c>
      <c r="CX16" s="20" t="s">
        <v>8</v>
      </c>
      <c r="CY16" s="19" t="s">
        <v>6</v>
      </c>
      <c r="CZ16" s="20" t="s">
        <v>7</v>
      </c>
      <c r="DA16" s="19" t="s">
        <v>11</v>
      </c>
      <c r="DB16" s="20" t="s">
        <v>27</v>
      </c>
      <c r="DC16" s="19" t="s">
        <v>12</v>
      </c>
      <c r="DD16" s="20" t="s">
        <v>26</v>
      </c>
      <c r="DE16" s="19" t="s">
        <v>22</v>
      </c>
      <c r="DF16" s="20" t="s">
        <v>25</v>
      </c>
      <c r="DG16" s="19" t="s">
        <v>23</v>
      </c>
      <c r="DH16" s="20" t="s">
        <v>24</v>
      </c>
      <c r="DI16" s="19" t="s">
        <v>3</v>
      </c>
      <c r="DJ16" s="20" t="s">
        <v>11</v>
      </c>
      <c r="DK16" s="19" t="s">
        <v>4</v>
      </c>
      <c r="DL16" s="20" t="s">
        <v>12</v>
      </c>
      <c r="DM16" s="19" t="s">
        <v>5</v>
      </c>
      <c r="DN16" s="20" t="s">
        <v>22</v>
      </c>
      <c r="DO16" s="19" t="s">
        <v>6</v>
      </c>
      <c r="DP16" s="20" t="s">
        <v>23</v>
      </c>
      <c r="DQ16" s="19" t="s">
        <v>7</v>
      </c>
      <c r="DR16" s="20" t="s">
        <v>24</v>
      </c>
      <c r="DS16" s="19" t="s">
        <v>8</v>
      </c>
      <c r="DT16" s="20" t="s">
        <v>25</v>
      </c>
      <c r="DU16" s="19" t="s">
        <v>9</v>
      </c>
      <c r="DV16" s="20" t="s">
        <v>26</v>
      </c>
      <c r="DW16" s="19" t="s">
        <v>10</v>
      </c>
      <c r="DX16" s="20" t="s">
        <v>27</v>
      </c>
      <c r="DY16" s="19" t="s">
        <v>3</v>
      </c>
      <c r="DZ16" s="20" t="s">
        <v>12</v>
      </c>
      <c r="EA16" s="19" t="s">
        <v>4</v>
      </c>
      <c r="EB16" s="20" t="s">
        <v>11</v>
      </c>
      <c r="EC16" s="19" t="s">
        <v>5</v>
      </c>
      <c r="ED16" s="20" t="s">
        <v>23</v>
      </c>
      <c r="EE16" s="19" t="s">
        <v>6</v>
      </c>
      <c r="EF16" s="20" t="s">
        <v>22</v>
      </c>
      <c r="EG16" s="19" t="s">
        <v>7</v>
      </c>
      <c r="EH16" s="20" t="s">
        <v>25</v>
      </c>
      <c r="EI16" s="19" t="s">
        <v>8</v>
      </c>
      <c r="EJ16" s="20" t="s">
        <v>24</v>
      </c>
      <c r="EK16" s="19" t="s">
        <v>9</v>
      </c>
      <c r="EL16" s="20" t="s">
        <v>27</v>
      </c>
      <c r="EM16" s="19" t="s">
        <v>10</v>
      </c>
      <c r="EN16" s="20" t="s">
        <v>26</v>
      </c>
      <c r="EO16" s="19" t="s">
        <v>3</v>
      </c>
      <c r="EP16" s="20" t="s">
        <v>22</v>
      </c>
      <c r="EQ16" s="19" t="s">
        <v>4</v>
      </c>
      <c r="ER16" s="20" t="s">
        <v>23</v>
      </c>
      <c r="ES16" s="19" t="s">
        <v>5</v>
      </c>
      <c r="ET16" s="20" t="s">
        <v>11</v>
      </c>
      <c r="EU16" s="19" t="s">
        <v>6</v>
      </c>
      <c r="EV16" s="20" t="s">
        <v>12</v>
      </c>
      <c r="EW16" s="19" t="s">
        <v>7</v>
      </c>
      <c r="EX16" s="20" t="s">
        <v>26</v>
      </c>
      <c r="EY16" s="19" t="s">
        <v>8</v>
      </c>
      <c r="EZ16" s="20" t="s">
        <v>27</v>
      </c>
      <c r="FA16" s="19" t="s">
        <v>9</v>
      </c>
      <c r="FB16" s="20" t="s">
        <v>24</v>
      </c>
      <c r="FC16" s="19" t="s">
        <v>10</v>
      </c>
      <c r="FD16" s="20" t="s">
        <v>25</v>
      </c>
      <c r="FE16" s="19" t="s">
        <v>3</v>
      </c>
      <c r="FF16" s="20" t="s">
        <v>23</v>
      </c>
      <c r="FG16" s="19" t="s">
        <v>4</v>
      </c>
      <c r="FH16" s="20" t="s">
        <v>22</v>
      </c>
      <c r="FI16" s="19" t="s">
        <v>5</v>
      </c>
      <c r="FJ16" s="20" t="s">
        <v>12</v>
      </c>
      <c r="FK16" s="19" t="s">
        <v>6</v>
      </c>
      <c r="FL16" s="20" t="s">
        <v>11</v>
      </c>
      <c r="FM16" s="19" t="s">
        <v>7</v>
      </c>
      <c r="FN16" s="20" t="s">
        <v>27</v>
      </c>
      <c r="FO16" s="19" t="s">
        <v>8</v>
      </c>
      <c r="FP16" s="20" t="s">
        <v>26</v>
      </c>
      <c r="FQ16" s="19" t="s">
        <v>9</v>
      </c>
      <c r="FR16" s="20" t="s">
        <v>25</v>
      </c>
      <c r="FS16" s="19" t="s">
        <v>10</v>
      </c>
      <c r="FT16" s="20" t="s">
        <v>24</v>
      </c>
      <c r="FU16" s="19" t="s">
        <v>3</v>
      </c>
      <c r="FV16" s="20" t="s">
        <v>24</v>
      </c>
      <c r="FW16" s="19" t="s">
        <v>4</v>
      </c>
      <c r="FX16" s="20" t="s">
        <v>25</v>
      </c>
      <c r="FY16" s="19" t="s">
        <v>5</v>
      </c>
      <c r="FZ16" s="20" t="s">
        <v>26</v>
      </c>
      <c r="GA16" s="19" t="s">
        <v>6</v>
      </c>
      <c r="GB16" s="20" t="s">
        <v>27</v>
      </c>
      <c r="GC16" s="19" t="s">
        <v>7</v>
      </c>
      <c r="GD16" s="20" t="s">
        <v>11</v>
      </c>
      <c r="GE16" s="19" t="s">
        <v>8</v>
      </c>
      <c r="GF16" s="20" t="s">
        <v>12</v>
      </c>
      <c r="GG16" s="19" t="s">
        <v>9</v>
      </c>
      <c r="GH16" s="20" t="s">
        <v>22</v>
      </c>
      <c r="GI16" s="19" t="s">
        <v>10</v>
      </c>
      <c r="GJ16" s="20" t="s">
        <v>23</v>
      </c>
      <c r="GK16" s="19" t="s">
        <v>3</v>
      </c>
      <c r="GL16" s="20" t="s">
        <v>25</v>
      </c>
      <c r="GM16" s="19" t="s">
        <v>4</v>
      </c>
      <c r="GN16" s="20" t="s">
        <v>24</v>
      </c>
      <c r="GO16" s="19" t="s">
        <v>5</v>
      </c>
      <c r="GP16" s="20" t="s">
        <v>27</v>
      </c>
      <c r="GQ16" s="19" t="s">
        <v>6</v>
      </c>
      <c r="GR16" s="20" t="s">
        <v>26</v>
      </c>
      <c r="GS16" s="19" t="s">
        <v>7</v>
      </c>
      <c r="GT16" s="20" t="s">
        <v>12</v>
      </c>
      <c r="GU16" s="19" t="s">
        <v>8</v>
      </c>
      <c r="GV16" s="20" t="s">
        <v>11</v>
      </c>
      <c r="GW16" s="19" t="s">
        <v>9</v>
      </c>
      <c r="GX16" s="20" t="s">
        <v>23</v>
      </c>
      <c r="GY16" s="19" t="s">
        <v>10</v>
      </c>
      <c r="GZ16" s="20" t="s">
        <v>22</v>
      </c>
      <c r="HA16" s="19" t="s">
        <v>3</v>
      </c>
      <c r="HB16" s="20" t="s">
        <v>26</v>
      </c>
      <c r="HC16" s="19" t="s">
        <v>4</v>
      </c>
      <c r="HD16" s="20" t="s">
        <v>27</v>
      </c>
      <c r="HE16" s="19" t="s">
        <v>5</v>
      </c>
      <c r="HF16" s="20" t="s">
        <v>24</v>
      </c>
      <c r="HG16" s="19" t="s">
        <v>6</v>
      </c>
      <c r="HH16" s="20" t="s">
        <v>25</v>
      </c>
      <c r="HI16" s="19" t="s">
        <v>7</v>
      </c>
      <c r="HJ16" s="20" t="s">
        <v>22</v>
      </c>
      <c r="HK16" s="19" t="s">
        <v>8</v>
      </c>
      <c r="HL16" s="20" t="s">
        <v>23</v>
      </c>
      <c r="HM16" s="19" t="s">
        <v>9</v>
      </c>
      <c r="HN16" s="20" t="s">
        <v>11</v>
      </c>
      <c r="HO16" s="19" t="s">
        <v>10</v>
      </c>
      <c r="HP16" s="20" t="s">
        <v>12</v>
      </c>
      <c r="HQ16" s="19" t="s">
        <v>3</v>
      </c>
      <c r="HR16" s="20" t="s">
        <v>27</v>
      </c>
      <c r="HS16" s="19" t="s">
        <v>4</v>
      </c>
      <c r="HT16" s="20" t="s">
        <v>26</v>
      </c>
      <c r="HU16" s="19" t="s">
        <v>5</v>
      </c>
      <c r="HV16" s="20" t="s">
        <v>25</v>
      </c>
      <c r="HW16" s="19" t="s">
        <v>6</v>
      </c>
      <c r="HX16" s="20" t="s">
        <v>24</v>
      </c>
      <c r="HY16" s="19" t="s">
        <v>7</v>
      </c>
      <c r="HZ16" s="20" t="s">
        <v>23</v>
      </c>
      <c r="IA16" s="19" t="s">
        <v>8</v>
      </c>
      <c r="IB16" s="20" t="s">
        <v>22</v>
      </c>
      <c r="IC16" s="19" t="s">
        <v>9</v>
      </c>
      <c r="ID16" s="20" t="s">
        <v>12</v>
      </c>
      <c r="IE16" s="19" t="s">
        <v>10</v>
      </c>
      <c r="IF16" s="20" t="s">
        <v>11</v>
      </c>
    </row>
    <row r="17" spans="1:380" thickBot="1" x14ac:dyDescent="0.3">
      <c r="A17" s="19" t="s">
        <v>4</v>
      </c>
      <c r="B17" s="20" t="s">
        <v>28</v>
      </c>
      <c r="C17" s="19" t="s">
        <v>5</v>
      </c>
      <c r="D17" s="20" t="s">
        <v>27</v>
      </c>
      <c r="E17" s="19" t="s">
        <v>6</v>
      </c>
      <c r="F17" s="20" t="s">
        <v>26</v>
      </c>
      <c r="G17" s="19" t="s">
        <v>7</v>
      </c>
      <c r="H17" s="20" t="s">
        <v>25</v>
      </c>
      <c r="I17" s="19" t="s">
        <v>8</v>
      </c>
      <c r="J17" s="20" t="s">
        <v>24</v>
      </c>
      <c r="K17" s="19" t="s">
        <v>9</v>
      </c>
      <c r="L17" s="20" t="s">
        <v>23</v>
      </c>
      <c r="M17" s="19" t="s">
        <v>10</v>
      </c>
      <c r="N17" s="20" t="s">
        <v>22</v>
      </c>
      <c r="O17" s="19" t="s">
        <v>11</v>
      </c>
      <c r="P17" s="20" t="s">
        <v>12</v>
      </c>
      <c r="Q17" s="19" t="s">
        <v>3</v>
      </c>
      <c r="R17" s="20" t="s">
        <v>28</v>
      </c>
      <c r="S17" s="19" t="s">
        <v>4</v>
      </c>
      <c r="T17" s="20" t="s">
        <v>26</v>
      </c>
      <c r="U17" s="19" t="s">
        <v>5</v>
      </c>
      <c r="V17" s="20" t="s">
        <v>25</v>
      </c>
      <c r="W17" s="19" t="s">
        <v>6</v>
      </c>
      <c r="X17" s="20" t="s">
        <v>24</v>
      </c>
      <c r="Y17" s="19" t="s">
        <v>7</v>
      </c>
      <c r="Z17" s="20" t="s">
        <v>23</v>
      </c>
      <c r="AA17" s="19" t="s">
        <v>8</v>
      </c>
      <c r="AB17" s="20" t="s">
        <v>22</v>
      </c>
      <c r="AC17" s="19" t="s">
        <v>9</v>
      </c>
      <c r="AD17" s="20" t="s">
        <v>12</v>
      </c>
      <c r="AE17" s="19" t="s">
        <v>10</v>
      </c>
      <c r="AF17" s="20" t="s">
        <v>11</v>
      </c>
      <c r="AG17" s="19" t="s">
        <v>3</v>
      </c>
      <c r="AH17" s="20" t="s">
        <v>27</v>
      </c>
      <c r="AI17" s="19" t="s">
        <v>28</v>
      </c>
      <c r="AJ17" s="20" t="s">
        <v>26</v>
      </c>
      <c r="AK17" s="19" t="s">
        <v>4</v>
      </c>
      <c r="AL17" s="20" t="s">
        <v>24</v>
      </c>
      <c r="AM17" s="19" t="s">
        <v>5</v>
      </c>
      <c r="AN17" s="20" t="s">
        <v>23</v>
      </c>
      <c r="AO17" s="19" t="s">
        <v>6</v>
      </c>
      <c r="AP17" s="20" t="s">
        <v>22</v>
      </c>
      <c r="AQ17" s="19" t="s">
        <v>7</v>
      </c>
      <c r="AR17" s="20" t="s">
        <v>12</v>
      </c>
      <c r="AS17" s="19" t="s">
        <v>8</v>
      </c>
      <c r="AT17" s="20" t="s">
        <v>11</v>
      </c>
      <c r="AU17" s="19" t="s">
        <v>9</v>
      </c>
      <c r="AV17" s="20" t="s">
        <v>10</v>
      </c>
      <c r="AW17" s="19" t="s">
        <v>3</v>
      </c>
      <c r="AX17" s="20" t="s">
        <v>26</v>
      </c>
      <c r="AY17" s="19" t="s">
        <v>27</v>
      </c>
      <c r="AZ17" s="20" t="s">
        <v>25</v>
      </c>
      <c r="BA17" s="19" t="s">
        <v>28</v>
      </c>
      <c r="BB17" s="20" t="s">
        <v>24</v>
      </c>
      <c r="BC17" s="19" t="s">
        <v>4</v>
      </c>
      <c r="BD17" s="20" t="s">
        <v>22</v>
      </c>
      <c r="BE17" s="19" t="s">
        <v>5</v>
      </c>
      <c r="BF17" s="20" t="s">
        <v>12</v>
      </c>
      <c r="BG17" s="19" t="s">
        <v>6</v>
      </c>
      <c r="BH17" s="20" t="s">
        <v>11</v>
      </c>
      <c r="BI17" s="19" t="s">
        <v>7</v>
      </c>
      <c r="BJ17" s="20" t="s">
        <v>10</v>
      </c>
      <c r="BK17" s="19" t="s">
        <v>8</v>
      </c>
      <c r="BL17" s="20" t="s">
        <v>9</v>
      </c>
      <c r="BM17" s="19" t="s">
        <v>3</v>
      </c>
      <c r="BN17" s="20" t="s">
        <v>25</v>
      </c>
      <c r="BO17" s="19" t="s">
        <v>26</v>
      </c>
      <c r="BP17" s="20" t="s">
        <v>24</v>
      </c>
      <c r="BQ17" s="19" t="s">
        <v>27</v>
      </c>
      <c r="BR17" s="20" t="s">
        <v>23</v>
      </c>
      <c r="BS17" s="19" t="s">
        <v>28</v>
      </c>
      <c r="BT17" s="20" t="s">
        <v>22</v>
      </c>
      <c r="BU17" s="19" t="s">
        <v>4</v>
      </c>
      <c r="BV17" s="20" t="s">
        <v>11</v>
      </c>
      <c r="BW17" s="19" t="s">
        <v>5</v>
      </c>
      <c r="BX17" s="20" t="s">
        <v>10</v>
      </c>
      <c r="BY17" s="19" t="s">
        <v>6</v>
      </c>
      <c r="BZ17" s="20" t="s">
        <v>9</v>
      </c>
      <c r="CA17" s="19" t="s">
        <v>7</v>
      </c>
      <c r="CB17" s="20" t="s">
        <v>8</v>
      </c>
      <c r="CC17" s="19" t="s">
        <v>3</v>
      </c>
      <c r="CD17" s="20" t="s">
        <v>24</v>
      </c>
      <c r="CE17" s="19" t="s">
        <v>25</v>
      </c>
      <c r="CF17" s="20" t="s">
        <v>23</v>
      </c>
      <c r="CG17" s="19" t="s">
        <v>26</v>
      </c>
      <c r="CH17" s="20" t="s">
        <v>22</v>
      </c>
      <c r="CI17" s="19" t="s">
        <v>27</v>
      </c>
      <c r="CJ17" s="20" t="s">
        <v>12</v>
      </c>
      <c r="CK17" s="19" t="s">
        <v>28</v>
      </c>
      <c r="CL17" s="20" t="s">
        <v>11</v>
      </c>
      <c r="CM17" s="19" t="s">
        <v>4</v>
      </c>
      <c r="CN17" s="20" t="s">
        <v>9</v>
      </c>
      <c r="CO17" s="19" t="s">
        <v>5</v>
      </c>
      <c r="CP17" s="20" t="s">
        <v>8</v>
      </c>
      <c r="CQ17" s="19" t="s">
        <v>6</v>
      </c>
      <c r="CR17" s="20" t="s">
        <v>7</v>
      </c>
      <c r="CS17" s="19" t="s">
        <v>3</v>
      </c>
      <c r="CT17" s="20" t="s">
        <v>23</v>
      </c>
      <c r="CU17" s="19" t="s">
        <v>24</v>
      </c>
      <c r="CV17" s="20" t="s">
        <v>22</v>
      </c>
      <c r="CW17" s="19" t="s">
        <v>25</v>
      </c>
      <c r="CX17" s="20" t="s">
        <v>12</v>
      </c>
      <c r="CY17" s="19" t="s">
        <v>26</v>
      </c>
      <c r="CZ17" s="20" t="s">
        <v>11</v>
      </c>
      <c r="DA17" s="19" t="s">
        <v>27</v>
      </c>
      <c r="DB17" s="20" t="s">
        <v>10</v>
      </c>
      <c r="DC17" s="19" t="s">
        <v>28</v>
      </c>
      <c r="DD17" s="20" t="s">
        <v>9</v>
      </c>
      <c r="DE17" s="19" t="s">
        <v>4</v>
      </c>
      <c r="DF17" s="20" t="s">
        <v>7</v>
      </c>
      <c r="DG17" s="19" t="s">
        <v>5</v>
      </c>
      <c r="DH17" s="20" t="s">
        <v>6</v>
      </c>
      <c r="DI17" s="19" t="s">
        <v>3</v>
      </c>
      <c r="DJ17" s="20" t="s">
        <v>22</v>
      </c>
      <c r="DK17" s="19" t="s">
        <v>23</v>
      </c>
      <c r="DL17" s="20" t="s">
        <v>12</v>
      </c>
      <c r="DM17" s="19" t="s">
        <v>24</v>
      </c>
      <c r="DN17" s="20" t="s">
        <v>11</v>
      </c>
      <c r="DO17" s="19" t="s">
        <v>25</v>
      </c>
      <c r="DP17" s="20" t="s">
        <v>10</v>
      </c>
      <c r="DQ17" s="19" t="s">
        <v>26</v>
      </c>
      <c r="DR17" s="20" t="s">
        <v>9</v>
      </c>
      <c r="DS17" s="19" t="s">
        <v>27</v>
      </c>
      <c r="DT17" s="20" t="s">
        <v>8</v>
      </c>
      <c r="DU17" s="19" t="s">
        <v>28</v>
      </c>
      <c r="DV17" s="20" t="s">
        <v>7</v>
      </c>
      <c r="DW17" s="19" t="s">
        <v>4</v>
      </c>
      <c r="DX17" s="20" t="s">
        <v>5</v>
      </c>
      <c r="DY17" s="19" t="s">
        <v>3</v>
      </c>
      <c r="DZ17" s="20" t="s">
        <v>12</v>
      </c>
      <c r="EA17" s="19" t="s">
        <v>22</v>
      </c>
      <c r="EB17" s="20" t="s">
        <v>11</v>
      </c>
      <c r="EC17" s="19" t="s">
        <v>23</v>
      </c>
      <c r="ED17" s="20" t="s">
        <v>10</v>
      </c>
      <c r="EE17" s="19" t="s">
        <v>24</v>
      </c>
      <c r="EF17" s="20" t="s">
        <v>9</v>
      </c>
      <c r="EG17" s="19" t="s">
        <v>25</v>
      </c>
      <c r="EH17" s="20" t="s">
        <v>8</v>
      </c>
      <c r="EI17" s="19" t="s">
        <v>26</v>
      </c>
      <c r="EJ17" s="20" t="s">
        <v>7</v>
      </c>
      <c r="EK17" s="19" t="s">
        <v>27</v>
      </c>
      <c r="EL17" s="20" t="s">
        <v>6</v>
      </c>
      <c r="EM17" s="19" t="s">
        <v>28</v>
      </c>
      <c r="EN17" s="20" t="s">
        <v>5</v>
      </c>
      <c r="EO17" s="19" t="s">
        <v>3</v>
      </c>
      <c r="EP17" s="20" t="s">
        <v>11</v>
      </c>
      <c r="EQ17" s="19" t="s">
        <v>12</v>
      </c>
      <c r="ER17" s="20" t="s">
        <v>10</v>
      </c>
      <c r="ES17" s="19" t="s">
        <v>22</v>
      </c>
      <c r="ET17" s="20" t="s">
        <v>9</v>
      </c>
      <c r="EU17" s="19" t="s">
        <v>23</v>
      </c>
      <c r="EV17" s="20" t="s">
        <v>8</v>
      </c>
      <c r="EW17" s="19" t="s">
        <v>24</v>
      </c>
      <c r="EX17" s="20" t="s">
        <v>7</v>
      </c>
      <c r="EY17" s="19" t="s">
        <v>25</v>
      </c>
      <c r="EZ17" s="20" t="s">
        <v>6</v>
      </c>
      <c r="FA17" s="19" t="s">
        <v>26</v>
      </c>
      <c r="FB17" s="20" t="s">
        <v>5</v>
      </c>
      <c r="FC17" s="19" t="s">
        <v>27</v>
      </c>
      <c r="FD17" s="20" t="s">
        <v>4</v>
      </c>
      <c r="FE17" s="19" t="s">
        <v>3</v>
      </c>
      <c r="FF17" s="20" t="s">
        <v>10</v>
      </c>
      <c r="FG17" s="19" t="s">
        <v>11</v>
      </c>
      <c r="FH17" s="20" t="s">
        <v>9</v>
      </c>
      <c r="FI17" s="19" t="s">
        <v>12</v>
      </c>
      <c r="FJ17" s="20" t="s">
        <v>8</v>
      </c>
      <c r="FK17" s="19" t="s">
        <v>22</v>
      </c>
      <c r="FL17" s="20" t="s">
        <v>7</v>
      </c>
      <c r="FM17" s="19" t="s">
        <v>23</v>
      </c>
      <c r="FN17" s="20" t="s">
        <v>6</v>
      </c>
      <c r="FO17" s="19" t="s">
        <v>24</v>
      </c>
      <c r="FP17" s="20" t="s">
        <v>5</v>
      </c>
      <c r="FQ17" s="19" t="s">
        <v>25</v>
      </c>
      <c r="FR17" s="20" t="s">
        <v>4</v>
      </c>
      <c r="FS17" s="19" t="s">
        <v>27</v>
      </c>
      <c r="FT17" s="20" t="s">
        <v>28</v>
      </c>
      <c r="FU17" s="19" t="s">
        <v>3</v>
      </c>
      <c r="FV17" s="20" t="s">
        <v>9</v>
      </c>
      <c r="FW17" s="19" t="s">
        <v>10</v>
      </c>
      <c r="FX17" s="20" t="s">
        <v>8</v>
      </c>
      <c r="FY17" s="19" t="s">
        <v>11</v>
      </c>
      <c r="FZ17" s="20" t="s">
        <v>7</v>
      </c>
      <c r="GA17" s="19" t="s">
        <v>12</v>
      </c>
      <c r="GB17" s="20" t="s">
        <v>6</v>
      </c>
      <c r="GC17" s="19" t="s">
        <v>22</v>
      </c>
      <c r="GD17" s="20" t="s">
        <v>5</v>
      </c>
      <c r="GE17" s="19" t="s">
        <v>23</v>
      </c>
      <c r="GF17" s="20" t="s">
        <v>4</v>
      </c>
      <c r="GG17" s="19" t="s">
        <v>25</v>
      </c>
      <c r="GH17" s="20" t="s">
        <v>28</v>
      </c>
      <c r="GI17" s="19" t="s">
        <v>26</v>
      </c>
      <c r="GJ17" s="20" t="s">
        <v>27</v>
      </c>
      <c r="GK17" s="19" t="s">
        <v>3</v>
      </c>
      <c r="GL17" s="20" t="s">
        <v>8</v>
      </c>
      <c r="GM17" s="19" t="s">
        <v>9</v>
      </c>
      <c r="GN17" s="20" t="s">
        <v>7</v>
      </c>
      <c r="GO17" s="19" t="s">
        <v>10</v>
      </c>
      <c r="GP17" s="20" t="s">
        <v>6</v>
      </c>
      <c r="GQ17" s="19" t="s">
        <v>11</v>
      </c>
      <c r="GR17" s="20" t="s">
        <v>5</v>
      </c>
      <c r="GS17" s="19" t="s">
        <v>12</v>
      </c>
      <c r="GT17" s="20" t="s">
        <v>4</v>
      </c>
      <c r="GU17" s="19" t="s">
        <v>23</v>
      </c>
      <c r="GV17" s="20" t="s">
        <v>28</v>
      </c>
      <c r="GW17" s="19" t="s">
        <v>24</v>
      </c>
      <c r="GX17" s="20" t="s">
        <v>27</v>
      </c>
      <c r="GY17" s="19" t="s">
        <v>25</v>
      </c>
      <c r="GZ17" s="20" t="s">
        <v>26</v>
      </c>
      <c r="HA17" s="19" t="s">
        <v>3</v>
      </c>
      <c r="HB17" s="20" t="s">
        <v>7</v>
      </c>
      <c r="HC17" s="19" t="s">
        <v>8</v>
      </c>
      <c r="HD17" s="20" t="s">
        <v>6</v>
      </c>
      <c r="HE17" s="19" t="s">
        <v>9</v>
      </c>
      <c r="HF17" s="20" t="s">
        <v>5</v>
      </c>
      <c r="HG17" s="19" t="s">
        <v>10</v>
      </c>
      <c r="HH17" s="20" t="s">
        <v>4</v>
      </c>
      <c r="HI17" s="19" t="s">
        <v>12</v>
      </c>
      <c r="HJ17" s="20" t="s">
        <v>28</v>
      </c>
      <c r="HK17" s="19" t="s">
        <v>22</v>
      </c>
      <c r="HL17" s="20" t="s">
        <v>27</v>
      </c>
      <c r="HM17" s="19" t="s">
        <v>23</v>
      </c>
      <c r="HN17" s="20" t="s">
        <v>26</v>
      </c>
      <c r="HO17" s="19" t="s">
        <v>24</v>
      </c>
      <c r="HP17" s="20" t="s">
        <v>25</v>
      </c>
      <c r="HQ17" s="19" t="s">
        <v>3</v>
      </c>
      <c r="HR17" s="20" t="s">
        <v>6</v>
      </c>
      <c r="HS17" s="19" t="s">
        <v>7</v>
      </c>
      <c r="HT17" s="20" t="s">
        <v>5</v>
      </c>
      <c r="HU17" s="19" t="s">
        <v>8</v>
      </c>
      <c r="HV17" s="20" t="s">
        <v>4</v>
      </c>
      <c r="HW17" s="19" t="s">
        <v>10</v>
      </c>
      <c r="HX17" s="20" t="s">
        <v>28</v>
      </c>
      <c r="HY17" s="19" t="s">
        <v>11</v>
      </c>
      <c r="HZ17" s="20" t="s">
        <v>27</v>
      </c>
      <c r="IA17" s="19" t="s">
        <v>12</v>
      </c>
      <c r="IB17" s="20" t="s">
        <v>26</v>
      </c>
      <c r="IC17" s="19" t="s">
        <v>22</v>
      </c>
      <c r="ID17" s="20" t="s">
        <v>25</v>
      </c>
      <c r="IE17" s="19" t="s">
        <v>23</v>
      </c>
      <c r="IF17" s="20" t="s">
        <v>24</v>
      </c>
      <c r="IG17" s="19" t="s">
        <v>3</v>
      </c>
      <c r="IH17" s="20" t="s">
        <v>5</v>
      </c>
      <c r="II17" s="19" t="s">
        <v>6</v>
      </c>
      <c r="IJ17" s="20" t="s">
        <v>4</v>
      </c>
      <c r="IK17" s="19" t="s">
        <v>8</v>
      </c>
      <c r="IL17" s="20" t="s">
        <v>28</v>
      </c>
      <c r="IM17" s="19" t="s">
        <v>9</v>
      </c>
      <c r="IN17" s="20" t="s">
        <v>27</v>
      </c>
      <c r="IO17" s="19" t="s">
        <v>10</v>
      </c>
      <c r="IP17" s="20" t="s">
        <v>26</v>
      </c>
      <c r="IQ17" s="19" t="s">
        <v>11</v>
      </c>
      <c r="IR17" s="20" t="s">
        <v>25</v>
      </c>
      <c r="IS17" s="19" t="s">
        <v>12</v>
      </c>
      <c r="IT17" s="20" t="s">
        <v>24</v>
      </c>
      <c r="IU17" s="19" t="s">
        <v>22</v>
      </c>
      <c r="IV17" s="20" t="s">
        <v>23</v>
      </c>
      <c r="IW17" s="19" t="s">
        <v>3</v>
      </c>
      <c r="IX17" s="20" t="s">
        <v>4</v>
      </c>
      <c r="IY17" s="19" t="s">
        <v>6</v>
      </c>
      <c r="IZ17" s="20" t="s">
        <v>28</v>
      </c>
      <c r="JA17" s="19" t="s">
        <v>7</v>
      </c>
      <c r="JB17" s="20" t="s">
        <v>27</v>
      </c>
      <c r="JC17" s="19" t="s">
        <v>8</v>
      </c>
      <c r="JD17" s="20" t="s">
        <v>26</v>
      </c>
      <c r="JE17" s="19" t="s">
        <v>9</v>
      </c>
      <c r="JF17" s="20" t="s">
        <v>25</v>
      </c>
      <c r="JG17" s="19" t="s">
        <v>10</v>
      </c>
      <c r="JH17" s="20" t="s">
        <v>24</v>
      </c>
      <c r="JI17" s="19" t="s">
        <v>11</v>
      </c>
      <c r="JJ17" s="20" t="s">
        <v>23</v>
      </c>
      <c r="JK17" s="19" t="s">
        <v>12</v>
      </c>
      <c r="JL17" s="20" t="s">
        <v>22</v>
      </c>
    </row>
    <row r="18" spans="1:380" thickBot="1" x14ac:dyDescent="0.3">
      <c r="A18" s="19" t="s">
        <v>3</v>
      </c>
      <c r="B18" s="20" t="s">
        <v>29</v>
      </c>
      <c r="C18" s="19" t="s">
        <v>4</v>
      </c>
      <c r="D18" s="20" t="s">
        <v>28</v>
      </c>
      <c r="E18" s="19" t="s">
        <v>5</v>
      </c>
      <c r="F18" s="20" t="s">
        <v>27</v>
      </c>
      <c r="G18" s="19" t="s">
        <v>6</v>
      </c>
      <c r="H18" s="20" t="s">
        <v>26</v>
      </c>
      <c r="I18" s="19" t="s">
        <v>7</v>
      </c>
      <c r="J18" s="20" t="s">
        <v>25</v>
      </c>
      <c r="K18" s="19" t="s">
        <v>8</v>
      </c>
      <c r="L18" s="20" t="s">
        <v>24</v>
      </c>
      <c r="M18" s="19" t="s">
        <v>9</v>
      </c>
      <c r="N18" s="20" t="s">
        <v>23</v>
      </c>
      <c r="O18" s="19" t="s">
        <v>10</v>
      </c>
      <c r="P18" s="20" t="s">
        <v>22</v>
      </c>
      <c r="Q18" s="19" t="s">
        <v>11</v>
      </c>
      <c r="R18" s="20" t="s">
        <v>12</v>
      </c>
      <c r="S18" s="19" t="s">
        <v>3</v>
      </c>
      <c r="T18" s="20" t="s">
        <v>28</v>
      </c>
      <c r="U18" s="19" t="s">
        <v>29</v>
      </c>
      <c r="V18" s="20" t="s">
        <v>27</v>
      </c>
      <c r="W18" s="19" t="s">
        <v>4</v>
      </c>
      <c r="X18" s="20" t="s">
        <v>26</v>
      </c>
      <c r="Y18" s="19" t="s">
        <v>5</v>
      </c>
      <c r="Z18" s="20" t="s">
        <v>25</v>
      </c>
      <c r="AA18" s="19" t="s">
        <v>6</v>
      </c>
      <c r="AB18" s="20" t="s">
        <v>24</v>
      </c>
      <c r="AC18" s="19" t="s">
        <v>7</v>
      </c>
      <c r="AD18" s="20" t="s">
        <v>23</v>
      </c>
      <c r="AE18" s="19" t="s">
        <v>8</v>
      </c>
      <c r="AF18" s="20" t="s">
        <v>22</v>
      </c>
      <c r="AG18" s="19" t="s">
        <v>9</v>
      </c>
      <c r="AH18" s="20" t="s">
        <v>12</v>
      </c>
      <c r="AI18" s="19" t="s">
        <v>10</v>
      </c>
      <c r="AJ18" s="20" t="s">
        <v>11</v>
      </c>
      <c r="AK18" s="19" t="s">
        <v>3</v>
      </c>
      <c r="AL18" s="20" t="s">
        <v>27</v>
      </c>
      <c r="AM18" s="19" t="s">
        <v>28</v>
      </c>
      <c r="AN18" s="20" t="s">
        <v>26</v>
      </c>
      <c r="AO18" s="19" t="s">
        <v>29</v>
      </c>
      <c r="AP18" s="20" t="s">
        <v>25</v>
      </c>
      <c r="AQ18" s="19" t="s">
        <v>4</v>
      </c>
      <c r="AR18" s="20" t="s">
        <v>24</v>
      </c>
      <c r="AS18" s="19" t="s">
        <v>5</v>
      </c>
      <c r="AT18" s="20" t="s">
        <v>23</v>
      </c>
      <c r="AU18" s="19" t="s">
        <v>6</v>
      </c>
      <c r="AV18" s="20" t="s">
        <v>22</v>
      </c>
      <c r="AW18" s="19" t="s">
        <v>7</v>
      </c>
      <c r="AX18" s="20" t="s">
        <v>12</v>
      </c>
      <c r="AY18" s="19" t="s">
        <v>8</v>
      </c>
      <c r="AZ18" s="20" t="s">
        <v>11</v>
      </c>
      <c r="BA18" s="19" t="s">
        <v>9</v>
      </c>
      <c r="BB18" s="20" t="s">
        <v>10</v>
      </c>
      <c r="BC18" s="19" t="s">
        <v>3</v>
      </c>
      <c r="BD18" s="20" t="s">
        <v>26</v>
      </c>
      <c r="BE18" s="19" t="s">
        <v>27</v>
      </c>
      <c r="BF18" s="20" t="s">
        <v>25</v>
      </c>
      <c r="BG18" s="19" t="s">
        <v>28</v>
      </c>
      <c r="BH18" s="20" t="s">
        <v>24</v>
      </c>
      <c r="BI18" s="19" t="s">
        <v>29</v>
      </c>
      <c r="BJ18" s="20" t="s">
        <v>23</v>
      </c>
      <c r="BK18" s="19" t="s">
        <v>4</v>
      </c>
      <c r="BL18" s="20" t="s">
        <v>22</v>
      </c>
      <c r="BM18" s="19" t="s">
        <v>5</v>
      </c>
      <c r="BN18" s="20" t="s">
        <v>12</v>
      </c>
      <c r="BO18" s="19" t="s">
        <v>6</v>
      </c>
      <c r="BP18" s="20" t="s">
        <v>11</v>
      </c>
      <c r="BQ18" s="19" t="s">
        <v>7</v>
      </c>
      <c r="BR18" s="20" t="s">
        <v>10</v>
      </c>
      <c r="BS18" s="19" t="s">
        <v>8</v>
      </c>
      <c r="BT18" s="20" t="s">
        <v>9</v>
      </c>
      <c r="BU18" s="19" t="s">
        <v>3</v>
      </c>
      <c r="BV18" s="20" t="s">
        <v>25</v>
      </c>
      <c r="BW18" s="19" t="s">
        <v>26</v>
      </c>
      <c r="BX18" s="20" t="s">
        <v>24</v>
      </c>
      <c r="BY18" s="19" t="s">
        <v>27</v>
      </c>
      <c r="BZ18" s="20" t="s">
        <v>23</v>
      </c>
      <c r="CA18" s="19" t="s">
        <v>28</v>
      </c>
      <c r="CB18" s="20" t="s">
        <v>22</v>
      </c>
      <c r="CC18" s="19" t="s">
        <v>29</v>
      </c>
      <c r="CD18" s="20" t="s">
        <v>12</v>
      </c>
      <c r="CE18" s="19" t="s">
        <v>4</v>
      </c>
      <c r="CF18" s="20" t="s">
        <v>11</v>
      </c>
      <c r="CG18" s="19" t="s">
        <v>5</v>
      </c>
      <c r="CH18" s="20" t="s">
        <v>10</v>
      </c>
      <c r="CI18" s="19" t="s">
        <v>6</v>
      </c>
      <c r="CJ18" s="20" t="s">
        <v>9</v>
      </c>
      <c r="CK18" s="19" t="s">
        <v>7</v>
      </c>
      <c r="CL18" s="20" t="s">
        <v>8</v>
      </c>
      <c r="CM18" s="19" t="s">
        <v>3</v>
      </c>
      <c r="CN18" s="20" t="s">
        <v>24</v>
      </c>
      <c r="CO18" s="19" t="s">
        <v>25</v>
      </c>
      <c r="CP18" s="20" t="s">
        <v>23</v>
      </c>
      <c r="CQ18" s="19" t="s">
        <v>26</v>
      </c>
      <c r="CR18" s="20" t="s">
        <v>22</v>
      </c>
      <c r="CS18" s="19" t="s">
        <v>27</v>
      </c>
      <c r="CT18" s="20" t="s">
        <v>12</v>
      </c>
      <c r="CU18" s="19" t="s">
        <v>28</v>
      </c>
      <c r="CV18" s="20" t="s">
        <v>11</v>
      </c>
      <c r="CW18" s="19" t="s">
        <v>29</v>
      </c>
      <c r="CX18" s="20" t="s">
        <v>10</v>
      </c>
      <c r="CY18" s="19" t="s">
        <v>4</v>
      </c>
      <c r="CZ18" s="20" t="s">
        <v>9</v>
      </c>
      <c r="DA18" s="19" t="s">
        <v>5</v>
      </c>
      <c r="DB18" s="20" t="s">
        <v>8</v>
      </c>
      <c r="DC18" s="19" t="s">
        <v>6</v>
      </c>
      <c r="DD18" s="20" t="s">
        <v>7</v>
      </c>
      <c r="DE18" s="19" t="s">
        <v>3</v>
      </c>
      <c r="DF18" s="20" t="s">
        <v>23</v>
      </c>
      <c r="DG18" s="19" t="s">
        <v>24</v>
      </c>
      <c r="DH18" s="20" t="s">
        <v>22</v>
      </c>
      <c r="DI18" s="19" t="s">
        <v>25</v>
      </c>
      <c r="DJ18" s="20" t="s">
        <v>12</v>
      </c>
      <c r="DK18" s="19" t="s">
        <v>26</v>
      </c>
      <c r="DL18" s="20" t="s">
        <v>11</v>
      </c>
      <c r="DM18" s="19" t="s">
        <v>27</v>
      </c>
      <c r="DN18" s="20" t="s">
        <v>10</v>
      </c>
      <c r="DO18" s="19" t="s">
        <v>28</v>
      </c>
      <c r="DP18" s="20" t="s">
        <v>9</v>
      </c>
      <c r="DQ18" s="19" t="s">
        <v>29</v>
      </c>
      <c r="DR18" s="20" t="s">
        <v>8</v>
      </c>
      <c r="DS18" s="19" t="s">
        <v>4</v>
      </c>
      <c r="DT18" s="20" t="s">
        <v>7</v>
      </c>
      <c r="DU18" s="19" t="s">
        <v>5</v>
      </c>
      <c r="DV18" s="20" t="s">
        <v>6</v>
      </c>
      <c r="DW18" s="19" t="s">
        <v>3</v>
      </c>
      <c r="DX18" s="20" t="s">
        <v>22</v>
      </c>
      <c r="DY18" s="19" t="s">
        <v>23</v>
      </c>
      <c r="DZ18" s="20" t="s">
        <v>12</v>
      </c>
      <c r="EA18" s="19" t="s">
        <v>24</v>
      </c>
      <c r="EB18" s="20" t="s">
        <v>11</v>
      </c>
      <c r="EC18" s="19" t="s">
        <v>25</v>
      </c>
      <c r="ED18" s="20" t="s">
        <v>10</v>
      </c>
      <c r="EE18" s="19" t="s">
        <v>26</v>
      </c>
      <c r="EF18" s="20" t="s">
        <v>9</v>
      </c>
      <c r="EG18" s="19" t="s">
        <v>27</v>
      </c>
      <c r="EH18" s="20" t="s">
        <v>8</v>
      </c>
      <c r="EI18" s="19" t="s">
        <v>28</v>
      </c>
      <c r="EJ18" s="20" t="s">
        <v>7</v>
      </c>
      <c r="EK18" s="19" t="s">
        <v>29</v>
      </c>
      <c r="EL18" s="20" t="s">
        <v>6</v>
      </c>
      <c r="EM18" s="19" t="s">
        <v>4</v>
      </c>
      <c r="EN18" s="20" t="s">
        <v>5</v>
      </c>
      <c r="EO18" s="19" t="s">
        <v>3</v>
      </c>
      <c r="EP18" s="20" t="s">
        <v>12</v>
      </c>
      <c r="EQ18" s="19" t="s">
        <v>22</v>
      </c>
      <c r="ER18" s="20" t="s">
        <v>11</v>
      </c>
      <c r="ES18" s="19" t="s">
        <v>23</v>
      </c>
      <c r="ET18" s="20" t="s">
        <v>10</v>
      </c>
      <c r="EU18" s="19" t="s">
        <v>24</v>
      </c>
      <c r="EV18" s="20" t="s">
        <v>9</v>
      </c>
      <c r="EW18" s="19" t="s">
        <v>25</v>
      </c>
      <c r="EX18" s="20" t="s">
        <v>8</v>
      </c>
      <c r="EY18" s="19" t="s">
        <v>26</v>
      </c>
      <c r="EZ18" s="20" t="s">
        <v>7</v>
      </c>
      <c r="FA18" s="19" t="s">
        <v>27</v>
      </c>
      <c r="FB18" s="20" t="s">
        <v>6</v>
      </c>
      <c r="FC18" s="19" t="s">
        <v>28</v>
      </c>
      <c r="FD18" s="20" t="s">
        <v>5</v>
      </c>
      <c r="FE18" s="19" t="s">
        <v>29</v>
      </c>
      <c r="FF18" s="20" t="s">
        <v>4</v>
      </c>
      <c r="FG18" s="19" t="s">
        <v>3</v>
      </c>
      <c r="FH18" s="20" t="s">
        <v>11</v>
      </c>
      <c r="FI18" s="19" t="s">
        <v>12</v>
      </c>
      <c r="FJ18" s="20" t="s">
        <v>10</v>
      </c>
      <c r="FK18" s="19" t="s">
        <v>22</v>
      </c>
      <c r="FL18" s="20" t="s">
        <v>9</v>
      </c>
      <c r="FM18" s="19" t="s">
        <v>23</v>
      </c>
      <c r="FN18" s="20" t="s">
        <v>8</v>
      </c>
      <c r="FO18" s="19" t="s">
        <v>24</v>
      </c>
      <c r="FP18" s="20" t="s">
        <v>7</v>
      </c>
      <c r="FQ18" s="19" t="s">
        <v>25</v>
      </c>
      <c r="FR18" s="20" t="s">
        <v>6</v>
      </c>
      <c r="FS18" s="19" t="s">
        <v>26</v>
      </c>
      <c r="FT18" s="20" t="s">
        <v>5</v>
      </c>
      <c r="FU18" s="19" t="s">
        <v>27</v>
      </c>
      <c r="FV18" s="20" t="s">
        <v>4</v>
      </c>
      <c r="FW18" s="19" t="s">
        <v>28</v>
      </c>
      <c r="FX18" s="20" t="s">
        <v>29</v>
      </c>
      <c r="FY18" s="19" t="s">
        <v>3</v>
      </c>
      <c r="FZ18" s="20" t="s">
        <v>10</v>
      </c>
      <c r="GA18" s="19" t="s">
        <v>11</v>
      </c>
      <c r="GB18" s="20" t="s">
        <v>9</v>
      </c>
      <c r="GC18" s="19" t="s">
        <v>12</v>
      </c>
      <c r="GD18" s="20" t="s">
        <v>8</v>
      </c>
      <c r="GE18" s="19" t="s">
        <v>22</v>
      </c>
      <c r="GF18" s="20" t="s">
        <v>7</v>
      </c>
      <c r="GG18" s="19" t="s">
        <v>23</v>
      </c>
      <c r="GH18" s="20" t="s">
        <v>6</v>
      </c>
      <c r="GI18" s="19" t="s">
        <v>24</v>
      </c>
      <c r="GJ18" s="20" t="s">
        <v>5</v>
      </c>
      <c r="GK18" s="19" t="s">
        <v>25</v>
      </c>
      <c r="GL18" s="20" t="s">
        <v>4</v>
      </c>
      <c r="GM18" s="19" t="s">
        <v>26</v>
      </c>
      <c r="GN18" s="20" t="s">
        <v>29</v>
      </c>
      <c r="GO18" s="19" t="s">
        <v>27</v>
      </c>
      <c r="GP18" s="20" t="s">
        <v>28</v>
      </c>
      <c r="GQ18" s="19" t="s">
        <v>3</v>
      </c>
      <c r="GR18" s="20" t="s">
        <v>9</v>
      </c>
      <c r="GS18" s="19" t="s">
        <v>10</v>
      </c>
      <c r="GT18" s="20" t="s">
        <v>8</v>
      </c>
      <c r="GU18" s="19" t="s">
        <v>11</v>
      </c>
      <c r="GV18" s="20" t="s">
        <v>7</v>
      </c>
      <c r="GW18" s="19" t="s">
        <v>12</v>
      </c>
      <c r="GX18" s="20" t="s">
        <v>6</v>
      </c>
      <c r="GY18" s="19" t="s">
        <v>22</v>
      </c>
      <c r="GZ18" s="20" t="s">
        <v>5</v>
      </c>
      <c r="HA18" s="19" t="s">
        <v>23</v>
      </c>
      <c r="HB18" s="20" t="s">
        <v>4</v>
      </c>
      <c r="HC18" s="19" t="s">
        <v>24</v>
      </c>
      <c r="HD18" s="20" t="s">
        <v>29</v>
      </c>
      <c r="HE18" s="19" t="s">
        <v>25</v>
      </c>
      <c r="HF18" s="20" t="s">
        <v>28</v>
      </c>
      <c r="HG18" s="19" t="s">
        <v>26</v>
      </c>
      <c r="HH18" s="20" t="s">
        <v>27</v>
      </c>
      <c r="HI18" s="19" t="s">
        <v>3</v>
      </c>
      <c r="HJ18" s="20" t="s">
        <v>8</v>
      </c>
      <c r="HK18" s="19" t="s">
        <v>9</v>
      </c>
      <c r="HL18" s="20" t="s">
        <v>7</v>
      </c>
      <c r="HM18" s="19" t="s">
        <v>10</v>
      </c>
      <c r="HN18" s="20" t="s">
        <v>6</v>
      </c>
      <c r="HO18" s="19" t="s">
        <v>11</v>
      </c>
      <c r="HP18" s="20" t="s">
        <v>5</v>
      </c>
      <c r="HQ18" s="19" t="s">
        <v>12</v>
      </c>
      <c r="HR18" s="20" t="s">
        <v>4</v>
      </c>
      <c r="HS18" s="19" t="s">
        <v>22</v>
      </c>
      <c r="HT18" s="20" t="s">
        <v>29</v>
      </c>
      <c r="HU18" s="19" t="s">
        <v>23</v>
      </c>
      <c r="HV18" s="20" t="s">
        <v>28</v>
      </c>
      <c r="HW18" s="19" t="s">
        <v>24</v>
      </c>
      <c r="HX18" s="20" t="s">
        <v>27</v>
      </c>
      <c r="HY18" s="19" t="s">
        <v>25</v>
      </c>
      <c r="HZ18" s="20" t="s">
        <v>26</v>
      </c>
      <c r="IA18" s="19" t="s">
        <v>3</v>
      </c>
      <c r="IB18" s="20" t="s">
        <v>7</v>
      </c>
      <c r="IC18" s="19" t="s">
        <v>8</v>
      </c>
      <c r="ID18" s="20" t="s">
        <v>6</v>
      </c>
      <c r="IE18" s="19" t="s">
        <v>9</v>
      </c>
      <c r="IF18" s="20" t="s">
        <v>5</v>
      </c>
      <c r="IG18" s="19" t="s">
        <v>10</v>
      </c>
      <c r="IH18" s="20" t="s">
        <v>4</v>
      </c>
      <c r="II18" s="19" t="s">
        <v>11</v>
      </c>
      <c r="IJ18" s="20" t="s">
        <v>29</v>
      </c>
      <c r="IK18" s="19" t="s">
        <v>12</v>
      </c>
      <c r="IL18" s="20" t="s">
        <v>28</v>
      </c>
      <c r="IM18" s="19" t="s">
        <v>22</v>
      </c>
      <c r="IN18" s="20" t="s">
        <v>27</v>
      </c>
      <c r="IO18" s="19" t="s">
        <v>23</v>
      </c>
      <c r="IP18" s="20" t="s">
        <v>26</v>
      </c>
      <c r="IQ18" s="19" t="s">
        <v>24</v>
      </c>
      <c r="IR18" s="20" t="s">
        <v>25</v>
      </c>
      <c r="IS18" s="19" t="s">
        <v>3</v>
      </c>
      <c r="IT18" s="20" t="s">
        <v>6</v>
      </c>
      <c r="IU18" s="19" t="s">
        <v>7</v>
      </c>
      <c r="IV18" s="20" t="s">
        <v>5</v>
      </c>
      <c r="IW18" s="19" t="s">
        <v>8</v>
      </c>
      <c r="IX18" s="20" t="s">
        <v>4</v>
      </c>
      <c r="IY18" s="19" t="s">
        <v>9</v>
      </c>
      <c r="IZ18" s="20" t="s">
        <v>29</v>
      </c>
      <c r="JA18" s="19" t="s">
        <v>10</v>
      </c>
      <c r="JB18" s="20" t="s">
        <v>28</v>
      </c>
      <c r="JC18" s="19" t="s">
        <v>11</v>
      </c>
      <c r="JD18" s="20" t="s">
        <v>27</v>
      </c>
      <c r="JE18" s="19" t="s">
        <v>12</v>
      </c>
      <c r="JF18" s="20" t="s">
        <v>26</v>
      </c>
      <c r="JG18" s="19" t="s">
        <v>22</v>
      </c>
      <c r="JH18" s="20" t="s">
        <v>25</v>
      </c>
      <c r="JI18" s="19" t="s">
        <v>23</v>
      </c>
      <c r="JJ18" s="20" t="s">
        <v>24</v>
      </c>
      <c r="JK18" s="19" t="s">
        <v>3</v>
      </c>
      <c r="JL18" s="20" t="s">
        <v>5</v>
      </c>
      <c r="JM18" s="19" t="s">
        <v>6</v>
      </c>
      <c r="JN18" s="20" t="s">
        <v>4</v>
      </c>
      <c r="JO18" s="19" t="s">
        <v>7</v>
      </c>
      <c r="JP18" s="20" t="s">
        <v>29</v>
      </c>
      <c r="JQ18" s="19" t="s">
        <v>8</v>
      </c>
      <c r="JR18" s="20" t="s">
        <v>28</v>
      </c>
      <c r="JS18" s="19" t="s">
        <v>9</v>
      </c>
      <c r="JT18" s="20" t="s">
        <v>27</v>
      </c>
      <c r="JU18" s="19" t="s">
        <v>10</v>
      </c>
      <c r="JV18" s="20" t="s">
        <v>26</v>
      </c>
      <c r="JW18" s="19" t="s">
        <v>11</v>
      </c>
      <c r="JX18" s="20" t="s">
        <v>25</v>
      </c>
      <c r="JY18" s="19" t="s">
        <v>12</v>
      </c>
      <c r="JZ18" s="20" t="s">
        <v>24</v>
      </c>
      <c r="KA18" s="19" t="s">
        <v>22</v>
      </c>
      <c r="KB18" s="20" t="s">
        <v>23</v>
      </c>
      <c r="KC18" s="19" t="s">
        <v>3</v>
      </c>
      <c r="KD18" s="20" t="s">
        <v>4</v>
      </c>
      <c r="KE18" s="19" t="s">
        <v>5</v>
      </c>
      <c r="KF18" s="20" t="s">
        <v>29</v>
      </c>
      <c r="KG18" s="19" t="s">
        <v>6</v>
      </c>
      <c r="KH18" s="20" t="s">
        <v>28</v>
      </c>
      <c r="KI18" s="19" t="s">
        <v>7</v>
      </c>
      <c r="KJ18" s="20" t="s">
        <v>27</v>
      </c>
      <c r="KK18" s="19" t="s">
        <v>8</v>
      </c>
      <c r="KL18" s="20" t="s">
        <v>26</v>
      </c>
      <c r="KM18" s="19" t="s">
        <v>9</v>
      </c>
      <c r="KN18" s="20" t="s">
        <v>25</v>
      </c>
      <c r="KO18" s="19" t="s">
        <v>10</v>
      </c>
      <c r="KP18" s="20" t="s">
        <v>24</v>
      </c>
      <c r="KQ18" s="19" t="s">
        <v>11</v>
      </c>
      <c r="KR18" s="20" t="s">
        <v>23</v>
      </c>
      <c r="KS18" s="19" t="s">
        <v>12</v>
      </c>
      <c r="KT18" s="20" t="s">
        <v>22</v>
      </c>
    </row>
    <row r="19" spans="1:380" thickBot="1" x14ac:dyDescent="0.3">
      <c r="A19" s="19" t="s">
        <v>4</v>
      </c>
      <c r="B19" s="20" t="s">
        <v>30</v>
      </c>
      <c r="C19" s="19" t="s">
        <v>5</v>
      </c>
      <c r="D19" s="20" t="s">
        <v>29</v>
      </c>
      <c r="E19" s="19" t="s">
        <v>6</v>
      </c>
      <c r="F19" s="20" t="s">
        <v>28</v>
      </c>
      <c r="G19" s="19" t="s">
        <v>7</v>
      </c>
      <c r="H19" s="20" t="s">
        <v>27</v>
      </c>
      <c r="I19" s="19" t="s">
        <v>8</v>
      </c>
      <c r="J19" s="20" t="s">
        <v>26</v>
      </c>
      <c r="K19" s="19" t="s">
        <v>9</v>
      </c>
      <c r="L19" s="20" t="s">
        <v>25</v>
      </c>
      <c r="M19" s="19" t="s">
        <v>10</v>
      </c>
      <c r="N19" s="20" t="s">
        <v>24</v>
      </c>
      <c r="O19" s="19" t="s">
        <v>11</v>
      </c>
      <c r="P19" s="20" t="s">
        <v>23</v>
      </c>
      <c r="Q19" s="19" t="s">
        <v>12</v>
      </c>
      <c r="R19" s="20" t="s">
        <v>22</v>
      </c>
      <c r="S19" s="19" t="s">
        <v>3</v>
      </c>
      <c r="T19" s="20" t="s">
        <v>30</v>
      </c>
      <c r="U19" s="19" t="s">
        <v>4</v>
      </c>
      <c r="V19" s="20" t="s">
        <v>28</v>
      </c>
      <c r="W19" s="19" t="s">
        <v>5</v>
      </c>
      <c r="X19" s="20" t="s">
        <v>27</v>
      </c>
      <c r="Y19" s="19" t="s">
        <v>6</v>
      </c>
      <c r="Z19" s="20" t="s">
        <v>26</v>
      </c>
      <c r="AA19" s="19" t="s">
        <v>7</v>
      </c>
      <c r="AB19" s="20" t="s">
        <v>25</v>
      </c>
      <c r="AC19" s="19" t="s">
        <v>8</v>
      </c>
      <c r="AD19" s="20" t="s">
        <v>24</v>
      </c>
      <c r="AE19" s="19" t="s">
        <v>9</v>
      </c>
      <c r="AF19" s="20" t="s">
        <v>23</v>
      </c>
      <c r="AG19" s="19" t="s">
        <v>10</v>
      </c>
      <c r="AH19" s="20" t="s">
        <v>22</v>
      </c>
      <c r="AI19" s="19" t="s">
        <v>11</v>
      </c>
      <c r="AJ19" s="20" t="s">
        <v>12</v>
      </c>
      <c r="AK19" s="19" t="s">
        <v>3</v>
      </c>
      <c r="AL19" s="20" t="s">
        <v>29</v>
      </c>
      <c r="AM19" s="19" t="s">
        <v>30</v>
      </c>
      <c r="AN19" s="20" t="s">
        <v>28</v>
      </c>
      <c r="AO19" s="19" t="s">
        <v>4</v>
      </c>
      <c r="AP19" s="20" t="s">
        <v>26</v>
      </c>
      <c r="AQ19" s="19" t="s">
        <v>5</v>
      </c>
      <c r="AR19" s="20" t="s">
        <v>25</v>
      </c>
      <c r="AS19" s="19" t="s">
        <v>6</v>
      </c>
      <c r="AT19" s="20" t="s">
        <v>24</v>
      </c>
      <c r="AU19" s="19" t="s">
        <v>7</v>
      </c>
      <c r="AV19" s="20" t="s">
        <v>23</v>
      </c>
      <c r="AW19" s="19" t="s">
        <v>8</v>
      </c>
      <c r="AX19" s="20" t="s">
        <v>22</v>
      </c>
      <c r="AY19" s="19" t="s">
        <v>9</v>
      </c>
      <c r="AZ19" s="20" t="s">
        <v>12</v>
      </c>
      <c r="BA19" s="19" t="s">
        <v>10</v>
      </c>
      <c r="BB19" s="20" t="s">
        <v>11</v>
      </c>
      <c r="BC19" s="19" t="s">
        <v>3</v>
      </c>
      <c r="BD19" s="20" t="s">
        <v>28</v>
      </c>
      <c r="BE19" s="19" t="s">
        <v>29</v>
      </c>
      <c r="BF19" s="20" t="s">
        <v>27</v>
      </c>
      <c r="BG19" s="19" t="s">
        <v>30</v>
      </c>
      <c r="BH19" s="20" t="s">
        <v>26</v>
      </c>
      <c r="BI19" s="19" t="s">
        <v>4</v>
      </c>
      <c r="BJ19" s="20" t="s">
        <v>24</v>
      </c>
      <c r="BK19" s="19" t="s">
        <v>5</v>
      </c>
      <c r="BL19" s="20" t="s">
        <v>23</v>
      </c>
      <c r="BM19" s="19" t="s">
        <v>6</v>
      </c>
      <c r="BN19" s="20" t="s">
        <v>22</v>
      </c>
      <c r="BO19" s="19" t="s">
        <v>7</v>
      </c>
      <c r="BP19" s="20" t="s">
        <v>12</v>
      </c>
      <c r="BQ19" s="19" t="s">
        <v>8</v>
      </c>
      <c r="BR19" s="20" t="s">
        <v>11</v>
      </c>
      <c r="BS19" s="19" t="s">
        <v>9</v>
      </c>
      <c r="BT19" s="20" t="s">
        <v>10</v>
      </c>
      <c r="BU19" s="19" t="s">
        <v>3</v>
      </c>
      <c r="BV19" s="20" t="s">
        <v>27</v>
      </c>
      <c r="BW19" s="19" t="s">
        <v>28</v>
      </c>
      <c r="BX19" s="20" t="s">
        <v>26</v>
      </c>
      <c r="BY19" s="19" t="s">
        <v>29</v>
      </c>
      <c r="BZ19" s="20" t="s">
        <v>25</v>
      </c>
      <c r="CA19" s="19" t="s">
        <v>30</v>
      </c>
      <c r="CB19" s="20" t="s">
        <v>24</v>
      </c>
      <c r="CC19" s="19" t="s">
        <v>4</v>
      </c>
      <c r="CD19" s="20" t="s">
        <v>22</v>
      </c>
      <c r="CE19" s="19" t="s">
        <v>5</v>
      </c>
      <c r="CF19" s="20" t="s">
        <v>12</v>
      </c>
      <c r="CG19" s="19" t="s">
        <v>6</v>
      </c>
      <c r="CH19" s="20" t="s">
        <v>11</v>
      </c>
      <c r="CI19" s="19" t="s">
        <v>7</v>
      </c>
      <c r="CJ19" s="20" t="s">
        <v>10</v>
      </c>
      <c r="CK19" s="19" t="s">
        <v>8</v>
      </c>
      <c r="CL19" s="20" t="s">
        <v>9</v>
      </c>
      <c r="CM19" s="19" t="s">
        <v>3</v>
      </c>
      <c r="CN19" s="20" t="s">
        <v>26</v>
      </c>
      <c r="CO19" s="19" t="s">
        <v>27</v>
      </c>
      <c r="CP19" s="20" t="s">
        <v>25</v>
      </c>
      <c r="CQ19" s="19" t="s">
        <v>28</v>
      </c>
      <c r="CR19" s="20" t="s">
        <v>24</v>
      </c>
      <c r="CS19" s="19" t="s">
        <v>29</v>
      </c>
      <c r="CT19" s="20" t="s">
        <v>23</v>
      </c>
      <c r="CU19" s="19" t="s">
        <v>30</v>
      </c>
      <c r="CV19" s="20" t="s">
        <v>22</v>
      </c>
      <c r="CW19" s="19" t="s">
        <v>4</v>
      </c>
      <c r="CX19" s="20" t="s">
        <v>11</v>
      </c>
      <c r="CY19" s="19" t="s">
        <v>5</v>
      </c>
      <c r="CZ19" s="20" t="s">
        <v>10</v>
      </c>
      <c r="DA19" s="19" t="s">
        <v>6</v>
      </c>
      <c r="DB19" s="20" t="s">
        <v>9</v>
      </c>
      <c r="DC19" s="19" t="s">
        <v>7</v>
      </c>
      <c r="DD19" s="20" t="s">
        <v>8</v>
      </c>
      <c r="DE19" s="19" t="s">
        <v>3</v>
      </c>
      <c r="DF19" s="20" t="s">
        <v>25</v>
      </c>
      <c r="DG19" s="19" t="s">
        <v>26</v>
      </c>
      <c r="DH19" s="20" t="s">
        <v>24</v>
      </c>
      <c r="DI19" s="19" t="s">
        <v>27</v>
      </c>
      <c r="DJ19" s="20" t="s">
        <v>23</v>
      </c>
      <c r="DK19" s="19" t="s">
        <v>28</v>
      </c>
      <c r="DL19" s="20" t="s">
        <v>22</v>
      </c>
      <c r="DM19" s="19" t="s">
        <v>29</v>
      </c>
      <c r="DN19" s="20" t="s">
        <v>12</v>
      </c>
      <c r="DO19" s="19" t="s">
        <v>30</v>
      </c>
      <c r="DP19" s="20" t="s">
        <v>11</v>
      </c>
      <c r="DQ19" s="19" t="s">
        <v>4</v>
      </c>
      <c r="DR19" s="20" t="s">
        <v>9</v>
      </c>
      <c r="DS19" s="19" t="s">
        <v>5</v>
      </c>
      <c r="DT19" s="20" t="s">
        <v>8</v>
      </c>
      <c r="DU19" s="19" t="s">
        <v>6</v>
      </c>
      <c r="DV19" s="20" t="s">
        <v>7</v>
      </c>
      <c r="DW19" s="19" t="s">
        <v>3</v>
      </c>
      <c r="DX19" s="20" t="s">
        <v>24</v>
      </c>
      <c r="DY19" s="19" t="s">
        <v>25</v>
      </c>
      <c r="DZ19" s="20" t="s">
        <v>23</v>
      </c>
      <c r="EA19" s="19" t="s">
        <v>26</v>
      </c>
      <c r="EB19" s="20" t="s">
        <v>22</v>
      </c>
      <c r="EC19" s="19" t="s">
        <v>27</v>
      </c>
      <c r="ED19" s="20" t="s">
        <v>12</v>
      </c>
      <c r="EE19" s="19" t="s">
        <v>28</v>
      </c>
      <c r="EF19" s="20" t="s">
        <v>11</v>
      </c>
      <c r="EG19" s="19" t="s">
        <v>29</v>
      </c>
      <c r="EH19" s="20" t="s">
        <v>10</v>
      </c>
      <c r="EI19" s="19" t="s">
        <v>30</v>
      </c>
      <c r="EJ19" s="20" t="s">
        <v>9</v>
      </c>
      <c r="EK19" s="19" t="s">
        <v>4</v>
      </c>
      <c r="EL19" s="20" t="s">
        <v>7</v>
      </c>
      <c r="EM19" s="19" t="s">
        <v>5</v>
      </c>
      <c r="EN19" s="20" t="s">
        <v>6</v>
      </c>
      <c r="EO19" s="19" t="s">
        <v>3</v>
      </c>
      <c r="EP19" s="20" t="s">
        <v>23</v>
      </c>
      <c r="EQ19" s="19" t="s">
        <v>24</v>
      </c>
      <c r="ER19" s="20" t="s">
        <v>22</v>
      </c>
      <c r="ES19" s="19" t="s">
        <v>25</v>
      </c>
      <c r="ET19" s="20" t="s">
        <v>12</v>
      </c>
      <c r="EU19" s="19" t="s">
        <v>26</v>
      </c>
      <c r="EV19" s="20" t="s">
        <v>11</v>
      </c>
      <c r="EW19" s="19" t="s">
        <v>27</v>
      </c>
      <c r="EX19" s="20" t="s">
        <v>10</v>
      </c>
      <c r="EY19" s="19" t="s">
        <v>28</v>
      </c>
      <c r="EZ19" s="20" t="s">
        <v>9</v>
      </c>
      <c r="FA19" s="19" t="s">
        <v>29</v>
      </c>
      <c r="FB19" s="20" t="s">
        <v>8</v>
      </c>
      <c r="FC19" s="19" t="s">
        <v>30</v>
      </c>
      <c r="FD19" s="20" t="s">
        <v>7</v>
      </c>
      <c r="FE19" s="19" t="s">
        <v>4</v>
      </c>
      <c r="FF19" s="20" t="s">
        <v>5</v>
      </c>
      <c r="FG19" s="19" t="s">
        <v>3</v>
      </c>
      <c r="FH19" s="20" t="s">
        <v>22</v>
      </c>
      <c r="FI19" s="19" t="s">
        <v>23</v>
      </c>
      <c r="FJ19" s="20" t="s">
        <v>12</v>
      </c>
      <c r="FK19" s="19" t="s">
        <v>24</v>
      </c>
      <c r="FL19" s="20" t="s">
        <v>11</v>
      </c>
      <c r="FM19" s="19" t="s">
        <v>25</v>
      </c>
      <c r="FN19" s="20" t="s">
        <v>10</v>
      </c>
      <c r="FO19" s="19" t="s">
        <v>26</v>
      </c>
      <c r="FP19" s="20" t="s">
        <v>9</v>
      </c>
      <c r="FQ19" s="19" t="s">
        <v>27</v>
      </c>
      <c r="FR19" s="20" t="s">
        <v>8</v>
      </c>
      <c r="FS19" s="19" t="s">
        <v>28</v>
      </c>
      <c r="FT19" s="20" t="s">
        <v>7</v>
      </c>
      <c r="FU19" s="19" t="s">
        <v>29</v>
      </c>
      <c r="FV19" s="20" t="s">
        <v>6</v>
      </c>
      <c r="FW19" s="19" t="s">
        <v>30</v>
      </c>
      <c r="FX19" s="20" t="s">
        <v>5</v>
      </c>
      <c r="FY19" s="19" t="s">
        <v>3</v>
      </c>
      <c r="FZ19" s="20" t="s">
        <v>12</v>
      </c>
      <c r="GA19" s="19" t="s">
        <v>22</v>
      </c>
      <c r="GB19" s="20" t="s">
        <v>11</v>
      </c>
      <c r="GC19" s="19" t="s">
        <v>23</v>
      </c>
      <c r="GD19" s="20" t="s">
        <v>10</v>
      </c>
      <c r="GE19" s="19" t="s">
        <v>24</v>
      </c>
      <c r="GF19" s="20" t="s">
        <v>9</v>
      </c>
      <c r="GG19" s="19" t="s">
        <v>25</v>
      </c>
      <c r="GH19" s="20" t="s">
        <v>8</v>
      </c>
      <c r="GI19" s="19" t="s">
        <v>26</v>
      </c>
      <c r="GJ19" s="20" t="s">
        <v>7</v>
      </c>
      <c r="GK19" s="19" t="s">
        <v>27</v>
      </c>
      <c r="GL19" s="20" t="s">
        <v>6</v>
      </c>
      <c r="GM19" s="19" t="s">
        <v>28</v>
      </c>
      <c r="GN19" s="20" t="s">
        <v>5</v>
      </c>
      <c r="GO19" s="19" t="s">
        <v>29</v>
      </c>
      <c r="GP19" s="20" t="s">
        <v>4</v>
      </c>
      <c r="GQ19" s="19" t="s">
        <v>3</v>
      </c>
      <c r="GR19" s="20" t="s">
        <v>11</v>
      </c>
      <c r="GS19" s="19" t="s">
        <v>12</v>
      </c>
      <c r="GT19" s="20" t="s">
        <v>10</v>
      </c>
      <c r="GU19" s="19" t="s">
        <v>22</v>
      </c>
      <c r="GV19" s="20" t="s">
        <v>9</v>
      </c>
      <c r="GW19" s="19" t="s">
        <v>23</v>
      </c>
      <c r="GX19" s="20" t="s">
        <v>8</v>
      </c>
      <c r="GY19" s="19" t="s">
        <v>24</v>
      </c>
      <c r="GZ19" s="20" t="s">
        <v>7</v>
      </c>
      <c r="HA19" s="19" t="s">
        <v>25</v>
      </c>
      <c r="HB19" s="20" t="s">
        <v>6</v>
      </c>
      <c r="HC19" s="19" t="s">
        <v>26</v>
      </c>
      <c r="HD19" s="20" t="s">
        <v>5</v>
      </c>
      <c r="HE19" s="19" t="s">
        <v>27</v>
      </c>
      <c r="HF19" s="20" t="s">
        <v>4</v>
      </c>
      <c r="HG19" s="19" t="s">
        <v>29</v>
      </c>
      <c r="HH19" s="20" t="s">
        <v>30</v>
      </c>
      <c r="HI19" s="19" t="s">
        <v>3</v>
      </c>
      <c r="HJ19" s="20" t="s">
        <v>10</v>
      </c>
      <c r="HK19" s="19" t="s">
        <v>11</v>
      </c>
      <c r="HL19" s="20" t="s">
        <v>9</v>
      </c>
      <c r="HM19" s="19" t="s">
        <v>12</v>
      </c>
      <c r="HN19" s="20" t="s">
        <v>8</v>
      </c>
      <c r="HO19" s="19" t="s">
        <v>22</v>
      </c>
      <c r="HP19" s="20" t="s">
        <v>7</v>
      </c>
      <c r="HQ19" s="19" t="s">
        <v>23</v>
      </c>
      <c r="HR19" s="20" t="s">
        <v>6</v>
      </c>
      <c r="HS19" s="19" t="s">
        <v>24</v>
      </c>
      <c r="HT19" s="20" t="s">
        <v>5</v>
      </c>
      <c r="HU19" s="19" t="s">
        <v>25</v>
      </c>
      <c r="HV19" s="20" t="s">
        <v>4</v>
      </c>
      <c r="HW19" s="19" t="s">
        <v>27</v>
      </c>
      <c r="HX19" s="20" t="s">
        <v>30</v>
      </c>
      <c r="HY19" s="19" t="s">
        <v>28</v>
      </c>
      <c r="HZ19" s="20" t="s">
        <v>29</v>
      </c>
      <c r="IA19" s="19" t="s">
        <v>3</v>
      </c>
      <c r="IB19" s="20" t="s">
        <v>9</v>
      </c>
      <c r="IC19" s="19" t="s">
        <v>10</v>
      </c>
      <c r="ID19" s="20" t="s">
        <v>8</v>
      </c>
      <c r="IE19" s="19" t="s">
        <v>11</v>
      </c>
      <c r="IF19" s="20" t="s">
        <v>7</v>
      </c>
      <c r="IG19" s="19" t="s">
        <v>12</v>
      </c>
      <c r="IH19" s="20" t="s">
        <v>6</v>
      </c>
      <c r="II19" s="19" t="s">
        <v>22</v>
      </c>
      <c r="IJ19" s="20" t="s">
        <v>5</v>
      </c>
      <c r="IK19" s="19" t="s">
        <v>23</v>
      </c>
      <c r="IL19" s="20" t="s">
        <v>4</v>
      </c>
      <c r="IM19" s="19" t="s">
        <v>25</v>
      </c>
      <c r="IN19" s="20" t="s">
        <v>30</v>
      </c>
      <c r="IO19" s="19" t="s">
        <v>26</v>
      </c>
      <c r="IP19" s="20" t="s">
        <v>29</v>
      </c>
      <c r="IQ19" s="19" t="s">
        <v>27</v>
      </c>
      <c r="IR19" s="20" t="s">
        <v>28</v>
      </c>
      <c r="IS19" s="19" t="s">
        <v>3</v>
      </c>
      <c r="IT19" s="20" t="s">
        <v>8</v>
      </c>
      <c r="IU19" s="19" t="s">
        <v>9</v>
      </c>
      <c r="IV19" s="20" t="s">
        <v>7</v>
      </c>
      <c r="IW19" s="19" t="s">
        <v>10</v>
      </c>
      <c r="IX19" s="20" t="s">
        <v>6</v>
      </c>
      <c r="IY19" s="19" t="s">
        <v>11</v>
      </c>
      <c r="IZ19" s="20" t="s">
        <v>5</v>
      </c>
      <c r="JA19" s="19" t="s">
        <v>12</v>
      </c>
      <c r="JB19" s="20" t="s">
        <v>4</v>
      </c>
      <c r="JC19" s="19" t="s">
        <v>23</v>
      </c>
      <c r="JD19" s="20" t="s">
        <v>30</v>
      </c>
      <c r="JE19" s="19" t="s">
        <v>24</v>
      </c>
      <c r="JF19" s="20" t="s">
        <v>29</v>
      </c>
      <c r="JG19" s="19" t="s">
        <v>25</v>
      </c>
      <c r="JH19" s="20" t="s">
        <v>28</v>
      </c>
      <c r="JI19" s="19" t="s">
        <v>26</v>
      </c>
      <c r="JJ19" s="20" t="s">
        <v>27</v>
      </c>
      <c r="JK19" s="19" t="s">
        <v>3</v>
      </c>
      <c r="JL19" s="20" t="s">
        <v>7</v>
      </c>
      <c r="JM19" s="19" t="s">
        <v>8</v>
      </c>
      <c r="JN19" s="20" t="s">
        <v>6</v>
      </c>
      <c r="JO19" s="19" t="s">
        <v>9</v>
      </c>
      <c r="JP19" s="20" t="s">
        <v>5</v>
      </c>
      <c r="JQ19" s="19" t="s">
        <v>10</v>
      </c>
      <c r="JR19" s="20" t="s">
        <v>4</v>
      </c>
      <c r="JS19" s="19" t="s">
        <v>12</v>
      </c>
      <c r="JT19" s="20" t="s">
        <v>30</v>
      </c>
      <c r="JU19" s="19" t="s">
        <v>22</v>
      </c>
      <c r="JV19" s="20" t="s">
        <v>29</v>
      </c>
      <c r="JW19" s="19" t="s">
        <v>23</v>
      </c>
      <c r="JX19" s="20" t="s">
        <v>28</v>
      </c>
      <c r="JY19" s="19" t="s">
        <v>24</v>
      </c>
      <c r="JZ19" s="20" t="s">
        <v>27</v>
      </c>
      <c r="KA19" s="19" t="s">
        <v>25</v>
      </c>
      <c r="KB19" s="20" t="s">
        <v>26</v>
      </c>
      <c r="KC19" s="19" t="s">
        <v>3</v>
      </c>
      <c r="KD19" s="20" t="s">
        <v>6</v>
      </c>
      <c r="KE19" s="19" t="s">
        <v>7</v>
      </c>
      <c r="KF19" s="20" t="s">
        <v>5</v>
      </c>
      <c r="KG19" s="19" t="s">
        <v>8</v>
      </c>
      <c r="KH19" s="20" t="s">
        <v>4</v>
      </c>
      <c r="KI19" s="19" t="s">
        <v>10</v>
      </c>
      <c r="KJ19" s="20" t="s">
        <v>30</v>
      </c>
      <c r="KK19" s="19" t="s">
        <v>11</v>
      </c>
      <c r="KL19" s="20" t="s">
        <v>29</v>
      </c>
      <c r="KM19" s="19" t="s">
        <v>12</v>
      </c>
      <c r="KN19" s="20" t="s">
        <v>28</v>
      </c>
      <c r="KO19" s="19" t="s">
        <v>22</v>
      </c>
      <c r="KP19" s="20" t="s">
        <v>27</v>
      </c>
      <c r="KQ19" s="19" t="s">
        <v>23</v>
      </c>
      <c r="KR19" s="20" t="s">
        <v>26</v>
      </c>
      <c r="KS19" s="19" t="s">
        <v>24</v>
      </c>
      <c r="KT19" s="20" t="s">
        <v>25</v>
      </c>
      <c r="KU19" s="19" t="s">
        <v>3</v>
      </c>
      <c r="KV19" s="20" t="s">
        <v>5</v>
      </c>
      <c r="KW19" s="19" t="s">
        <v>6</v>
      </c>
      <c r="KX19" s="20" t="s">
        <v>4</v>
      </c>
      <c r="KY19" s="19" t="s">
        <v>8</v>
      </c>
      <c r="KZ19" s="20" t="s">
        <v>30</v>
      </c>
      <c r="LA19" s="19" t="s">
        <v>9</v>
      </c>
      <c r="LB19" s="20" t="s">
        <v>29</v>
      </c>
      <c r="LC19" s="19" t="s">
        <v>10</v>
      </c>
      <c r="LD19" s="20" t="s">
        <v>28</v>
      </c>
      <c r="LE19" s="19" t="s">
        <v>11</v>
      </c>
      <c r="LF19" s="20" t="s">
        <v>27</v>
      </c>
      <c r="LG19" s="19" t="s">
        <v>12</v>
      </c>
      <c r="LH19" s="20" t="s">
        <v>26</v>
      </c>
      <c r="LI19" s="19" t="s">
        <v>22</v>
      </c>
      <c r="LJ19" s="20" t="s">
        <v>25</v>
      </c>
      <c r="LK19" s="19" t="s">
        <v>23</v>
      </c>
      <c r="LL19" s="20" t="s">
        <v>24</v>
      </c>
      <c r="LM19" s="19" t="s">
        <v>3</v>
      </c>
      <c r="LN19" s="20" t="s">
        <v>4</v>
      </c>
      <c r="LO19" s="19" t="s">
        <v>6</v>
      </c>
      <c r="LP19" s="20" t="s">
        <v>30</v>
      </c>
      <c r="LQ19" s="19" t="s">
        <v>7</v>
      </c>
      <c r="LR19" s="20" t="s">
        <v>29</v>
      </c>
      <c r="LS19" s="19" t="s">
        <v>8</v>
      </c>
      <c r="LT19" s="20" t="s">
        <v>28</v>
      </c>
      <c r="LU19" s="19" t="s">
        <v>9</v>
      </c>
      <c r="LV19" s="20" t="s">
        <v>27</v>
      </c>
      <c r="LW19" s="19" t="s">
        <v>10</v>
      </c>
      <c r="LX19" s="20" t="s">
        <v>26</v>
      </c>
      <c r="LY19" s="19" t="s">
        <v>11</v>
      </c>
      <c r="LZ19" s="20" t="s">
        <v>25</v>
      </c>
      <c r="MA19" s="19" t="s">
        <v>12</v>
      </c>
      <c r="MB19" s="20" t="s">
        <v>24</v>
      </c>
      <c r="MC19" s="19" t="s">
        <v>22</v>
      </c>
      <c r="MD19" s="20" t="s">
        <v>23</v>
      </c>
    </row>
    <row r="20" spans="1:380" thickBot="1" x14ac:dyDescent="0.3">
      <c r="A20" s="19" t="s">
        <v>3</v>
      </c>
      <c r="B20" s="20" t="s">
        <v>31</v>
      </c>
      <c r="C20" s="19" t="s">
        <v>4</v>
      </c>
      <c r="D20" s="20" t="s">
        <v>30</v>
      </c>
      <c r="E20" s="19" t="s">
        <v>5</v>
      </c>
      <c r="F20" s="20" t="s">
        <v>29</v>
      </c>
      <c r="G20" s="19" t="s">
        <v>6</v>
      </c>
      <c r="H20" s="20" t="s">
        <v>28</v>
      </c>
      <c r="I20" s="19" t="s">
        <v>7</v>
      </c>
      <c r="J20" s="20" t="s">
        <v>27</v>
      </c>
      <c r="K20" s="19" t="s">
        <v>8</v>
      </c>
      <c r="L20" s="20" t="s">
        <v>26</v>
      </c>
      <c r="M20" s="19" t="s">
        <v>9</v>
      </c>
      <c r="N20" s="20" t="s">
        <v>25</v>
      </c>
      <c r="O20" s="19" t="s">
        <v>10</v>
      </c>
      <c r="P20" s="20" t="s">
        <v>24</v>
      </c>
      <c r="Q20" s="19" t="s">
        <v>11</v>
      </c>
      <c r="R20" s="20" t="s">
        <v>23</v>
      </c>
      <c r="S20" s="19" t="s">
        <v>12</v>
      </c>
      <c r="T20" s="20" t="s">
        <v>22</v>
      </c>
      <c r="U20" s="19" t="s">
        <v>3</v>
      </c>
      <c r="V20" s="20" t="s">
        <v>30</v>
      </c>
      <c r="W20" s="19" t="s">
        <v>31</v>
      </c>
      <c r="X20" s="20" t="s">
        <v>29</v>
      </c>
      <c r="Y20" s="19" t="s">
        <v>4</v>
      </c>
      <c r="Z20" s="20" t="s">
        <v>28</v>
      </c>
      <c r="AA20" s="19" t="s">
        <v>5</v>
      </c>
      <c r="AB20" s="20" t="s">
        <v>27</v>
      </c>
      <c r="AC20" s="19" t="s">
        <v>6</v>
      </c>
      <c r="AD20" s="20" t="s">
        <v>26</v>
      </c>
      <c r="AE20" s="19" t="s">
        <v>7</v>
      </c>
      <c r="AF20" s="20" t="s">
        <v>25</v>
      </c>
      <c r="AG20" s="19" t="s">
        <v>8</v>
      </c>
      <c r="AH20" s="20" t="s">
        <v>24</v>
      </c>
      <c r="AI20" s="19" t="s">
        <v>9</v>
      </c>
      <c r="AJ20" s="20" t="s">
        <v>23</v>
      </c>
      <c r="AK20" s="19" t="s">
        <v>10</v>
      </c>
      <c r="AL20" s="20" t="s">
        <v>22</v>
      </c>
      <c r="AM20" s="19" t="s">
        <v>11</v>
      </c>
      <c r="AN20" s="20" t="s">
        <v>12</v>
      </c>
      <c r="AO20" s="19" t="s">
        <v>3</v>
      </c>
      <c r="AP20" s="20" t="s">
        <v>29</v>
      </c>
      <c r="AQ20" s="19" t="s">
        <v>30</v>
      </c>
      <c r="AR20" s="20" t="s">
        <v>28</v>
      </c>
      <c r="AS20" s="19" t="s">
        <v>31</v>
      </c>
      <c r="AT20" s="20" t="s">
        <v>27</v>
      </c>
      <c r="AU20" s="19" t="s">
        <v>4</v>
      </c>
      <c r="AV20" s="20" t="s">
        <v>26</v>
      </c>
      <c r="AW20" s="19" t="s">
        <v>5</v>
      </c>
      <c r="AX20" s="20" t="s">
        <v>25</v>
      </c>
      <c r="AY20" s="19" t="s">
        <v>6</v>
      </c>
      <c r="AZ20" s="20" t="s">
        <v>24</v>
      </c>
      <c r="BA20" s="19" t="s">
        <v>7</v>
      </c>
      <c r="BB20" s="20" t="s">
        <v>23</v>
      </c>
      <c r="BC20" s="19" t="s">
        <v>8</v>
      </c>
      <c r="BD20" s="20" t="s">
        <v>22</v>
      </c>
      <c r="BE20" s="19" t="s">
        <v>9</v>
      </c>
      <c r="BF20" s="20" t="s">
        <v>12</v>
      </c>
      <c r="BG20" s="19" t="s">
        <v>10</v>
      </c>
      <c r="BH20" s="20" t="s">
        <v>11</v>
      </c>
      <c r="BI20" s="19" t="s">
        <v>3</v>
      </c>
      <c r="BJ20" s="20" t="s">
        <v>28</v>
      </c>
      <c r="BK20" s="19" t="s">
        <v>29</v>
      </c>
      <c r="BL20" s="20" t="s">
        <v>27</v>
      </c>
      <c r="BM20" s="19" t="s">
        <v>30</v>
      </c>
      <c r="BN20" s="20" t="s">
        <v>26</v>
      </c>
      <c r="BO20" s="19" t="s">
        <v>31</v>
      </c>
      <c r="BP20" s="20" t="s">
        <v>25</v>
      </c>
      <c r="BQ20" s="19" t="s">
        <v>4</v>
      </c>
      <c r="BR20" s="20" t="s">
        <v>24</v>
      </c>
      <c r="BS20" s="19" t="s">
        <v>5</v>
      </c>
      <c r="BT20" s="20" t="s">
        <v>23</v>
      </c>
      <c r="BU20" s="19" t="s">
        <v>6</v>
      </c>
      <c r="BV20" s="20" t="s">
        <v>22</v>
      </c>
      <c r="BW20" s="19" t="s">
        <v>7</v>
      </c>
      <c r="BX20" s="20" t="s">
        <v>12</v>
      </c>
      <c r="BY20" s="19" t="s">
        <v>8</v>
      </c>
      <c r="BZ20" s="20" t="s">
        <v>11</v>
      </c>
      <c r="CA20" s="19" t="s">
        <v>9</v>
      </c>
      <c r="CB20" s="20" t="s">
        <v>10</v>
      </c>
      <c r="CC20" s="19" t="s">
        <v>3</v>
      </c>
      <c r="CD20" s="20" t="s">
        <v>27</v>
      </c>
      <c r="CE20" s="19" t="s">
        <v>28</v>
      </c>
      <c r="CF20" s="20" t="s">
        <v>26</v>
      </c>
      <c r="CG20" s="19" t="s">
        <v>29</v>
      </c>
      <c r="CH20" s="20" t="s">
        <v>25</v>
      </c>
      <c r="CI20" s="19" t="s">
        <v>30</v>
      </c>
      <c r="CJ20" s="20" t="s">
        <v>24</v>
      </c>
      <c r="CK20" s="19" t="s">
        <v>31</v>
      </c>
      <c r="CL20" s="20" t="s">
        <v>23</v>
      </c>
      <c r="CM20" s="19" t="s">
        <v>4</v>
      </c>
      <c r="CN20" s="20" t="s">
        <v>22</v>
      </c>
      <c r="CO20" s="19" t="s">
        <v>5</v>
      </c>
      <c r="CP20" s="20" t="s">
        <v>12</v>
      </c>
      <c r="CQ20" s="19" t="s">
        <v>6</v>
      </c>
      <c r="CR20" s="20" t="s">
        <v>11</v>
      </c>
      <c r="CS20" s="19" t="s">
        <v>7</v>
      </c>
      <c r="CT20" s="20" t="s">
        <v>10</v>
      </c>
      <c r="CU20" s="19" t="s">
        <v>8</v>
      </c>
      <c r="CV20" s="20" t="s">
        <v>9</v>
      </c>
      <c r="CW20" s="19" t="s">
        <v>3</v>
      </c>
      <c r="CX20" s="20" t="s">
        <v>26</v>
      </c>
      <c r="CY20" s="19" t="s">
        <v>27</v>
      </c>
      <c r="CZ20" s="20" t="s">
        <v>25</v>
      </c>
      <c r="DA20" s="19" t="s">
        <v>28</v>
      </c>
      <c r="DB20" s="20" t="s">
        <v>24</v>
      </c>
      <c r="DC20" s="19" t="s">
        <v>29</v>
      </c>
      <c r="DD20" s="20" t="s">
        <v>23</v>
      </c>
      <c r="DE20" s="19" t="s">
        <v>30</v>
      </c>
      <c r="DF20" s="20" t="s">
        <v>22</v>
      </c>
      <c r="DG20" s="19" t="s">
        <v>31</v>
      </c>
      <c r="DH20" s="20" t="s">
        <v>12</v>
      </c>
      <c r="DI20" s="19" t="s">
        <v>4</v>
      </c>
      <c r="DJ20" s="20" t="s">
        <v>11</v>
      </c>
      <c r="DK20" s="19" t="s">
        <v>5</v>
      </c>
      <c r="DL20" s="20" t="s">
        <v>10</v>
      </c>
      <c r="DM20" s="19" t="s">
        <v>6</v>
      </c>
      <c r="DN20" s="20" t="s">
        <v>9</v>
      </c>
      <c r="DO20" s="19" t="s">
        <v>7</v>
      </c>
      <c r="DP20" s="20" t="s">
        <v>8</v>
      </c>
      <c r="DQ20" s="19" t="s">
        <v>3</v>
      </c>
      <c r="DR20" s="20" t="s">
        <v>25</v>
      </c>
      <c r="DS20" s="19" t="s">
        <v>26</v>
      </c>
      <c r="DT20" s="20" t="s">
        <v>24</v>
      </c>
      <c r="DU20" s="19" t="s">
        <v>27</v>
      </c>
      <c r="DV20" s="20" t="s">
        <v>23</v>
      </c>
      <c r="DW20" s="19" t="s">
        <v>28</v>
      </c>
      <c r="DX20" s="20" t="s">
        <v>22</v>
      </c>
      <c r="DY20" s="19" t="s">
        <v>29</v>
      </c>
      <c r="DZ20" s="20" t="s">
        <v>12</v>
      </c>
      <c r="EA20" s="19" t="s">
        <v>30</v>
      </c>
      <c r="EB20" s="20" t="s">
        <v>11</v>
      </c>
      <c r="EC20" s="19" t="s">
        <v>31</v>
      </c>
      <c r="ED20" s="20" t="s">
        <v>10</v>
      </c>
      <c r="EE20" s="19" t="s">
        <v>4</v>
      </c>
      <c r="EF20" s="20" t="s">
        <v>9</v>
      </c>
      <c r="EG20" s="19" t="s">
        <v>5</v>
      </c>
      <c r="EH20" s="20" t="s">
        <v>8</v>
      </c>
      <c r="EI20" s="19" t="s">
        <v>6</v>
      </c>
      <c r="EJ20" s="20" t="s">
        <v>7</v>
      </c>
      <c r="EK20" s="19" t="s">
        <v>3</v>
      </c>
      <c r="EL20" s="20" t="s">
        <v>24</v>
      </c>
      <c r="EM20" s="19" t="s">
        <v>25</v>
      </c>
      <c r="EN20" s="20" t="s">
        <v>23</v>
      </c>
      <c r="EO20" s="19" t="s">
        <v>26</v>
      </c>
      <c r="EP20" s="20" t="s">
        <v>22</v>
      </c>
      <c r="EQ20" s="19" t="s">
        <v>27</v>
      </c>
      <c r="ER20" s="20" t="s">
        <v>12</v>
      </c>
      <c r="ES20" s="19" t="s">
        <v>28</v>
      </c>
      <c r="ET20" s="20" t="s">
        <v>11</v>
      </c>
      <c r="EU20" s="19" t="s">
        <v>29</v>
      </c>
      <c r="EV20" s="20" t="s">
        <v>10</v>
      </c>
      <c r="EW20" s="19" t="s">
        <v>30</v>
      </c>
      <c r="EX20" s="20" t="s">
        <v>9</v>
      </c>
      <c r="EY20" s="19" t="s">
        <v>31</v>
      </c>
      <c r="EZ20" s="20" t="s">
        <v>8</v>
      </c>
      <c r="FA20" s="19" t="s">
        <v>4</v>
      </c>
      <c r="FB20" s="20" t="s">
        <v>7</v>
      </c>
      <c r="FC20" s="19" t="s">
        <v>5</v>
      </c>
      <c r="FD20" s="20" t="s">
        <v>6</v>
      </c>
      <c r="FE20" s="19" t="s">
        <v>3</v>
      </c>
      <c r="FF20" s="20" t="s">
        <v>23</v>
      </c>
      <c r="FG20" s="19" t="s">
        <v>24</v>
      </c>
      <c r="FH20" s="20" t="s">
        <v>22</v>
      </c>
      <c r="FI20" s="19" t="s">
        <v>25</v>
      </c>
      <c r="FJ20" s="20" t="s">
        <v>12</v>
      </c>
      <c r="FK20" s="19" t="s">
        <v>26</v>
      </c>
      <c r="FL20" s="20" t="s">
        <v>11</v>
      </c>
      <c r="FM20" s="19" t="s">
        <v>27</v>
      </c>
      <c r="FN20" s="20" t="s">
        <v>10</v>
      </c>
      <c r="FO20" s="19" t="s">
        <v>28</v>
      </c>
      <c r="FP20" s="20" t="s">
        <v>9</v>
      </c>
      <c r="FQ20" s="19" t="s">
        <v>29</v>
      </c>
      <c r="FR20" s="20" t="s">
        <v>8</v>
      </c>
      <c r="FS20" s="19" t="s">
        <v>30</v>
      </c>
      <c r="FT20" s="20" t="s">
        <v>7</v>
      </c>
      <c r="FU20" s="19" t="s">
        <v>31</v>
      </c>
      <c r="FV20" s="20" t="s">
        <v>6</v>
      </c>
      <c r="FW20" s="19" t="s">
        <v>4</v>
      </c>
      <c r="FX20" s="20" t="s">
        <v>5</v>
      </c>
      <c r="FY20" s="19" t="s">
        <v>3</v>
      </c>
      <c r="FZ20" s="20" t="s">
        <v>22</v>
      </c>
      <c r="GA20" s="19" t="s">
        <v>23</v>
      </c>
      <c r="GB20" s="20" t="s">
        <v>12</v>
      </c>
      <c r="GC20" s="19" t="s">
        <v>24</v>
      </c>
      <c r="GD20" s="20" t="s">
        <v>11</v>
      </c>
      <c r="GE20" s="19" t="s">
        <v>25</v>
      </c>
      <c r="GF20" s="20" t="s">
        <v>10</v>
      </c>
      <c r="GG20" s="19" t="s">
        <v>26</v>
      </c>
      <c r="GH20" s="20" t="s">
        <v>9</v>
      </c>
      <c r="GI20" s="19" t="s">
        <v>27</v>
      </c>
      <c r="GJ20" s="20" t="s">
        <v>8</v>
      </c>
      <c r="GK20" s="19" t="s">
        <v>28</v>
      </c>
      <c r="GL20" s="20" t="s">
        <v>7</v>
      </c>
      <c r="GM20" s="19" t="s">
        <v>29</v>
      </c>
      <c r="GN20" s="20" t="s">
        <v>6</v>
      </c>
      <c r="GO20" s="19" t="s">
        <v>30</v>
      </c>
      <c r="GP20" s="20" t="s">
        <v>5</v>
      </c>
      <c r="GQ20" s="19" t="s">
        <v>31</v>
      </c>
      <c r="GR20" s="20" t="s">
        <v>4</v>
      </c>
      <c r="GS20" s="19" t="s">
        <v>3</v>
      </c>
      <c r="GT20" s="20" t="s">
        <v>12</v>
      </c>
      <c r="GU20" s="19" t="s">
        <v>22</v>
      </c>
      <c r="GV20" s="20" t="s">
        <v>11</v>
      </c>
      <c r="GW20" s="19" t="s">
        <v>23</v>
      </c>
      <c r="GX20" s="20" t="s">
        <v>10</v>
      </c>
      <c r="GY20" s="19" t="s">
        <v>24</v>
      </c>
      <c r="GZ20" s="20" t="s">
        <v>9</v>
      </c>
      <c r="HA20" s="19" t="s">
        <v>25</v>
      </c>
      <c r="HB20" s="20" t="s">
        <v>8</v>
      </c>
      <c r="HC20" s="19" t="s">
        <v>26</v>
      </c>
      <c r="HD20" s="20" t="s">
        <v>7</v>
      </c>
      <c r="HE20" s="19" t="s">
        <v>27</v>
      </c>
      <c r="HF20" s="20" t="s">
        <v>6</v>
      </c>
      <c r="HG20" s="19" t="s">
        <v>28</v>
      </c>
      <c r="HH20" s="20" t="s">
        <v>5</v>
      </c>
      <c r="HI20" s="19" t="s">
        <v>29</v>
      </c>
      <c r="HJ20" s="20" t="s">
        <v>4</v>
      </c>
      <c r="HK20" s="19" t="s">
        <v>30</v>
      </c>
      <c r="HL20" s="20" t="s">
        <v>31</v>
      </c>
      <c r="HM20" s="19" t="s">
        <v>3</v>
      </c>
      <c r="HN20" s="20" t="s">
        <v>11</v>
      </c>
      <c r="HO20" s="19" t="s">
        <v>12</v>
      </c>
      <c r="HP20" s="20" t="s">
        <v>10</v>
      </c>
      <c r="HQ20" s="19" t="s">
        <v>22</v>
      </c>
      <c r="HR20" s="20" t="s">
        <v>9</v>
      </c>
      <c r="HS20" s="19" t="s">
        <v>23</v>
      </c>
      <c r="HT20" s="20" t="s">
        <v>8</v>
      </c>
      <c r="HU20" s="19" t="s">
        <v>24</v>
      </c>
      <c r="HV20" s="20" t="s">
        <v>7</v>
      </c>
      <c r="HW20" s="19" t="s">
        <v>25</v>
      </c>
      <c r="HX20" s="20" t="s">
        <v>6</v>
      </c>
      <c r="HY20" s="19" t="s">
        <v>26</v>
      </c>
      <c r="HZ20" s="20" t="s">
        <v>5</v>
      </c>
      <c r="IA20" s="19" t="s">
        <v>27</v>
      </c>
      <c r="IB20" s="20" t="s">
        <v>4</v>
      </c>
      <c r="IC20" s="19" t="s">
        <v>28</v>
      </c>
      <c r="ID20" s="20" t="s">
        <v>31</v>
      </c>
      <c r="IE20" s="19" t="s">
        <v>29</v>
      </c>
      <c r="IF20" s="20" t="s">
        <v>30</v>
      </c>
      <c r="IG20" s="19" t="s">
        <v>3</v>
      </c>
      <c r="IH20" s="20" t="s">
        <v>10</v>
      </c>
      <c r="II20" s="19" t="s">
        <v>11</v>
      </c>
      <c r="IJ20" s="20" t="s">
        <v>9</v>
      </c>
      <c r="IK20" s="19" t="s">
        <v>12</v>
      </c>
      <c r="IL20" s="20" t="s">
        <v>8</v>
      </c>
      <c r="IM20" s="19" t="s">
        <v>22</v>
      </c>
      <c r="IN20" s="20" t="s">
        <v>7</v>
      </c>
      <c r="IO20" s="19" t="s">
        <v>23</v>
      </c>
      <c r="IP20" s="20" t="s">
        <v>6</v>
      </c>
      <c r="IQ20" s="19" t="s">
        <v>24</v>
      </c>
      <c r="IR20" s="20" t="s">
        <v>5</v>
      </c>
      <c r="IS20" s="19" t="s">
        <v>25</v>
      </c>
      <c r="IT20" s="20" t="s">
        <v>4</v>
      </c>
      <c r="IU20" s="19" t="s">
        <v>26</v>
      </c>
      <c r="IV20" s="20" t="s">
        <v>31</v>
      </c>
      <c r="IW20" s="19" t="s">
        <v>27</v>
      </c>
      <c r="IX20" s="20" t="s">
        <v>30</v>
      </c>
      <c r="IY20" s="19" t="s">
        <v>28</v>
      </c>
      <c r="IZ20" s="20" t="s">
        <v>29</v>
      </c>
      <c r="JA20" s="19" t="s">
        <v>3</v>
      </c>
      <c r="JB20" s="20" t="s">
        <v>9</v>
      </c>
      <c r="JC20" s="19" t="s">
        <v>10</v>
      </c>
      <c r="JD20" s="20" t="s">
        <v>8</v>
      </c>
      <c r="JE20" s="19" t="s">
        <v>11</v>
      </c>
      <c r="JF20" s="20" t="s">
        <v>7</v>
      </c>
      <c r="JG20" s="19" t="s">
        <v>12</v>
      </c>
      <c r="JH20" s="20" t="s">
        <v>6</v>
      </c>
      <c r="JI20" s="19" t="s">
        <v>22</v>
      </c>
      <c r="JJ20" s="20" t="s">
        <v>5</v>
      </c>
      <c r="JK20" s="19" t="s">
        <v>23</v>
      </c>
      <c r="JL20" s="20" t="s">
        <v>4</v>
      </c>
      <c r="JM20" s="19" t="s">
        <v>24</v>
      </c>
      <c r="JN20" s="20" t="s">
        <v>31</v>
      </c>
      <c r="JO20" s="19" t="s">
        <v>25</v>
      </c>
      <c r="JP20" s="20" t="s">
        <v>30</v>
      </c>
      <c r="JQ20" s="19" t="s">
        <v>26</v>
      </c>
      <c r="JR20" s="20" t="s">
        <v>29</v>
      </c>
      <c r="JS20" s="19" t="s">
        <v>27</v>
      </c>
      <c r="JT20" s="20" t="s">
        <v>28</v>
      </c>
      <c r="JU20" s="19" t="s">
        <v>3</v>
      </c>
      <c r="JV20" s="20" t="s">
        <v>8</v>
      </c>
      <c r="JW20" s="19" t="s">
        <v>9</v>
      </c>
      <c r="JX20" s="20" t="s">
        <v>7</v>
      </c>
      <c r="JY20" s="19" t="s">
        <v>10</v>
      </c>
      <c r="JZ20" s="20" t="s">
        <v>6</v>
      </c>
      <c r="KA20" s="19" t="s">
        <v>11</v>
      </c>
      <c r="KB20" s="20" t="s">
        <v>5</v>
      </c>
      <c r="KC20" s="19" t="s">
        <v>12</v>
      </c>
      <c r="KD20" s="20" t="s">
        <v>4</v>
      </c>
      <c r="KE20" s="19" t="s">
        <v>22</v>
      </c>
      <c r="KF20" s="20" t="s">
        <v>31</v>
      </c>
      <c r="KG20" s="19" t="s">
        <v>23</v>
      </c>
      <c r="KH20" s="20" t="s">
        <v>30</v>
      </c>
      <c r="KI20" s="19" t="s">
        <v>24</v>
      </c>
      <c r="KJ20" s="20" t="s">
        <v>29</v>
      </c>
      <c r="KK20" s="19" t="s">
        <v>25</v>
      </c>
      <c r="KL20" s="20" t="s">
        <v>28</v>
      </c>
      <c r="KM20" s="19" t="s">
        <v>26</v>
      </c>
      <c r="KN20" s="20" t="s">
        <v>27</v>
      </c>
      <c r="KO20" s="19" t="s">
        <v>3</v>
      </c>
      <c r="KP20" s="20" t="s">
        <v>7</v>
      </c>
      <c r="KQ20" s="19" t="s">
        <v>8</v>
      </c>
      <c r="KR20" s="20" t="s">
        <v>6</v>
      </c>
      <c r="KS20" s="19" t="s">
        <v>9</v>
      </c>
      <c r="KT20" s="20" t="s">
        <v>5</v>
      </c>
      <c r="KU20" s="19" t="s">
        <v>10</v>
      </c>
      <c r="KV20" s="20" t="s">
        <v>4</v>
      </c>
      <c r="KW20" s="19" t="s">
        <v>11</v>
      </c>
      <c r="KX20" s="20" t="s">
        <v>31</v>
      </c>
      <c r="KY20" s="19" t="s">
        <v>12</v>
      </c>
      <c r="KZ20" s="20" t="s">
        <v>30</v>
      </c>
      <c r="LA20" s="19" t="s">
        <v>22</v>
      </c>
      <c r="LB20" s="20" t="s">
        <v>29</v>
      </c>
      <c r="LC20" s="19" t="s">
        <v>23</v>
      </c>
      <c r="LD20" s="20" t="s">
        <v>28</v>
      </c>
      <c r="LE20" s="19" t="s">
        <v>24</v>
      </c>
      <c r="LF20" s="20" t="s">
        <v>27</v>
      </c>
      <c r="LG20" s="19" t="s">
        <v>25</v>
      </c>
      <c r="LH20" s="20" t="s">
        <v>26</v>
      </c>
      <c r="LI20" s="19" t="s">
        <v>3</v>
      </c>
      <c r="LJ20" s="20" t="s">
        <v>6</v>
      </c>
      <c r="LK20" s="19" t="s">
        <v>7</v>
      </c>
      <c r="LL20" s="20" t="s">
        <v>5</v>
      </c>
      <c r="LM20" s="19" t="s">
        <v>8</v>
      </c>
      <c r="LN20" s="20" t="s">
        <v>4</v>
      </c>
      <c r="LO20" s="19" t="s">
        <v>9</v>
      </c>
      <c r="LP20" s="20" t="s">
        <v>31</v>
      </c>
      <c r="LQ20" s="19" t="s">
        <v>10</v>
      </c>
      <c r="LR20" s="20" t="s">
        <v>30</v>
      </c>
      <c r="LS20" s="19" t="s">
        <v>11</v>
      </c>
      <c r="LT20" s="20" t="s">
        <v>29</v>
      </c>
      <c r="LU20" s="19" t="s">
        <v>12</v>
      </c>
      <c r="LV20" s="20" t="s">
        <v>28</v>
      </c>
      <c r="LW20" s="19" t="s">
        <v>22</v>
      </c>
      <c r="LX20" s="20" t="s">
        <v>27</v>
      </c>
      <c r="LY20" s="19" t="s">
        <v>23</v>
      </c>
      <c r="LZ20" s="20" t="s">
        <v>26</v>
      </c>
      <c r="MA20" s="19" t="s">
        <v>24</v>
      </c>
      <c r="MB20" s="20" t="s">
        <v>25</v>
      </c>
      <c r="MC20" s="19" t="s">
        <v>3</v>
      </c>
      <c r="MD20" s="20" t="s">
        <v>5</v>
      </c>
      <c r="ME20" s="19" t="s">
        <v>6</v>
      </c>
      <c r="MF20" s="20" t="s">
        <v>4</v>
      </c>
      <c r="MG20" s="19" t="s">
        <v>7</v>
      </c>
      <c r="MH20" s="20" t="s">
        <v>31</v>
      </c>
      <c r="MI20" s="19" t="s">
        <v>8</v>
      </c>
      <c r="MJ20" s="20" t="s">
        <v>30</v>
      </c>
      <c r="MK20" s="19" t="s">
        <v>9</v>
      </c>
      <c r="ML20" s="20" t="s">
        <v>29</v>
      </c>
      <c r="MM20" s="19" t="s">
        <v>10</v>
      </c>
      <c r="MN20" s="20" t="s">
        <v>28</v>
      </c>
      <c r="MO20" s="19" t="s">
        <v>11</v>
      </c>
      <c r="MP20" s="20" t="s">
        <v>27</v>
      </c>
      <c r="MQ20" s="19" t="s">
        <v>12</v>
      </c>
      <c r="MR20" s="20" t="s">
        <v>26</v>
      </c>
      <c r="MS20" s="19" t="s">
        <v>22</v>
      </c>
      <c r="MT20" s="20" t="s">
        <v>25</v>
      </c>
      <c r="MU20" s="19" t="s">
        <v>23</v>
      </c>
      <c r="MV20" s="20" t="s">
        <v>24</v>
      </c>
      <c r="MW20" s="19" t="s">
        <v>3</v>
      </c>
      <c r="MX20" s="20" t="s">
        <v>4</v>
      </c>
      <c r="MY20" s="19" t="s">
        <v>5</v>
      </c>
      <c r="MZ20" s="20" t="s">
        <v>31</v>
      </c>
      <c r="NA20" s="19" t="s">
        <v>6</v>
      </c>
      <c r="NB20" s="20" t="s">
        <v>30</v>
      </c>
      <c r="NC20" s="19" t="s">
        <v>7</v>
      </c>
      <c r="ND20" s="20" t="s">
        <v>29</v>
      </c>
      <c r="NE20" s="19" t="s">
        <v>8</v>
      </c>
      <c r="NF20" s="20" t="s">
        <v>28</v>
      </c>
      <c r="NG20" s="19" t="s">
        <v>9</v>
      </c>
      <c r="NH20" s="20" t="s">
        <v>27</v>
      </c>
      <c r="NI20" s="19" t="s">
        <v>10</v>
      </c>
      <c r="NJ20" s="20" t="s">
        <v>26</v>
      </c>
      <c r="NK20" s="19" t="s">
        <v>11</v>
      </c>
      <c r="NL20" s="20" t="s">
        <v>25</v>
      </c>
      <c r="NM20" s="19" t="s">
        <v>12</v>
      </c>
      <c r="NN20" s="20" t="s">
        <v>24</v>
      </c>
      <c r="NO20" s="19" t="s">
        <v>22</v>
      </c>
      <c r="NP20" s="20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2716-5D9D-4054-9BB3-00ADFCBFFAC5}">
  <sheetPr codeName="Feuil24"/>
  <dimension ref="B1:C10"/>
  <sheetViews>
    <sheetView workbookViewId="0"/>
  </sheetViews>
  <sheetFormatPr baseColWidth="10" defaultRowHeight="15" x14ac:dyDescent="0.25"/>
  <cols>
    <col min="1" max="2" width="11.42578125" style="40"/>
    <col min="3" max="3" width="75.7109375" style="40" customWidth="1"/>
    <col min="4" max="16384" width="11.42578125" style="40"/>
  </cols>
  <sheetData>
    <row r="1" spans="2:3" ht="15.75" thickBot="1" x14ac:dyDescent="0.3"/>
    <row r="2" spans="2:3" ht="15.75" x14ac:dyDescent="0.25">
      <c r="B2" s="76" t="s">
        <v>63</v>
      </c>
      <c r="C2" s="79" t="s">
        <v>55</v>
      </c>
    </row>
    <row r="3" spans="2:3" ht="15.75" x14ac:dyDescent="0.25">
      <c r="B3" s="77"/>
      <c r="C3" s="80" t="s">
        <v>56</v>
      </c>
    </row>
    <row r="4" spans="2:3" ht="15.75" x14ac:dyDescent="0.25">
      <c r="B4" s="77"/>
      <c r="C4" s="80" t="s">
        <v>57</v>
      </c>
    </row>
    <row r="5" spans="2:3" ht="16.5" thickBot="1" x14ac:dyDescent="0.3">
      <c r="B5" s="78"/>
      <c r="C5" s="81" t="s">
        <v>58</v>
      </c>
    </row>
    <row r="6" spans="2:3" ht="15.75" thickBot="1" x14ac:dyDescent="0.3"/>
    <row r="7" spans="2:3" ht="15.75" x14ac:dyDescent="0.25">
      <c r="B7" s="82" t="s">
        <v>64</v>
      </c>
      <c r="C7" s="85" t="s">
        <v>59</v>
      </c>
    </row>
    <row r="8" spans="2:3" ht="15.75" x14ac:dyDescent="0.25">
      <c r="B8" s="83"/>
      <c r="C8" s="86" t="s">
        <v>60</v>
      </c>
    </row>
    <row r="9" spans="2:3" ht="15.75" x14ac:dyDescent="0.25">
      <c r="B9" s="83"/>
      <c r="C9" s="86" t="s">
        <v>61</v>
      </c>
    </row>
    <row r="10" spans="2:3" ht="16.5" thickBot="1" x14ac:dyDescent="0.3">
      <c r="B10" s="84"/>
      <c r="C10" s="87" t="s">
        <v>62</v>
      </c>
    </row>
  </sheetData>
  <mergeCells count="2">
    <mergeCell ref="B2:B5"/>
    <mergeCell ref="B7:B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C4PPinscript">
              <controlPr defaultSize="0" print="0" autoFill="0" autoPict="0" macro="[0]!'copyimage &quot;B2:C10&quot;'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BA0A1-48A5-4641-81F3-A9AA085873A7}">
  <sheetPr codeName="Feuil25"/>
  <dimension ref="A1:G56"/>
  <sheetViews>
    <sheetView topLeftCell="B1" workbookViewId="0"/>
  </sheetViews>
  <sheetFormatPr baseColWidth="10" defaultRowHeight="15" x14ac:dyDescent="0.25"/>
  <cols>
    <col min="1" max="1" width="0" style="40" hidden="1" customWidth="1"/>
    <col min="2" max="2" width="43.5703125" style="40" customWidth="1"/>
    <col min="3" max="3" width="6" style="95" customWidth="1"/>
    <col min="4" max="4" width="16.7109375" style="40" customWidth="1"/>
    <col min="5" max="5" width="6" style="95" customWidth="1"/>
    <col min="6" max="6" width="43.5703125" style="40" customWidth="1"/>
    <col min="7" max="7" width="6" style="40" hidden="1" customWidth="1"/>
    <col min="8" max="16384" width="11.42578125" style="40"/>
  </cols>
  <sheetData>
    <row r="1" spans="1:7" x14ac:dyDescent="0.25">
      <c r="A1" s="88"/>
      <c r="B1" s="88"/>
      <c r="C1" s="93"/>
      <c r="D1" s="89">
        <v>0.33333333333333331</v>
      </c>
      <c r="E1" s="93"/>
      <c r="F1" s="88"/>
      <c r="G1" s="88"/>
    </row>
    <row r="2" spans="1:7" x14ac:dyDescent="0.25">
      <c r="A2" s="91" t="s">
        <v>55</v>
      </c>
      <c r="B2" s="91" t="str">
        <f>INSCRIPTS!C2</f>
        <v>1A</v>
      </c>
      <c r="C2" s="94"/>
      <c r="D2" s="90" t="s">
        <v>65</v>
      </c>
      <c r="E2" s="94"/>
      <c r="F2" s="91" t="str">
        <f>INSCRIPTS!C3</f>
        <v>2A</v>
      </c>
      <c r="G2" s="91" t="s">
        <v>56</v>
      </c>
    </row>
    <row r="3" spans="1:7" x14ac:dyDescent="0.25">
      <c r="A3" s="91" t="s">
        <v>57</v>
      </c>
      <c r="B3" s="91" t="str">
        <f>INSCRIPTS!C4</f>
        <v>3A</v>
      </c>
      <c r="C3" s="94"/>
      <c r="D3" s="90" t="s">
        <v>66</v>
      </c>
      <c r="E3" s="94"/>
      <c r="F3" s="91" t="str">
        <f>INSCRIPTS!C5</f>
        <v>4A</v>
      </c>
      <c r="G3" s="91" t="s">
        <v>58</v>
      </c>
    </row>
    <row r="4" spans="1:7" x14ac:dyDescent="0.25">
      <c r="A4" s="92" t="s">
        <v>59</v>
      </c>
      <c r="B4" s="92" t="str">
        <f>INSCRIPTS!C7</f>
        <v>1B</v>
      </c>
      <c r="C4" s="94"/>
      <c r="D4" s="90" t="s">
        <v>67</v>
      </c>
      <c r="E4" s="94"/>
      <c r="F4" s="92" t="str">
        <f>INSCRIPTS!C8</f>
        <v>2B</v>
      </c>
      <c r="G4" s="92" t="s">
        <v>60</v>
      </c>
    </row>
    <row r="5" spans="1:7" x14ac:dyDescent="0.25">
      <c r="A5" s="92" t="s">
        <v>61</v>
      </c>
      <c r="B5" s="92" t="str">
        <f>INSCRIPTS!C9</f>
        <v>3B</v>
      </c>
      <c r="C5" s="94"/>
      <c r="D5" s="90" t="s">
        <v>68</v>
      </c>
      <c r="E5" s="94"/>
      <c r="F5" s="92" t="str">
        <f>INSCRIPTS!C10</f>
        <v>4B</v>
      </c>
      <c r="G5" s="92" t="s">
        <v>62</v>
      </c>
    </row>
    <row r="6" spans="1:7" x14ac:dyDescent="0.25">
      <c r="A6" s="88"/>
      <c r="B6" s="88"/>
      <c r="C6" s="93"/>
      <c r="D6" s="89">
        <f>0.333333333333333 + "00:15:00"</f>
        <v>0.34374999999999967</v>
      </c>
      <c r="E6" s="93"/>
      <c r="F6" s="88"/>
      <c r="G6" s="88"/>
    </row>
    <row r="7" spans="1:7" x14ac:dyDescent="0.25">
      <c r="A7" s="91" t="s">
        <v>55</v>
      </c>
      <c r="B7" s="91" t="str">
        <f>INSCRIPTS!C2</f>
        <v>1A</v>
      </c>
      <c r="C7" s="94"/>
      <c r="D7" s="90" t="s">
        <v>65</v>
      </c>
      <c r="E7" s="94"/>
      <c r="F7" s="91" t="str">
        <f>INSCRIPTS!C4</f>
        <v>3A</v>
      </c>
      <c r="G7" s="91" t="s">
        <v>57</v>
      </c>
    </row>
    <row r="8" spans="1:7" x14ac:dyDescent="0.25">
      <c r="A8" s="91" t="s">
        <v>56</v>
      </c>
      <c r="B8" s="91" t="str">
        <f>INSCRIPTS!C3</f>
        <v>2A</v>
      </c>
      <c r="C8" s="94"/>
      <c r="D8" s="90" t="s">
        <v>66</v>
      </c>
      <c r="E8" s="94"/>
      <c r="F8" s="91" t="str">
        <f>INSCRIPTS!C5</f>
        <v>4A</v>
      </c>
      <c r="G8" s="91" t="s">
        <v>58</v>
      </c>
    </row>
    <row r="9" spans="1:7" x14ac:dyDescent="0.25">
      <c r="A9" s="92" t="s">
        <v>59</v>
      </c>
      <c r="B9" s="92" t="str">
        <f>INSCRIPTS!C7</f>
        <v>1B</v>
      </c>
      <c r="C9" s="94"/>
      <c r="D9" s="90" t="s">
        <v>67</v>
      </c>
      <c r="E9" s="94"/>
      <c r="F9" s="92" t="str">
        <f>INSCRIPTS!C9</f>
        <v>3B</v>
      </c>
      <c r="G9" s="92" t="s">
        <v>61</v>
      </c>
    </row>
    <row r="10" spans="1:7" x14ac:dyDescent="0.25">
      <c r="A10" s="92" t="s">
        <v>60</v>
      </c>
      <c r="B10" s="92" t="str">
        <f>INSCRIPTS!C8</f>
        <v>2B</v>
      </c>
      <c r="C10" s="94"/>
      <c r="D10" s="90" t="s">
        <v>68</v>
      </c>
      <c r="E10" s="94"/>
      <c r="F10" s="92" t="str">
        <f>INSCRIPTS!C10</f>
        <v>4B</v>
      </c>
      <c r="G10" s="92" t="s">
        <v>62</v>
      </c>
    </row>
    <row r="11" spans="1:7" x14ac:dyDescent="0.25">
      <c r="A11" s="88"/>
      <c r="B11" s="88"/>
      <c r="C11" s="93"/>
      <c r="D11" s="89">
        <f>0.34375 + "00:15:00"</f>
        <v>0.35416666666666669</v>
      </c>
      <c r="E11" s="93"/>
      <c r="F11" s="88"/>
      <c r="G11" s="88"/>
    </row>
    <row r="12" spans="1:7" x14ac:dyDescent="0.25">
      <c r="A12" s="91" t="s">
        <v>55</v>
      </c>
      <c r="B12" s="91" t="str">
        <f>INSCRIPTS!C2</f>
        <v>1A</v>
      </c>
      <c r="C12" s="94"/>
      <c r="D12" s="90" t="s">
        <v>65</v>
      </c>
      <c r="E12" s="94"/>
      <c r="F12" s="91" t="str">
        <f>INSCRIPTS!C5</f>
        <v>4A</v>
      </c>
      <c r="G12" s="91" t="s">
        <v>58</v>
      </c>
    </row>
    <row r="13" spans="1:7" x14ac:dyDescent="0.25">
      <c r="A13" s="91" t="s">
        <v>56</v>
      </c>
      <c r="B13" s="91" t="str">
        <f>INSCRIPTS!C3</f>
        <v>2A</v>
      </c>
      <c r="C13" s="94"/>
      <c r="D13" s="90" t="s">
        <v>66</v>
      </c>
      <c r="E13" s="94"/>
      <c r="F13" s="91" t="str">
        <f>INSCRIPTS!C4</f>
        <v>3A</v>
      </c>
      <c r="G13" s="91" t="s">
        <v>57</v>
      </c>
    </row>
    <row r="14" spans="1:7" x14ac:dyDescent="0.25">
      <c r="A14" s="92" t="s">
        <v>59</v>
      </c>
      <c r="B14" s="92" t="str">
        <f>INSCRIPTS!C7</f>
        <v>1B</v>
      </c>
      <c r="C14" s="94"/>
      <c r="D14" s="90" t="s">
        <v>67</v>
      </c>
      <c r="E14" s="94"/>
      <c r="F14" s="92" t="str">
        <f>INSCRIPTS!C10</f>
        <v>4B</v>
      </c>
      <c r="G14" s="92" t="s">
        <v>62</v>
      </c>
    </row>
    <row r="15" spans="1:7" x14ac:dyDescent="0.25">
      <c r="A15" s="92" t="s">
        <v>60</v>
      </c>
      <c r="B15" s="92" t="str">
        <f>INSCRIPTS!C8</f>
        <v>2B</v>
      </c>
      <c r="C15" s="94"/>
      <c r="D15" s="90" t="s">
        <v>68</v>
      </c>
      <c r="E15" s="94"/>
      <c r="F15" s="92" t="str">
        <f>INSCRIPTS!C9</f>
        <v>3B</v>
      </c>
      <c r="G15" s="92" t="s">
        <v>61</v>
      </c>
    </row>
    <row r="16" spans="1:7" x14ac:dyDescent="0.25">
      <c r="A16" s="88"/>
      <c r="B16" s="88"/>
      <c r="C16" s="93"/>
      <c r="D16" s="89">
        <f>0.354166666666667 + "00:15:00"</f>
        <v>0.3645833333333337</v>
      </c>
      <c r="E16" s="93"/>
      <c r="F16" s="88"/>
      <c r="G16" s="88"/>
    </row>
    <row r="21" spans="4:4" x14ac:dyDescent="0.25">
      <c r="D21" s="40">
        <f>0.364583333333334 + "00:15:00"</f>
        <v>0.37500000000000067</v>
      </c>
    </row>
    <row r="26" spans="4:4" x14ac:dyDescent="0.25">
      <c r="D26" s="40">
        <f>0.375000000000001 + "00:15:00"</f>
        <v>0.38541666666666768</v>
      </c>
    </row>
    <row r="31" spans="4:4" x14ac:dyDescent="0.25">
      <c r="D31" s="40">
        <f>0.385416666666668 + "00:15:00"</f>
        <v>0.3958333333333347</v>
      </c>
    </row>
    <row r="36" spans="4:4" x14ac:dyDescent="0.25">
      <c r="D36" s="40">
        <f>0.395833333333335 + "00:15:00"</f>
        <v>0.40625000000000167</v>
      </c>
    </row>
    <row r="41" spans="4:4" x14ac:dyDescent="0.25">
      <c r="D41" s="40">
        <f>0.406250000000002 + "00:15:00"</f>
        <v>0.41666666666666868</v>
      </c>
    </row>
    <row r="46" spans="4:4" x14ac:dyDescent="0.25">
      <c r="D46" s="40">
        <f>0.416666666666669 + "00:15:00"</f>
        <v>0.4270833333333357</v>
      </c>
    </row>
    <row r="51" spans="4:4" x14ac:dyDescent="0.25">
      <c r="D51" s="40">
        <f>0.427083333333336 + "00:15:00"</f>
        <v>0.43750000000000266</v>
      </c>
    </row>
    <row r="56" spans="4:4" x14ac:dyDescent="0.25">
      <c r="D56" s="40">
        <f>0.437500000000003 + "00:15:00"</f>
        <v>0.44791666666666968</v>
      </c>
    </row>
  </sheetData>
  <conditionalFormatting sqref="C2">
    <cfRule type="expression" dxfId="95" priority="48">
      <formula>$C2&gt;$E2</formula>
    </cfRule>
    <cfRule type="expression" dxfId="94" priority="47">
      <formula>$C2&lt;$E2</formula>
    </cfRule>
  </conditionalFormatting>
  <conditionalFormatting sqref="E2">
    <cfRule type="expression" dxfId="93" priority="46">
      <formula>$C2&lt;$E2</formula>
    </cfRule>
    <cfRule type="expression" dxfId="92" priority="45">
      <formula>$C2&gt;$E2</formula>
    </cfRule>
  </conditionalFormatting>
  <conditionalFormatting sqref="C3">
    <cfRule type="expression" dxfId="91" priority="44">
      <formula>$C3&gt;$E3</formula>
    </cfRule>
    <cfRule type="expression" dxfId="90" priority="43">
      <formula>$C3&lt;$E3</formula>
    </cfRule>
  </conditionalFormatting>
  <conditionalFormatting sqref="E3">
    <cfRule type="expression" dxfId="89" priority="42">
      <formula>$C3&lt;$E3</formula>
    </cfRule>
    <cfRule type="expression" dxfId="88" priority="41">
      <formula>$C3&gt;$E3</formula>
    </cfRule>
  </conditionalFormatting>
  <conditionalFormatting sqref="C4">
    <cfRule type="expression" dxfId="87" priority="40">
      <formula>$C4&gt;$E4</formula>
    </cfRule>
    <cfRule type="expression" dxfId="86" priority="39">
      <formula>$C4&lt;$E4</formula>
    </cfRule>
  </conditionalFormatting>
  <conditionalFormatting sqref="E4">
    <cfRule type="expression" dxfId="85" priority="38">
      <formula>$C4&lt;$E4</formula>
    </cfRule>
    <cfRule type="expression" dxfId="84" priority="37">
      <formula>$C4&gt;$E4</formula>
    </cfRule>
  </conditionalFormatting>
  <conditionalFormatting sqref="C5">
    <cfRule type="expression" dxfId="83" priority="36">
      <formula>$C5&gt;$E5</formula>
    </cfRule>
    <cfRule type="expression" dxfId="82" priority="35">
      <formula>$C5&lt;$E5</formula>
    </cfRule>
  </conditionalFormatting>
  <conditionalFormatting sqref="E5">
    <cfRule type="expression" dxfId="81" priority="34">
      <formula>$C5&lt;$E5</formula>
    </cfRule>
    <cfRule type="expression" dxfId="80" priority="33">
      <formula>$C5&gt;$E5</formula>
    </cfRule>
  </conditionalFormatting>
  <conditionalFormatting sqref="C7">
    <cfRule type="expression" dxfId="79" priority="32">
      <formula>$C7&gt;$E7</formula>
    </cfRule>
    <cfRule type="expression" dxfId="78" priority="31">
      <formula>$C7&lt;$E7</formula>
    </cfRule>
  </conditionalFormatting>
  <conditionalFormatting sqref="E7">
    <cfRule type="expression" dxfId="77" priority="30">
      <formula>$C7&lt;$E7</formula>
    </cfRule>
    <cfRule type="expression" dxfId="76" priority="29">
      <formula>$C7&gt;$E7</formula>
    </cfRule>
  </conditionalFormatting>
  <conditionalFormatting sqref="C8">
    <cfRule type="expression" dxfId="75" priority="28">
      <formula>$C8&gt;$E8</formula>
    </cfRule>
    <cfRule type="expression" dxfId="74" priority="27">
      <formula>$C8&lt;$E8</formula>
    </cfRule>
  </conditionalFormatting>
  <conditionalFormatting sqref="E8">
    <cfRule type="expression" dxfId="73" priority="26">
      <formula>$C8&lt;$E8</formula>
    </cfRule>
    <cfRule type="expression" dxfId="72" priority="25">
      <formula>$C8&gt;$E8</formula>
    </cfRule>
  </conditionalFormatting>
  <conditionalFormatting sqref="C9">
    <cfRule type="expression" dxfId="71" priority="24">
      <formula>$C9&gt;$E9</formula>
    </cfRule>
    <cfRule type="expression" dxfId="70" priority="23">
      <formula>$C9&lt;$E9</formula>
    </cfRule>
  </conditionalFormatting>
  <conditionalFormatting sqref="E9">
    <cfRule type="expression" dxfId="69" priority="22">
      <formula>$C9&lt;$E9</formula>
    </cfRule>
    <cfRule type="expression" dxfId="68" priority="21">
      <formula>$C9&gt;$E9</formula>
    </cfRule>
  </conditionalFormatting>
  <conditionalFormatting sqref="C10">
    <cfRule type="expression" dxfId="67" priority="20">
      <formula>$C10&gt;$E10</formula>
    </cfRule>
    <cfRule type="expression" dxfId="66" priority="19">
      <formula>$C10&lt;$E10</formula>
    </cfRule>
  </conditionalFormatting>
  <conditionalFormatting sqref="E10">
    <cfRule type="expression" dxfId="65" priority="18">
      <formula>$C10&lt;$E10</formula>
    </cfRule>
    <cfRule type="expression" dxfId="64" priority="17">
      <formula>$C10&gt;$E10</formula>
    </cfRule>
  </conditionalFormatting>
  <conditionalFormatting sqref="C12">
    <cfRule type="expression" dxfId="63" priority="16">
      <formula>$C12&gt;$E12</formula>
    </cfRule>
    <cfRule type="expression" dxfId="62" priority="15">
      <formula>$C12&lt;$E12</formula>
    </cfRule>
  </conditionalFormatting>
  <conditionalFormatting sqref="E12">
    <cfRule type="expression" dxfId="61" priority="14">
      <formula>$C12&lt;$E12</formula>
    </cfRule>
    <cfRule type="expression" dxfId="60" priority="13">
      <formula>$C12&gt;$E12</formula>
    </cfRule>
  </conditionalFormatting>
  <conditionalFormatting sqref="C13">
    <cfRule type="expression" dxfId="59" priority="12">
      <formula>$C13&gt;$E13</formula>
    </cfRule>
    <cfRule type="expression" dxfId="58" priority="11">
      <formula>$C13&lt;$E13</formula>
    </cfRule>
  </conditionalFormatting>
  <conditionalFormatting sqref="E13">
    <cfRule type="expression" dxfId="57" priority="10">
      <formula>$C13&lt;$E13</formula>
    </cfRule>
    <cfRule type="expression" dxfId="56" priority="9">
      <formula>$C13&gt;$E13</formula>
    </cfRule>
  </conditionalFormatting>
  <conditionalFormatting sqref="C14">
    <cfRule type="expression" dxfId="55" priority="8">
      <formula>$C14&gt;$E14</formula>
    </cfRule>
  </conditionalFormatting>
  <conditionalFormatting sqref="C14">
    <cfRule type="expression" dxfId="54" priority="7">
      <formula>$C14&lt;$E14</formula>
    </cfRule>
  </conditionalFormatting>
  <conditionalFormatting sqref="E14">
    <cfRule type="expression" dxfId="53" priority="6">
      <formula>$C14&lt;$E14</formula>
    </cfRule>
  </conditionalFormatting>
  <conditionalFormatting sqref="E14">
    <cfRule type="expression" dxfId="52" priority="5">
      <formula>$C14&gt;$E14</formula>
    </cfRule>
  </conditionalFormatting>
  <conditionalFormatting sqref="C15">
    <cfRule type="expression" dxfId="51" priority="4">
      <formula>$C15&gt;$E15</formula>
    </cfRule>
  </conditionalFormatting>
  <conditionalFormatting sqref="C15">
    <cfRule type="expression" dxfId="50" priority="3">
      <formula>$C15&lt;$E15</formula>
    </cfRule>
  </conditionalFormatting>
  <conditionalFormatting sqref="E15">
    <cfRule type="expression" dxfId="49" priority="2">
      <formula>$C15&lt;$E15</formula>
    </cfRule>
  </conditionalFormatting>
  <conditionalFormatting sqref="E15">
    <cfRule type="expression" dxfId="48" priority="1">
      <formula>$C15&gt;$E15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FA6C1C09-0C6E-4102-A9C5-8F9509E22B5A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MAJHEUREB">
              <controlPr defaultSize="0" print="0" autoFill="0" autoPict="0" macro="[0]!heureau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C4PPMatch">
              <controlPr defaultSize="0" print="0" autoFill="0" autoPict="0" macro="[0]!'copyimage &quot;B1:F15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BE32F-5163-4C1F-A77C-857D5D8D7B85}">
  <sheetPr codeName="Feuil26"/>
  <dimension ref="A1:N14"/>
  <sheetViews>
    <sheetView workbookViewId="0"/>
  </sheetViews>
  <sheetFormatPr baseColWidth="10" defaultRowHeight="15" x14ac:dyDescent="0.25"/>
  <cols>
    <col min="1" max="2" width="11.42578125" style="40"/>
    <col min="3" max="3" width="0" style="40" hidden="1" customWidth="1"/>
    <col min="4" max="4" width="43.5703125" style="40" customWidth="1"/>
    <col min="5" max="5" width="11.42578125" style="99"/>
    <col min="6" max="6" width="11.42578125" style="40"/>
    <col min="7" max="7" width="0" style="40" hidden="1" customWidth="1"/>
    <col min="8" max="11" width="11.42578125" style="40"/>
    <col min="12" max="12" width="0" style="40" hidden="1" customWidth="1"/>
    <col min="13" max="13" width="6" style="40" customWidth="1"/>
    <col min="14" max="16384" width="11.42578125" style="40"/>
  </cols>
  <sheetData>
    <row r="1" spans="1:14" ht="15.75" thickBot="1" x14ac:dyDescent="0.3"/>
    <row r="2" spans="1:14" ht="30.95" customHeight="1" thickBot="1" x14ac:dyDescent="0.3">
      <c r="C2" s="96" t="s">
        <v>69</v>
      </c>
      <c r="D2" s="96" t="s">
        <v>70</v>
      </c>
      <c r="E2" s="100" t="s">
        <v>71</v>
      </c>
      <c r="F2" s="96" t="s">
        <v>72</v>
      </c>
      <c r="G2" s="96" t="s">
        <v>73</v>
      </c>
      <c r="H2" s="96" t="s">
        <v>74</v>
      </c>
      <c r="I2" s="96" t="s">
        <v>75</v>
      </c>
      <c r="J2" s="96" t="s">
        <v>76</v>
      </c>
      <c r="K2" s="41" t="s">
        <v>77</v>
      </c>
      <c r="L2" s="96" t="s">
        <v>78</v>
      </c>
      <c r="M2" s="41" t="s">
        <v>33</v>
      </c>
    </row>
    <row r="4" spans="1:14" ht="15.75" x14ac:dyDescent="0.25">
      <c r="A4" s="97" t="s">
        <v>63</v>
      </c>
      <c r="B4" s="42">
        <v>1</v>
      </c>
      <c r="C4" s="42" t="s">
        <v>55</v>
      </c>
      <c r="D4" s="42" t="str">
        <f>INSCRIPTS!C2</f>
        <v>1A</v>
      </c>
      <c r="E4" s="101">
        <f ca="1">SUM(IF(INDIRECT(ADDRESS(2,3,,,"MATCHS"))&gt;INDIRECT(ADDRESS(2,5,,,"MATCHS")),1,0),IF(INDIRECT(ADDRESS(7,3,,,"MATCHS"))&gt;INDIRECT(ADDRESS(7,5,,,"MATCHS")),1,0),IF(INDIRECT(ADDRESS(12,3,,,"MATCHS"))&gt;INDIRECT(ADDRESS(12,5,,,"MATCHS")),1,0)) + 0.01 * K4</f>
        <v>0</v>
      </c>
      <c r="F4" s="42">
        <f ca="1">SUM(IF(INDIRECT(ADDRESS(2,3,,,"MATCHS"))&lt;INDIRECT(ADDRESS(2,5,,,"MATCHS")),1,0),IF(INDIRECT(ADDRESS(7,3,,,"MATCHS"))&lt;INDIRECT(ADDRESS(7,5,,,"MATCHS")),1,0),IF(INDIRECT(ADDRESS(12,3,,,"MATCHS"))&lt;INDIRECT(ADDRESS(12,5,,,"MATCHS")),1,0))</f>
        <v>0</v>
      </c>
      <c r="G4" s="42"/>
      <c r="H4" s="42">
        <f ca="1">SUM(IF(IFERROR(FIND("--",INDIRECT(ADDRESS(2,3,,,"MATCHS"))),FALSE),LEFT(INDIRECT(ADDRESS(2,3,,,"MATCHS")), FIND("--",INDIRECT(ADDRESS(2,3,,,"MATCHS")),1)-1),INDIRECT(ADDRESS(2,3,,,"MATCHS"))),IF(IFERROR(FIND("--",INDIRECT(ADDRESS(7,3,,,"MATCHS"))),FALSE),LEFT(INDIRECT(ADDRESS(7,3,,,"MATCHS")), FIND("--",INDIRECT(ADDRESS(7,3,,,"MATCHS")),1)-1),INDIRECT(ADDRESS(7,3,,,"MATCHS"))),IF(IFERROR(FIND("--",INDIRECT(ADDRESS(12,3,,,"MATCHS"))),FALSE),LEFT(INDIRECT(ADDRESS(12,3,,,"MATCHS")), FIND("--",INDIRECT(ADDRESS(12,3,,,"MATCHS")),1)-1),INDIRECT(ADDRESS(12,3,,,"MATCHS"))))</f>
        <v>0</v>
      </c>
      <c r="I4" s="42">
        <f ca="1">SUM(IF(IFERROR(FIND("--",INDIRECT(ADDRESS(2,5,,,"MATCHS"))),FALSE),LEFT(INDIRECT(ADDRESS(2,5,,,"MATCHS")), FIND("--",INDIRECT(ADDRESS(2,5,,,"MATCHS")),1)-1),INDIRECT(ADDRESS(2,5,,,"MATCHS"))),IF(IFERROR(FIND("--",INDIRECT(ADDRESS(7,5,,,"MATCHS"))),FALSE),LEFT(INDIRECT(ADDRESS(7,5,,,"MATCHS")), FIND("--",INDIRECT(ADDRESS(7,5,,,"MATCHS")),1)-1),INDIRECT(ADDRESS(7,5,,,"MATCHS"))),IF(IFERROR(FIND("--",INDIRECT(ADDRESS(12,5,,,"MATCHS"))),FALSE),LEFT(INDIRECT(ADDRESS(12,5,,,"MATCHS")), FIND("--",INDIRECT(ADDRESS(12,5,,,"MATCHS")),1)-1),INDIRECT(ADDRESS(12,5,,,"MATCHS"))))</f>
        <v>0</v>
      </c>
      <c r="J4" s="42">
        <f ca="1">H4 - I4</f>
        <v>0</v>
      </c>
      <c r="K4" s="42">
        <v>0</v>
      </c>
      <c r="L4" s="42">
        <v>1</v>
      </c>
      <c r="M4" s="42"/>
      <c r="N4" s="95"/>
    </row>
    <row r="5" spans="1:14" ht="15.75" x14ac:dyDescent="0.25">
      <c r="A5" s="97"/>
      <c r="B5" s="42">
        <v>2</v>
      </c>
      <c r="C5" s="42" t="s">
        <v>56</v>
      </c>
      <c r="D5" s="42" t="str">
        <f>INSCRIPTS!C3</f>
        <v>2A</v>
      </c>
      <c r="E5" s="101">
        <f ca="1">SUM(IF(INDIRECT(ADDRESS(2,5,,,"MATCHS"))&gt;INDIRECT(ADDRESS(2,3,,,"MATCHS")),1,0),IF(INDIRECT(ADDRESS(8,3,,,"MATCHS"))&gt;INDIRECT(ADDRESS(8,5,,,"MATCHS")),1,0),IF(INDIRECT(ADDRESS(13,3,,,"MATCHS"))&gt;INDIRECT(ADDRESS(13,5,,,"MATCHS")),1,0)) + 0.01 * K5</f>
        <v>0</v>
      </c>
      <c r="F5" s="42">
        <f ca="1">SUM(IF(INDIRECT(ADDRESS(2,5,,,"MATCHS"))&lt;INDIRECT(ADDRESS(2,3,,,"MATCHS")),1,0),IF(INDIRECT(ADDRESS(8,3,,,"MATCHS"))&lt;INDIRECT(ADDRESS(8,5,,,"MATCHS")),1,0),IF(INDIRECT(ADDRESS(13,3,,,"MATCHS"))&lt;INDIRECT(ADDRESS(13,5,,,"MATCHS")),1,0))</f>
        <v>0</v>
      </c>
      <c r="G5" s="42"/>
      <c r="H5" s="42">
        <f ca="1">SUM(IF(IFERROR(FIND("--",INDIRECT(ADDRESS(2,5,,,"MATCHS"))),FALSE),LEFT(INDIRECT(ADDRESS(2,5,,,"MATCHS")), FIND("--",INDIRECT(ADDRESS(2,5,,,"MATCHS")),1)-1),INDIRECT(ADDRESS(2,5,,,"MATCHS"))),IF(IFERROR(FIND("--",INDIRECT(ADDRESS(8,3,,,"MATCHS"))),FALSE),LEFT(INDIRECT(ADDRESS(8,3,,,"MATCHS")), FIND("--",INDIRECT(ADDRESS(8,3,,,"MATCHS")),1)-1),INDIRECT(ADDRESS(8,3,,,"MATCHS"))),IF(IFERROR(FIND("--",INDIRECT(ADDRESS(13,3,,,"MATCHS"))),FALSE),LEFT(INDIRECT(ADDRESS(13,3,,,"MATCHS")), FIND("--",INDIRECT(ADDRESS(13,3,,,"MATCHS")),1)-1),INDIRECT(ADDRESS(13,3,,,"MATCHS"))))</f>
        <v>0</v>
      </c>
      <c r="I5" s="42">
        <f ca="1">SUM(IF(IFERROR(FIND("--",INDIRECT(ADDRESS(2,3,,,"MATCHS"))),FALSE),LEFT(INDIRECT(ADDRESS(2,3,,,"MATCHS")), FIND("--",INDIRECT(ADDRESS(2,3,,,"MATCHS")),1)-1),INDIRECT(ADDRESS(2,3,,,"MATCHS"))),IF(IFERROR(FIND("--",INDIRECT(ADDRESS(8,5,,,"MATCHS"))),FALSE),LEFT(INDIRECT(ADDRESS(8,5,,,"MATCHS")), FIND("--",INDIRECT(ADDRESS(8,5,,,"MATCHS")),1)-1),INDIRECT(ADDRESS(8,5,,,"MATCHS"))),IF(IFERROR(FIND("--",INDIRECT(ADDRESS(13,5,,,"MATCHS"))),FALSE),LEFT(INDIRECT(ADDRESS(13,5,,,"MATCHS")), FIND("--",INDIRECT(ADDRESS(13,5,,,"MATCHS")),1)-1),INDIRECT(ADDRESS(13,5,,,"MATCHS"))))</f>
        <v>0</v>
      </c>
      <c r="J5" s="42">
        <f ca="1">H5 - I5</f>
        <v>0</v>
      </c>
      <c r="K5" s="42">
        <v>0</v>
      </c>
      <c r="L5" s="42">
        <v>2</v>
      </c>
      <c r="M5" s="42"/>
      <c r="N5" s="95"/>
    </row>
    <row r="6" spans="1:14" ht="15.75" x14ac:dyDescent="0.25">
      <c r="A6" s="97"/>
      <c r="B6" s="42">
        <v>3</v>
      </c>
      <c r="C6" s="42" t="s">
        <v>57</v>
      </c>
      <c r="D6" s="42" t="str">
        <f>INSCRIPTS!C4</f>
        <v>3A</v>
      </c>
      <c r="E6" s="101">
        <f ca="1">SUM(IF(INDIRECT(ADDRESS(3,3,,,"MATCHS"))&gt;INDIRECT(ADDRESS(3,5,,,"MATCHS")),1,0),IF(INDIRECT(ADDRESS(7,5,,,"MATCHS"))&gt;INDIRECT(ADDRESS(7,3,,,"MATCHS")),1,0),IF(INDIRECT(ADDRESS(13,5,,,"MATCHS"))&gt;INDIRECT(ADDRESS(13,3,,,"MATCHS")),1,0)) + 0.01 * K6</f>
        <v>0</v>
      </c>
      <c r="F6" s="42">
        <f ca="1">SUM(IF(INDIRECT(ADDRESS(3,3,,,"MATCHS"))&lt;INDIRECT(ADDRESS(3,5,,,"MATCHS")),1,0),IF(INDIRECT(ADDRESS(7,5,,,"MATCHS"))&lt;INDIRECT(ADDRESS(7,3,,,"MATCHS")),1,0),IF(INDIRECT(ADDRESS(13,5,,,"MATCHS"))&lt;INDIRECT(ADDRESS(13,3,,,"MATCHS")),1,0))</f>
        <v>0</v>
      </c>
      <c r="G6" s="42"/>
      <c r="H6" s="42">
        <f ca="1">SUM(IF(IFERROR(FIND("--",INDIRECT(ADDRESS(3,3,,,"MATCHS"))),FALSE),LEFT(INDIRECT(ADDRESS(3,3,,,"MATCHS")), FIND("--",INDIRECT(ADDRESS(3,3,,,"MATCHS")),1)-1),INDIRECT(ADDRESS(3,3,,,"MATCHS"))),IF(IFERROR(FIND("--",INDIRECT(ADDRESS(7,5,,,"MATCHS"))),FALSE),LEFT(INDIRECT(ADDRESS(7,5,,,"MATCHS")), FIND("--",INDIRECT(ADDRESS(7,5,,,"MATCHS")),1)-1),INDIRECT(ADDRESS(7,5,,,"MATCHS"))),IF(IFERROR(FIND("--",INDIRECT(ADDRESS(13,5,,,"MATCHS"))),FALSE),LEFT(INDIRECT(ADDRESS(13,5,,,"MATCHS")), FIND("--",INDIRECT(ADDRESS(13,5,,,"MATCHS")),1)-1),INDIRECT(ADDRESS(13,5,,,"MATCHS"))))</f>
        <v>0</v>
      </c>
      <c r="I6" s="42">
        <f ca="1">SUM(IF(IFERROR(FIND("--",INDIRECT(ADDRESS(3,5,,,"MATCHS"))),FALSE),LEFT(INDIRECT(ADDRESS(3,5,,,"MATCHS")), FIND("--",INDIRECT(ADDRESS(3,5,,,"MATCHS")),1)-1),INDIRECT(ADDRESS(3,5,,,"MATCHS"))),IF(IFERROR(FIND("--",INDIRECT(ADDRESS(7,3,,,"MATCHS"))),FALSE),LEFT(INDIRECT(ADDRESS(7,3,,,"MATCHS")), FIND("--",INDIRECT(ADDRESS(7,3,,,"MATCHS")),1)-1),INDIRECT(ADDRESS(7,3,,,"MATCHS"))),IF(IFERROR(FIND("--",INDIRECT(ADDRESS(13,3,,,"MATCHS"))),FALSE),LEFT(INDIRECT(ADDRESS(13,3,,,"MATCHS")), FIND("--",INDIRECT(ADDRESS(13,3,,,"MATCHS")),1)-1),INDIRECT(ADDRESS(13,3,,,"MATCHS"))))</f>
        <v>0</v>
      </c>
      <c r="J6" s="42">
        <f ca="1">H6 - I6</f>
        <v>0</v>
      </c>
      <c r="K6" s="42">
        <v>0</v>
      </c>
      <c r="L6" s="42">
        <v>3</v>
      </c>
      <c r="M6" s="42"/>
      <c r="N6" s="95"/>
    </row>
    <row r="7" spans="1:14" ht="15.75" x14ac:dyDescent="0.25">
      <c r="A7" s="97"/>
      <c r="B7" s="42">
        <v>4</v>
      </c>
      <c r="C7" s="42" t="s">
        <v>58</v>
      </c>
      <c r="D7" s="42" t="str">
        <f>INSCRIPTS!C5</f>
        <v>4A</v>
      </c>
      <c r="E7" s="101">
        <f ca="1">SUM(IF(INDIRECT(ADDRESS(3,5,,,"MATCHS"))&gt;INDIRECT(ADDRESS(3,3,,,"MATCHS")),1,0),IF(INDIRECT(ADDRESS(8,5,,,"MATCHS"))&gt;INDIRECT(ADDRESS(8,3,,,"MATCHS")),1,0),IF(INDIRECT(ADDRESS(12,5,,,"MATCHS"))&gt;INDIRECT(ADDRESS(12,3,,,"MATCHS")),1,0)) + 0.01 * K7</f>
        <v>0</v>
      </c>
      <c r="F7" s="42">
        <f ca="1">SUM(IF(INDIRECT(ADDRESS(3,5,,,"MATCHS"))&lt;INDIRECT(ADDRESS(3,3,,,"MATCHS")),1,0),IF(INDIRECT(ADDRESS(8,5,,,"MATCHS"))&lt;INDIRECT(ADDRESS(8,3,,,"MATCHS")),1,0),IF(INDIRECT(ADDRESS(12,5,,,"MATCHS"))&lt;INDIRECT(ADDRESS(12,3,,,"MATCHS")),1,0))</f>
        <v>0</v>
      </c>
      <c r="G7" s="42"/>
      <c r="H7" s="42">
        <f ca="1">SUM(IF(IFERROR(FIND("--",INDIRECT(ADDRESS(3,5,,,"MATCHS"))),FALSE),LEFT(INDIRECT(ADDRESS(3,5,,,"MATCHS")), FIND("--",INDIRECT(ADDRESS(3,5,,,"MATCHS")),1)-1),INDIRECT(ADDRESS(3,5,,,"MATCHS"))),IF(IFERROR(FIND("--",INDIRECT(ADDRESS(8,5,,,"MATCHS"))),FALSE),LEFT(INDIRECT(ADDRESS(8,5,,,"MATCHS")), FIND("--",INDIRECT(ADDRESS(8,5,,,"MATCHS")),1)-1),INDIRECT(ADDRESS(8,5,,,"MATCHS"))),IF(IFERROR(FIND("--",INDIRECT(ADDRESS(12,5,,,"MATCHS"))),FALSE),LEFT(INDIRECT(ADDRESS(12,5,,,"MATCHS")), FIND("--",INDIRECT(ADDRESS(12,5,,,"MATCHS")),1)-1),INDIRECT(ADDRESS(12,5,,,"MATCHS"))))</f>
        <v>0</v>
      </c>
      <c r="I7" s="42">
        <f ca="1">SUM(IF(IFERROR(FIND("--",INDIRECT(ADDRESS(3,3,,,"MATCHS"))),FALSE),LEFT(INDIRECT(ADDRESS(3,3,,,"MATCHS")), FIND("--",INDIRECT(ADDRESS(3,3,,,"MATCHS")),1)-1),INDIRECT(ADDRESS(3,3,,,"MATCHS"))),IF(IFERROR(FIND("--",INDIRECT(ADDRESS(8,3,,,"MATCHS"))),FALSE),LEFT(INDIRECT(ADDRESS(8,3,,,"MATCHS")), FIND("--",INDIRECT(ADDRESS(8,3,,,"MATCHS")),1)-1),INDIRECT(ADDRESS(8,3,,,"MATCHS"))),IF(IFERROR(FIND("--",INDIRECT(ADDRESS(12,3,,,"MATCHS"))),FALSE),LEFT(INDIRECT(ADDRESS(12,3,,,"MATCHS")), FIND("--",INDIRECT(ADDRESS(12,3,,,"MATCHS")),1)-1),INDIRECT(ADDRESS(12,3,,,"MATCHS"))))</f>
        <v>0</v>
      </c>
      <c r="J7" s="42">
        <f ca="1">H7 - I7</f>
        <v>0</v>
      </c>
      <c r="K7" s="42">
        <v>0</v>
      </c>
      <c r="L7" s="42">
        <v>4</v>
      </c>
      <c r="M7" s="42"/>
      <c r="N7" s="95"/>
    </row>
    <row r="8" spans="1:14" ht="15.75" thickBot="1" x14ac:dyDescent="0.3"/>
    <row r="9" spans="1:14" ht="30.95" customHeight="1" thickBot="1" x14ac:dyDescent="0.3">
      <c r="C9" s="96" t="s">
        <v>69</v>
      </c>
      <c r="D9" s="96" t="s">
        <v>70</v>
      </c>
      <c r="E9" s="100" t="s">
        <v>71</v>
      </c>
      <c r="F9" s="96" t="s">
        <v>72</v>
      </c>
      <c r="G9" s="96" t="s">
        <v>73</v>
      </c>
      <c r="H9" s="96" t="s">
        <v>74</v>
      </c>
      <c r="I9" s="96" t="s">
        <v>75</v>
      </c>
      <c r="J9" s="96" t="s">
        <v>76</v>
      </c>
      <c r="K9" s="41" t="s">
        <v>77</v>
      </c>
      <c r="L9" s="96" t="s">
        <v>78</v>
      </c>
      <c r="M9" s="41" t="s">
        <v>33</v>
      </c>
    </row>
    <row r="11" spans="1:14" ht="15.75" x14ac:dyDescent="0.25">
      <c r="A11" s="98" t="s">
        <v>64</v>
      </c>
      <c r="B11" s="43">
        <v>1</v>
      </c>
      <c r="C11" s="43" t="s">
        <v>59</v>
      </c>
      <c r="D11" s="43" t="str">
        <f>INSCRIPTS!C7</f>
        <v>1B</v>
      </c>
      <c r="E11" s="102">
        <f ca="1">SUM(IF(INDIRECT(ADDRESS(4,3,,,"MATCHS"))&gt;INDIRECT(ADDRESS(4,5,,,"MATCHS")),1,0),IF(INDIRECT(ADDRESS(9,3,,,"MATCHS"))&gt;INDIRECT(ADDRESS(9,5,,,"MATCHS")),1,0),IF(INDIRECT(ADDRESS(14,3,,,"MATCHS"))&gt;INDIRECT(ADDRESS(14,5,,,"MATCHS")),1,0)) + 0.01 * K11</f>
        <v>0</v>
      </c>
      <c r="F11" s="43">
        <f ca="1">SUM(IF(INDIRECT(ADDRESS(4,3,,,"MATCHS"))&lt;INDIRECT(ADDRESS(4,5,,,"MATCHS")),1,0),IF(INDIRECT(ADDRESS(9,3,,,"MATCHS"))&lt;INDIRECT(ADDRESS(9,5,,,"MATCHS")),1,0),IF(INDIRECT(ADDRESS(14,3,,,"MATCHS"))&lt;INDIRECT(ADDRESS(14,5,,,"MATCHS")),1,0))</f>
        <v>0</v>
      </c>
      <c r="G11" s="43"/>
      <c r="H11" s="43">
        <f ca="1">SUM(IF(IFERROR(FIND("--",INDIRECT(ADDRESS(4,3,,,"MATCHS"))),FALSE),LEFT(INDIRECT(ADDRESS(4,3,,,"MATCHS")), FIND("--",INDIRECT(ADDRESS(4,3,,,"MATCHS")),1)-1),INDIRECT(ADDRESS(4,3,,,"MATCHS"))),IF(IFERROR(FIND("--",INDIRECT(ADDRESS(9,3,,,"MATCHS"))),FALSE),LEFT(INDIRECT(ADDRESS(9,3,,,"MATCHS")), FIND("--",INDIRECT(ADDRESS(9,3,,,"MATCHS")),1)-1),INDIRECT(ADDRESS(9,3,,,"MATCHS"))),IF(IFERROR(FIND("--",INDIRECT(ADDRESS(14,3,,,"MATCHS"))),FALSE),LEFT(INDIRECT(ADDRESS(14,3,,,"MATCHS")), FIND("--",INDIRECT(ADDRESS(14,3,,,"MATCHS")),1)-1),INDIRECT(ADDRESS(14,3,,,"MATCHS"))))</f>
        <v>0</v>
      </c>
      <c r="I11" s="43">
        <f ca="1">SUM(IF(IFERROR(FIND("--",INDIRECT(ADDRESS(4,5,,,"MATCHS"))),FALSE),LEFT(INDIRECT(ADDRESS(4,5,,,"MATCHS")), FIND("--",INDIRECT(ADDRESS(4,5,,,"MATCHS")),1)-1),INDIRECT(ADDRESS(4,5,,,"MATCHS"))),IF(IFERROR(FIND("--",INDIRECT(ADDRESS(9,5,,,"MATCHS"))),FALSE),LEFT(INDIRECT(ADDRESS(9,5,,,"MATCHS")), FIND("--",INDIRECT(ADDRESS(9,5,,,"MATCHS")),1)-1),INDIRECT(ADDRESS(9,5,,,"MATCHS"))),IF(IFERROR(FIND("--",INDIRECT(ADDRESS(14,5,,,"MATCHS"))),FALSE),LEFT(INDIRECT(ADDRESS(14,5,,,"MATCHS")), FIND("--",INDIRECT(ADDRESS(14,5,,,"MATCHS")),1)-1),INDIRECT(ADDRESS(14,5,,,"MATCHS"))))</f>
        <v>0</v>
      </c>
      <c r="J11" s="43">
        <f ca="1">H11 - I11</f>
        <v>0</v>
      </c>
      <c r="K11" s="43">
        <v>0</v>
      </c>
      <c r="L11" s="43">
        <v>1</v>
      </c>
      <c r="M11" s="43"/>
      <c r="N11" s="95"/>
    </row>
    <row r="12" spans="1:14" ht="15.75" x14ac:dyDescent="0.25">
      <c r="A12" s="98"/>
      <c r="B12" s="43">
        <v>2</v>
      </c>
      <c r="C12" s="43" t="s">
        <v>60</v>
      </c>
      <c r="D12" s="43" t="str">
        <f>INSCRIPTS!C8</f>
        <v>2B</v>
      </c>
      <c r="E12" s="102">
        <f ca="1">SUM(IF(INDIRECT(ADDRESS(4,5,,,"MATCHS"))&gt;INDIRECT(ADDRESS(4,3,,,"MATCHS")),1,0),IF(INDIRECT(ADDRESS(10,3,,,"MATCHS"))&gt;INDIRECT(ADDRESS(10,5,,,"MATCHS")),1,0),IF(INDIRECT(ADDRESS(15,3,,,"MATCHS"))&gt;INDIRECT(ADDRESS(15,5,,,"MATCHS")),1,0)) + 0.01 * K12</f>
        <v>0</v>
      </c>
      <c r="F12" s="43">
        <f ca="1">SUM(IF(INDIRECT(ADDRESS(4,5,,,"MATCHS"))&lt;INDIRECT(ADDRESS(4,3,,,"MATCHS")),1,0),IF(INDIRECT(ADDRESS(10,3,,,"MATCHS"))&lt;INDIRECT(ADDRESS(10,5,,,"MATCHS")),1,0),IF(INDIRECT(ADDRESS(15,3,,,"MATCHS"))&lt;INDIRECT(ADDRESS(15,5,,,"MATCHS")),1,0))</f>
        <v>0</v>
      </c>
      <c r="G12" s="43"/>
      <c r="H12" s="43">
        <f ca="1">SUM(IF(IFERROR(FIND("--",INDIRECT(ADDRESS(4,5,,,"MATCHS"))),FALSE),LEFT(INDIRECT(ADDRESS(4,5,,,"MATCHS")), FIND("--",INDIRECT(ADDRESS(4,5,,,"MATCHS")),1)-1),INDIRECT(ADDRESS(4,5,,,"MATCHS"))),IF(IFERROR(FIND("--",INDIRECT(ADDRESS(10,3,,,"MATCHS"))),FALSE),LEFT(INDIRECT(ADDRESS(10,3,,,"MATCHS")), FIND("--",INDIRECT(ADDRESS(10,3,,,"MATCHS")),1)-1),INDIRECT(ADDRESS(10,3,,,"MATCHS"))),IF(IFERROR(FIND("--",INDIRECT(ADDRESS(15,3,,,"MATCHS"))),FALSE),LEFT(INDIRECT(ADDRESS(15,3,,,"MATCHS")), FIND("--",INDIRECT(ADDRESS(15,3,,,"MATCHS")),1)-1),INDIRECT(ADDRESS(15,3,,,"MATCHS"))))</f>
        <v>0</v>
      </c>
      <c r="I12" s="43">
        <f ca="1">SUM(IF(IFERROR(FIND("--",INDIRECT(ADDRESS(4,3,,,"MATCHS"))),FALSE),LEFT(INDIRECT(ADDRESS(4,3,,,"MATCHS")), FIND("--",INDIRECT(ADDRESS(4,3,,,"MATCHS")),1)-1),INDIRECT(ADDRESS(4,3,,,"MATCHS"))),IF(IFERROR(FIND("--",INDIRECT(ADDRESS(10,5,,,"MATCHS"))),FALSE),LEFT(INDIRECT(ADDRESS(10,5,,,"MATCHS")), FIND("--",INDIRECT(ADDRESS(10,5,,,"MATCHS")),1)-1),INDIRECT(ADDRESS(10,5,,,"MATCHS"))),IF(IFERROR(FIND("--",INDIRECT(ADDRESS(15,5,,,"MATCHS"))),FALSE),LEFT(INDIRECT(ADDRESS(15,5,,,"MATCHS")), FIND("--",INDIRECT(ADDRESS(15,5,,,"MATCHS")),1)-1),INDIRECT(ADDRESS(15,5,,,"MATCHS"))))</f>
        <v>0</v>
      </c>
      <c r="J12" s="43">
        <f ca="1">H12 - I12</f>
        <v>0</v>
      </c>
      <c r="K12" s="43">
        <v>0</v>
      </c>
      <c r="L12" s="43">
        <v>2</v>
      </c>
      <c r="M12" s="43"/>
      <c r="N12" s="95"/>
    </row>
    <row r="13" spans="1:14" ht="15.75" x14ac:dyDescent="0.25">
      <c r="A13" s="98"/>
      <c r="B13" s="43">
        <v>3</v>
      </c>
      <c r="C13" s="43" t="s">
        <v>61</v>
      </c>
      <c r="D13" s="43" t="str">
        <f>INSCRIPTS!C9</f>
        <v>3B</v>
      </c>
      <c r="E13" s="102">
        <f ca="1">SUM(IF(INDIRECT(ADDRESS(5,3,,,"MATCHS"))&gt;INDIRECT(ADDRESS(5,5,,,"MATCHS")),1,0),IF(INDIRECT(ADDRESS(9,5,,,"MATCHS"))&gt;INDIRECT(ADDRESS(9,3,,,"MATCHS")),1,0),IF(INDIRECT(ADDRESS(15,5,,,"MATCHS"))&gt;INDIRECT(ADDRESS(15,3,,,"MATCHS")),1,0)) + 0.01 * K13</f>
        <v>0</v>
      </c>
      <c r="F13" s="43">
        <f ca="1">SUM(IF(INDIRECT(ADDRESS(5,3,,,"MATCHS"))&lt;INDIRECT(ADDRESS(5,5,,,"MATCHS")),1,0),IF(INDIRECT(ADDRESS(9,5,,,"MATCHS"))&lt;INDIRECT(ADDRESS(9,3,,,"MATCHS")),1,0),IF(INDIRECT(ADDRESS(15,5,,,"MATCHS"))&lt;INDIRECT(ADDRESS(15,3,,,"MATCHS")),1,0))</f>
        <v>0</v>
      </c>
      <c r="G13" s="43"/>
      <c r="H13" s="43">
        <f ca="1">SUM(IF(IFERROR(FIND("--",INDIRECT(ADDRESS(5,3,,,"MATCHS"))),FALSE),LEFT(INDIRECT(ADDRESS(5,3,,,"MATCHS")), FIND("--",INDIRECT(ADDRESS(5,3,,,"MATCHS")),1)-1),INDIRECT(ADDRESS(5,3,,,"MATCHS"))),IF(IFERROR(FIND("--",INDIRECT(ADDRESS(9,5,,,"MATCHS"))),FALSE),LEFT(INDIRECT(ADDRESS(9,5,,,"MATCHS")), FIND("--",INDIRECT(ADDRESS(9,5,,,"MATCHS")),1)-1),INDIRECT(ADDRESS(9,5,,,"MATCHS"))),IF(IFERROR(FIND("--",INDIRECT(ADDRESS(15,5,,,"MATCHS"))),FALSE),LEFT(INDIRECT(ADDRESS(15,5,,,"MATCHS")), FIND("--",INDIRECT(ADDRESS(15,5,,,"MATCHS")),1)-1),INDIRECT(ADDRESS(15,5,,,"MATCHS"))))</f>
        <v>0</v>
      </c>
      <c r="I13" s="43">
        <f ca="1">SUM(IF(IFERROR(FIND("--",INDIRECT(ADDRESS(5,5,,,"MATCHS"))),FALSE),LEFT(INDIRECT(ADDRESS(5,5,,,"MATCHS")), FIND("--",INDIRECT(ADDRESS(5,5,,,"MATCHS")),1)-1),INDIRECT(ADDRESS(5,5,,,"MATCHS"))),IF(IFERROR(FIND("--",INDIRECT(ADDRESS(9,3,,,"MATCHS"))),FALSE),LEFT(INDIRECT(ADDRESS(9,3,,,"MATCHS")), FIND("--",INDIRECT(ADDRESS(9,3,,,"MATCHS")),1)-1),INDIRECT(ADDRESS(9,3,,,"MATCHS"))),IF(IFERROR(FIND("--",INDIRECT(ADDRESS(15,3,,,"MATCHS"))),FALSE),LEFT(INDIRECT(ADDRESS(15,3,,,"MATCHS")), FIND("--",INDIRECT(ADDRESS(15,3,,,"MATCHS")),1)-1),INDIRECT(ADDRESS(15,3,,,"MATCHS"))))</f>
        <v>0</v>
      </c>
      <c r="J13" s="43">
        <f ca="1">H13 - I13</f>
        <v>0</v>
      </c>
      <c r="K13" s="43">
        <v>0</v>
      </c>
      <c r="L13" s="43">
        <v>3</v>
      </c>
      <c r="M13" s="43"/>
      <c r="N13" s="95"/>
    </row>
    <row r="14" spans="1:14" ht="15.75" x14ac:dyDescent="0.25">
      <c r="A14" s="98"/>
      <c r="B14" s="43">
        <v>4</v>
      </c>
      <c r="C14" s="43" t="s">
        <v>62</v>
      </c>
      <c r="D14" s="43" t="str">
        <f>INSCRIPTS!C10</f>
        <v>4B</v>
      </c>
      <c r="E14" s="102">
        <f ca="1">SUM(IF(INDIRECT(ADDRESS(5,5,,,"MATCHS"))&gt;INDIRECT(ADDRESS(5,3,,,"MATCHS")),1,0),IF(INDIRECT(ADDRESS(10,5,,,"MATCHS"))&gt;INDIRECT(ADDRESS(10,3,,,"MATCHS")),1,0),IF(INDIRECT(ADDRESS(14,5,,,"MATCHS"))&gt;INDIRECT(ADDRESS(14,3,,,"MATCHS")),1,0)) + 0.01 * K14</f>
        <v>0</v>
      </c>
      <c r="F14" s="43">
        <f ca="1">SUM(IF(INDIRECT(ADDRESS(5,5,,,"MATCHS"))&lt;INDIRECT(ADDRESS(5,3,,,"MATCHS")),1,0),IF(INDIRECT(ADDRESS(10,5,,,"MATCHS"))&lt;INDIRECT(ADDRESS(10,3,,,"MATCHS")),1,0),IF(INDIRECT(ADDRESS(14,5,,,"MATCHS"))&lt;INDIRECT(ADDRESS(14,3,,,"MATCHS")),1,0))</f>
        <v>0</v>
      </c>
      <c r="G14" s="43"/>
      <c r="H14" s="43">
        <f ca="1">SUM(IF(IFERROR(FIND("--",INDIRECT(ADDRESS(5,5,,,"MATCHS"))),FALSE),LEFT(INDIRECT(ADDRESS(5,5,,,"MATCHS")), FIND("--",INDIRECT(ADDRESS(5,5,,,"MATCHS")),1)-1),INDIRECT(ADDRESS(5,5,,,"MATCHS"))),IF(IFERROR(FIND("--",INDIRECT(ADDRESS(10,5,,,"MATCHS"))),FALSE),LEFT(INDIRECT(ADDRESS(10,5,,,"MATCHS")), FIND("--",INDIRECT(ADDRESS(10,5,,,"MATCHS")),1)-1),INDIRECT(ADDRESS(10,5,,,"MATCHS"))),IF(IFERROR(FIND("--",INDIRECT(ADDRESS(14,5,,,"MATCHS"))),FALSE),LEFT(INDIRECT(ADDRESS(14,5,,,"MATCHS")), FIND("--",INDIRECT(ADDRESS(14,5,,,"MATCHS")),1)-1),INDIRECT(ADDRESS(14,5,,,"MATCHS"))))</f>
        <v>0</v>
      </c>
      <c r="I14" s="43">
        <f ca="1">SUM(IF(IFERROR(FIND("--",INDIRECT(ADDRESS(5,3,,,"MATCHS"))),FALSE),LEFT(INDIRECT(ADDRESS(5,3,,,"MATCHS")), FIND("--",INDIRECT(ADDRESS(5,3,,,"MATCHS")),1)-1),INDIRECT(ADDRESS(5,3,,,"MATCHS"))),IF(IFERROR(FIND("--",INDIRECT(ADDRESS(10,3,,,"MATCHS"))),FALSE),LEFT(INDIRECT(ADDRESS(10,3,,,"MATCHS")), FIND("--",INDIRECT(ADDRESS(10,3,,,"MATCHS")),1)-1),INDIRECT(ADDRESS(10,3,,,"MATCHS"))),IF(IFERROR(FIND("--",INDIRECT(ADDRESS(14,3,,,"MATCHS"))),FALSE),LEFT(INDIRECT(ADDRESS(14,3,,,"MATCHS")), FIND("--",INDIRECT(ADDRESS(14,3,,,"MATCHS")),1)-1),INDIRECT(ADDRESS(14,3,,,"MATCHS"))))</f>
        <v>0</v>
      </c>
      <c r="J14" s="43">
        <f ca="1">H14 - I14</f>
        <v>0</v>
      </c>
      <c r="K14" s="43">
        <v>0</v>
      </c>
      <c r="L14" s="43">
        <v>4</v>
      </c>
      <c r="M14" s="43"/>
      <c r="N14" s="95"/>
    </row>
  </sheetData>
  <mergeCells count="2">
    <mergeCell ref="A4:A7"/>
    <mergeCell ref="A11:A14"/>
  </mergeCells>
  <dataValidations count="2">
    <dataValidation type="whole" allowBlank="1" showErrorMessage="1" errorTitle="ATTENTION" error="NOMBRE ENTIER UNIQUEMENT_x000a_COMPRIS ENTRE --&gt; 1 ET 4" sqref="M1:M1048576" xr:uid="{59DE5EB7-D794-413A-A5BF-2AC0BA4AC5ED}">
      <formula1>1</formula1>
      <formula2>4</formula2>
    </dataValidation>
    <dataValidation type="whole" operator="greaterThanOrEqual" allowBlank="1" showErrorMessage="1" errorTitle="ATTENTION" error="NOMBRE ENTIER UNIQUEMENT_x000a_MINIMUM --&gt; 0" sqref="J1:J1048576" xr:uid="{26C06590-AF24-4BEE-A79E-64A7A9C4D67D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TRIPOULE">
              <controlPr defaultSize="0" print="0" autoFill="0" autoPict="0" macro="[0]!tp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4" name="ValiderOrdrePhaseFinale">
              <controlPr defaultSize="0" print="0" autoFill="0" autoPict="0" macro="[0]!listmatchph14uni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5" name="C4PPClassement">
              <controlPr defaultSize="0" print="0" autoFill="0" autoPict="0" macro="[0]!'copyimage &quot;A2:J14&quot;'">
                <anchor moveWithCells="1" sizeWithCells="1">
                  <from>
                    <xdr:col>18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C70B6-7C79-48E9-8821-DB5AC20078AC}">
  <sheetPr codeName="Feuil27"/>
  <dimension ref="B2:O17"/>
  <sheetViews>
    <sheetView workbookViewId="0"/>
  </sheetViews>
  <sheetFormatPr baseColWidth="10" defaultRowHeight="15" x14ac:dyDescent="0.25"/>
  <cols>
    <col min="1" max="1" width="11.42578125" style="103"/>
    <col min="2" max="2" width="4.28515625" style="108" customWidth="1"/>
    <col min="3" max="3" width="22.85546875" style="103" customWidth="1"/>
    <col min="4" max="4" width="2.85546875" style="103" customWidth="1"/>
    <col min="5" max="5" width="4.28515625" style="108" customWidth="1"/>
    <col min="6" max="6" width="22.85546875" style="103" customWidth="1"/>
    <col min="7" max="7" width="2.85546875" style="103" customWidth="1"/>
    <col min="8" max="8" width="22.85546875" style="103" customWidth="1"/>
    <col min="9" max="9" width="4.28515625" style="108" customWidth="1"/>
    <col min="10" max="10" width="2.85546875" style="103" customWidth="1"/>
    <col min="11" max="11" width="22.85546875" style="103" customWidth="1"/>
    <col min="12" max="12" width="4.28515625" style="108" customWidth="1"/>
    <col min="13" max="13" width="2.85546875" style="103" customWidth="1"/>
    <col min="14" max="14" width="22.85546875" style="103" customWidth="1"/>
    <col min="15" max="15" width="4.28515625" style="108" customWidth="1"/>
    <col min="16" max="16384" width="11.42578125" style="103"/>
  </cols>
  <sheetData>
    <row r="2" spans="2:15" x14ac:dyDescent="0.25">
      <c r="H2" s="103" t="s">
        <v>79</v>
      </c>
    </row>
    <row r="3" spans="2:15" ht="15.75" thickBot="1" x14ac:dyDescent="0.3">
      <c r="H3" s="103" t="s">
        <v>80</v>
      </c>
    </row>
    <row r="4" spans="2:15" x14ac:dyDescent="0.25">
      <c r="H4" s="104"/>
      <c r="I4" s="111"/>
    </row>
    <row r="5" spans="2:15" ht="15.75" thickBot="1" x14ac:dyDescent="0.3">
      <c r="F5" s="103" t="s">
        <v>82</v>
      </c>
      <c r="H5" s="106"/>
      <c r="I5" s="112"/>
      <c r="K5" s="103" t="s">
        <v>80</v>
      </c>
    </row>
    <row r="6" spans="2:15" x14ac:dyDescent="0.25">
      <c r="C6" s="103" t="s">
        <v>82</v>
      </c>
      <c r="E6" s="109"/>
      <c r="F6" s="105" t="str">
        <f>IF(OR(I4="",I5=""),"",IF(I4&lt;I5,H4,H5))</f>
        <v/>
      </c>
      <c r="K6" s="104" t="str">
        <f>IF(OR(I4="",I5=""),"",IF(I4&gt;I5,H4,H5))</f>
        <v/>
      </c>
      <c r="L6" s="111"/>
      <c r="N6" s="103" t="s">
        <v>80</v>
      </c>
    </row>
    <row r="7" spans="2:15" ht="15.75" thickBot="1" x14ac:dyDescent="0.3">
      <c r="C7" s="103" t="s">
        <v>86</v>
      </c>
      <c r="E7" s="110"/>
      <c r="F7" s="107" t="str">
        <f>IF(OR(I8="",I9=""),"",IF(I8&lt;I9,H8,H9))</f>
        <v/>
      </c>
      <c r="H7" s="103" t="s">
        <v>81</v>
      </c>
      <c r="K7" s="106" t="str">
        <f>IF(OR(I8="",I9=""),"",IF(I8&gt;I9,H8,H9))</f>
        <v/>
      </c>
      <c r="L7" s="112"/>
      <c r="N7" s="103" t="s">
        <v>84</v>
      </c>
    </row>
    <row r="8" spans="2:15" x14ac:dyDescent="0.25">
      <c r="B8" s="109"/>
      <c r="C8" s="105" t="str">
        <f>IF(OR(E6="",E7=""),"",IF(E6&gt;E7,F6,F7))</f>
        <v/>
      </c>
      <c r="H8" s="104"/>
      <c r="I8" s="111"/>
      <c r="N8" s="104" t="str">
        <f>IF(OR(L6="",L7=""),"",IF(L6&gt;L7,K6,K7))</f>
        <v/>
      </c>
      <c r="O8" s="111"/>
    </row>
    <row r="9" spans="2:15" ht="15.75" thickBot="1" x14ac:dyDescent="0.3">
      <c r="B9" s="110"/>
      <c r="C9" s="107" t="str">
        <f>IF(OR(E14="",E15=""),"",IF(E14&gt;E15,F14,F15))</f>
        <v/>
      </c>
      <c r="H9" s="106"/>
      <c r="I9" s="112"/>
      <c r="N9" s="106" t="str">
        <f>IF(OR(L14="",L15=""),"",IF(L14&gt;L15,K14,K15))</f>
        <v/>
      </c>
      <c r="O9" s="112"/>
    </row>
    <row r="10" spans="2:15" x14ac:dyDescent="0.25">
      <c r="C10" s="103" t="s">
        <v>83</v>
      </c>
      <c r="N10" s="103" t="s">
        <v>81</v>
      </c>
    </row>
    <row r="11" spans="2:15" ht="15.75" thickBot="1" x14ac:dyDescent="0.3">
      <c r="C11" s="103" t="s">
        <v>87</v>
      </c>
      <c r="H11" s="103" t="s">
        <v>82</v>
      </c>
      <c r="N11" s="103" t="s">
        <v>85</v>
      </c>
    </row>
    <row r="12" spans="2:15" x14ac:dyDescent="0.25">
      <c r="B12" s="109"/>
      <c r="C12" s="105" t="str">
        <f>IF(OR(E6="",E7=""),"",IF(E6&lt;E7,F6,F7))</f>
        <v/>
      </c>
      <c r="H12" s="104"/>
      <c r="I12" s="111"/>
      <c r="N12" s="104" t="str">
        <f>IF(OR(L6="",L7=""),"",IF(L6&lt;L7,K6,K7))</f>
        <v/>
      </c>
      <c r="O12" s="111"/>
    </row>
    <row r="13" spans="2:15" ht="15.75" thickBot="1" x14ac:dyDescent="0.3">
      <c r="B13" s="110"/>
      <c r="C13" s="107" t="str">
        <f>IF(OR(E14="",E15=""),"",IF(E14&lt;E15,F14,F15))</f>
        <v/>
      </c>
      <c r="F13" s="103" t="s">
        <v>83</v>
      </c>
      <c r="H13" s="106"/>
      <c r="I13" s="112"/>
      <c r="K13" s="103" t="s">
        <v>81</v>
      </c>
      <c r="N13" s="106" t="str">
        <f>IF(OR(L14="",L15=""),"",IF(L14&lt;L15,K14,K15))</f>
        <v/>
      </c>
      <c r="O13" s="112"/>
    </row>
    <row r="14" spans="2:15" x14ac:dyDescent="0.25">
      <c r="E14" s="109"/>
      <c r="F14" s="105" t="str">
        <f>IF(OR(I12="",I13=""),"",IF(I12&lt;I13,H12,H13))</f>
        <v/>
      </c>
      <c r="K14" s="104" t="str">
        <f>IF(OR(I12="",I13=""),"",IF(I12&gt;I13,H12,H13))</f>
        <v/>
      </c>
      <c r="L14" s="111"/>
    </row>
    <row r="15" spans="2:15" ht="15.75" thickBot="1" x14ac:dyDescent="0.3">
      <c r="E15" s="110"/>
      <c r="F15" s="107" t="str">
        <f>IF(OR(I16="",I17=""),"",IF(I16&lt;I17,H16,H17))</f>
        <v/>
      </c>
      <c r="H15" s="103" t="s">
        <v>83</v>
      </c>
      <c r="K15" s="106" t="str">
        <f>IF(OR(I16="",I17=""),"",IF(I16&gt;I17,H16,H17))</f>
        <v/>
      </c>
      <c r="L15" s="112"/>
    </row>
    <row r="16" spans="2:15" x14ac:dyDescent="0.25">
      <c r="H16" s="104"/>
      <c r="I16" s="111"/>
    </row>
    <row r="17" spans="8:9" ht="15.75" thickBot="1" x14ac:dyDescent="0.3">
      <c r="H17" s="106"/>
      <c r="I17" s="112"/>
    </row>
  </sheetData>
  <dataValidations count="1">
    <dataValidation type="whole" operator="greaterThanOrEqual" allowBlank="1" showErrorMessage="1" errorTitle="ATTENTION" error="NOMBRE ENTIER UNIQUEMENT_x000a_MINIMUM --&gt; 0" sqref="B1:B1048576 E1:E1048576 I1:I1048576 L1:L1048576 O1:O1048576" xr:uid="{5BBAE880-E818-4452-9B27-07750E9B26F2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C4PPph14">
              <controlPr defaultSize="0" print="0" autoFill="0" autoPict="0" macro="[0]!'copyimage &quot;B2:O17&quot;'">
                <anchor moveWithCells="1" sizeWithCells="1">
                  <from>
                    <xdr:col>17</xdr:col>
                    <xdr:colOff>0</xdr:colOff>
                    <xdr:row>1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25FB8-9047-4202-A477-A5DF0A673C8A}">
  <sheetPr codeName="Feuil28"/>
  <dimension ref="A1:G15"/>
  <sheetViews>
    <sheetView topLeftCell="B1" workbookViewId="0"/>
  </sheetViews>
  <sheetFormatPr baseColWidth="10" defaultRowHeight="15" x14ac:dyDescent="0.25"/>
  <cols>
    <col min="1" max="1" width="0" style="40" hidden="1" customWidth="1"/>
    <col min="2" max="2" width="43.5703125" style="40" customWidth="1"/>
    <col min="3" max="3" width="6" style="95" customWidth="1"/>
    <col min="4" max="4" width="16.7109375" style="40" customWidth="1"/>
    <col min="5" max="5" width="6" style="95" customWidth="1"/>
    <col min="6" max="6" width="43.5703125" style="40" customWidth="1"/>
    <col min="7" max="7" width="6" style="40" hidden="1" customWidth="1"/>
    <col min="8" max="16384" width="11.42578125" style="40"/>
  </cols>
  <sheetData>
    <row r="1" spans="1:7" x14ac:dyDescent="0.25">
      <c r="A1" s="88"/>
      <c r="B1" s="88"/>
      <c r="C1" s="93"/>
      <c r="D1" s="89">
        <v>0.33333333333333331</v>
      </c>
      <c r="E1" s="93"/>
      <c r="F1" s="88"/>
      <c r="G1" s="88"/>
    </row>
    <row r="2" spans="1:7" x14ac:dyDescent="0.25">
      <c r="A2" s="91"/>
      <c r="B2" s="91">
        <f>PHASE_FINAL!H4</f>
        <v>0</v>
      </c>
      <c r="C2" s="94" t="str">
        <f>IF(PHASE_FINAL!I4&lt;&gt;"",PHASE_FINAL!I4,"")</f>
        <v/>
      </c>
      <c r="D2" s="90" t="s">
        <v>65</v>
      </c>
      <c r="E2" s="94" t="str">
        <f>IF(PHASE_FINAL!I5&lt;&gt;"",PHASE_FINAL!I5,"")</f>
        <v/>
      </c>
      <c r="F2" s="91">
        <f>PHASE_FINAL!H5</f>
        <v>0</v>
      </c>
      <c r="G2" s="91"/>
    </row>
    <row r="3" spans="1:7" x14ac:dyDescent="0.25">
      <c r="A3" s="91"/>
      <c r="B3" s="91">
        <f>PHASE_FINAL!H8</f>
        <v>0</v>
      </c>
      <c r="C3" s="94" t="str">
        <f>IF(PHASE_FINAL!I8&lt;&gt;"",PHASE_FINAL!I8,"")</f>
        <v/>
      </c>
      <c r="D3" s="90" t="s">
        <v>66</v>
      </c>
      <c r="E3" s="94" t="str">
        <f>IF(PHASE_FINAL!I9&lt;&gt;"",PHASE_FINAL!I9,"")</f>
        <v/>
      </c>
      <c r="F3" s="91">
        <f>PHASE_FINAL!H9</f>
        <v>0</v>
      </c>
      <c r="G3" s="91"/>
    </row>
    <row r="4" spans="1:7" x14ac:dyDescent="0.25">
      <c r="A4" s="91"/>
      <c r="B4" s="91">
        <f>PHASE_FINAL!H12</f>
        <v>0</v>
      </c>
      <c r="C4" s="94" t="str">
        <f>IF(PHASE_FINAL!I12&lt;&gt;"",PHASE_FINAL!I12,"")</f>
        <v/>
      </c>
      <c r="D4" s="90" t="s">
        <v>67</v>
      </c>
      <c r="E4" s="94" t="str">
        <f>IF(PHASE_FINAL!I13&lt;&gt;"",PHASE_FINAL!I13,"")</f>
        <v/>
      </c>
      <c r="F4" s="91">
        <f>PHASE_FINAL!H13</f>
        <v>0</v>
      </c>
      <c r="G4" s="91"/>
    </row>
    <row r="5" spans="1:7" x14ac:dyDescent="0.25">
      <c r="A5" s="91"/>
      <c r="B5" s="91">
        <f>PHASE_FINAL!H16</f>
        <v>0</v>
      </c>
      <c r="C5" s="94" t="str">
        <f>IF(PHASE_FINAL!I16&lt;&gt;"",PHASE_FINAL!I16,"")</f>
        <v/>
      </c>
      <c r="D5" s="90" t="s">
        <v>68</v>
      </c>
      <c r="E5" s="94" t="str">
        <f>IF(PHASE_FINAL!I17&lt;&gt;"",PHASE_FINAL!I17,"")</f>
        <v/>
      </c>
      <c r="F5" s="91">
        <f>PHASE_FINAL!H17</f>
        <v>0</v>
      </c>
      <c r="G5" s="91"/>
    </row>
    <row r="6" spans="1:7" x14ac:dyDescent="0.25">
      <c r="A6" s="88"/>
      <c r="B6" s="88"/>
      <c r="C6" s="93"/>
      <c r="D6" s="89">
        <f>0.333333333333333 + "00:15:00"</f>
        <v>0.34374999999999967</v>
      </c>
      <c r="E6" s="93"/>
      <c r="F6" s="88"/>
      <c r="G6" s="88"/>
    </row>
    <row r="7" spans="1:7" x14ac:dyDescent="0.25">
      <c r="A7" s="92"/>
      <c r="B7" s="92" t="str">
        <f>PHASE_FINAL!K6</f>
        <v/>
      </c>
      <c r="C7" s="94" t="str">
        <f>IF(PHASE_FINAL!L6&lt;&gt;"",PHASE_FINAL!L6,"")</f>
        <v/>
      </c>
      <c r="D7" s="90" t="s">
        <v>65</v>
      </c>
      <c r="E7" s="94" t="str">
        <f>IF(PHASE_FINAL!L7&lt;&gt;"",PHASE_FINAL!L7,"")</f>
        <v/>
      </c>
      <c r="F7" s="92" t="str">
        <f>PHASE_FINAL!K7</f>
        <v/>
      </c>
      <c r="G7" s="92"/>
    </row>
    <row r="8" spans="1:7" x14ac:dyDescent="0.25">
      <c r="A8" s="92"/>
      <c r="B8" s="92" t="str">
        <f>PHASE_FINAL!K14</f>
        <v/>
      </c>
      <c r="C8" s="94" t="str">
        <f>IF(PHASE_FINAL!L14&lt;&gt;"",PHASE_FINAL!L14,"")</f>
        <v/>
      </c>
      <c r="D8" s="90" t="s">
        <v>66</v>
      </c>
      <c r="E8" s="94" t="str">
        <f>IF(PHASE_FINAL!L15&lt;&gt;"",PHASE_FINAL!L15,"")</f>
        <v/>
      </c>
      <c r="F8" s="92" t="str">
        <f>PHASE_FINAL!K15</f>
        <v/>
      </c>
      <c r="G8" s="92"/>
    </row>
    <row r="9" spans="1:7" x14ac:dyDescent="0.25">
      <c r="A9" s="92"/>
      <c r="B9" s="92" t="str">
        <f>PHASE_FINAL!F6</f>
        <v/>
      </c>
      <c r="C9" s="94" t="str">
        <f>IF(PHASE_FINAL!E6&lt;&gt;"",PHASE_FINAL!E6,"")</f>
        <v/>
      </c>
      <c r="D9" s="90" t="s">
        <v>67</v>
      </c>
      <c r="E9" s="94" t="str">
        <f>IF(PHASE_FINAL!E7&lt;&gt;"",PHASE_FINAL!E7,"")</f>
        <v/>
      </c>
      <c r="F9" s="92" t="str">
        <f>PHASE_FINAL!F7</f>
        <v/>
      </c>
      <c r="G9" s="92"/>
    </row>
    <row r="10" spans="1:7" x14ac:dyDescent="0.25">
      <c r="A10" s="92"/>
      <c r="B10" s="92" t="str">
        <f>PHASE_FINAL!F14</f>
        <v/>
      </c>
      <c r="C10" s="94" t="str">
        <f>IF(PHASE_FINAL!E14&lt;&gt;"",PHASE_FINAL!E14,"")</f>
        <v/>
      </c>
      <c r="D10" s="90" t="s">
        <v>68</v>
      </c>
      <c r="E10" s="94" t="str">
        <f>IF(PHASE_FINAL!E15&lt;&gt;"",PHASE_FINAL!E15,"")</f>
        <v/>
      </c>
      <c r="F10" s="92" t="str">
        <f>PHASE_FINAL!F15</f>
        <v/>
      </c>
      <c r="G10" s="92"/>
    </row>
    <row r="11" spans="1:7" x14ac:dyDescent="0.25">
      <c r="A11" s="88"/>
      <c r="B11" s="88"/>
      <c r="C11" s="93"/>
      <c r="D11" s="89">
        <f>0.34375 + "00:15:00"</f>
        <v>0.35416666666666669</v>
      </c>
      <c r="E11" s="93"/>
      <c r="F11" s="88"/>
      <c r="G11" s="88"/>
    </row>
    <row r="12" spans="1:7" x14ac:dyDescent="0.25">
      <c r="A12" s="113"/>
      <c r="B12" s="113" t="str">
        <f>PHASE_FINAL!N8</f>
        <v/>
      </c>
      <c r="C12" s="94" t="str">
        <f>IF(PHASE_FINAL!O8&lt;&gt;"",PHASE_FINAL!O8,"")</f>
        <v/>
      </c>
      <c r="D12" s="90" t="s">
        <v>65</v>
      </c>
      <c r="E12" s="94" t="str">
        <f>IF(PHASE_FINAL!O9&lt;&gt;"",PHASE_FINAL!O9,"")</f>
        <v/>
      </c>
      <c r="F12" s="113" t="str">
        <f>PHASE_FINAL!N9</f>
        <v/>
      </c>
      <c r="G12" s="113"/>
    </row>
    <row r="13" spans="1:7" x14ac:dyDescent="0.25">
      <c r="A13" s="113"/>
      <c r="B13" s="113" t="str">
        <f>PHASE_FINAL!N12</f>
        <v/>
      </c>
      <c r="C13" s="94" t="str">
        <f>IF(PHASE_FINAL!O12&lt;&gt;"",PHASE_FINAL!O12,"")</f>
        <v/>
      </c>
      <c r="D13" s="90" t="s">
        <v>66</v>
      </c>
      <c r="E13" s="94" t="str">
        <f>IF(PHASE_FINAL!O13&lt;&gt;"",PHASE_FINAL!O13,"")</f>
        <v/>
      </c>
      <c r="F13" s="113" t="str">
        <f>PHASE_FINAL!N13</f>
        <v/>
      </c>
      <c r="G13" s="113"/>
    </row>
    <row r="14" spans="1:7" x14ac:dyDescent="0.25">
      <c r="A14" s="113"/>
      <c r="B14" s="113" t="str">
        <f>PHASE_FINAL!C8</f>
        <v/>
      </c>
      <c r="C14" s="94" t="str">
        <f>IF(PHASE_FINAL!B8&lt;&gt;"",PHASE_FINAL!B8,"")</f>
        <v/>
      </c>
      <c r="D14" s="90" t="s">
        <v>67</v>
      </c>
      <c r="E14" s="94" t="str">
        <f>IF(PHASE_FINAL!B9&lt;&gt;"",PHASE_FINAL!B9,"")</f>
        <v/>
      </c>
      <c r="F14" s="113" t="str">
        <f>PHASE_FINAL!C9</f>
        <v/>
      </c>
      <c r="G14" s="113"/>
    </row>
    <row r="15" spans="1:7" x14ac:dyDescent="0.25">
      <c r="A15" s="113"/>
      <c r="B15" s="113" t="str">
        <f>PHASE_FINAL!C12</f>
        <v/>
      </c>
      <c r="C15" s="94" t="str">
        <f>IF(PHASE_FINAL!B12&lt;&gt;"",PHASE_FINAL!B12,"")</f>
        <v/>
      </c>
      <c r="D15" s="90" t="s">
        <v>68</v>
      </c>
      <c r="E15" s="94" t="str">
        <f>IF(PHASE_FINAL!B13&lt;&gt;"",PHASE_FINAL!B13,"")</f>
        <v/>
      </c>
      <c r="F15" s="113" t="str">
        <f>PHASE_FINAL!C13</f>
        <v/>
      </c>
      <c r="G15" s="113"/>
    </row>
  </sheetData>
  <conditionalFormatting sqref="C2">
    <cfRule type="expression" dxfId="47" priority="48">
      <formula>$C2&gt;$E2</formula>
    </cfRule>
    <cfRule type="expression" dxfId="46" priority="47">
      <formula>$C2&lt;$E2</formula>
    </cfRule>
  </conditionalFormatting>
  <conditionalFormatting sqref="E2">
    <cfRule type="expression" dxfId="45" priority="46">
      <formula>$C2&lt;$E2</formula>
    </cfRule>
    <cfRule type="expression" dxfId="44" priority="45">
      <formula>$C2&gt;$E2</formula>
    </cfRule>
  </conditionalFormatting>
  <conditionalFormatting sqref="C3">
    <cfRule type="expression" dxfId="43" priority="44">
      <formula>$C3&gt;$E3</formula>
    </cfRule>
    <cfRule type="expression" dxfId="42" priority="43">
      <formula>$C3&lt;$E3</formula>
    </cfRule>
  </conditionalFormatting>
  <conditionalFormatting sqref="E3">
    <cfRule type="expression" dxfId="41" priority="42">
      <formula>$C3&lt;$E3</formula>
    </cfRule>
    <cfRule type="expression" dxfId="40" priority="41">
      <formula>$C3&gt;$E3</formula>
    </cfRule>
  </conditionalFormatting>
  <conditionalFormatting sqref="C4">
    <cfRule type="expression" dxfId="39" priority="40">
      <formula>$C4&gt;$E4</formula>
    </cfRule>
    <cfRule type="expression" dxfId="38" priority="39">
      <formula>$C4&lt;$E4</formula>
    </cfRule>
  </conditionalFormatting>
  <conditionalFormatting sqref="E4">
    <cfRule type="expression" dxfId="37" priority="38">
      <formula>$C4&lt;$E4</formula>
    </cfRule>
    <cfRule type="expression" dxfId="36" priority="37">
      <formula>$C4&gt;$E4</formula>
    </cfRule>
  </conditionalFormatting>
  <conditionalFormatting sqref="C5">
    <cfRule type="expression" dxfId="35" priority="36">
      <formula>$C5&gt;$E5</formula>
    </cfRule>
    <cfRule type="expression" dxfId="34" priority="35">
      <formula>$C5&lt;$E5</formula>
    </cfRule>
  </conditionalFormatting>
  <conditionalFormatting sqref="E5">
    <cfRule type="expression" dxfId="33" priority="34">
      <formula>$C5&lt;$E5</formula>
    </cfRule>
    <cfRule type="expression" dxfId="32" priority="33">
      <formula>$C5&gt;$E5</formula>
    </cfRule>
  </conditionalFormatting>
  <conditionalFormatting sqref="C7">
    <cfRule type="expression" dxfId="31" priority="32">
      <formula>$C7&gt;$E7</formula>
    </cfRule>
    <cfRule type="expression" dxfId="30" priority="31">
      <formula>$C7&lt;$E7</formula>
    </cfRule>
  </conditionalFormatting>
  <conditionalFormatting sqref="E7">
    <cfRule type="expression" dxfId="29" priority="30">
      <formula>$C7&lt;$E7</formula>
    </cfRule>
    <cfRule type="expression" dxfId="28" priority="29">
      <formula>$C7&gt;$E7</formula>
    </cfRule>
  </conditionalFormatting>
  <conditionalFormatting sqref="C8">
    <cfRule type="expression" dxfId="27" priority="28">
      <formula>$C8&gt;$E8</formula>
    </cfRule>
    <cfRule type="expression" dxfId="26" priority="27">
      <formula>$C8&lt;$E8</formula>
    </cfRule>
  </conditionalFormatting>
  <conditionalFormatting sqref="E8">
    <cfRule type="expression" dxfId="25" priority="26">
      <formula>$C8&lt;$E8</formula>
    </cfRule>
    <cfRule type="expression" dxfId="24" priority="25">
      <formula>$C8&gt;$E8</formula>
    </cfRule>
  </conditionalFormatting>
  <conditionalFormatting sqref="C9">
    <cfRule type="expression" dxfId="23" priority="24">
      <formula>$C9&gt;$E9</formula>
    </cfRule>
    <cfRule type="expression" dxfId="22" priority="23">
      <formula>$C9&lt;$E9</formula>
    </cfRule>
  </conditionalFormatting>
  <conditionalFormatting sqref="E9">
    <cfRule type="expression" dxfId="21" priority="22">
      <formula>$C9&lt;$E9</formula>
    </cfRule>
    <cfRule type="expression" dxfId="20" priority="21">
      <formula>$C9&gt;$E9</formula>
    </cfRule>
  </conditionalFormatting>
  <conditionalFormatting sqref="C10">
    <cfRule type="expression" dxfId="19" priority="20">
      <formula>$C10&gt;$E10</formula>
    </cfRule>
    <cfRule type="expression" dxfId="18" priority="19">
      <formula>$C10&lt;$E10</formula>
    </cfRule>
  </conditionalFormatting>
  <conditionalFormatting sqref="E10">
    <cfRule type="expression" dxfId="17" priority="18">
      <formula>$C10&lt;$E10</formula>
    </cfRule>
    <cfRule type="expression" dxfId="16" priority="17">
      <formula>$C10&gt;$E10</formula>
    </cfRule>
  </conditionalFormatting>
  <conditionalFormatting sqref="C12">
    <cfRule type="expression" dxfId="15" priority="16">
      <formula>$C12&gt;$E12</formula>
    </cfRule>
    <cfRule type="expression" dxfId="14" priority="15">
      <formula>$C12&lt;$E12</formula>
    </cfRule>
  </conditionalFormatting>
  <conditionalFormatting sqref="E12">
    <cfRule type="expression" dxfId="13" priority="14">
      <formula>$C12&lt;$E12</formula>
    </cfRule>
    <cfRule type="expression" dxfId="12" priority="13">
      <formula>$C12&gt;$E12</formula>
    </cfRule>
  </conditionalFormatting>
  <conditionalFormatting sqref="C13">
    <cfRule type="expression" dxfId="11" priority="12">
      <formula>$C13&gt;$E13</formula>
    </cfRule>
    <cfRule type="expression" dxfId="10" priority="11">
      <formula>$C13&lt;$E13</formula>
    </cfRule>
  </conditionalFormatting>
  <conditionalFormatting sqref="E13">
    <cfRule type="expression" dxfId="9" priority="10">
      <formula>$C13&lt;$E13</formula>
    </cfRule>
    <cfRule type="expression" dxfId="8" priority="9">
      <formula>$C13&gt;$E13</formula>
    </cfRule>
  </conditionalFormatting>
  <conditionalFormatting sqref="C14">
    <cfRule type="expression" dxfId="7" priority="8">
      <formula>$C14&gt;$E14</formula>
    </cfRule>
  </conditionalFormatting>
  <conditionalFormatting sqref="C14">
    <cfRule type="expression" dxfId="6" priority="7">
      <formula>$C14&lt;$E14</formula>
    </cfRule>
  </conditionalFormatting>
  <conditionalFormatting sqref="E14">
    <cfRule type="expression" dxfId="5" priority="6">
      <formula>$C14&lt;$E14</formula>
    </cfRule>
  </conditionalFormatting>
  <conditionalFormatting sqref="E14">
    <cfRule type="expression" dxfId="4" priority="5">
      <formula>$C14&gt;$E14</formula>
    </cfRule>
  </conditionalFormatting>
  <conditionalFormatting sqref="C15">
    <cfRule type="expression" dxfId="3" priority="4">
      <formula>$C15&gt;$E15</formula>
    </cfRule>
  </conditionalFormatting>
  <conditionalFormatting sqref="C15">
    <cfRule type="expression" dxfId="2" priority="3">
      <formula>$C15&lt;$E15</formula>
    </cfRule>
  </conditionalFormatting>
  <conditionalFormatting sqref="E15">
    <cfRule type="expression" dxfId="1" priority="2">
      <formula>$C15&lt;$E15</formula>
    </cfRule>
  </conditionalFormatting>
  <conditionalFormatting sqref="E15">
    <cfRule type="expression" dxfId="0" priority="1">
      <formula>$C15&gt;$E15</formula>
    </cfRule>
  </conditionalFormatting>
  <dataValidations count="1">
    <dataValidation type="whole" operator="greaterThanOrEqual" allowBlank="1" showErrorMessage="1" errorTitle="ATTENTION" error="NOMBRE ENTIER UNIQUEMENT_x000a_MINIMUM --&gt; 0" sqref="C1:C1048576 E1:E1048576" xr:uid="{B07EA3D7-A9CE-4F8E-85B9-44E560983C68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MAJHEUREB">
              <controlPr defaultSize="0" print="0" autoFill="0" autoPict="0" macro="[0]!heureautoph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C4PPMatchph">
              <controlPr defaultSize="0" print="0" autoFill="0" autoPict="0" macro="[0]!'copyimage &quot;A2:F15&quot;'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C30D-553B-49CC-A434-9D6E0BCF9EC5}">
  <sheetPr codeName="Feuil29"/>
  <dimension ref="A2:L12"/>
  <sheetViews>
    <sheetView workbookViewId="0"/>
  </sheetViews>
  <sheetFormatPr baseColWidth="10" defaultRowHeight="15" x14ac:dyDescent="0.25"/>
  <cols>
    <col min="1" max="1" width="30.7109375" style="103" customWidth="1"/>
    <col min="2" max="2" width="6.7109375" style="103" customWidth="1"/>
    <col min="3" max="16384" width="11.42578125" style="103"/>
  </cols>
  <sheetData>
    <row r="2" spans="1:12" ht="15.75" thickBot="1" x14ac:dyDescent="0.3">
      <c r="A2" s="103" t="s">
        <v>88</v>
      </c>
    </row>
    <row r="3" spans="1:12" x14ac:dyDescent="0.25">
      <c r="A3" s="104" t="str">
        <f>IF(OR(PHASE_FINAL!O8="",PHASE_FINAL!O9=""),"",IF(PHASE_FINAL!O8&gt;PHASE_FINAL!O9,PHASE_FINAL!N8,PHASE_FINAL!N9))</f>
        <v/>
      </c>
      <c r="B3" s="105">
        <v>1</v>
      </c>
    </row>
    <row r="4" spans="1:12" x14ac:dyDescent="0.25">
      <c r="A4" s="114"/>
      <c r="B4" s="115">
        <v>2</v>
      </c>
    </row>
    <row r="5" spans="1:12" x14ac:dyDescent="0.25">
      <c r="A5" s="114"/>
      <c r="B5" s="115">
        <v>3</v>
      </c>
    </row>
    <row r="6" spans="1:12" x14ac:dyDescent="0.25">
      <c r="A6" s="114"/>
      <c r="B6" s="115">
        <v>4</v>
      </c>
    </row>
    <row r="7" spans="1:12" x14ac:dyDescent="0.25">
      <c r="A7" s="114"/>
      <c r="B7" s="115">
        <v>5</v>
      </c>
      <c r="D7" s="116"/>
      <c r="E7" s="116"/>
      <c r="F7" s="116"/>
      <c r="G7" s="125" t="str">
        <f>A3</f>
        <v/>
      </c>
      <c r="H7" s="125"/>
      <c r="I7" s="125"/>
      <c r="J7" s="116"/>
      <c r="K7" s="116"/>
      <c r="L7" s="116"/>
    </row>
    <row r="8" spans="1:12" x14ac:dyDescent="0.25">
      <c r="A8" s="114"/>
      <c r="B8" s="115">
        <v>6</v>
      </c>
      <c r="D8" s="125">
        <f>A4</f>
        <v>0</v>
      </c>
      <c r="E8" s="125"/>
      <c r="F8" s="125"/>
      <c r="G8" s="126"/>
      <c r="H8" s="126"/>
      <c r="I8" s="126"/>
      <c r="J8" s="116"/>
      <c r="K8" s="116"/>
      <c r="L8" s="116"/>
    </row>
    <row r="9" spans="1:12" x14ac:dyDescent="0.25">
      <c r="A9" s="114"/>
      <c r="B9" s="115">
        <v>7</v>
      </c>
      <c r="D9" s="126"/>
      <c r="E9" s="126"/>
      <c r="F9" s="126"/>
      <c r="G9" s="119"/>
      <c r="H9" s="117"/>
      <c r="I9" s="117"/>
      <c r="J9" s="127">
        <f>A5</f>
        <v>0</v>
      </c>
      <c r="K9" s="125"/>
      <c r="L9" s="125"/>
    </row>
    <row r="10" spans="1:12" ht="15.75" thickBot="1" x14ac:dyDescent="0.3">
      <c r="A10" s="106"/>
      <c r="B10" s="107">
        <v>8</v>
      </c>
      <c r="D10" s="117"/>
      <c r="E10" s="117"/>
      <c r="F10" s="117"/>
      <c r="G10" s="117"/>
      <c r="H10" s="120">
        <v>1</v>
      </c>
      <c r="I10" s="117"/>
      <c r="J10" s="128"/>
      <c r="K10" s="126"/>
      <c r="L10" s="126"/>
    </row>
    <row r="11" spans="1:12" x14ac:dyDescent="0.25">
      <c r="D11" s="117"/>
      <c r="E11" s="121">
        <v>2</v>
      </c>
      <c r="F11" s="117"/>
      <c r="G11" s="117"/>
      <c r="H11" s="120"/>
      <c r="I11" s="117"/>
      <c r="J11" s="117"/>
      <c r="K11" s="123">
        <v>3</v>
      </c>
      <c r="L11" s="117"/>
    </row>
    <row r="12" spans="1:12" x14ac:dyDescent="0.25">
      <c r="D12" s="118"/>
      <c r="E12" s="122"/>
      <c r="F12" s="118"/>
      <c r="G12" s="118"/>
      <c r="H12" s="118"/>
      <c r="I12" s="118"/>
      <c r="J12" s="118"/>
      <c r="K12" s="124"/>
      <c r="L12" s="118"/>
    </row>
  </sheetData>
  <mergeCells count="6">
    <mergeCell ref="E11:E12"/>
    <mergeCell ref="K11:K12"/>
    <mergeCell ref="H10:H11"/>
    <mergeCell ref="J9:L10"/>
    <mergeCell ref="G7:I8"/>
    <mergeCell ref="D8:F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C4PPphfinalh">
              <controlPr defaultSize="0" print="0" autoFill="0" autoPict="0" macro="[0]!'copyimage &quot;A2:L10&quot;'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Accueil</vt:lpstr>
      <vt:lpstr>Parametres</vt:lpstr>
      <vt:lpstr>NOTES</vt:lpstr>
      <vt:lpstr>OMPN</vt:lpstr>
      <vt:lpstr>INSCRIPTS</vt:lpstr>
      <vt:lpstr>MATCHS</vt:lpstr>
      <vt:lpstr>CLASSEMENTS</vt:lpstr>
      <vt:lpstr>PHASE_FINAL</vt:lpstr>
      <vt:lpstr>FINAL_MATCHS</vt:lpstr>
      <vt:lpstr>PLACE_FINAL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2023-01-14T10:22:53Z</dcterms:modified>
</cp:coreProperties>
</file>