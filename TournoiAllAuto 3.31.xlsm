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A2BEF129-F6CC-4E4C-9A32-8473C584A3B4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hidden" r:id="rId4"/>
    <sheet name="OMPN" sheetId="2" state="veryHidden" r:id="rId5"/>
    <sheet name="NOTES" sheetId="71" r:id="rId6"/>
    <sheet name="TEMPLATE" sheetId="13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<sst xmlns="http://schemas.openxmlformats.org/spreadsheetml/2006/main" count="3914" uniqueCount="123">
  <si>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</si>
  <si>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</si>
  <si>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</si>
  <si>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</si>
  <si>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</si>
  <si>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</si>
  <si>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</si>
  <si>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</si>
  <si>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</si>
  <si>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</si>
  <si>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</si>
  <si>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</si>
  <si>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</si>
  <si>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</si>
  <si>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</si>
  <si>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</si>
  <si>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</si>
  <si>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</si>
  <si>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</si>
  <si>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</si>
  <si>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</si>
  <si>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</si>
  <si>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</si>
  <si>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</si>
  <si>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</si>
  <si>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</si>
  <si>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</si>
  <si>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</si>
  <si>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</si>
  <si>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</si>
  <si>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</si>
  <si>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</si>
  <si>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</si>
  <si>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</si>
  <si>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</si>
  <si>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</si>
  <si>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</si>
  <si>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</si>
  <si>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</si>
  <si>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</si>
  <si>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</si>
  <si>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</si>
  <si>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</si>
  <si>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</si>
  <si>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</si>
  <si>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</si>
  <si>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</si>
  <si>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</si>
  <si>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</si>
  <si>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</si>
  <si>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</si>
  <si>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</si>
  <si>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</si>
  <si>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</si>
  <si>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</si>
  <si>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</si>
  <si>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</si>
  <si>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09:00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</si>
  <si>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</si>
  <si>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</si>
  <si>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</si>
  <si>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</si>
  <si>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</si>
  <si>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</si>
  <si>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</si>
  <si>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</si>
  <si>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</si>
  <si>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</si>
  <si>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</si>
  <si>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</si>
  <si>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</si>
  <si>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</si>
  <si>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</si>
  <si>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</si>
  <si>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</si>
  <si>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</si>
  <si>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</si>
  <si>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</si>
  <si>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</si>
  <si>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</si>
  <si>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</si>
  <si>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</si>
  <si>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</si>
  <si>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</si>
  <si>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</si>
  <si>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</si>
  <si>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</si>
  <si>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</si>
  <si>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</si>
  <si>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</si>
  <si>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</si>
  <si>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</si>
  <si>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</si>
  <si>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</si>
  <si>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</si>
  <si>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</si>
  <si>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</si>
  <si>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</si>
  <si>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</si>
  <si>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</si>
  <si>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</si>
  <si>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</si>
  <si>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</si>
  <si>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</si>
  <si>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</si>
  <si>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</si>
  <si>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</si>
  <si>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</si>
  <si>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</si>
  <si>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</si>
  <si>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</si>
  <si>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</si>
  <si>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</si>
  <si>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</si>
  <si>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</si>
  <si>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</si>
  <si>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</si>
  <si>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</si>
  <si>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</si>
  <si>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</si>
  <si>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</si>
  <si>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</si>
  <si>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Version 3.31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</si>
</sst>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84" t="s">
        <v>13</v>
      </c>
      <c r="B1" s="85"/>
      <c r="C1" s="85"/>
      <c r="D1" s="85"/>
      <c r="E1" s="85"/>
      <c r="F1" s="85"/>
      <c r="G1" s="85"/>
      <c r="H1" s="85"/>
      <c r="I1" s="85"/>
      <c r="J1" s="85"/>
      <c r="K1" s="86"/>
    </row>
    <row r="2" spans="1:11" ht="15" customHeight="1" x14ac:dyDescent="0.25">
      <c r="A2" s="87"/>
      <c r="B2" s="88"/>
      <c r="C2" s="88"/>
      <c r="D2" s="88"/>
      <c r="E2" s="88"/>
      <c r="F2" s="88"/>
      <c r="G2" s="88"/>
      <c r="H2" s="88"/>
      <c r="I2" s="88"/>
      <c r="J2" s="88"/>
      <c r="K2" s="89"/>
    </row>
    <row r="3" spans="1:11" ht="15" customHeight="1" x14ac:dyDescent="0.25">
      <c r="A3" s="87"/>
      <c r="B3" s="88"/>
      <c r="C3" s="88"/>
      <c r="D3" s="88"/>
      <c r="E3" s="88"/>
      <c r="F3" s="88"/>
      <c r="G3" s="88"/>
      <c r="H3" s="88"/>
      <c r="I3" s="88"/>
      <c r="J3" s="88"/>
      <c r="K3" s="89"/>
    </row>
    <row r="4" spans="1:11" ht="15" customHeight="1" x14ac:dyDescent="0.25">
      <c r="A4" s="87"/>
      <c r="B4" s="88"/>
      <c r="C4" s="88"/>
      <c r="D4" s="88"/>
      <c r="E4" s="88"/>
      <c r="F4" s="88"/>
      <c r="G4" s="88"/>
      <c r="H4" s="88"/>
      <c r="I4" s="88"/>
      <c r="J4" s="88"/>
      <c r="K4" s="89"/>
    </row>
    <row r="5" spans="1:11" ht="15" customHeight="1" x14ac:dyDescent="0.25">
      <c r="A5" s="87"/>
      <c r="B5" s="88"/>
      <c r="C5" s="88"/>
      <c r="D5" s="88"/>
      <c r="E5" s="88"/>
      <c r="F5" s="88"/>
      <c r="G5" s="88"/>
      <c r="H5" s="88"/>
      <c r="I5" s="88"/>
      <c r="J5" s="88"/>
      <c r="K5" s="89"/>
    </row>
    <row r="6" spans="1:11" ht="15" customHeight="1" x14ac:dyDescent="0.25">
      <c r="A6" s="87"/>
      <c r="B6" s="88"/>
      <c r="C6" s="88"/>
      <c r="D6" s="88"/>
      <c r="E6" s="88"/>
      <c r="F6" s="88"/>
      <c r="G6" s="88"/>
      <c r="H6" s="88"/>
      <c r="I6" s="88"/>
      <c r="J6" s="88"/>
      <c r="K6" s="89"/>
    </row>
    <row r="7" spans="1:11" ht="15" customHeight="1" x14ac:dyDescent="0.25">
      <c r="A7" s="87"/>
      <c r="B7" s="88"/>
      <c r="C7" s="88"/>
      <c r="D7" s="88"/>
      <c r="E7" s="88"/>
      <c r="F7" s="88"/>
      <c r="G7" s="88"/>
      <c r="H7" s="88"/>
      <c r="I7" s="88"/>
      <c r="J7" s="88"/>
      <c r="K7" s="89"/>
    </row>
    <row r="8" spans="1:11" ht="15" customHeight="1" x14ac:dyDescent="0.25">
      <c r="A8" s="87"/>
      <c r="B8" s="88"/>
      <c r="C8" s="88"/>
      <c r="D8" s="88"/>
      <c r="E8" s="88"/>
      <c r="F8" s="88"/>
      <c r="G8" s="88"/>
      <c r="H8" s="88"/>
      <c r="I8" s="88"/>
      <c r="J8" s="88"/>
      <c r="K8" s="89"/>
    </row>
    <row r="9" spans="1:11" ht="15" customHeight="1" x14ac:dyDescent="0.25">
      <c r="A9" s="87"/>
      <c r="B9" s="88"/>
      <c r="C9" s="88"/>
      <c r="D9" s="88"/>
      <c r="E9" s="88"/>
      <c r="F9" s="88"/>
      <c r="G9" s="88"/>
      <c r="H9" s="88"/>
      <c r="I9" s="88"/>
      <c r="J9" s="88"/>
      <c r="K9" s="89"/>
    </row>
    <row r="10" spans="1:11" ht="15" customHeight="1" x14ac:dyDescent="0.25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9"/>
    </row>
    <row r="11" spans="1:11" ht="15" customHeight="1" x14ac:dyDescent="0.25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9"/>
    </row>
    <row r="12" spans="1:11" ht="15" customHeight="1" x14ac:dyDescent="0.25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9"/>
    </row>
    <row r="13" spans="1:11" ht="15" customHeight="1" x14ac:dyDescent="0.25">
      <c r="A13" s="87"/>
      <c r="B13" s="88"/>
      <c r="C13" s="88"/>
      <c r="D13" s="88"/>
      <c r="E13" s="88"/>
      <c r="F13" s="88"/>
      <c r="G13" s="88"/>
      <c r="H13" s="88"/>
      <c r="I13" s="88"/>
      <c r="J13" s="88"/>
      <c r="K13" s="89"/>
    </row>
    <row r="14" spans="1:11" ht="15" customHeight="1" x14ac:dyDescent="0.25">
      <c r="A14" s="87"/>
      <c r="B14" s="88"/>
      <c r="C14" s="88"/>
      <c r="D14" s="88"/>
      <c r="E14" s="88"/>
      <c r="F14" s="88"/>
      <c r="G14" s="88"/>
      <c r="H14" s="88"/>
      <c r="I14" s="88"/>
      <c r="J14" s="88"/>
      <c r="K14" s="89"/>
    </row>
    <row r="15" spans="1:11" ht="15" customHeight="1" x14ac:dyDescent="0.25">
      <c r="A15" s="87"/>
      <c r="B15" s="88"/>
      <c r="C15" s="88"/>
      <c r="D15" s="88"/>
      <c r="E15" s="88"/>
      <c r="F15" s="88"/>
      <c r="G15" s="88"/>
      <c r="H15" s="88"/>
      <c r="I15" s="88"/>
      <c r="J15" s="88"/>
      <c r="K15" s="89"/>
    </row>
    <row r="16" spans="1:11" ht="15" customHeight="1" x14ac:dyDescent="0.25">
      <c r="A16" s="87"/>
      <c r="B16" s="88"/>
      <c r="C16" s="88"/>
      <c r="D16" s="88"/>
      <c r="E16" s="88"/>
      <c r="F16" s="88"/>
      <c r="G16" s="88"/>
      <c r="H16" s="88"/>
      <c r="I16" s="88"/>
      <c r="J16" s="88"/>
      <c r="K16" s="89"/>
    </row>
    <row r="17" spans="1:11" ht="15" customHeight="1" x14ac:dyDescent="0.25">
      <c r="A17" s="87"/>
      <c r="B17" s="88"/>
      <c r="C17" s="88"/>
      <c r="D17" s="88"/>
      <c r="E17" s="88"/>
      <c r="F17" s="88"/>
      <c r="G17" s="88"/>
      <c r="H17" s="88"/>
      <c r="I17" s="88"/>
      <c r="J17" s="88"/>
      <c r="K17" s="89"/>
    </row>
    <row r="18" spans="1:11" ht="15" customHeight="1" x14ac:dyDescent="0.25">
      <c r="A18" s="87"/>
      <c r="B18" s="88"/>
      <c r="C18" s="88"/>
      <c r="D18" s="88"/>
      <c r="E18" s="88"/>
      <c r="F18" s="88"/>
      <c r="G18" s="88"/>
      <c r="H18" s="88"/>
      <c r="I18" s="88"/>
      <c r="J18" s="88"/>
      <c r="K18" s="89"/>
    </row>
    <row r="19" spans="1:11" ht="15" customHeight="1" x14ac:dyDescent="0.25">
      <c r="A19" s="87"/>
      <c r="B19" s="88"/>
      <c r="C19" s="88"/>
      <c r="D19" s="88"/>
      <c r="E19" s="88"/>
      <c r="F19" s="88"/>
      <c r="G19" s="88"/>
      <c r="H19" s="88"/>
      <c r="I19" s="88"/>
      <c r="J19" s="88"/>
      <c r="K19" s="89"/>
    </row>
    <row r="20" spans="1:11" ht="15" customHeight="1" x14ac:dyDescent="0.25">
      <c r="A20" s="87"/>
      <c r="B20" s="88"/>
      <c r="C20" s="88"/>
      <c r="D20" s="88"/>
      <c r="E20" s="88"/>
      <c r="F20" s="88"/>
      <c r="G20" s="88"/>
      <c r="H20" s="88"/>
      <c r="I20" s="88"/>
      <c r="J20" s="88"/>
      <c r="K20" s="89"/>
    </row>
    <row r="21" spans="1:11" ht="15" customHeight="1" x14ac:dyDescent="0.25">
      <c r="A21" s="87"/>
      <c r="B21" s="88"/>
      <c r="C21" s="88"/>
      <c r="D21" s="88"/>
      <c r="E21" s="88"/>
      <c r="F21" s="88"/>
      <c r="G21" s="88"/>
      <c r="H21" s="88"/>
      <c r="I21" s="88"/>
      <c r="J21" s="88"/>
      <c r="K21" s="89"/>
    </row>
    <row r="22" spans="1:11" ht="15" customHeight="1" x14ac:dyDescent="0.25">
      <c r="A22" s="87"/>
      <c r="B22" s="88"/>
      <c r="C22" s="88"/>
      <c r="D22" s="88"/>
      <c r="E22" s="88"/>
      <c r="F22" s="88"/>
      <c r="G22" s="88"/>
      <c r="H22" s="88"/>
      <c r="I22" s="88"/>
      <c r="J22" s="88"/>
      <c r="K22" s="89"/>
    </row>
    <row r="23" spans="1:11" ht="15" customHeight="1" x14ac:dyDescent="0.25">
      <c r="A23" s="81" t="s">
        <v>15</v>
      </c>
      <c r="B23" s="82"/>
      <c r="C23" s="82"/>
      <c r="D23" s="82"/>
      <c r="E23" s="82"/>
      <c r="F23" s="82"/>
      <c r="G23" s="82"/>
      <c r="H23" s="82"/>
      <c r="I23" s="82"/>
      <c r="J23" s="82"/>
      <c r="K23" s="83"/>
    </row>
    <row r="24" spans="1:11" ht="15" customHeight="1" x14ac:dyDescent="0.25">
      <c r="A24" s="81"/>
      <c r="B24" s="82"/>
      <c r="C24" s="82"/>
      <c r="D24" s="82"/>
      <c r="E24" s="82"/>
      <c r="F24" s="82"/>
      <c r="G24" s="82"/>
      <c r="H24" s="82"/>
      <c r="I24" s="82"/>
      <c r="J24" s="82"/>
      <c r="K24" s="83"/>
    </row>
    <row r="25" spans="1:11" ht="15" customHeight="1" x14ac:dyDescent="0.25">
      <c r="A25" s="81"/>
      <c r="B25" s="82"/>
      <c r="C25" s="82"/>
      <c r="D25" s="82"/>
      <c r="E25" s="82"/>
      <c r="F25" s="82"/>
      <c r="G25" s="82"/>
      <c r="H25" s="82"/>
      <c r="I25" s="82"/>
      <c r="J25" s="82"/>
      <c r="K25" s="83"/>
    </row>
    <row r="26" spans="1:11" ht="15" customHeight="1" x14ac:dyDescent="0.25">
      <c r="A26" s="81"/>
      <c r="B26" s="82"/>
      <c r="C26" s="82"/>
      <c r="D26" s="82"/>
      <c r="E26" s="82"/>
      <c r="F26" s="82"/>
      <c r="G26" s="82"/>
      <c r="H26" s="82"/>
      <c r="I26" s="82"/>
      <c r="J26" s="82"/>
      <c r="K26" s="83"/>
    </row>
    <row r="27" spans="1:11" ht="15" customHeight="1" x14ac:dyDescent="0.25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8"/>
    </row>
    <row r="28" spans="1:11" ht="15" customHeight="1" thickBot="1" x14ac:dyDescent="0.3">
      <c r="A28" s="69"/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72" t="s">
        <v>14</v>
      </c>
      <c r="B29" s="73"/>
      <c r="C29" s="73"/>
      <c r="D29" s="73"/>
      <c r="E29" s="73"/>
      <c r="F29" s="73"/>
      <c r="G29" s="73"/>
      <c r="H29" s="73"/>
      <c r="I29" s="73"/>
      <c r="J29" s="73"/>
      <c r="K29" s="74"/>
    </row>
    <row r="30" spans="1:11" ht="15" customHeight="1" x14ac:dyDescent="0.25">
      <c r="A30" s="75"/>
      <c r="B30" s="76"/>
      <c r="C30" s="76"/>
      <c r="D30" s="76"/>
      <c r="E30" s="76"/>
      <c r="F30" s="76"/>
      <c r="G30" s="76"/>
      <c r="H30" s="76"/>
      <c r="I30" s="76"/>
      <c r="J30" s="76"/>
      <c r="K30" s="77"/>
    </row>
    <row r="31" spans="1:11" ht="15" customHeight="1" thickBot="1" x14ac:dyDescent="0.3">
      <c r="A31" s="78"/>
      <c r="B31" s="79"/>
      <c r="C31" s="79"/>
      <c r="D31" s="79"/>
      <c r="E31" s="79"/>
      <c r="F31" s="79"/>
      <c r="G31" s="79"/>
      <c r="H31" s="79"/>
      <c r="I31" s="79"/>
      <c r="J31" s="79"/>
      <c r="K31" s="80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S21" sqref="S21"/>
    </sheetView>
  </sheetViews>
  <sheetFormatPr baseColWidth="10" defaultRowHeight="15" x14ac:dyDescent="0.25"/>
  <sheetData>
    <row r="1" spans="1:17" x14ac:dyDescent="0.25">
      <c r="A1" s="90" t="s">
        <v>36</v>
      </c>
      <c r="B1" s="90"/>
      <c r="C1" s="90"/>
      <c r="D1" s="90"/>
      <c r="E1" s="90"/>
      <c r="F1" s="90"/>
      <c r="G1" s="90"/>
      <c r="H1" s="90"/>
    </row>
    <row r="2" spans="1:17" x14ac:dyDescent="0.25">
      <c r="A2" s="90"/>
      <c r="B2" s="90"/>
      <c r="C2" s="90"/>
      <c r="D2" s="90"/>
      <c r="E2" s="90"/>
      <c r="F2" s="90"/>
      <c r="G2" s="90"/>
      <c r="H2" s="90"/>
    </row>
    <row r="3" spans="1:17" x14ac:dyDescent="0.25">
      <c r="A3" s="90"/>
      <c r="B3" s="90"/>
      <c r="C3" s="90"/>
      <c r="D3" s="90"/>
      <c r="E3" s="90"/>
      <c r="F3" s="90"/>
      <c r="G3" s="90"/>
      <c r="H3" s="90"/>
    </row>
    <row r="4" spans="1:17" x14ac:dyDescent="0.25">
      <c r="A4" s="91" t="str">
        <f>Parametres!F16</f>
        <v>Version 3.31</v>
      </c>
      <c r="B4" s="91"/>
      <c r="C4" s="91"/>
      <c r="D4" s="91"/>
      <c r="E4" s="91"/>
      <c r="F4" s="91"/>
      <c r="G4" s="91"/>
      <c r="H4" s="91"/>
    </row>
    <row r="6" spans="1:17" x14ac:dyDescent="0.25">
      <c r="K6" s="92" t="s">
        <v>59</v>
      </c>
      <c r="L6" s="93"/>
      <c r="M6" s="93"/>
      <c r="N6" s="93"/>
      <c r="O6" s="93"/>
      <c r="P6" s="93"/>
      <c r="Q6" s="93"/>
    </row>
    <row r="7" spans="1:17" x14ac:dyDescent="0.25">
      <c r="K7" s="93"/>
      <c r="L7" s="93"/>
      <c r="M7" s="93"/>
      <c r="N7" s="93"/>
      <c r="O7" s="93"/>
      <c r="P7" s="93"/>
      <c r="Q7" s="93"/>
    </row>
    <row r="8" spans="1:17" x14ac:dyDescent="0.25">
      <c r="K8" s="93"/>
      <c r="L8" s="93"/>
      <c r="M8" s="93"/>
      <c r="N8" s="93"/>
      <c r="O8" s="93"/>
      <c r="P8" s="93"/>
      <c r="Q8" s="93"/>
    </row>
    <row r="9" spans="1:17" x14ac:dyDescent="0.25">
      <c r="K9" s="93"/>
      <c r="L9" s="93"/>
      <c r="M9" s="93"/>
      <c r="N9" s="93"/>
      <c r="O9" s="93"/>
      <c r="P9" s="93"/>
      <c r="Q9" s="93"/>
    </row>
    <row r="10" spans="1:17" x14ac:dyDescent="0.25">
      <c r="K10" s="93"/>
      <c r="L10" s="93"/>
      <c r="M10" s="93"/>
      <c r="N10" s="93"/>
      <c r="O10" s="93"/>
      <c r="P10" s="93"/>
      <c r="Q10" s="93"/>
    </row>
    <row r="11" spans="1:17" x14ac:dyDescent="0.25">
      <c r="K11" s="93"/>
      <c r="L11" s="93"/>
      <c r="M11" s="93"/>
      <c r="N11" s="93"/>
      <c r="O11" s="93"/>
      <c r="P11" s="93"/>
      <c r="Q11" s="93"/>
    </row>
    <row r="12" spans="1:17" x14ac:dyDescent="0.25">
      <c r="K12" s="93"/>
      <c r="L12" s="93"/>
      <c r="M12" s="93"/>
      <c r="N12" s="93"/>
      <c r="O12" s="93"/>
      <c r="P12" s="93"/>
      <c r="Q12" s="93"/>
    </row>
    <row r="13" spans="1:17" x14ac:dyDescent="0.25">
      <c r="K13" s="93"/>
      <c r="L13" s="93"/>
      <c r="M13" s="93"/>
      <c r="N13" s="93"/>
      <c r="O13" s="93"/>
      <c r="P13" s="93"/>
      <c r="Q13" s="93"/>
    </row>
    <row r="14" spans="1:17" x14ac:dyDescent="0.25">
      <c r="K14" s="93"/>
      <c r="L14" s="93"/>
      <c r="M14" s="93"/>
      <c r="N14" s="93"/>
      <c r="O14" s="93"/>
      <c r="P14" s="93"/>
      <c r="Q14" s="93"/>
    </row>
    <row r="15" spans="1:17" x14ac:dyDescent="0.25">
      <c r="K15" s="93"/>
      <c r="L15" s="93"/>
      <c r="M15" s="93"/>
      <c r="N15" s="93"/>
      <c r="O15" s="93"/>
      <c r="P15" s="93"/>
      <c r="Q15" s="93"/>
    </row>
    <row r="16" spans="1:17" x14ac:dyDescent="0.25">
      <c r="K16" s="93"/>
      <c r="L16" s="93"/>
      <c r="M16" s="93"/>
      <c r="N16" s="93"/>
      <c r="O16" s="93"/>
      <c r="P16" s="93"/>
      <c r="Q16" s="93"/>
    </row>
    <row r="17" spans="11:17" x14ac:dyDescent="0.25">
      <c r="K17" s="93"/>
      <c r="L17" s="93"/>
      <c r="M17" s="93"/>
      <c r="N17" s="93"/>
      <c r="O17" s="93"/>
      <c r="P17" s="93"/>
      <c r="Q17" s="93"/>
    </row>
    <row r="18" spans="11:17" x14ac:dyDescent="0.25">
      <c r="K18" s="93"/>
      <c r="L18" s="93"/>
      <c r="M18" s="93"/>
      <c r="N18" s="93"/>
      <c r="O18" s="93"/>
      <c r="P18" s="93"/>
      <c r="Q18" s="93"/>
    </row>
    <row r="19" spans="11:17" x14ac:dyDescent="0.25">
      <c r="K19" s="93"/>
      <c r="L19" s="93"/>
      <c r="M19" s="93"/>
      <c r="N19" s="93"/>
      <c r="O19" s="93"/>
      <c r="P19" s="93"/>
      <c r="Q19" s="93"/>
    </row>
    <row r="20" spans="11:17" x14ac:dyDescent="0.25">
      <c r="K20" s="93"/>
      <c r="L20" s="93"/>
      <c r="M20" s="93"/>
      <c r="N20" s="93"/>
      <c r="O20" s="93"/>
      <c r="P20" s="93"/>
      <c r="Q20" s="93"/>
    </row>
    <row r="21" spans="11:17" x14ac:dyDescent="0.25">
      <c r="K21" s="93"/>
      <c r="L21" s="93"/>
      <c r="M21" s="93"/>
      <c r="N21" s="93"/>
      <c r="O21" s="93"/>
      <c r="P21" s="93"/>
      <c r="Q21" s="93"/>
    </row>
    <row r="22" spans="11:17" x14ac:dyDescent="0.25">
      <c r="K22" s="93"/>
      <c r="L22" s="93"/>
      <c r="M22" s="93"/>
      <c r="N22" s="93"/>
      <c r="O22" s="93"/>
      <c r="P22" s="93"/>
      <c r="Q22" s="93"/>
    </row>
    <row r="23" spans="11:17" x14ac:dyDescent="0.25">
      <c r="K23" s="93"/>
      <c r="L23" s="93"/>
      <c r="M23" s="93"/>
      <c r="N23" s="93"/>
      <c r="O23" s="93"/>
      <c r="P23" s="93"/>
      <c r="Q23" s="93"/>
    </row>
    <row r="24" spans="11:17" x14ac:dyDescent="0.25">
      <c r="K24" s="93"/>
      <c r="L24" s="93"/>
      <c r="M24" s="93"/>
      <c r="N24" s="93"/>
      <c r="O24" s="93"/>
      <c r="P24" s="93"/>
      <c r="Q24" s="93"/>
    </row>
    <row r="25" spans="11:17" x14ac:dyDescent="0.25">
      <c r="K25" s="93"/>
      <c r="L25" s="93"/>
      <c r="M25" s="93"/>
      <c r="N25" s="93"/>
      <c r="O25" s="93"/>
      <c r="P25" s="93"/>
      <c r="Q25" s="93"/>
    </row>
    <row r="26" spans="11:17" x14ac:dyDescent="0.25">
      <c r="K26" s="94" t="s">
        <v>121</v>
      </c>
      <c r="L26" s="94"/>
      <c r="M26" s="94"/>
      <c r="N26" s="94"/>
      <c r="O26" s="94"/>
      <c r="P26" s="94"/>
      <c r="Q26" s="94"/>
    </row>
    <row r="27" spans="11:17" x14ac:dyDescent="0.25">
      <c r="K27" s="94"/>
      <c r="L27" s="94"/>
      <c r="M27" s="94"/>
      <c r="N27" s="94"/>
      <c r="O27" s="94"/>
      <c r="P27" s="94"/>
      <c r="Q27" s="94"/>
    </row>
  </sheetData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L21" sqref="L21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41</v>
      </c>
      <c r="B1" s="1"/>
      <c r="C1" s="96"/>
      <c r="D1" s="21" t="s">
        <v>37</v>
      </c>
      <c r="E1" s="36" t="s">
        <v>38</v>
      </c>
      <c r="F1" s="3" t="s">
        <v>39</v>
      </c>
    </row>
    <row r="2" spans="1:27" ht="15.75" thickBot="1" x14ac:dyDescent="0.3">
      <c r="A2" s="37" t="s">
        <v>60</v>
      </c>
      <c r="C2" s="96"/>
      <c r="D2" s="25">
        <v>2</v>
      </c>
      <c r="E2" s="26">
        <v>4</v>
      </c>
      <c r="F2" s="20">
        <v>1</v>
      </c>
    </row>
    <row r="3" spans="1:27" ht="15.75" thickBot="1" x14ac:dyDescent="0.3">
      <c r="A3" s="44">
        <v>0</v>
      </c>
      <c r="C3" s="97"/>
      <c r="D3" s="4">
        <v>2</v>
      </c>
      <c r="E3" s="34" t="str">
        <f>"Nbre de Catégories : " &amp; B30</f>
        <v>Nbre de Catégories : 1</v>
      </c>
    </row>
    <row r="4" spans="1:27" x14ac:dyDescent="0.25">
      <c r="A4" s="7" t="s">
        <v>42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</row>
    <row r="5" spans="1:27" ht="15.75" thickBot="1" x14ac:dyDescent="0.3">
      <c r="A5" s="20">
        <f>ROUNDUP(SUM(D4:D29)/8,0)</f>
        <v>1</v>
      </c>
      <c r="B5" s="2">
        <v>2</v>
      </c>
      <c r="C5" s="23" t="str">
        <f t="shared" si="0"/>
        <v>B</v>
      </c>
      <c r="D5" s="27">
        <v>4</v>
      </c>
      <c r="E5" s="6"/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AA6"/>
    </row>
    <row r="7" spans="1:27" x14ac:dyDescent="0.25">
      <c r="A7" s="8" t="s">
        <v>43</v>
      </c>
      <c r="B7" s="2">
        <v>4</v>
      </c>
      <c r="C7" s="23" t="str">
        <f t="shared" si="0"/>
        <v/>
      </c>
      <c r="D7" s="27"/>
      <c r="E7" s="6"/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AA13"/>
    </row>
    <row r="14" spans="1:27" x14ac:dyDescent="0.25">
      <c r="A14" s="41" t="s">
        <v>44</v>
      </c>
      <c r="B14" s="2">
        <v>11</v>
      </c>
      <c r="C14" s="23" t="str">
        <f t="shared" si="0"/>
        <v/>
      </c>
      <c r="D14" s="27"/>
      <c r="E14" s="6"/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AA15"/>
    </row>
    <row r="16" spans="1:27" x14ac:dyDescent="0.25">
      <c r="A16" s="41" t="s">
        <v>45</v>
      </c>
      <c r="B16" s="2">
        <v>13</v>
      </c>
      <c r="C16" s="23" t="str">
        <f t="shared" si="0"/>
        <v/>
      </c>
      <c r="D16" s="27"/>
      <c r="E16" s="6"/>
      <c r="F16" s="2" t="s">
        <v>122</v>
      </c>
      <c r="AA16"/>
    </row>
    <row r="17" spans="1:27" x14ac:dyDescent="0.25">
      <c r="A17" s="43">
        <f>(counttour()/E2*(A2+A3)) + (ROUNDUP(IF(B31=TRUE,12*A5,12*A5*B30)/E2,0)*(A2+A3))</f>
        <v>8.3333333333333329E-2</v>
      </c>
      <c r="B17" s="2">
        <v>14</v>
      </c>
      <c r="C17" s="23" t="str">
        <f t="shared" si="0"/>
        <v/>
      </c>
      <c r="D17" s="27"/>
      <c r="E17" s="6"/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95" t="s">
        <v>40</v>
      </c>
      <c r="AA18"/>
    </row>
    <row r="19" spans="1:27" x14ac:dyDescent="0.25">
      <c r="A19" s="42">
        <f>A15+A17+A21</f>
        <v>0.91666666666666674</v>
      </c>
      <c r="B19" s="2">
        <v>16</v>
      </c>
      <c r="C19" s="23" t="str">
        <f t="shared" si="0"/>
        <v/>
      </c>
      <c r="D19" s="27"/>
      <c r="E19" s="6"/>
      <c r="F19" s="95"/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95"/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95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7" x14ac:dyDescent="0.25">
      <c r="A31" s="9" t="s">
        <v>44</v>
      </c>
      <c r="B31" s="33" t="b">
        <v>0</v>
      </c>
      <c r="D31" s="9" t="s">
        <v>33</v>
      </c>
      <c r="F31" s="65"/>
    </row>
    <row r="32" spans="1:27" x14ac:dyDescent="0.25">
      <c r="A32" s="37" t="s">
        <v>57</v>
      </c>
      <c r="B32" s="33" t="b">
        <v>1</v>
      </c>
      <c r="D32" s="26">
        <v>0</v>
      </c>
    </row>
    <row r="33" spans="1:6" x14ac:dyDescent="0.25">
      <c r="A33" s="9" t="s">
        <v>46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0.41666666666666669</v>
      </c>
      <c r="B34" s="33" t="b">
        <v>0</v>
      </c>
      <c r="D34" s="26">
        <v>0</v>
      </c>
      <c r="E34" s="2" t="str">
        <f>ROUNDUP(D32/E2,0) &amp; " ?"</f>
        <v>0 ?</v>
      </c>
      <c r="F34" s="2" t="s">
        <v>56</v>
      </c>
    </row>
    <row r="35" spans="1:6" x14ac:dyDescent="0.25">
      <c r="A35" s="9" t="s">
        <v>47</v>
      </c>
      <c r="D35" s="9" t="s">
        <v>49</v>
      </c>
    </row>
    <row r="36" spans="1:6" x14ac:dyDescent="0.25">
      <c r="A36" s="37" t="s">
        <v>58</v>
      </c>
      <c r="D36" s="26" t="b">
        <v>1</v>
      </c>
      <c r="E36" s="2" t="s">
        <v>35</v>
      </c>
    </row>
    <row r="37" spans="1:6" x14ac:dyDescent="0.25">
      <c r="A37" s="9" t="s">
        <v>32</v>
      </c>
    </row>
    <row r="38" spans="1:6" x14ac:dyDescent="0.25">
      <c r="A38" s="35">
        <f>A36+(ROUNDUP(IF(B31=TRUE,12*A5,12*A5*B30)/E2,0)*(A2+A3))</f>
        <v>4.1666666666666664E-2</v>
      </c>
    </row>
    <row r="39" spans="1:6" ht="16.5" thickBot="1" x14ac:dyDescent="0.3">
      <c r="A39" s="11"/>
    </row>
    <row r="40" spans="1:6" x14ac:dyDescent="0.25">
      <c r="A40" s="3" t="s">
        <v>48</v>
      </c>
    </row>
    <row r="41" spans="1:6" x14ac:dyDescent="0.25">
      <c r="A41" s="26">
        <v>4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disabled="1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52</v>
      </c>
      <c r="L1" s="31" t="s">
        <v>50</v>
      </c>
      <c r="M1" s="31" t="s">
        <v>52</v>
      </c>
      <c r="N1" s="31" t="s">
        <v>51</v>
      </c>
      <c r="O1" s="31" t="s">
        <v>52</v>
      </c>
      <c r="P1" s="31" t="s">
        <v>55</v>
      </c>
      <c r="Q1" s="31" t="s">
        <v>52</v>
      </c>
      <c r="R1" s="31" t="s">
        <v>54</v>
      </c>
      <c r="S1" s="31" t="s">
        <v>52</v>
      </c>
      <c r="T1" s="31" t="s">
        <v>53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52</v>
      </c>
      <c r="AF1" s="31" t="s">
        <v>50</v>
      </c>
      <c r="AG1" s="31" t="s">
        <v>52</v>
      </c>
      <c r="AH1" s="31" t="s">
        <v>51</v>
      </c>
      <c r="AI1" s="31" t="s">
        <v>52</v>
      </c>
      <c r="AJ1" s="31" t="s">
        <v>55</v>
      </c>
      <c r="AK1" s="31" t="s">
        <v>52</v>
      </c>
      <c r="AL1" s="31" t="s">
        <v>54</v>
      </c>
      <c r="AM1" s="31" t="s">
        <v>52</v>
      </c>
      <c r="AN1" s="31" t="s">
        <v>53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52</v>
      </c>
      <c r="AZ1" s="31" t="s">
        <v>50</v>
      </c>
      <c r="BA1" s="31" t="s">
        <v>52</v>
      </c>
      <c r="BB1" s="31" t="s">
        <v>51</v>
      </c>
      <c r="BC1" s="31" t="s">
        <v>52</v>
      </c>
      <c r="BD1" s="31" t="s">
        <v>55</v>
      </c>
      <c r="BE1" s="31" t="s">
        <v>52</v>
      </c>
      <c r="BF1" s="31" t="s">
        <v>54</v>
      </c>
      <c r="BG1" s="31" t="s">
        <v>52</v>
      </c>
      <c r="BH1" s="31" t="s">
        <v>53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52</v>
      </c>
      <c r="BT1" s="31" t="s">
        <v>50</v>
      </c>
      <c r="BU1" s="31" t="s">
        <v>52</v>
      </c>
      <c r="BV1" s="31" t="s">
        <v>51</v>
      </c>
      <c r="BW1" s="31" t="s">
        <v>52</v>
      </c>
      <c r="BX1" s="31" t="s">
        <v>55</v>
      </c>
      <c r="BY1" s="31" t="s">
        <v>52</v>
      </c>
      <c r="BZ1" s="31" t="s">
        <v>54</v>
      </c>
      <c r="CA1" s="31" t="s">
        <v>52</v>
      </c>
      <c r="CB1" s="31" t="s">
        <v>53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98" t="s">
        <v>61</v>
      </c>
      <c r="C2" s="99"/>
      <c r="D2" s="99"/>
      <c r="E2" s="99"/>
      <c r="F2" s="99"/>
      <c r="G2" s="99"/>
      <c r="H2" s="99"/>
      <c r="I2" s="100"/>
    </row>
    <row r="4" spans="1:15" x14ac:dyDescent="0.25">
      <c r="B4" s="47" t="s">
        <v>62</v>
      </c>
      <c r="C4" s="47">
        <v>1</v>
      </c>
      <c r="E4" s="50" t="s">
        <v>62</v>
      </c>
      <c r="F4" s="51">
        <v>1</v>
      </c>
      <c r="H4" s="50" t="s">
        <v>62</v>
      </c>
      <c r="I4" s="51">
        <v>4</v>
      </c>
    </row>
    <row r="5" spans="1:15" x14ac:dyDescent="0.25">
      <c r="B5" s="47" t="s">
        <v>63</v>
      </c>
      <c r="C5" s="47">
        <v>3</v>
      </c>
      <c r="E5" s="52" t="s">
        <v>64</v>
      </c>
      <c r="F5" s="51">
        <v>3</v>
      </c>
      <c r="H5" s="52" t="s">
        <v>64</v>
      </c>
      <c r="I5" s="51">
        <v>2</v>
      </c>
    </row>
    <row r="6" spans="1:15" x14ac:dyDescent="0.25">
      <c r="B6" s="47" t="s">
        <v>65</v>
      </c>
      <c r="C6" s="47">
        <v>2</v>
      </c>
      <c r="E6" s="52" t="s">
        <v>66</v>
      </c>
      <c r="F6" s="51">
        <v>2</v>
      </c>
      <c r="H6" s="52" t="s">
        <v>66</v>
      </c>
      <c r="I6" s="51">
        <v>3</v>
      </c>
    </row>
    <row r="7" spans="1:15" x14ac:dyDescent="0.25">
      <c r="B7" s="47" t="s">
        <v>67</v>
      </c>
      <c r="C7" s="47">
        <v>4</v>
      </c>
      <c r="E7" s="52" t="s">
        <v>68</v>
      </c>
      <c r="F7" s="51">
        <v>4</v>
      </c>
      <c r="H7" s="52" t="s">
        <v>68</v>
      </c>
      <c r="I7" s="51">
        <v>1</v>
      </c>
    </row>
    <row r="8" spans="1:15" x14ac:dyDescent="0.25">
      <c r="B8" s="47" t="s">
        <v>69</v>
      </c>
      <c r="C8" s="47">
        <v>4</v>
      </c>
    </row>
    <row r="9" spans="1:15" x14ac:dyDescent="0.25">
      <c r="B9" s="47" t="s">
        <v>70</v>
      </c>
      <c r="C9" s="47">
        <v>2</v>
      </c>
    </row>
    <row r="10" spans="1:15" x14ac:dyDescent="0.25">
      <c r="B10" s="47" t="s">
        <v>71</v>
      </c>
      <c r="C10" s="47">
        <v>3</v>
      </c>
    </row>
    <row r="11" spans="1:15" x14ac:dyDescent="0.25">
      <c r="B11" s="47" t="s">
        <v>72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01" t="s">
        <v>73</v>
      </c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62</v>
      </c>
      <c r="C15" s="47">
        <v>1</v>
      </c>
      <c r="D15" s="2"/>
      <c r="E15" s="50" t="s">
        <v>62</v>
      </c>
      <c r="F15" s="51">
        <v>1</v>
      </c>
      <c r="G15" s="2"/>
      <c r="H15" s="50" t="s">
        <v>62</v>
      </c>
      <c r="I15" s="51">
        <v>4</v>
      </c>
      <c r="J15" s="2"/>
      <c r="K15" s="48" t="s">
        <v>62</v>
      </c>
      <c r="L15" s="45">
        <v>1</v>
      </c>
      <c r="M15" s="2"/>
      <c r="N15" s="48" t="s">
        <v>62</v>
      </c>
      <c r="O15" s="45">
        <v>2</v>
      </c>
    </row>
    <row r="16" spans="1:15" x14ac:dyDescent="0.25">
      <c r="A16" s="2"/>
      <c r="B16" s="54" t="s">
        <v>64</v>
      </c>
      <c r="C16" s="47">
        <v>3</v>
      </c>
      <c r="D16" s="2"/>
      <c r="E16" s="52" t="s">
        <v>64</v>
      </c>
      <c r="F16" s="51">
        <v>3</v>
      </c>
      <c r="G16" s="2"/>
      <c r="H16" s="52" t="s">
        <v>64</v>
      </c>
      <c r="I16" s="51">
        <v>2</v>
      </c>
      <c r="J16" s="2"/>
      <c r="K16" s="48" t="s">
        <v>64</v>
      </c>
      <c r="L16" s="45">
        <v>3</v>
      </c>
      <c r="M16" s="2"/>
      <c r="N16" s="49" t="s">
        <v>64</v>
      </c>
      <c r="O16" s="45">
        <v>3</v>
      </c>
    </row>
    <row r="17" spans="1:15" x14ac:dyDescent="0.25">
      <c r="A17" s="2"/>
      <c r="B17" s="54" t="s">
        <v>66</v>
      </c>
      <c r="C17" s="47">
        <v>2</v>
      </c>
      <c r="D17" s="2"/>
      <c r="E17" s="52" t="s">
        <v>66</v>
      </c>
      <c r="F17" s="51">
        <v>2</v>
      </c>
      <c r="G17" s="2"/>
      <c r="H17" s="52" t="s">
        <v>66</v>
      </c>
      <c r="I17" s="51">
        <v>3</v>
      </c>
      <c r="J17" s="2"/>
      <c r="K17" s="48" t="s">
        <v>74</v>
      </c>
      <c r="L17" s="45">
        <v>5</v>
      </c>
      <c r="M17" s="2"/>
      <c r="N17" s="48" t="s">
        <v>75</v>
      </c>
      <c r="O17" s="45">
        <v>4</v>
      </c>
    </row>
    <row r="18" spans="1:15" x14ac:dyDescent="0.25">
      <c r="A18" s="2"/>
      <c r="B18" s="54" t="s">
        <v>68</v>
      </c>
      <c r="C18" s="47">
        <v>4</v>
      </c>
      <c r="D18" s="2"/>
      <c r="E18" s="52" t="s">
        <v>68</v>
      </c>
      <c r="F18" s="51">
        <v>4</v>
      </c>
      <c r="G18" s="2"/>
      <c r="H18" s="52" t="s">
        <v>74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76</v>
      </c>
      <c r="C19" s="47">
        <v>4</v>
      </c>
      <c r="D19" s="2"/>
      <c r="E19" s="50" t="s">
        <v>76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77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62</v>
      </c>
      <c r="L20" s="45">
        <v>4</v>
      </c>
      <c r="M20" s="2"/>
      <c r="N20" s="2"/>
      <c r="O20" s="2"/>
    </row>
    <row r="21" spans="1:15" x14ac:dyDescent="0.25">
      <c r="A21" s="2"/>
      <c r="B21" s="54" t="s">
        <v>78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64</v>
      </c>
      <c r="L21" s="45">
        <v>2</v>
      </c>
      <c r="M21" s="2"/>
      <c r="N21" s="2"/>
      <c r="O21" s="2"/>
    </row>
    <row r="22" spans="1:15" x14ac:dyDescent="0.25">
      <c r="A22" s="2"/>
      <c r="B22" s="54" t="s">
        <v>79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75</v>
      </c>
      <c r="L22" s="45">
        <v>1</v>
      </c>
      <c r="M22" s="2"/>
      <c r="N22" s="2"/>
      <c r="O22" s="2"/>
    </row>
    <row r="23" spans="1:15" x14ac:dyDescent="0.25">
      <c r="A23" s="2"/>
      <c r="B23" s="53" t="s">
        <v>80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01" t="s">
        <v>81</v>
      </c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62</v>
      </c>
      <c r="C28" s="47">
        <v>1</v>
      </c>
      <c r="D28" s="2"/>
      <c r="E28" s="51" t="s">
        <v>62</v>
      </c>
      <c r="F28" s="51">
        <v>1</v>
      </c>
      <c r="G28" s="2"/>
      <c r="H28" s="51" t="s">
        <v>62</v>
      </c>
      <c r="I28" s="51">
        <v>4</v>
      </c>
      <c r="J28" s="2"/>
      <c r="K28" s="45" t="s">
        <v>62</v>
      </c>
      <c r="L28" s="45">
        <v>2</v>
      </c>
      <c r="M28" s="2"/>
      <c r="N28" s="45" t="s">
        <v>62</v>
      </c>
      <c r="O28" s="45">
        <v>1</v>
      </c>
    </row>
    <row r="29" spans="1:15" x14ac:dyDescent="0.25">
      <c r="A29" s="2"/>
      <c r="B29" s="47" t="s">
        <v>63</v>
      </c>
      <c r="C29" s="47">
        <v>3</v>
      </c>
      <c r="D29" s="2"/>
      <c r="E29" s="51" t="s">
        <v>64</v>
      </c>
      <c r="F29" s="51">
        <v>3</v>
      </c>
      <c r="G29" s="2"/>
      <c r="H29" s="51" t="s">
        <v>64</v>
      </c>
      <c r="I29" s="51">
        <v>2</v>
      </c>
      <c r="J29" s="2"/>
      <c r="K29" s="45" t="s">
        <v>64</v>
      </c>
      <c r="L29" s="45">
        <v>3</v>
      </c>
      <c r="M29" s="2"/>
      <c r="N29" s="45" t="s">
        <v>64</v>
      </c>
      <c r="O29" s="45">
        <v>4</v>
      </c>
    </row>
    <row r="30" spans="1:15" x14ac:dyDescent="0.25">
      <c r="A30" s="2"/>
      <c r="B30" s="47" t="s">
        <v>65</v>
      </c>
      <c r="C30" s="47">
        <v>2</v>
      </c>
      <c r="D30" s="2"/>
      <c r="E30" s="51" t="s">
        <v>66</v>
      </c>
      <c r="F30" s="51">
        <v>2</v>
      </c>
      <c r="G30" s="2"/>
      <c r="H30" s="51" t="s">
        <v>66</v>
      </c>
      <c r="I30" s="51">
        <v>3</v>
      </c>
      <c r="J30" s="2"/>
      <c r="K30" s="45" t="s">
        <v>75</v>
      </c>
      <c r="L30" s="45">
        <v>1</v>
      </c>
      <c r="M30" s="2"/>
      <c r="N30" s="45" t="s">
        <v>75</v>
      </c>
      <c r="O30" s="45">
        <v>2</v>
      </c>
    </row>
    <row r="31" spans="1:15" x14ac:dyDescent="0.25">
      <c r="A31" s="2"/>
      <c r="B31" s="47" t="s">
        <v>67</v>
      </c>
      <c r="C31" s="47">
        <v>4</v>
      </c>
      <c r="D31" s="2"/>
      <c r="E31" s="51" t="s">
        <v>68</v>
      </c>
      <c r="F31" s="51">
        <v>4</v>
      </c>
      <c r="G31" s="2"/>
      <c r="H31" s="51" t="s">
        <v>68</v>
      </c>
      <c r="I31" s="51">
        <v>1</v>
      </c>
      <c r="J31" s="2"/>
      <c r="K31" s="45" t="s">
        <v>68</v>
      </c>
      <c r="L31" s="45">
        <v>5</v>
      </c>
      <c r="M31" s="2"/>
      <c r="N31" s="2"/>
      <c r="O31" s="2"/>
    </row>
    <row r="32" spans="1:15" x14ac:dyDescent="0.25">
      <c r="A32" s="2"/>
      <c r="B32" s="47" t="s">
        <v>69</v>
      </c>
      <c r="C32" s="47">
        <v>4</v>
      </c>
      <c r="D32" s="2"/>
      <c r="E32" s="51" t="s">
        <v>76</v>
      </c>
      <c r="F32" s="51">
        <v>5</v>
      </c>
      <c r="G32" s="2"/>
      <c r="H32" s="51" t="s">
        <v>76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70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62</v>
      </c>
      <c r="L33" s="45">
        <v>3</v>
      </c>
      <c r="M33" s="2"/>
      <c r="N33" s="2"/>
      <c r="O33" s="2"/>
    </row>
    <row r="34" spans="1:18" x14ac:dyDescent="0.25">
      <c r="A34" s="2"/>
      <c r="B34" s="47" t="s">
        <v>71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64</v>
      </c>
      <c r="L34" s="45">
        <v>4</v>
      </c>
      <c r="M34" s="2"/>
      <c r="N34" s="2"/>
      <c r="O34" s="2"/>
    </row>
    <row r="35" spans="1:18" x14ac:dyDescent="0.25">
      <c r="A35" s="2"/>
      <c r="B35" s="47" t="s">
        <v>72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75</v>
      </c>
      <c r="L35" s="45">
        <v>5</v>
      </c>
      <c r="M35" s="2"/>
      <c r="N35" s="2"/>
      <c r="O35" s="2"/>
    </row>
    <row r="36" spans="1:18" x14ac:dyDescent="0.25">
      <c r="A36" s="2"/>
      <c r="B36" s="47" t="s">
        <v>82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83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01" t="s">
        <v>84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62</v>
      </c>
      <c r="C41" s="51">
        <f>C53</f>
        <v>1</v>
      </c>
      <c r="D41" s="2"/>
      <c r="E41" s="51" t="s">
        <v>62</v>
      </c>
      <c r="F41" s="51">
        <f>F53</f>
        <v>4</v>
      </c>
      <c r="G41" s="2"/>
      <c r="H41" s="48" t="s">
        <v>62</v>
      </c>
      <c r="I41" s="45">
        <f>I53</f>
        <v>1</v>
      </c>
      <c r="J41" s="2"/>
      <c r="K41" s="48" t="s">
        <v>62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64</v>
      </c>
      <c r="C42" s="51">
        <f t="shared" ref="C42:C46" si="0">C54</f>
        <v>3</v>
      </c>
      <c r="D42" s="2"/>
      <c r="E42" s="51" t="s">
        <v>64</v>
      </c>
      <c r="F42" s="51">
        <f t="shared" ref="F42:F44" si="1">F54</f>
        <v>2</v>
      </c>
      <c r="G42" s="2"/>
      <c r="H42" s="49" t="s">
        <v>64</v>
      </c>
      <c r="I42" s="45">
        <f t="shared" ref="I42:I44" si="2">I54</f>
        <v>3</v>
      </c>
      <c r="J42" s="2"/>
      <c r="K42" s="49" t="s">
        <v>64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66</v>
      </c>
      <c r="C43" s="51">
        <f t="shared" si="0"/>
        <v>2</v>
      </c>
      <c r="D43" s="2"/>
      <c r="E43" s="51" t="s">
        <v>66</v>
      </c>
      <c r="F43" s="51">
        <f t="shared" si="1"/>
        <v>3</v>
      </c>
      <c r="G43" s="2"/>
      <c r="H43" s="49" t="s">
        <v>75</v>
      </c>
      <c r="I43" s="45">
        <f t="shared" si="2"/>
        <v>2</v>
      </c>
      <c r="J43" s="2"/>
      <c r="K43" s="49" t="s">
        <v>75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68</v>
      </c>
      <c r="C44" s="51">
        <f t="shared" si="0"/>
        <v>4</v>
      </c>
      <c r="D44" s="2"/>
      <c r="E44" s="51" t="s">
        <v>68</v>
      </c>
      <c r="F44" s="51">
        <f t="shared" si="1"/>
        <v>1</v>
      </c>
      <c r="G44" s="2"/>
      <c r="H44" s="49" t="s">
        <v>68</v>
      </c>
      <c r="I44" s="45">
        <f t="shared" si="2"/>
        <v>5</v>
      </c>
      <c r="J44" s="2"/>
      <c r="K44" s="49" t="s">
        <v>68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76</v>
      </c>
      <c r="C45" s="51">
        <f t="shared" si="0"/>
        <v>5</v>
      </c>
      <c r="D45" s="2"/>
      <c r="E45" s="51" t="s">
        <v>76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74</v>
      </c>
      <c r="C46" s="51">
        <f t="shared" si="0"/>
        <v>6</v>
      </c>
      <c r="D46" s="2"/>
      <c r="E46" s="2"/>
      <c r="F46" s="2"/>
      <c r="G46" s="2"/>
      <c r="H46" s="48" t="s">
        <v>62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64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66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01" t="s">
        <v>85</v>
      </c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62</v>
      </c>
      <c r="C53" s="51">
        <v>1</v>
      </c>
      <c r="D53" s="2"/>
      <c r="E53" s="51" t="s">
        <v>62</v>
      </c>
      <c r="F53" s="51">
        <v>4</v>
      </c>
      <c r="G53" s="2"/>
      <c r="H53" s="48" t="s">
        <v>62</v>
      </c>
      <c r="I53" s="45">
        <v>1</v>
      </c>
      <c r="J53" s="2"/>
      <c r="K53" s="48" t="s">
        <v>62</v>
      </c>
      <c r="L53" s="45">
        <v>2</v>
      </c>
      <c r="M53" s="2"/>
      <c r="N53" s="56" t="s">
        <v>62</v>
      </c>
      <c r="O53" s="46">
        <v>1</v>
      </c>
      <c r="P53" s="2"/>
      <c r="Q53" s="56" t="s">
        <v>62</v>
      </c>
      <c r="R53" s="46">
        <v>2</v>
      </c>
    </row>
    <row r="54" spans="1:21" x14ac:dyDescent="0.25">
      <c r="A54" s="2"/>
      <c r="B54" s="51" t="s">
        <v>63</v>
      </c>
      <c r="C54" s="51">
        <v>3</v>
      </c>
      <c r="D54" s="2"/>
      <c r="E54" s="51" t="s">
        <v>63</v>
      </c>
      <c r="F54" s="51">
        <v>2</v>
      </c>
      <c r="G54" s="2"/>
      <c r="H54" s="49" t="s">
        <v>64</v>
      </c>
      <c r="I54" s="45">
        <v>3</v>
      </c>
      <c r="J54" s="2"/>
      <c r="K54" s="49" t="s">
        <v>64</v>
      </c>
      <c r="L54" s="45">
        <v>4</v>
      </c>
      <c r="M54" s="2"/>
      <c r="N54" s="57" t="s">
        <v>64</v>
      </c>
      <c r="O54" s="46">
        <v>3</v>
      </c>
      <c r="P54" s="2"/>
      <c r="Q54" s="57" t="s">
        <v>64</v>
      </c>
      <c r="R54" s="46">
        <v>4</v>
      </c>
    </row>
    <row r="55" spans="1:21" x14ac:dyDescent="0.25">
      <c r="A55" s="2"/>
      <c r="B55" s="51" t="s">
        <v>65</v>
      </c>
      <c r="C55" s="51">
        <v>2</v>
      </c>
      <c r="D55" s="2"/>
      <c r="E55" s="51" t="s">
        <v>65</v>
      </c>
      <c r="F55" s="51">
        <v>3</v>
      </c>
      <c r="G55" s="2"/>
      <c r="H55" s="49" t="s">
        <v>75</v>
      </c>
      <c r="I55" s="45">
        <v>2</v>
      </c>
      <c r="J55" s="2"/>
      <c r="K55" s="49" t="s">
        <v>75</v>
      </c>
      <c r="L55" s="45">
        <v>5</v>
      </c>
      <c r="M55" s="2"/>
      <c r="N55" s="57" t="s">
        <v>66</v>
      </c>
      <c r="O55" s="46">
        <v>5</v>
      </c>
      <c r="P55" s="2"/>
      <c r="Q55" s="57" t="s">
        <v>66</v>
      </c>
      <c r="R55" s="46">
        <v>6</v>
      </c>
    </row>
    <row r="56" spans="1:21" x14ac:dyDescent="0.25">
      <c r="A56" s="2"/>
      <c r="B56" s="51" t="s">
        <v>67</v>
      </c>
      <c r="C56" s="51">
        <v>4</v>
      </c>
      <c r="D56" s="2"/>
      <c r="E56" s="51" t="s">
        <v>67</v>
      </c>
      <c r="F56" s="51">
        <v>1</v>
      </c>
      <c r="G56" s="2"/>
      <c r="H56" s="49" t="s">
        <v>68</v>
      </c>
      <c r="I56" s="45">
        <v>5</v>
      </c>
      <c r="J56" s="2"/>
      <c r="K56" s="49" t="s">
        <v>68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69</v>
      </c>
      <c r="C57" s="51">
        <v>5</v>
      </c>
      <c r="D57" s="2"/>
      <c r="E57" s="51" t="s">
        <v>69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62</v>
      </c>
      <c r="O57" s="46">
        <v>4</v>
      </c>
      <c r="P57" s="2"/>
      <c r="Q57" s="56" t="s">
        <v>62</v>
      </c>
      <c r="R57" s="46">
        <v>3</v>
      </c>
    </row>
    <row r="58" spans="1:21" x14ac:dyDescent="0.25">
      <c r="A58" s="2"/>
      <c r="B58" s="51" t="s">
        <v>70</v>
      </c>
      <c r="C58" s="51">
        <v>6</v>
      </c>
      <c r="D58" s="2"/>
      <c r="E58" s="51" t="s">
        <v>70</v>
      </c>
      <c r="F58" s="51">
        <v>5</v>
      </c>
      <c r="G58" s="2"/>
      <c r="H58" s="48" t="s">
        <v>62</v>
      </c>
      <c r="I58" s="45">
        <v>3</v>
      </c>
      <c r="J58" s="2"/>
      <c r="K58" s="2"/>
      <c r="L58" s="2"/>
      <c r="M58" s="2"/>
      <c r="N58" s="57" t="s">
        <v>64</v>
      </c>
      <c r="O58" s="46">
        <v>2</v>
      </c>
      <c r="P58" s="2"/>
      <c r="Q58" s="57" t="s">
        <v>64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64</v>
      </c>
      <c r="I59" s="45">
        <v>4</v>
      </c>
      <c r="J59" s="2"/>
      <c r="K59" s="2"/>
      <c r="L59" s="2"/>
      <c r="M59" s="2"/>
      <c r="N59" s="57" t="s">
        <v>66</v>
      </c>
      <c r="O59" s="46">
        <v>6</v>
      </c>
      <c r="P59" s="2"/>
      <c r="Q59" s="57" t="s">
        <v>66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75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68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01" t="s">
        <v>86</v>
      </c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62</v>
      </c>
      <c r="C65" s="51">
        <v>1</v>
      </c>
      <c r="D65" s="2"/>
      <c r="E65" s="51" t="s">
        <v>62</v>
      </c>
      <c r="F65" s="51">
        <v>4</v>
      </c>
      <c r="G65" s="2"/>
      <c r="H65" s="45" t="s">
        <v>62</v>
      </c>
      <c r="I65" s="45">
        <v>1</v>
      </c>
      <c r="J65" s="2"/>
      <c r="K65" s="45" t="s">
        <v>62</v>
      </c>
      <c r="L65" s="45">
        <v>2</v>
      </c>
      <c r="M65" s="2"/>
      <c r="N65" s="45" t="s">
        <v>62</v>
      </c>
      <c r="O65" s="45">
        <v>3</v>
      </c>
      <c r="P65" s="2"/>
      <c r="Q65" s="56" t="s">
        <v>62</v>
      </c>
      <c r="R65" s="46">
        <v>1</v>
      </c>
      <c r="S65" s="2"/>
      <c r="T65" s="56" t="s">
        <v>62</v>
      </c>
      <c r="U65" s="46">
        <v>2</v>
      </c>
    </row>
    <row r="66" spans="1:21" x14ac:dyDescent="0.25">
      <c r="A66" s="2"/>
      <c r="B66" s="51" t="s">
        <v>63</v>
      </c>
      <c r="C66" s="51">
        <v>3</v>
      </c>
      <c r="D66" s="2"/>
      <c r="E66" s="51" t="s">
        <v>63</v>
      </c>
      <c r="F66" s="51">
        <v>2</v>
      </c>
      <c r="G66" s="2"/>
      <c r="H66" s="45" t="s">
        <v>63</v>
      </c>
      <c r="I66" s="45">
        <v>3</v>
      </c>
      <c r="J66" s="2"/>
      <c r="K66" s="45" t="s">
        <v>63</v>
      </c>
      <c r="L66" s="45">
        <v>4</v>
      </c>
      <c r="M66" s="2"/>
      <c r="N66" s="45" t="s">
        <v>63</v>
      </c>
      <c r="O66" s="45">
        <v>4</v>
      </c>
      <c r="P66" s="2"/>
      <c r="Q66" s="57" t="s">
        <v>64</v>
      </c>
      <c r="R66" s="46">
        <v>4</v>
      </c>
      <c r="S66" s="2"/>
      <c r="T66" s="57" t="s">
        <v>64</v>
      </c>
      <c r="U66" s="46">
        <v>1</v>
      </c>
    </row>
    <row r="67" spans="1:21" x14ac:dyDescent="0.25">
      <c r="A67" s="2"/>
      <c r="B67" s="51" t="s">
        <v>65</v>
      </c>
      <c r="C67" s="51">
        <v>2</v>
      </c>
      <c r="D67" s="2"/>
      <c r="E67" s="51" t="s">
        <v>65</v>
      </c>
      <c r="F67" s="51">
        <v>3</v>
      </c>
      <c r="G67" s="2"/>
      <c r="H67" s="45" t="s">
        <v>87</v>
      </c>
      <c r="I67" s="45">
        <v>2</v>
      </c>
      <c r="J67" s="2"/>
      <c r="K67" s="45" t="s">
        <v>88</v>
      </c>
      <c r="L67" s="45">
        <v>1</v>
      </c>
      <c r="M67" s="2"/>
      <c r="N67" s="45" t="s">
        <v>65</v>
      </c>
      <c r="O67" s="45">
        <v>5</v>
      </c>
      <c r="P67" s="2"/>
      <c r="Q67" s="57" t="s">
        <v>66</v>
      </c>
      <c r="R67" s="46">
        <v>5</v>
      </c>
      <c r="S67" s="2"/>
      <c r="T67" s="57" t="s">
        <v>66</v>
      </c>
      <c r="U67" s="46">
        <v>6</v>
      </c>
    </row>
    <row r="68" spans="1:21" x14ac:dyDescent="0.25">
      <c r="A68" s="2"/>
      <c r="B68" s="51" t="s">
        <v>67</v>
      </c>
      <c r="C68" s="51">
        <v>4</v>
      </c>
      <c r="D68" s="2"/>
      <c r="E68" s="51" t="s">
        <v>67</v>
      </c>
      <c r="F68" s="51">
        <v>1</v>
      </c>
      <c r="G68" s="2"/>
      <c r="H68" s="45" t="s">
        <v>67</v>
      </c>
      <c r="I68" s="45">
        <v>6</v>
      </c>
      <c r="J68" s="2"/>
      <c r="K68" s="45" t="s">
        <v>67</v>
      </c>
      <c r="L68" s="45">
        <v>7</v>
      </c>
      <c r="M68" s="2"/>
      <c r="N68" s="45" t="s">
        <v>67</v>
      </c>
      <c r="O68" s="45">
        <v>6</v>
      </c>
      <c r="P68" s="2"/>
      <c r="Q68" s="57" t="s">
        <v>68</v>
      </c>
      <c r="R68" s="46">
        <v>7</v>
      </c>
      <c r="S68" s="2"/>
      <c r="T68" s="2"/>
      <c r="U68" s="2"/>
    </row>
    <row r="69" spans="1:21" x14ac:dyDescent="0.25">
      <c r="A69" s="2"/>
      <c r="B69" s="51" t="s">
        <v>69</v>
      </c>
      <c r="C69" s="51">
        <v>6</v>
      </c>
      <c r="D69" s="2"/>
      <c r="E69" s="51" t="s">
        <v>69</v>
      </c>
      <c r="F69" s="51">
        <v>5</v>
      </c>
      <c r="G69" s="2"/>
      <c r="H69" s="45" t="s">
        <v>69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70</v>
      </c>
      <c r="C70" s="51">
        <v>7</v>
      </c>
      <c r="D70" s="2"/>
      <c r="E70" s="51" t="s">
        <v>70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71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62</v>
      </c>
      <c r="R71" s="46">
        <v>3</v>
      </c>
      <c r="S71" s="2"/>
      <c r="T71" s="56" t="s">
        <v>62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64</v>
      </c>
      <c r="R72" s="46">
        <v>2</v>
      </c>
      <c r="S72" s="2"/>
      <c r="T72" s="57" t="s">
        <v>64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66</v>
      </c>
      <c r="R73" s="46">
        <v>6</v>
      </c>
      <c r="S73" s="2"/>
      <c r="T73" s="57" t="s">
        <v>66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01" t="s">
        <v>89</v>
      </c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62</v>
      </c>
      <c r="C78" s="51">
        <v>1</v>
      </c>
      <c r="D78" s="2"/>
      <c r="E78" s="51" t="s">
        <v>62</v>
      </c>
      <c r="F78" s="51">
        <v>4</v>
      </c>
      <c r="G78" s="2"/>
      <c r="H78" s="45" t="s">
        <v>62</v>
      </c>
      <c r="I78" s="45">
        <v>1</v>
      </c>
      <c r="J78" s="2"/>
      <c r="K78" s="45" t="s">
        <v>62</v>
      </c>
      <c r="L78" s="45">
        <v>2</v>
      </c>
      <c r="M78" s="2"/>
      <c r="N78" s="45" t="s">
        <v>62</v>
      </c>
      <c r="O78" s="45">
        <v>3</v>
      </c>
      <c r="P78" s="2"/>
      <c r="Q78" s="56" t="s">
        <v>62</v>
      </c>
      <c r="R78" s="46">
        <v>1</v>
      </c>
      <c r="S78" s="2"/>
      <c r="T78" s="56" t="s">
        <v>62</v>
      </c>
      <c r="U78" s="46">
        <v>2</v>
      </c>
    </row>
    <row r="79" spans="1:21" x14ac:dyDescent="0.25">
      <c r="A79" s="2"/>
      <c r="B79" s="51" t="s">
        <v>63</v>
      </c>
      <c r="C79" s="51">
        <v>3</v>
      </c>
      <c r="D79" s="2"/>
      <c r="E79" s="51" t="s">
        <v>63</v>
      </c>
      <c r="F79" s="51">
        <v>2</v>
      </c>
      <c r="G79" s="2"/>
      <c r="H79" s="45" t="s">
        <v>63</v>
      </c>
      <c r="I79" s="45">
        <v>3</v>
      </c>
      <c r="J79" s="2"/>
      <c r="K79" s="45" t="s">
        <v>63</v>
      </c>
      <c r="L79" s="45">
        <v>4</v>
      </c>
      <c r="M79" s="2"/>
      <c r="N79" s="45" t="s">
        <v>63</v>
      </c>
      <c r="O79" s="45">
        <v>4</v>
      </c>
      <c r="P79" s="2"/>
      <c r="Q79" s="57" t="s">
        <v>64</v>
      </c>
      <c r="R79" s="46">
        <v>4</v>
      </c>
      <c r="S79" s="2"/>
      <c r="T79" s="57" t="s">
        <v>64</v>
      </c>
      <c r="U79" s="46">
        <v>1</v>
      </c>
    </row>
    <row r="80" spans="1:21" x14ac:dyDescent="0.25">
      <c r="A80" s="2"/>
      <c r="B80" s="51" t="s">
        <v>65</v>
      </c>
      <c r="C80" s="51">
        <v>2</v>
      </c>
      <c r="D80" s="2"/>
      <c r="E80" s="51" t="s">
        <v>65</v>
      </c>
      <c r="F80" s="51">
        <v>3</v>
      </c>
      <c r="G80" s="2"/>
      <c r="H80" s="45" t="s">
        <v>87</v>
      </c>
      <c r="I80" s="45">
        <v>2</v>
      </c>
      <c r="J80" s="2"/>
      <c r="K80" s="45" t="s">
        <v>88</v>
      </c>
      <c r="L80" s="45">
        <v>1</v>
      </c>
      <c r="M80" s="2"/>
      <c r="N80" s="45" t="s">
        <v>65</v>
      </c>
      <c r="O80" s="45">
        <v>5</v>
      </c>
      <c r="P80" s="2"/>
      <c r="Q80" s="57" t="s">
        <v>66</v>
      </c>
      <c r="R80" s="46">
        <v>5</v>
      </c>
      <c r="S80" s="2"/>
      <c r="T80" s="57" t="s">
        <v>66</v>
      </c>
      <c r="U80" s="46">
        <v>6</v>
      </c>
    </row>
    <row r="81" spans="1:21" x14ac:dyDescent="0.25">
      <c r="A81" s="2"/>
      <c r="B81" s="51" t="s">
        <v>67</v>
      </c>
      <c r="C81" s="51">
        <v>4</v>
      </c>
      <c r="D81" s="2"/>
      <c r="E81" s="51" t="s">
        <v>67</v>
      </c>
      <c r="F81" s="51">
        <v>1</v>
      </c>
      <c r="G81" s="2"/>
      <c r="H81" s="45" t="s">
        <v>67</v>
      </c>
      <c r="I81" s="45">
        <v>6</v>
      </c>
      <c r="J81" s="2"/>
      <c r="K81" s="45" t="s">
        <v>67</v>
      </c>
      <c r="L81" s="45">
        <v>7</v>
      </c>
      <c r="M81" s="2"/>
      <c r="N81" s="45" t="s">
        <v>67</v>
      </c>
      <c r="O81" s="45">
        <v>6</v>
      </c>
      <c r="P81" s="2"/>
      <c r="Q81" s="57" t="s">
        <v>68</v>
      </c>
      <c r="R81" s="46">
        <v>7</v>
      </c>
      <c r="S81" s="2"/>
      <c r="T81" s="57" t="s">
        <v>68</v>
      </c>
      <c r="U81" s="46">
        <v>5</v>
      </c>
    </row>
    <row r="82" spans="1:21" x14ac:dyDescent="0.25">
      <c r="A82" s="2"/>
      <c r="B82" s="51" t="s">
        <v>69</v>
      </c>
      <c r="C82" s="51">
        <v>5</v>
      </c>
      <c r="D82" s="2"/>
      <c r="E82" s="51" t="s">
        <v>69</v>
      </c>
      <c r="F82" s="51">
        <v>6</v>
      </c>
      <c r="G82" s="2"/>
      <c r="H82" s="45" t="s">
        <v>69</v>
      </c>
      <c r="I82" s="45">
        <v>7</v>
      </c>
      <c r="J82" s="2"/>
      <c r="K82" s="45" t="s">
        <v>69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70</v>
      </c>
      <c r="C83" s="51">
        <v>7</v>
      </c>
      <c r="D83" s="2"/>
      <c r="E83" s="51" t="s">
        <v>70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71</v>
      </c>
      <c r="C84" s="51">
        <v>6</v>
      </c>
      <c r="D84" s="2"/>
      <c r="E84" s="51" t="s">
        <v>71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62</v>
      </c>
      <c r="R84" s="46">
        <v>3</v>
      </c>
      <c r="S84" s="2"/>
      <c r="T84" s="56" t="s">
        <v>62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64</v>
      </c>
      <c r="R85" s="46">
        <v>2</v>
      </c>
      <c r="S85" s="2"/>
      <c r="T85" s="57" t="s">
        <v>64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66</v>
      </c>
      <c r="R86" s="46">
        <v>7</v>
      </c>
      <c r="S86" s="2"/>
      <c r="T86" s="57" t="s">
        <v>66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01" t="s">
        <v>90</v>
      </c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</row>
    <row r="89" spans="1:21" x14ac:dyDescent="0.25">
      <c r="A89" s="2"/>
      <c r="B89" s="95"/>
      <c r="C89" s="95"/>
      <c r="D89" s="95"/>
      <c r="E89" s="95"/>
      <c r="F89" s="95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62</v>
      </c>
      <c r="C90" s="51">
        <v>1</v>
      </c>
      <c r="D90" s="2"/>
      <c r="E90" s="51" t="s">
        <v>62</v>
      </c>
      <c r="F90" s="51">
        <v>4</v>
      </c>
      <c r="G90" s="2"/>
      <c r="H90" s="45" t="s">
        <v>62</v>
      </c>
      <c r="I90" s="45">
        <v>1</v>
      </c>
      <c r="J90" s="2"/>
      <c r="K90" s="45" t="s">
        <v>62</v>
      </c>
      <c r="L90" s="45">
        <v>2</v>
      </c>
      <c r="M90" s="2"/>
      <c r="N90" s="46" t="s">
        <v>62</v>
      </c>
      <c r="O90" s="46">
        <v>1</v>
      </c>
      <c r="P90" s="2"/>
      <c r="Q90" s="46" t="s">
        <v>62</v>
      </c>
      <c r="R90" s="46">
        <v>2</v>
      </c>
    </row>
    <row r="91" spans="1:21" x14ac:dyDescent="0.25">
      <c r="A91" s="2"/>
      <c r="B91" s="51" t="s">
        <v>63</v>
      </c>
      <c r="C91" s="51">
        <v>3</v>
      </c>
      <c r="D91" s="2"/>
      <c r="E91" s="51" t="s">
        <v>63</v>
      </c>
      <c r="F91" s="51">
        <v>2</v>
      </c>
      <c r="G91" s="2"/>
      <c r="H91" s="45" t="s">
        <v>63</v>
      </c>
      <c r="I91" s="45">
        <v>3</v>
      </c>
      <c r="J91" s="2"/>
      <c r="K91" s="45" t="s">
        <v>63</v>
      </c>
      <c r="L91" s="45">
        <v>4</v>
      </c>
      <c r="M91" s="2"/>
      <c r="N91" s="46" t="s">
        <v>63</v>
      </c>
      <c r="O91" s="46">
        <v>4</v>
      </c>
      <c r="P91" s="2"/>
      <c r="Q91" s="46" t="s">
        <v>63</v>
      </c>
      <c r="R91" s="46">
        <v>1</v>
      </c>
    </row>
    <row r="92" spans="1:21" x14ac:dyDescent="0.25">
      <c r="A92" s="2"/>
      <c r="B92" s="51" t="s">
        <v>65</v>
      </c>
      <c r="C92" s="51">
        <v>2</v>
      </c>
      <c r="D92" s="2"/>
      <c r="E92" s="51" t="s">
        <v>65</v>
      </c>
      <c r="F92" s="51">
        <v>3</v>
      </c>
      <c r="G92" s="2"/>
      <c r="H92" s="45" t="s">
        <v>91</v>
      </c>
      <c r="I92" s="45">
        <v>5</v>
      </c>
      <c r="J92" s="2"/>
      <c r="K92" s="45" t="s">
        <v>91</v>
      </c>
      <c r="L92" s="45">
        <v>1</v>
      </c>
      <c r="M92" s="2"/>
      <c r="N92" s="46" t="s">
        <v>65</v>
      </c>
      <c r="O92" s="46">
        <v>5</v>
      </c>
      <c r="P92" s="2"/>
      <c r="Q92" s="46" t="s">
        <v>65</v>
      </c>
      <c r="R92" s="46">
        <v>6</v>
      </c>
    </row>
    <row r="93" spans="1:21" x14ac:dyDescent="0.25">
      <c r="A93" s="2"/>
      <c r="B93" s="51" t="s">
        <v>67</v>
      </c>
      <c r="C93" s="51">
        <v>4</v>
      </c>
      <c r="D93" s="2"/>
      <c r="E93" s="51" t="s">
        <v>67</v>
      </c>
      <c r="F93" s="51">
        <v>1</v>
      </c>
      <c r="G93" s="2"/>
      <c r="H93" s="45" t="s">
        <v>67</v>
      </c>
      <c r="I93" s="45">
        <v>6</v>
      </c>
      <c r="J93" s="2"/>
      <c r="K93" s="45" t="s">
        <v>67</v>
      </c>
      <c r="L93" s="45">
        <v>7</v>
      </c>
      <c r="M93" s="2"/>
      <c r="N93" s="46" t="s">
        <v>92</v>
      </c>
      <c r="O93" s="46">
        <v>8</v>
      </c>
      <c r="P93" s="2"/>
      <c r="Q93" s="46" t="s">
        <v>67</v>
      </c>
      <c r="R93" s="46">
        <v>5</v>
      </c>
    </row>
    <row r="94" spans="1:21" x14ac:dyDescent="0.25">
      <c r="A94" s="2"/>
      <c r="B94" s="51" t="s">
        <v>69</v>
      </c>
      <c r="C94" s="51">
        <v>5</v>
      </c>
      <c r="D94" s="2"/>
      <c r="E94" s="51" t="s">
        <v>69</v>
      </c>
      <c r="F94" s="51">
        <v>8</v>
      </c>
      <c r="G94" s="2"/>
      <c r="H94" s="45" t="s">
        <v>93</v>
      </c>
      <c r="I94" s="45">
        <v>8</v>
      </c>
      <c r="J94" s="2"/>
      <c r="K94" s="45" t="s">
        <v>94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70</v>
      </c>
      <c r="C95" s="51">
        <v>7</v>
      </c>
      <c r="D95" s="2"/>
      <c r="E95" s="51" t="s">
        <v>70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71</v>
      </c>
      <c r="C96" s="51">
        <v>6</v>
      </c>
      <c r="D96" s="2"/>
      <c r="E96" s="51" t="s">
        <v>71</v>
      </c>
      <c r="F96" s="51">
        <v>7</v>
      </c>
      <c r="G96" s="2"/>
      <c r="H96" s="45" t="s">
        <v>62</v>
      </c>
      <c r="I96" s="45">
        <v>3</v>
      </c>
      <c r="J96" s="2"/>
      <c r="K96" s="2"/>
      <c r="L96" s="2"/>
      <c r="M96" s="2"/>
      <c r="N96" s="46" t="s">
        <v>62</v>
      </c>
      <c r="O96" s="46">
        <v>4</v>
      </c>
      <c r="P96" s="2"/>
      <c r="Q96" s="46" t="s">
        <v>62</v>
      </c>
      <c r="R96" s="46">
        <v>3</v>
      </c>
    </row>
    <row r="97" spans="1:18" x14ac:dyDescent="0.25">
      <c r="A97" s="2"/>
      <c r="B97" s="51" t="s">
        <v>72</v>
      </c>
      <c r="C97" s="51">
        <v>8</v>
      </c>
      <c r="D97" s="2"/>
      <c r="E97" s="2"/>
      <c r="F97" s="2"/>
      <c r="G97" s="2"/>
      <c r="H97" s="45" t="s">
        <v>63</v>
      </c>
      <c r="I97" s="45">
        <v>4</v>
      </c>
      <c r="J97" s="2"/>
      <c r="K97" s="2"/>
      <c r="L97" s="2"/>
      <c r="M97" s="2"/>
      <c r="N97" s="46" t="s">
        <v>63</v>
      </c>
      <c r="O97" s="46">
        <v>3</v>
      </c>
      <c r="P97" s="2"/>
      <c r="Q97" s="46" t="s">
        <v>63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91</v>
      </c>
      <c r="I98" s="45">
        <v>2</v>
      </c>
      <c r="J98" s="2"/>
      <c r="K98" s="2"/>
      <c r="L98" s="2"/>
      <c r="M98" s="2"/>
      <c r="N98" s="46" t="s">
        <v>65</v>
      </c>
      <c r="O98" s="46">
        <v>6</v>
      </c>
      <c r="P98" s="2"/>
      <c r="Q98" s="46" t="s">
        <v>65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67</v>
      </c>
      <c r="I99" s="45">
        <v>7</v>
      </c>
      <c r="J99" s="2"/>
      <c r="K99" s="2"/>
      <c r="L99" s="2"/>
      <c r="M99" s="2"/>
      <c r="N99" s="46" t="s">
        <v>67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94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01" t="s">
        <v>95</v>
      </c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62</v>
      </c>
      <c r="C105" s="51">
        <v>1</v>
      </c>
      <c r="D105" s="2"/>
      <c r="E105" s="51" t="s">
        <v>62</v>
      </c>
      <c r="F105" s="51">
        <v>4</v>
      </c>
      <c r="G105" s="2"/>
      <c r="H105" s="45" t="s">
        <v>62</v>
      </c>
      <c r="I105" s="45">
        <v>1</v>
      </c>
      <c r="J105" s="2"/>
      <c r="K105" s="45" t="s">
        <v>62</v>
      </c>
      <c r="L105" s="45">
        <v>4</v>
      </c>
      <c r="M105" s="2"/>
      <c r="N105" s="46" t="s">
        <v>62</v>
      </c>
      <c r="O105" s="46">
        <v>1</v>
      </c>
      <c r="P105" s="2"/>
      <c r="Q105" s="46" t="s">
        <v>62</v>
      </c>
      <c r="R105" s="46">
        <v>2</v>
      </c>
    </row>
    <row r="106" spans="1:18" x14ac:dyDescent="0.25">
      <c r="A106" s="2"/>
      <c r="B106" s="51" t="s">
        <v>63</v>
      </c>
      <c r="C106" s="51">
        <v>3</v>
      </c>
      <c r="D106" s="2"/>
      <c r="E106" s="51" t="s">
        <v>63</v>
      </c>
      <c r="F106" s="51">
        <v>2</v>
      </c>
      <c r="G106" s="2"/>
      <c r="H106" s="45" t="s">
        <v>63</v>
      </c>
      <c r="I106" s="45">
        <v>3</v>
      </c>
      <c r="J106" s="2"/>
      <c r="K106" s="45" t="s">
        <v>63</v>
      </c>
      <c r="L106" s="45">
        <v>2</v>
      </c>
      <c r="M106" s="2"/>
      <c r="N106" s="46" t="s">
        <v>63</v>
      </c>
      <c r="O106" s="46">
        <v>4</v>
      </c>
      <c r="P106" s="2"/>
      <c r="Q106" s="46" t="s">
        <v>63</v>
      </c>
      <c r="R106" s="46">
        <v>1</v>
      </c>
    </row>
    <row r="107" spans="1:18" x14ac:dyDescent="0.25">
      <c r="A107" s="2"/>
      <c r="B107" s="51" t="s">
        <v>65</v>
      </c>
      <c r="C107" s="51">
        <v>2</v>
      </c>
      <c r="D107" s="2"/>
      <c r="E107" s="51" t="s">
        <v>65</v>
      </c>
      <c r="F107" s="51">
        <v>3</v>
      </c>
      <c r="G107" s="2"/>
      <c r="H107" s="45" t="s">
        <v>65</v>
      </c>
      <c r="I107" s="45">
        <v>2</v>
      </c>
      <c r="J107" s="2"/>
      <c r="K107" s="45" t="s">
        <v>65</v>
      </c>
      <c r="L107" s="45">
        <v>3</v>
      </c>
      <c r="M107" s="2"/>
      <c r="N107" s="46" t="s">
        <v>65</v>
      </c>
      <c r="O107" s="46">
        <v>5</v>
      </c>
      <c r="P107" s="2"/>
      <c r="Q107" s="46" t="s">
        <v>65</v>
      </c>
      <c r="R107" s="46">
        <v>6</v>
      </c>
    </row>
    <row r="108" spans="1:18" x14ac:dyDescent="0.25">
      <c r="A108" s="2"/>
      <c r="B108" s="51" t="s">
        <v>67</v>
      </c>
      <c r="C108" s="51">
        <v>4</v>
      </c>
      <c r="D108" s="2"/>
      <c r="E108" s="51" t="s">
        <v>67</v>
      </c>
      <c r="F108" s="51">
        <v>1</v>
      </c>
      <c r="G108" s="2"/>
      <c r="H108" s="45" t="s">
        <v>67</v>
      </c>
      <c r="I108" s="45">
        <v>4</v>
      </c>
      <c r="J108" s="2"/>
      <c r="K108" s="45" t="s">
        <v>67</v>
      </c>
      <c r="L108" s="45">
        <v>1</v>
      </c>
      <c r="M108" s="2"/>
      <c r="N108" s="46" t="s">
        <v>67</v>
      </c>
      <c r="O108" s="46">
        <v>8</v>
      </c>
      <c r="P108" s="2"/>
      <c r="Q108" s="46" t="s">
        <v>67</v>
      </c>
      <c r="R108" s="46">
        <v>5</v>
      </c>
    </row>
    <row r="109" spans="1:18" x14ac:dyDescent="0.25">
      <c r="A109" s="2"/>
      <c r="B109" s="51" t="s">
        <v>69</v>
      </c>
      <c r="C109" s="51">
        <v>5</v>
      </c>
      <c r="D109" s="2"/>
      <c r="E109" s="51" t="s">
        <v>69</v>
      </c>
      <c r="F109" s="51">
        <v>8</v>
      </c>
      <c r="G109" s="2"/>
      <c r="H109" s="45" t="s">
        <v>62</v>
      </c>
      <c r="I109" s="45">
        <v>1</v>
      </c>
      <c r="J109" s="2"/>
      <c r="K109" s="45" t="s">
        <v>69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70</v>
      </c>
      <c r="C110" s="51">
        <v>7</v>
      </c>
      <c r="D110" s="2"/>
      <c r="E110" s="51" t="s">
        <v>70</v>
      </c>
      <c r="F110" s="51">
        <v>6</v>
      </c>
      <c r="G110" s="2"/>
      <c r="H110" s="45" t="s">
        <v>63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71</v>
      </c>
      <c r="C111" s="51">
        <v>6</v>
      </c>
      <c r="D111" s="2"/>
      <c r="E111" s="51" t="s">
        <v>71</v>
      </c>
      <c r="F111" s="51">
        <v>7</v>
      </c>
      <c r="G111" s="2"/>
      <c r="H111" s="2"/>
      <c r="I111" s="2"/>
      <c r="J111" s="2"/>
      <c r="K111" s="45" t="s">
        <v>62</v>
      </c>
      <c r="L111" s="45">
        <v>4</v>
      </c>
      <c r="M111" s="2"/>
      <c r="N111" s="46" t="s">
        <v>62</v>
      </c>
      <c r="O111" s="46">
        <v>4</v>
      </c>
      <c r="P111" s="2"/>
      <c r="Q111" s="46" t="s">
        <v>62</v>
      </c>
      <c r="R111" s="46">
        <v>3</v>
      </c>
    </row>
    <row r="112" spans="1:18" x14ac:dyDescent="0.25">
      <c r="A112" s="2"/>
      <c r="B112" s="51" t="s">
        <v>72</v>
      </c>
      <c r="C112" s="51">
        <v>8</v>
      </c>
      <c r="D112" s="2"/>
      <c r="E112" s="51" t="s">
        <v>72</v>
      </c>
      <c r="F112" s="51">
        <v>5</v>
      </c>
      <c r="G112" s="2"/>
      <c r="H112" s="2"/>
      <c r="I112" s="2"/>
      <c r="J112" s="2"/>
      <c r="K112" s="45" t="s">
        <v>63</v>
      </c>
      <c r="L112" s="45">
        <v>2</v>
      </c>
      <c r="M112" s="2"/>
      <c r="N112" s="46" t="s">
        <v>63</v>
      </c>
      <c r="O112" s="46">
        <v>3</v>
      </c>
      <c r="P112" s="2"/>
      <c r="Q112" s="46" t="s">
        <v>63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65</v>
      </c>
      <c r="L113" s="45">
        <v>3</v>
      </c>
      <c r="M113" s="2"/>
      <c r="N113" s="46" t="s">
        <v>65</v>
      </c>
      <c r="O113" s="46">
        <v>8</v>
      </c>
      <c r="P113" s="2"/>
      <c r="Q113" s="46" t="s">
        <v>65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67</v>
      </c>
      <c r="L114" s="45">
        <v>1</v>
      </c>
      <c r="M114" s="2"/>
      <c r="N114" s="46" t="s">
        <v>67</v>
      </c>
      <c r="O114" s="46">
        <v>7</v>
      </c>
      <c r="P114" s="2"/>
      <c r="Q114" s="46" t="s">
        <v>67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69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98" t="s">
        <v>96</v>
      </c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99"/>
      <c r="P117" s="100"/>
    </row>
    <row r="119" spans="1:18" x14ac:dyDescent="0.25">
      <c r="B119" s="45" t="s">
        <v>62</v>
      </c>
      <c r="C119" s="45">
        <v>1</v>
      </c>
      <c r="D119" s="2"/>
      <c r="E119" s="45" t="s">
        <v>62</v>
      </c>
      <c r="F119" s="45">
        <v>2</v>
      </c>
      <c r="H119" s="45" t="s">
        <v>62</v>
      </c>
      <c r="I119" s="45">
        <v>3</v>
      </c>
      <c r="K119" s="46" t="s">
        <v>62</v>
      </c>
      <c r="L119" s="46">
        <v>1</v>
      </c>
      <c r="M119" s="2"/>
      <c r="N119" s="46" t="s">
        <v>62</v>
      </c>
      <c r="O119" s="46">
        <v>2</v>
      </c>
    </row>
    <row r="120" spans="1:18" x14ac:dyDescent="0.25">
      <c r="B120" s="45" t="s">
        <v>63</v>
      </c>
      <c r="C120" s="45">
        <v>3</v>
      </c>
      <c r="D120" s="2"/>
      <c r="E120" s="45" t="s">
        <v>63</v>
      </c>
      <c r="F120" s="45">
        <v>4</v>
      </c>
      <c r="H120" s="45" t="s">
        <v>63</v>
      </c>
      <c r="I120" s="45">
        <v>4</v>
      </c>
      <c r="K120" s="46" t="s">
        <v>63</v>
      </c>
      <c r="L120" s="46">
        <v>4</v>
      </c>
      <c r="M120" s="2"/>
      <c r="N120" s="46" t="s">
        <v>63</v>
      </c>
      <c r="O120" s="46">
        <v>1</v>
      </c>
    </row>
    <row r="121" spans="1:18" x14ac:dyDescent="0.25">
      <c r="B121" s="45" t="s">
        <v>97</v>
      </c>
      <c r="C121" s="45">
        <v>2</v>
      </c>
      <c r="D121" s="2"/>
      <c r="E121" s="45" t="s">
        <v>88</v>
      </c>
      <c r="F121" s="45">
        <v>1</v>
      </c>
      <c r="H121" s="45" t="s">
        <v>65</v>
      </c>
      <c r="I121" s="45">
        <v>5</v>
      </c>
      <c r="K121" s="46" t="s">
        <v>65</v>
      </c>
      <c r="L121" s="46">
        <v>5</v>
      </c>
      <c r="M121" s="2"/>
      <c r="N121" s="46" t="s">
        <v>65</v>
      </c>
      <c r="O121" s="46">
        <v>6</v>
      </c>
    </row>
    <row r="122" spans="1:18" x14ac:dyDescent="0.25">
      <c r="B122" s="45" t="s">
        <v>67</v>
      </c>
      <c r="C122" s="45">
        <v>6</v>
      </c>
      <c r="D122" s="2"/>
      <c r="E122" s="45" t="s">
        <v>67</v>
      </c>
      <c r="F122" s="45">
        <v>7</v>
      </c>
      <c r="H122" s="45" t="s">
        <v>67</v>
      </c>
      <c r="I122" s="45">
        <v>8</v>
      </c>
      <c r="K122" s="46" t="s">
        <v>67</v>
      </c>
      <c r="L122" s="46">
        <v>8</v>
      </c>
      <c r="M122" s="2"/>
      <c r="N122" s="46" t="s">
        <v>67</v>
      </c>
      <c r="O122" s="46">
        <v>5</v>
      </c>
    </row>
    <row r="123" spans="1:18" x14ac:dyDescent="0.25">
      <c r="B123" s="45" t="s">
        <v>69</v>
      </c>
      <c r="C123" s="45">
        <v>8</v>
      </c>
      <c r="D123" s="2"/>
      <c r="E123" s="45" t="s">
        <v>69</v>
      </c>
      <c r="F123" s="45">
        <v>6</v>
      </c>
      <c r="H123" s="45" t="s">
        <v>69</v>
      </c>
      <c r="I123" s="45">
        <v>7</v>
      </c>
      <c r="K123" s="46" t="s">
        <v>98</v>
      </c>
      <c r="L123" s="46">
        <v>9</v>
      </c>
      <c r="M123" s="2"/>
      <c r="N123" s="2"/>
      <c r="O123" s="2"/>
    </row>
    <row r="124" spans="1:18" x14ac:dyDescent="0.25">
      <c r="B124" s="45" t="s">
        <v>70</v>
      </c>
      <c r="C124" s="45">
        <v>5</v>
      </c>
      <c r="D124" s="2"/>
      <c r="E124" s="45" t="s">
        <v>99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62</v>
      </c>
      <c r="L126" s="46">
        <v>4</v>
      </c>
      <c r="N126" s="46" t="s">
        <v>62</v>
      </c>
      <c r="O126" s="46">
        <v>3</v>
      </c>
    </row>
    <row r="127" spans="1:18" x14ac:dyDescent="0.25">
      <c r="K127" s="46" t="s">
        <v>63</v>
      </c>
      <c r="L127" s="46">
        <v>3</v>
      </c>
      <c r="N127" s="46" t="s">
        <v>63</v>
      </c>
      <c r="O127" s="46">
        <v>2</v>
      </c>
    </row>
    <row r="128" spans="1:18" x14ac:dyDescent="0.25">
      <c r="K128" s="46" t="s">
        <v>65</v>
      </c>
      <c r="L128" s="46">
        <v>8</v>
      </c>
      <c r="N128" s="46" t="s">
        <v>65</v>
      </c>
      <c r="O128" s="46">
        <v>7</v>
      </c>
    </row>
    <row r="129" spans="2:16" x14ac:dyDescent="0.25">
      <c r="K129" s="46" t="s">
        <v>67</v>
      </c>
      <c r="L129" s="46">
        <v>7</v>
      </c>
      <c r="N129" s="46" t="s">
        <v>67</v>
      </c>
      <c r="O129" s="46">
        <v>6</v>
      </c>
    </row>
    <row r="132" spans="2:16" ht="26.25" x14ac:dyDescent="0.25">
      <c r="B132" s="98" t="s">
        <v>100</v>
      </c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99"/>
      <c r="P132" s="100"/>
    </row>
    <row r="134" spans="2:16" x14ac:dyDescent="0.25">
      <c r="B134" s="45" t="s">
        <v>62</v>
      </c>
      <c r="C134" s="45">
        <v>1</v>
      </c>
      <c r="D134" s="2"/>
      <c r="E134" s="45" t="s">
        <v>62</v>
      </c>
      <c r="F134" s="45">
        <v>2</v>
      </c>
      <c r="H134" s="45" t="s">
        <v>62</v>
      </c>
      <c r="I134" s="45">
        <v>3</v>
      </c>
      <c r="K134" s="46" t="s">
        <v>62</v>
      </c>
      <c r="L134" s="46">
        <v>1</v>
      </c>
      <c r="M134" s="2"/>
      <c r="N134" s="46" t="s">
        <v>62</v>
      </c>
      <c r="O134" s="46">
        <v>2</v>
      </c>
    </row>
    <row r="135" spans="2:16" x14ac:dyDescent="0.25">
      <c r="B135" s="45" t="s">
        <v>63</v>
      </c>
      <c r="C135" s="45">
        <v>3</v>
      </c>
      <c r="D135" s="2"/>
      <c r="E135" s="45" t="s">
        <v>63</v>
      </c>
      <c r="F135" s="45">
        <v>4</v>
      </c>
      <c r="H135" s="45" t="s">
        <v>63</v>
      </c>
      <c r="I135" s="45">
        <v>4</v>
      </c>
      <c r="K135" s="46" t="s">
        <v>63</v>
      </c>
      <c r="L135" s="46">
        <v>4</v>
      </c>
      <c r="M135" s="2"/>
      <c r="N135" s="46" t="s">
        <v>63</v>
      </c>
      <c r="O135" s="46">
        <v>1</v>
      </c>
    </row>
    <row r="136" spans="2:16" x14ac:dyDescent="0.25">
      <c r="B136" s="45" t="s">
        <v>87</v>
      </c>
      <c r="C136" s="45">
        <v>2</v>
      </c>
      <c r="D136" s="2"/>
      <c r="E136" s="45" t="s">
        <v>88</v>
      </c>
      <c r="F136" s="45">
        <v>1</v>
      </c>
      <c r="H136" s="45" t="s">
        <v>65</v>
      </c>
      <c r="I136" s="45">
        <v>5</v>
      </c>
      <c r="K136" s="46" t="s">
        <v>65</v>
      </c>
      <c r="L136" s="46">
        <v>5</v>
      </c>
      <c r="M136" s="2"/>
      <c r="N136" s="46" t="s">
        <v>65</v>
      </c>
      <c r="O136" s="46">
        <v>6</v>
      </c>
    </row>
    <row r="137" spans="2:16" x14ac:dyDescent="0.25">
      <c r="B137" s="45" t="s">
        <v>67</v>
      </c>
      <c r="C137" s="45">
        <v>6</v>
      </c>
      <c r="D137" s="2"/>
      <c r="E137" s="45" t="s">
        <v>67</v>
      </c>
      <c r="F137" s="45">
        <v>7</v>
      </c>
      <c r="H137" s="45" t="s">
        <v>67</v>
      </c>
      <c r="I137" s="45">
        <v>8</v>
      </c>
      <c r="K137" s="46" t="s">
        <v>67</v>
      </c>
      <c r="L137" s="46">
        <v>8</v>
      </c>
      <c r="M137" s="2"/>
      <c r="N137" s="46" t="s">
        <v>67</v>
      </c>
      <c r="O137" s="46">
        <v>5</v>
      </c>
    </row>
    <row r="138" spans="2:16" x14ac:dyDescent="0.25">
      <c r="B138" s="45" t="s">
        <v>69</v>
      </c>
      <c r="C138" s="45">
        <v>8</v>
      </c>
      <c r="D138" s="2"/>
      <c r="E138" s="45" t="s">
        <v>69</v>
      </c>
      <c r="F138" s="45">
        <v>6</v>
      </c>
      <c r="H138" s="45" t="s">
        <v>69</v>
      </c>
      <c r="I138" s="45">
        <v>7</v>
      </c>
      <c r="K138" s="46" t="s">
        <v>69</v>
      </c>
      <c r="L138" s="46">
        <v>9</v>
      </c>
      <c r="M138" s="2"/>
      <c r="N138" s="46" t="s">
        <v>69</v>
      </c>
      <c r="O138" s="46">
        <v>9</v>
      </c>
    </row>
    <row r="139" spans="2:16" x14ac:dyDescent="0.25">
      <c r="B139" s="45" t="s">
        <v>101</v>
      </c>
      <c r="C139" s="45">
        <v>5</v>
      </c>
      <c r="D139" s="2"/>
      <c r="E139" s="45" t="s">
        <v>70</v>
      </c>
      <c r="F139" s="45">
        <v>9</v>
      </c>
      <c r="H139" s="45" t="s">
        <v>70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62</v>
      </c>
      <c r="L141" s="46">
        <v>4</v>
      </c>
      <c r="N141" s="46" t="s">
        <v>62</v>
      </c>
      <c r="O141" s="46">
        <v>3</v>
      </c>
    </row>
    <row r="142" spans="2:16" x14ac:dyDescent="0.25">
      <c r="K142" s="46" t="s">
        <v>63</v>
      </c>
      <c r="L142" s="46">
        <v>3</v>
      </c>
      <c r="N142" s="46" t="s">
        <v>63</v>
      </c>
      <c r="O142" s="46">
        <v>2</v>
      </c>
    </row>
    <row r="143" spans="2:16" x14ac:dyDescent="0.25">
      <c r="K143" s="46" t="s">
        <v>65</v>
      </c>
      <c r="L143" s="46">
        <v>8</v>
      </c>
      <c r="N143" s="46" t="s">
        <v>65</v>
      </c>
      <c r="O143" s="46">
        <v>7</v>
      </c>
    </row>
    <row r="144" spans="2:16" x14ac:dyDescent="0.25">
      <c r="K144" s="46" t="s">
        <v>67</v>
      </c>
      <c r="L144" s="46">
        <v>7</v>
      </c>
      <c r="N144" s="46" t="s">
        <v>67</v>
      </c>
      <c r="O144" s="46">
        <v>6</v>
      </c>
    </row>
    <row r="146" spans="2:15" ht="26.25" x14ac:dyDescent="0.25">
      <c r="B146" s="101" t="s">
        <v>102</v>
      </c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</row>
    <row r="148" spans="2:15" x14ac:dyDescent="0.25">
      <c r="B148" s="45" t="s">
        <v>62</v>
      </c>
      <c r="C148" s="45">
        <v>1</v>
      </c>
      <c r="D148" s="2"/>
      <c r="E148" s="45" t="s">
        <v>62</v>
      </c>
      <c r="F148" s="45">
        <v>2</v>
      </c>
      <c r="H148" s="45" t="s">
        <v>62</v>
      </c>
      <c r="I148" s="45">
        <v>3</v>
      </c>
      <c r="K148" s="46" t="s">
        <v>62</v>
      </c>
      <c r="L148" s="46">
        <v>1</v>
      </c>
      <c r="N148" s="46" t="s">
        <v>62</v>
      </c>
      <c r="O148" s="46">
        <v>2</v>
      </c>
    </row>
    <row r="149" spans="2:15" x14ac:dyDescent="0.25">
      <c r="B149" s="45" t="s">
        <v>63</v>
      </c>
      <c r="C149" s="45">
        <v>3</v>
      </c>
      <c r="D149" s="2"/>
      <c r="E149" s="45" t="s">
        <v>63</v>
      </c>
      <c r="F149" s="45">
        <v>4</v>
      </c>
      <c r="H149" s="45" t="s">
        <v>63</v>
      </c>
      <c r="I149" s="45">
        <v>4</v>
      </c>
      <c r="K149" s="46" t="s">
        <v>63</v>
      </c>
      <c r="L149" s="46">
        <v>4</v>
      </c>
      <c r="N149" s="46" t="s">
        <v>63</v>
      </c>
      <c r="O149" s="46">
        <v>1</v>
      </c>
    </row>
    <row r="150" spans="2:15" x14ac:dyDescent="0.25">
      <c r="B150" s="45" t="s">
        <v>87</v>
      </c>
      <c r="C150" s="45">
        <v>2</v>
      </c>
      <c r="D150" s="2"/>
      <c r="E150" s="45" t="s">
        <v>88</v>
      </c>
      <c r="F150" s="45">
        <v>1</v>
      </c>
      <c r="H150" s="45" t="s">
        <v>65</v>
      </c>
      <c r="I150" s="45">
        <v>5</v>
      </c>
      <c r="K150" s="46" t="s">
        <v>65</v>
      </c>
      <c r="L150" s="46">
        <v>5</v>
      </c>
      <c r="N150" s="46" t="s">
        <v>65</v>
      </c>
      <c r="O150" s="46">
        <v>6</v>
      </c>
    </row>
    <row r="151" spans="2:15" x14ac:dyDescent="0.25">
      <c r="B151" s="45" t="s">
        <v>67</v>
      </c>
      <c r="C151" s="45">
        <v>6</v>
      </c>
      <c r="D151" s="2"/>
      <c r="E151" s="45" t="s">
        <v>67</v>
      </c>
      <c r="F151" s="45">
        <v>7</v>
      </c>
      <c r="H151" s="45" t="s">
        <v>67</v>
      </c>
      <c r="I151" s="45">
        <v>8</v>
      </c>
      <c r="K151" s="46" t="s">
        <v>67</v>
      </c>
      <c r="L151" s="46">
        <v>8</v>
      </c>
      <c r="N151" s="46" t="s">
        <v>67</v>
      </c>
      <c r="O151" s="46">
        <v>5</v>
      </c>
    </row>
    <row r="152" spans="2:15" x14ac:dyDescent="0.25">
      <c r="B152" s="45" t="s">
        <v>69</v>
      </c>
      <c r="C152" s="45">
        <v>8</v>
      </c>
      <c r="D152" s="2"/>
      <c r="E152" s="45" t="s">
        <v>69</v>
      </c>
      <c r="F152" s="45">
        <v>6</v>
      </c>
      <c r="H152" s="45" t="s">
        <v>69</v>
      </c>
      <c r="I152" s="45">
        <v>7</v>
      </c>
      <c r="K152" s="46" t="s">
        <v>69</v>
      </c>
      <c r="L152" s="46">
        <v>9</v>
      </c>
      <c r="N152" s="46" t="s">
        <v>99</v>
      </c>
      <c r="O152" s="46">
        <v>10</v>
      </c>
    </row>
    <row r="153" spans="2:15" x14ac:dyDescent="0.25">
      <c r="B153" s="45" t="s">
        <v>101</v>
      </c>
      <c r="C153" s="45">
        <v>5</v>
      </c>
      <c r="D153" s="2"/>
      <c r="E153" s="45" t="s">
        <v>70</v>
      </c>
      <c r="F153" s="45">
        <v>9</v>
      </c>
      <c r="H153" s="45" t="s">
        <v>99</v>
      </c>
      <c r="I153" s="45">
        <v>10</v>
      </c>
    </row>
    <row r="154" spans="2:15" x14ac:dyDescent="0.25">
      <c r="B154" s="45" t="s">
        <v>71</v>
      </c>
      <c r="C154" s="45">
        <v>9</v>
      </c>
      <c r="E154" s="2"/>
      <c r="F154" s="2"/>
    </row>
    <row r="155" spans="2:15" x14ac:dyDescent="0.25">
      <c r="K155" s="46" t="s">
        <v>62</v>
      </c>
      <c r="L155" s="46">
        <v>4</v>
      </c>
      <c r="N155" s="46" t="s">
        <v>62</v>
      </c>
      <c r="O155" s="46">
        <v>3</v>
      </c>
    </row>
    <row r="156" spans="2:15" x14ac:dyDescent="0.25">
      <c r="K156" s="46" t="s">
        <v>63</v>
      </c>
      <c r="L156" s="46">
        <v>3</v>
      </c>
      <c r="N156" s="46" t="s">
        <v>63</v>
      </c>
      <c r="O156" s="46">
        <v>2</v>
      </c>
    </row>
    <row r="157" spans="2:15" x14ac:dyDescent="0.25">
      <c r="K157" s="46" t="s">
        <v>65</v>
      </c>
      <c r="L157" s="46">
        <v>8</v>
      </c>
      <c r="N157" s="46" t="s">
        <v>65</v>
      </c>
      <c r="O157" s="46">
        <v>7</v>
      </c>
    </row>
    <row r="158" spans="2:15" x14ac:dyDescent="0.25">
      <c r="K158" s="46" t="s">
        <v>67</v>
      </c>
      <c r="L158" s="46">
        <v>7</v>
      </c>
      <c r="N158" s="46" t="s">
        <v>67</v>
      </c>
      <c r="O158" s="46">
        <v>6</v>
      </c>
    </row>
    <row r="159" spans="2:15" x14ac:dyDescent="0.25">
      <c r="K159" s="46" t="s">
        <v>69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01" t="s">
        <v>103</v>
      </c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62</v>
      </c>
      <c r="C164" s="45">
        <v>1</v>
      </c>
      <c r="D164" s="2"/>
      <c r="E164" s="45" t="s">
        <v>62</v>
      </c>
      <c r="F164" s="45">
        <v>2</v>
      </c>
      <c r="H164" s="45" t="s">
        <v>62</v>
      </c>
      <c r="I164" s="45">
        <v>3</v>
      </c>
      <c r="K164" s="46" t="s">
        <v>62</v>
      </c>
      <c r="L164" s="46">
        <v>1</v>
      </c>
      <c r="N164" s="46" t="s">
        <v>62</v>
      </c>
      <c r="O164" s="46">
        <v>2</v>
      </c>
      <c r="Q164" s="58" t="s">
        <v>62</v>
      </c>
      <c r="R164" s="58">
        <v>1</v>
      </c>
      <c r="T164" s="58" t="s">
        <v>62</v>
      </c>
      <c r="U164" s="58">
        <v>2</v>
      </c>
      <c r="W164" s="58" t="s">
        <v>62</v>
      </c>
      <c r="X164" s="58">
        <v>3</v>
      </c>
    </row>
    <row r="165" spans="2:24" x14ac:dyDescent="0.25">
      <c r="B165" s="45" t="s">
        <v>63</v>
      </c>
      <c r="C165" s="45">
        <v>3</v>
      </c>
      <c r="D165" s="2"/>
      <c r="E165" s="45" t="s">
        <v>63</v>
      </c>
      <c r="F165" s="45">
        <v>4</v>
      </c>
      <c r="H165" s="45" t="s">
        <v>63</v>
      </c>
      <c r="I165" s="45">
        <v>4</v>
      </c>
      <c r="K165" s="46" t="s">
        <v>63</v>
      </c>
      <c r="L165" s="46">
        <v>4</v>
      </c>
      <c r="N165" s="46" t="s">
        <v>63</v>
      </c>
      <c r="O165" s="46">
        <v>1</v>
      </c>
      <c r="Q165" s="58" t="s">
        <v>104</v>
      </c>
      <c r="R165" s="58">
        <v>2</v>
      </c>
      <c r="T165" s="58" t="s">
        <v>104</v>
      </c>
      <c r="U165" s="58">
        <v>3</v>
      </c>
      <c r="W165" s="58" t="s">
        <v>63</v>
      </c>
      <c r="X165" s="58">
        <v>5</v>
      </c>
    </row>
    <row r="166" spans="2:24" x14ac:dyDescent="0.25">
      <c r="B166" s="45" t="s">
        <v>87</v>
      </c>
      <c r="C166" s="45">
        <v>2</v>
      </c>
      <c r="D166" s="2"/>
      <c r="E166" s="45" t="s">
        <v>88</v>
      </c>
      <c r="F166" s="45">
        <v>1</v>
      </c>
      <c r="H166" s="45" t="s">
        <v>65</v>
      </c>
      <c r="I166" s="45">
        <v>5</v>
      </c>
      <c r="K166" s="46" t="s">
        <v>65</v>
      </c>
      <c r="L166" s="46">
        <v>5</v>
      </c>
      <c r="N166" s="46" t="s">
        <v>65</v>
      </c>
      <c r="O166" s="46">
        <v>6</v>
      </c>
      <c r="Q166" s="58" t="s">
        <v>65</v>
      </c>
      <c r="R166" s="58">
        <v>7</v>
      </c>
      <c r="T166" s="58" t="s">
        <v>65</v>
      </c>
      <c r="U166" s="58">
        <v>8</v>
      </c>
      <c r="W166" s="58" t="s">
        <v>65</v>
      </c>
      <c r="X166" s="58">
        <v>6</v>
      </c>
    </row>
    <row r="167" spans="2:24" x14ac:dyDescent="0.25">
      <c r="B167" s="45" t="s">
        <v>67</v>
      </c>
      <c r="C167" s="45">
        <v>6</v>
      </c>
      <c r="D167" s="2"/>
      <c r="E167" s="45" t="s">
        <v>67</v>
      </c>
      <c r="F167" s="45">
        <v>7</v>
      </c>
      <c r="H167" s="45" t="s">
        <v>67</v>
      </c>
      <c r="I167" s="45">
        <v>8</v>
      </c>
      <c r="K167" s="46" t="s">
        <v>67</v>
      </c>
      <c r="L167" s="46">
        <v>8</v>
      </c>
      <c r="N167" s="46" t="s">
        <v>67</v>
      </c>
      <c r="O167" s="46">
        <v>5</v>
      </c>
      <c r="Q167" s="58" t="s">
        <v>105</v>
      </c>
      <c r="R167" s="58">
        <v>8</v>
      </c>
      <c r="T167" s="58" t="s">
        <v>67</v>
      </c>
      <c r="U167" s="58">
        <v>9</v>
      </c>
      <c r="W167" s="58" t="s">
        <v>67</v>
      </c>
      <c r="X167" s="58">
        <v>9</v>
      </c>
    </row>
    <row r="168" spans="2:24" x14ac:dyDescent="0.25">
      <c r="B168" s="45" t="s">
        <v>69</v>
      </c>
      <c r="C168" s="45">
        <v>8</v>
      </c>
      <c r="D168" s="2"/>
      <c r="E168" s="45" t="s">
        <v>69</v>
      </c>
      <c r="F168" s="45">
        <v>6</v>
      </c>
      <c r="H168" s="45" t="s">
        <v>69</v>
      </c>
      <c r="I168" s="45">
        <v>7</v>
      </c>
      <c r="K168" s="46" t="s">
        <v>69</v>
      </c>
      <c r="L168" s="46">
        <v>9</v>
      </c>
      <c r="N168" s="46" t="s">
        <v>69</v>
      </c>
      <c r="O168" s="46">
        <v>10</v>
      </c>
    </row>
    <row r="169" spans="2:24" x14ac:dyDescent="0.25">
      <c r="B169" s="45" t="s">
        <v>101</v>
      </c>
      <c r="C169" s="45">
        <v>5</v>
      </c>
      <c r="D169" s="2"/>
      <c r="E169" s="45" t="s">
        <v>70</v>
      </c>
      <c r="F169" s="45">
        <v>9</v>
      </c>
      <c r="H169" s="45" t="s">
        <v>70</v>
      </c>
      <c r="I169" s="45">
        <v>10</v>
      </c>
    </row>
    <row r="170" spans="2:24" x14ac:dyDescent="0.25">
      <c r="B170" s="45" t="s">
        <v>71</v>
      </c>
      <c r="C170" s="45">
        <v>9</v>
      </c>
      <c r="E170" s="45" t="s">
        <v>71</v>
      </c>
      <c r="F170" s="45">
        <v>10</v>
      </c>
    </row>
    <row r="171" spans="2:24" x14ac:dyDescent="0.25">
      <c r="K171" s="46" t="s">
        <v>62</v>
      </c>
      <c r="L171" s="46">
        <v>4</v>
      </c>
      <c r="N171" s="46" t="s">
        <v>62</v>
      </c>
      <c r="O171" s="46">
        <v>3</v>
      </c>
      <c r="Q171" s="58" t="s">
        <v>62</v>
      </c>
      <c r="R171" s="58">
        <v>4</v>
      </c>
      <c r="T171" s="58" t="s">
        <v>62</v>
      </c>
      <c r="U171" s="58">
        <v>1</v>
      </c>
    </row>
    <row r="172" spans="2:24" x14ac:dyDescent="0.25">
      <c r="K172" s="46" t="s">
        <v>63</v>
      </c>
      <c r="L172" s="46">
        <v>3</v>
      </c>
      <c r="N172" s="46" t="s">
        <v>63</v>
      </c>
      <c r="O172" s="46">
        <v>2</v>
      </c>
      <c r="Q172" s="58" t="s">
        <v>63</v>
      </c>
      <c r="R172" s="58">
        <v>6</v>
      </c>
      <c r="T172" s="58" t="s">
        <v>104</v>
      </c>
      <c r="U172" s="58">
        <v>4</v>
      </c>
    </row>
    <row r="173" spans="2:24" x14ac:dyDescent="0.25">
      <c r="K173" s="46" t="s">
        <v>65</v>
      </c>
      <c r="L173" s="46">
        <v>8</v>
      </c>
      <c r="N173" s="46" t="s">
        <v>65</v>
      </c>
      <c r="O173" s="46">
        <v>7</v>
      </c>
      <c r="Q173" s="58" t="s">
        <v>65</v>
      </c>
      <c r="R173" s="58">
        <v>5</v>
      </c>
      <c r="T173" s="58" t="s">
        <v>65</v>
      </c>
      <c r="U173" s="58">
        <v>7</v>
      </c>
    </row>
    <row r="174" spans="2:24" x14ac:dyDescent="0.25">
      <c r="K174" s="46" t="s">
        <v>67</v>
      </c>
      <c r="L174" s="46">
        <v>7</v>
      </c>
      <c r="N174" s="59" t="s">
        <v>67</v>
      </c>
      <c r="O174" s="59">
        <v>6</v>
      </c>
      <c r="Q174" s="58" t="s">
        <v>67</v>
      </c>
      <c r="R174" s="58">
        <v>10</v>
      </c>
      <c r="T174" s="58" t="s">
        <v>67</v>
      </c>
      <c r="U174" s="58">
        <v>10</v>
      </c>
    </row>
    <row r="175" spans="2:24" x14ac:dyDescent="0.25">
      <c r="K175" s="46" t="s">
        <v>69</v>
      </c>
      <c r="L175" s="46">
        <v>10</v>
      </c>
      <c r="N175" s="46" t="s">
        <v>69</v>
      </c>
      <c r="O175" s="46">
        <v>9</v>
      </c>
    </row>
    <row r="177" spans="2:15" ht="26.25" x14ac:dyDescent="0.25">
      <c r="B177" s="101" t="s">
        <v>106</v>
      </c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</row>
    <row r="179" spans="2:15" x14ac:dyDescent="0.25">
      <c r="B179" s="45" t="s">
        <v>62</v>
      </c>
      <c r="C179" s="45">
        <v>1</v>
      </c>
      <c r="D179" s="2"/>
      <c r="E179" s="45" t="s">
        <v>62</v>
      </c>
      <c r="F179" s="45">
        <v>2</v>
      </c>
      <c r="H179" s="45" t="s">
        <v>62</v>
      </c>
      <c r="I179" s="45">
        <v>3</v>
      </c>
      <c r="K179" s="46" t="s">
        <v>62</v>
      </c>
      <c r="L179" s="46">
        <v>1</v>
      </c>
      <c r="M179" s="2"/>
      <c r="N179" s="46" t="s">
        <v>62</v>
      </c>
      <c r="O179" s="46">
        <v>2</v>
      </c>
    </row>
    <row r="180" spans="2:15" x14ac:dyDescent="0.25">
      <c r="B180" s="45" t="s">
        <v>63</v>
      </c>
      <c r="C180" s="45">
        <v>3</v>
      </c>
      <c r="D180" s="2"/>
      <c r="E180" s="45" t="s">
        <v>63</v>
      </c>
      <c r="F180" s="45">
        <v>4</v>
      </c>
      <c r="H180" s="45" t="s">
        <v>63</v>
      </c>
      <c r="I180" s="45">
        <v>4</v>
      </c>
      <c r="K180" s="46" t="s">
        <v>63</v>
      </c>
      <c r="L180" s="46">
        <v>4</v>
      </c>
      <c r="M180" s="2"/>
      <c r="N180" s="46" t="s">
        <v>63</v>
      </c>
      <c r="O180" s="46">
        <v>1</v>
      </c>
    </row>
    <row r="181" spans="2:15" x14ac:dyDescent="0.25">
      <c r="B181" s="45" t="s">
        <v>91</v>
      </c>
      <c r="C181" s="45">
        <v>2</v>
      </c>
      <c r="D181" s="2"/>
      <c r="E181" s="45" t="s">
        <v>91</v>
      </c>
      <c r="F181" s="45">
        <v>1</v>
      </c>
      <c r="H181" s="45" t="s">
        <v>65</v>
      </c>
      <c r="I181" s="45">
        <v>5</v>
      </c>
      <c r="K181" s="46" t="s">
        <v>65</v>
      </c>
      <c r="L181" s="46">
        <v>5</v>
      </c>
      <c r="M181" s="2"/>
      <c r="N181" s="46" t="s">
        <v>65</v>
      </c>
      <c r="O181" s="46">
        <v>6</v>
      </c>
    </row>
    <row r="182" spans="2:15" x14ac:dyDescent="0.25">
      <c r="B182" s="45" t="s">
        <v>67</v>
      </c>
      <c r="C182" s="45">
        <v>6</v>
      </c>
      <c r="D182" s="2"/>
      <c r="E182" s="45" t="s">
        <v>67</v>
      </c>
      <c r="F182" s="45">
        <v>7</v>
      </c>
      <c r="H182" s="45" t="s">
        <v>67</v>
      </c>
      <c r="I182" s="45">
        <v>8</v>
      </c>
      <c r="K182" s="46" t="s">
        <v>67</v>
      </c>
      <c r="L182" s="46">
        <v>8</v>
      </c>
      <c r="M182" s="2"/>
      <c r="N182" s="46" t="s">
        <v>67</v>
      </c>
      <c r="O182" s="46">
        <v>5</v>
      </c>
    </row>
    <row r="183" spans="2:15" x14ac:dyDescent="0.25">
      <c r="B183" s="45" t="s">
        <v>69</v>
      </c>
      <c r="C183" s="45">
        <v>8</v>
      </c>
      <c r="D183" s="2"/>
      <c r="E183" s="45" t="s">
        <v>69</v>
      </c>
      <c r="F183" s="45">
        <v>6</v>
      </c>
      <c r="H183" s="45" t="s">
        <v>69</v>
      </c>
      <c r="I183" s="45">
        <v>7</v>
      </c>
      <c r="K183" s="46" t="s">
        <v>69</v>
      </c>
      <c r="L183" s="46">
        <v>9</v>
      </c>
      <c r="M183" s="2"/>
      <c r="N183" s="46" t="s">
        <v>69</v>
      </c>
      <c r="O183" s="46">
        <v>9</v>
      </c>
    </row>
    <row r="184" spans="2:15" x14ac:dyDescent="0.25">
      <c r="B184" s="45" t="s">
        <v>107</v>
      </c>
      <c r="C184" s="45">
        <v>5</v>
      </c>
      <c r="D184" s="2"/>
      <c r="E184" s="45" t="s">
        <v>70</v>
      </c>
      <c r="F184" s="45">
        <v>9</v>
      </c>
      <c r="H184" s="45" t="s">
        <v>70</v>
      </c>
      <c r="I184" s="45">
        <v>10</v>
      </c>
      <c r="K184" s="46" t="s">
        <v>70</v>
      </c>
      <c r="L184" s="46">
        <v>10</v>
      </c>
    </row>
    <row r="185" spans="2:15" x14ac:dyDescent="0.25">
      <c r="B185" s="45" t="s">
        <v>71</v>
      </c>
      <c r="C185" s="45">
        <v>10</v>
      </c>
      <c r="D185" s="2"/>
      <c r="E185" s="45" t="s">
        <v>74</v>
      </c>
      <c r="F185" s="45">
        <v>11</v>
      </c>
      <c r="H185" s="45" t="s">
        <v>71</v>
      </c>
      <c r="I185" s="45">
        <v>9</v>
      </c>
    </row>
    <row r="187" spans="2:15" x14ac:dyDescent="0.25">
      <c r="K187" s="46" t="s">
        <v>62</v>
      </c>
      <c r="L187" s="46">
        <v>4</v>
      </c>
      <c r="N187" s="46" t="s">
        <v>62</v>
      </c>
      <c r="O187" s="46">
        <v>3</v>
      </c>
    </row>
    <row r="188" spans="2:15" x14ac:dyDescent="0.25">
      <c r="K188" s="46" t="s">
        <v>63</v>
      </c>
      <c r="L188" s="46">
        <v>3</v>
      </c>
      <c r="N188" s="46" t="s">
        <v>63</v>
      </c>
      <c r="O188" s="46">
        <v>2</v>
      </c>
    </row>
    <row r="189" spans="2:15" x14ac:dyDescent="0.25">
      <c r="K189" s="46" t="s">
        <v>65</v>
      </c>
      <c r="L189" s="46">
        <v>8</v>
      </c>
      <c r="N189" s="46" t="s">
        <v>65</v>
      </c>
      <c r="O189" s="46">
        <v>7</v>
      </c>
    </row>
    <row r="190" spans="2:15" x14ac:dyDescent="0.25">
      <c r="K190" s="46" t="s">
        <v>67</v>
      </c>
      <c r="L190" s="46">
        <v>7</v>
      </c>
      <c r="N190" s="46" t="s">
        <v>67</v>
      </c>
      <c r="O190" s="46">
        <v>6</v>
      </c>
    </row>
    <row r="191" spans="2:15" x14ac:dyDescent="0.25">
      <c r="K191" s="46" t="s">
        <v>69</v>
      </c>
      <c r="L191" s="46">
        <v>10</v>
      </c>
      <c r="N191" s="46" t="s">
        <v>74</v>
      </c>
      <c r="O191" s="46"/>
    </row>
    <row r="194" spans="2:15" ht="26.25" x14ac:dyDescent="0.25">
      <c r="B194" s="101" t="s">
        <v>108</v>
      </c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</row>
    <row r="196" spans="2:15" x14ac:dyDescent="0.25">
      <c r="B196" s="45" t="s">
        <v>62</v>
      </c>
      <c r="C196" s="45">
        <v>1</v>
      </c>
      <c r="D196" s="2"/>
      <c r="E196" s="45" t="s">
        <v>62</v>
      </c>
      <c r="F196" s="45">
        <v>2</v>
      </c>
      <c r="H196" s="45" t="s">
        <v>62</v>
      </c>
      <c r="I196" s="45">
        <v>3</v>
      </c>
      <c r="K196" s="46" t="s">
        <v>62</v>
      </c>
      <c r="L196" s="46">
        <v>1</v>
      </c>
      <c r="M196" s="2"/>
      <c r="N196" s="46" t="s">
        <v>62</v>
      </c>
      <c r="O196" s="46">
        <v>2</v>
      </c>
    </row>
    <row r="197" spans="2:15" x14ac:dyDescent="0.25">
      <c r="B197" s="45" t="s">
        <v>63</v>
      </c>
      <c r="C197" s="45">
        <v>3</v>
      </c>
      <c r="D197" s="2"/>
      <c r="E197" s="45" t="s">
        <v>63</v>
      </c>
      <c r="F197" s="45">
        <v>4</v>
      </c>
      <c r="H197" s="45" t="s">
        <v>63</v>
      </c>
      <c r="I197" s="45">
        <v>4</v>
      </c>
      <c r="K197" s="46" t="s">
        <v>63</v>
      </c>
      <c r="L197" s="46">
        <v>4</v>
      </c>
      <c r="M197" s="2"/>
      <c r="N197" s="46" t="s">
        <v>63</v>
      </c>
      <c r="O197" s="46">
        <v>1</v>
      </c>
    </row>
    <row r="198" spans="2:15" x14ac:dyDescent="0.25">
      <c r="B198" s="45" t="s">
        <v>87</v>
      </c>
      <c r="C198" s="45">
        <v>2</v>
      </c>
      <c r="D198" s="2"/>
      <c r="E198" s="45" t="s">
        <v>88</v>
      </c>
      <c r="F198" s="45">
        <v>1</v>
      </c>
      <c r="H198" s="45" t="s">
        <v>65</v>
      </c>
      <c r="I198" s="45">
        <v>5</v>
      </c>
      <c r="K198" s="46" t="s">
        <v>65</v>
      </c>
      <c r="L198" s="46">
        <v>5</v>
      </c>
      <c r="M198" s="2"/>
      <c r="N198" s="46" t="s">
        <v>65</v>
      </c>
      <c r="O198" s="46">
        <v>6</v>
      </c>
    </row>
    <row r="199" spans="2:15" x14ac:dyDescent="0.25">
      <c r="B199" s="45" t="s">
        <v>67</v>
      </c>
      <c r="C199" s="45">
        <v>6</v>
      </c>
      <c r="D199" s="2"/>
      <c r="E199" s="45" t="s">
        <v>67</v>
      </c>
      <c r="F199" s="45">
        <v>7</v>
      </c>
      <c r="H199" s="45" t="s">
        <v>67</v>
      </c>
      <c r="I199" s="45">
        <v>8</v>
      </c>
      <c r="K199" s="46" t="s">
        <v>67</v>
      </c>
      <c r="L199" s="46">
        <v>8</v>
      </c>
      <c r="M199" s="2"/>
      <c r="N199" s="46" t="s">
        <v>67</v>
      </c>
      <c r="O199" s="46">
        <v>5</v>
      </c>
    </row>
    <row r="200" spans="2:15" x14ac:dyDescent="0.25">
      <c r="B200" s="45" t="s">
        <v>69</v>
      </c>
      <c r="C200" s="45">
        <v>8</v>
      </c>
      <c r="D200" s="2"/>
      <c r="E200" s="45" t="s">
        <v>69</v>
      </c>
      <c r="F200" s="45">
        <v>6</v>
      </c>
      <c r="H200" s="45" t="s">
        <v>69</v>
      </c>
      <c r="I200" s="45">
        <v>7</v>
      </c>
      <c r="K200" s="46" t="s">
        <v>69</v>
      </c>
      <c r="L200" s="46">
        <v>9</v>
      </c>
      <c r="M200" s="2"/>
      <c r="N200" s="46" t="s">
        <v>69</v>
      </c>
      <c r="O200" s="46">
        <v>11</v>
      </c>
    </row>
    <row r="201" spans="2:15" x14ac:dyDescent="0.25">
      <c r="B201" s="45" t="s">
        <v>101</v>
      </c>
      <c r="C201" s="45">
        <v>5</v>
      </c>
      <c r="D201" s="2"/>
      <c r="E201" s="45" t="s">
        <v>70</v>
      </c>
      <c r="F201" s="45">
        <v>9</v>
      </c>
      <c r="H201" s="45" t="s">
        <v>70</v>
      </c>
      <c r="I201" s="45">
        <v>10</v>
      </c>
      <c r="K201" s="46" t="s">
        <v>70</v>
      </c>
      <c r="L201" s="46">
        <v>10</v>
      </c>
      <c r="M201" s="2"/>
      <c r="N201" s="46" t="s">
        <v>70</v>
      </c>
      <c r="O201" s="46">
        <v>9</v>
      </c>
    </row>
    <row r="202" spans="2:15" x14ac:dyDescent="0.25">
      <c r="B202" s="45" t="s">
        <v>71</v>
      </c>
      <c r="C202" s="45">
        <v>10</v>
      </c>
      <c r="D202" s="2"/>
      <c r="E202" s="45" t="s">
        <v>71</v>
      </c>
      <c r="F202" s="45">
        <v>11</v>
      </c>
      <c r="H202" s="45" t="s">
        <v>71</v>
      </c>
      <c r="I202" s="45">
        <v>11</v>
      </c>
    </row>
    <row r="203" spans="2:15" x14ac:dyDescent="0.25">
      <c r="B203" s="45" t="s">
        <v>72</v>
      </c>
      <c r="C203" s="45">
        <v>9</v>
      </c>
      <c r="D203" s="2"/>
    </row>
    <row r="204" spans="2:15" x14ac:dyDescent="0.25">
      <c r="K204" s="46" t="s">
        <v>62</v>
      </c>
      <c r="L204" s="46">
        <v>4</v>
      </c>
      <c r="M204" s="2"/>
      <c r="N204" s="46" t="s">
        <v>62</v>
      </c>
      <c r="O204" s="46">
        <v>3</v>
      </c>
    </row>
    <row r="205" spans="2:15" x14ac:dyDescent="0.25">
      <c r="K205" s="46" t="s">
        <v>63</v>
      </c>
      <c r="L205" s="46">
        <v>3</v>
      </c>
      <c r="M205" s="2"/>
      <c r="N205" s="46" t="s">
        <v>63</v>
      </c>
      <c r="O205" s="46">
        <v>2</v>
      </c>
    </row>
    <row r="206" spans="2:15" x14ac:dyDescent="0.25">
      <c r="K206" s="46" t="s">
        <v>65</v>
      </c>
      <c r="L206" s="46">
        <v>8</v>
      </c>
      <c r="M206" s="2"/>
      <c r="N206" s="46" t="s">
        <v>65</v>
      </c>
      <c r="O206" s="46">
        <v>7</v>
      </c>
    </row>
    <row r="207" spans="2:15" x14ac:dyDescent="0.25">
      <c r="K207" s="46" t="s">
        <v>67</v>
      </c>
      <c r="L207" s="46">
        <v>7</v>
      </c>
      <c r="M207" s="2"/>
      <c r="N207" s="46" t="s">
        <v>67</v>
      </c>
      <c r="O207" s="46">
        <v>6</v>
      </c>
    </row>
    <row r="208" spans="2:15" x14ac:dyDescent="0.25">
      <c r="K208" s="46" t="s">
        <v>69</v>
      </c>
      <c r="L208" s="46">
        <v>11</v>
      </c>
      <c r="M208" s="2"/>
      <c r="N208" s="46" t="s">
        <v>69</v>
      </c>
      <c r="O208" s="46">
        <v>10</v>
      </c>
    </row>
    <row r="210" spans="2:15" ht="26.25" x14ac:dyDescent="0.25">
      <c r="B210" s="101" t="s">
        <v>109</v>
      </c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62</v>
      </c>
      <c r="C212" s="45">
        <v>1</v>
      </c>
      <c r="D212" s="2"/>
      <c r="E212" s="45" t="s">
        <v>62</v>
      </c>
      <c r="F212" s="45">
        <v>2</v>
      </c>
      <c r="H212" s="45" t="s">
        <v>62</v>
      </c>
      <c r="I212" s="45">
        <v>3</v>
      </c>
      <c r="K212" s="46" t="s">
        <v>62</v>
      </c>
      <c r="L212" s="46">
        <v>1</v>
      </c>
      <c r="M212" s="2"/>
      <c r="N212" s="46" t="s">
        <v>62</v>
      </c>
      <c r="O212" s="46">
        <v>2</v>
      </c>
    </row>
    <row r="213" spans="2:15" x14ac:dyDescent="0.25">
      <c r="B213" s="45" t="s">
        <v>63</v>
      </c>
      <c r="C213" s="45">
        <v>3</v>
      </c>
      <c r="D213" s="2"/>
      <c r="E213" s="45" t="s">
        <v>63</v>
      </c>
      <c r="F213" s="45">
        <v>4</v>
      </c>
      <c r="H213" s="45" t="s">
        <v>63</v>
      </c>
      <c r="I213" s="45">
        <v>4</v>
      </c>
      <c r="K213" s="46" t="s">
        <v>63</v>
      </c>
      <c r="L213" s="46">
        <v>4</v>
      </c>
      <c r="M213" s="2"/>
      <c r="N213" s="46" t="s">
        <v>63</v>
      </c>
      <c r="O213" s="46">
        <v>1</v>
      </c>
    </row>
    <row r="214" spans="2:15" x14ac:dyDescent="0.25">
      <c r="B214" s="45" t="s">
        <v>87</v>
      </c>
      <c r="C214" s="45">
        <v>2</v>
      </c>
      <c r="D214" s="2"/>
      <c r="E214" s="45" t="s">
        <v>88</v>
      </c>
      <c r="F214" s="45">
        <v>1</v>
      </c>
      <c r="H214" s="45" t="s">
        <v>65</v>
      </c>
      <c r="I214" s="45">
        <v>5</v>
      </c>
      <c r="K214" s="46" t="s">
        <v>87</v>
      </c>
      <c r="L214" s="46">
        <v>5</v>
      </c>
      <c r="M214" s="2"/>
      <c r="N214" s="46" t="s">
        <v>88</v>
      </c>
      <c r="O214" s="46">
        <v>6</v>
      </c>
    </row>
    <row r="215" spans="2:15" x14ac:dyDescent="0.25">
      <c r="B215" s="45" t="s">
        <v>67</v>
      </c>
      <c r="C215" s="45">
        <v>6</v>
      </c>
      <c r="D215" s="2"/>
      <c r="E215" s="45" t="s">
        <v>67</v>
      </c>
      <c r="F215" s="45">
        <v>7</v>
      </c>
      <c r="H215" s="45" t="s">
        <v>67</v>
      </c>
      <c r="I215" s="45">
        <v>8</v>
      </c>
      <c r="K215" s="46" t="s">
        <v>67</v>
      </c>
      <c r="L215" s="46">
        <v>8</v>
      </c>
      <c r="M215" s="2"/>
      <c r="N215" s="46" t="s">
        <v>67</v>
      </c>
      <c r="O215" s="46">
        <v>5</v>
      </c>
    </row>
    <row r="216" spans="2:15" x14ac:dyDescent="0.25">
      <c r="B216" s="45" t="s">
        <v>69</v>
      </c>
      <c r="C216" s="45">
        <v>8</v>
      </c>
      <c r="D216" s="2"/>
      <c r="E216" s="45" t="s">
        <v>69</v>
      </c>
      <c r="F216" s="45">
        <v>6</v>
      </c>
      <c r="H216" s="45" t="s">
        <v>69</v>
      </c>
      <c r="I216" s="45">
        <v>7</v>
      </c>
      <c r="K216" s="46" t="s">
        <v>69</v>
      </c>
      <c r="L216" s="46">
        <v>9</v>
      </c>
      <c r="M216" s="2"/>
      <c r="N216" s="46" t="s">
        <v>69</v>
      </c>
      <c r="O216" s="46">
        <v>10</v>
      </c>
    </row>
    <row r="217" spans="2:15" x14ac:dyDescent="0.25">
      <c r="B217" s="45" t="s">
        <v>101</v>
      </c>
      <c r="C217" s="45">
        <v>5</v>
      </c>
      <c r="D217" s="2"/>
      <c r="E217" s="45" t="s">
        <v>70</v>
      </c>
      <c r="F217" s="45">
        <v>9</v>
      </c>
      <c r="H217" s="45" t="s">
        <v>70</v>
      </c>
      <c r="I217" s="45">
        <v>10</v>
      </c>
      <c r="K217" s="46" t="s">
        <v>101</v>
      </c>
      <c r="L217" s="46">
        <v>11</v>
      </c>
      <c r="M217" s="2"/>
      <c r="N217" s="46" t="s">
        <v>70</v>
      </c>
      <c r="O217" s="46">
        <v>9</v>
      </c>
    </row>
    <row r="218" spans="2:15" x14ac:dyDescent="0.25">
      <c r="B218" s="45" t="s">
        <v>71</v>
      </c>
      <c r="C218" s="45">
        <v>11</v>
      </c>
      <c r="D218" s="2"/>
      <c r="E218" s="45" t="s">
        <v>71</v>
      </c>
      <c r="F218" s="45">
        <v>11</v>
      </c>
      <c r="H218" s="45" t="s">
        <v>71</v>
      </c>
      <c r="I218" s="45">
        <v>9</v>
      </c>
    </row>
    <row r="219" spans="2:15" x14ac:dyDescent="0.25">
      <c r="B219" s="45" t="s">
        <v>74</v>
      </c>
      <c r="C219" s="45">
        <v>12</v>
      </c>
      <c r="D219" s="2"/>
      <c r="E219" s="45" t="s">
        <v>72</v>
      </c>
      <c r="F219" s="45">
        <v>10</v>
      </c>
      <c r="H219" s="60"/>
      <c r="I219" s="60"/>
    </row>
    <row r="220" spans="2:15" x14ac:dyDescent="0.25">
      <c r="K220" s="46" t="s">
        <v>62</v>
      </c>
      <c r="L220" s="46">
        <v>4</v>
      </c>
      <c r="M220" s="2"/>
      <c r="N220" s="46" t="s">
        <v>62</v>
      </c>
      <c r="O220" s="46">
        <v>3</v>
      </c>
    </row>
    <row r="221" spans="2:15" x14ac:dyDescent="0.25">
      <c r="K221" s="46" t="s">
        <v>63</v>
      </c>
      <c r="L221" s="46">
        <v>3</v>
      </c>
      <c r="M221" s="2"/>
      <c r="N221" s="46" t="s">
        <v>63</v>
      </c>
      <c r="O221" s="46">
        <v>2</v>
      </c>
    </row>
    <row r="222" spans="2:15" x14ac:dyDescent="0.25">
      <c r="K222" s="46" t="s">
        <v>87</v>
      </c>
      <c r="L222" s="46">
        <v>8</v>
      </c>
      <c r="M222" s="2"/>
      <c r="N222" s="46" t="s">
        <v>88</v>
      </c>
      <c r="O222" s="46">
        <v>7</v>
      </c>
    </row>
    <row r="223" spans="2:15" x14ac:dyDescent="0.25">
      <c r="K223" s="46" t="s">
        <v>67</v>
      </c>
      <c r="L223" s="46">
        <v>7</v>
      </c>
      <c r="M223" s="2"/>
      <c r="N223" s="46" t="s">
        <v>67</v>
      </c>
      <c r="O223" s="46">
        <v>6</v>
      </c>
    </row>
    <row r="224" spans="2:15" x14ac:dyDescent="0.25">
      <c r="K224" s="46" t="s">
        <v>69</v>
      </c>
      <c r="L224" s="46">
        <v>11</v>
      </c>
      <c r="M224" s="2"/>
      <c r="N224" s="46" t="s">
        <v>69</v>
      </c>
      <c r="O224" s="46">
        <v>10</v>
      </c>
    </row>
    <row r="225" spans="2:15" x14ac:dyDescent="0.25">
      <c r="K225" s="46" t="s">
        <v>99</v>
      </c>
      <c r="L225" s="46">
        <v>12</v>
      </c>
      <c r="M225" s="2"/>
      <c r="N225" s="2"/>
      <c r="O225" s="2"/>
    </row>
    <row r="228" spans="2:15" ht="26.25" x14ac:dyDescent="0.25">
      <c r="B228" s="98" t="s">
        <v>110</v>
      </c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99"/>
      <c r="O228" s="100"/>
    </row>
    <row r="230" spans="2:15" x14ac:dyDescent="0.25">
      <c r="B230" s="45" t="s">
        <v>62</v>
      </c>
      <c r="C230" s="45">
        <v>1</v>
      </c>
      <c r="D230" s="2"/>
      <c r="E230" s="45" t="s">
        <v>62</v>
      </c>
      <c r="F230" s="45">
        <v>2</v>
      </c>
      <c r="H230" s="45" t="s">
        <v>62</v>
      </c>
      <c r="I230" s="45">
        <v>3</v>
      </c>
      <c r="K230" s="46" t="s">
        <v>62</v>
      </c>
      <c r="L230" s="46">
        <v>1</v>
      </c>
      <c r="M230" s="2"/>
      <c r="N230" s="46" t="s">
        <v>62</v>
      </c>
      <c r="O230" s="46">
        <v>2</v>
      </c>
    </row>
    <row r="231" spans="2:15" x14ac:dyDescent="0.25">
      <c r="B231" s="45" t="s">
        <v>63</v>
      </c>
      <c r="C231" s="45">
        <v>3</v>
      </c>
      <c r="D231" s="2"/>
      <c r="E231" s="45" t="s">
        <v>63</v>
      </c>
      <c r="F231" s="45">
        <v>4</v>
      </c>
      <c r="H231" s="45" t="s">
        <v>63</v>
      </c>
      <c r="I231" s="45">
        <v>4</v>
      </c>
      <c r="K231" s="46" t="s">
        <v>63</v>
      </c>
      <c r="L231" s="46">
        <v>4</v>
      </c>
      <c r="M231" s="2"/>
      <c r="N231" s="46" t="s">
        <v>63</v>
      </c>
      <c r="O231" s="46">
        <v>1</v>
      </c>
    </row>
    <row r="232" spans="2:15" x14ac:dyDescent="0.25">
      <c r="B232" s="45" t="s">
        <v>87</v>
      </c>
      <c r="C232" s="45">
        <v>2</v>
      </c>
      <c r="D232" s="2"/>
      <c r="E232" s="45" t="s">
        <v>88</v>
      </c>
      <c r="F232" s="45">
        <v>1</v>
      </c>
      <c r="H232" s="45" t="s">
        <v>65</v>
      </c>
      <c r="I232" s="45">
        <v>5</v>
      </c>
      <c r="K232" s="46" t="s">
        <v>65</v>
      </c>
      <c r="L232" s="46">
        <v>5</v>
      </c>
      <c r="M232" s="2"/>
      <c r="N232" s="46" t="s">
        <v>65</v>
      </c>
      <c r="O232" s="46">
        <v>6</v>
      </c>
    </row>
    <row r="233" spans="2:15" x14ac:dyDescent="0.25">
      <c r="B233" s="45" t="s">
        <v>67</v>
      </c>
      <c r="C233" s="45">
        <v>6</v>
      </c>
      <c r="D233" s="2"/>
      <c r="E233" s="45" t="s">
        <v>67</v>
      </c>
      <c r="F233" s="45">
        <v>7</v>
      </c>
      <c r="H233" s="45" t="s">
        <v>67</v>
      </c>
      <c r="I233" s="45">
        <v>8</v>
      </c>
      <c r="K233" s="46" t="s">
        <v>67</v>
      </c>
      <c r="L233" s="46">
        <v>8</v>
      </c>
      <c r="M233" s="2"/>
      <c r="N233" s="46" t="s">
        <v>67</v>
      </c>
      <c r="O233" s="46">
        <v>5</v>
      </c>
    </row>
    <row r="234" spans="2:15" x14ac:dyDescent="0.25">
      <c r="B234" s="45" t="s">
        <v>69</v>
      </c>
      <c r="C234" s="45">
        <v>8</v>
      </c>
      <c r="D234" s="2"/>
      <c r="E234" s="45" t="s">
        <v>69</v>
      </c>
      <c r="F234" s="45">
        <v>6</v>
      </c>
      <c r="H234" s="45" t="s">
        <v>69</v>
      </c>
      <c r="I234" s="45">
        <v>7</v>
      </c>
      <c r="K234" s="46" t="s">
        <v>69</v>
      </c>
      <c r="L234" s="46">
        <v>9</v>
      </c>
      <c r="M234" s="2"/>
      <c r="N234" s="46" t="s">
        <v>69</v>
      </c>
      <c r="O234" s="46">
        <v>10</v>
      </c>
    </row>
    <row r="235" spans="2:15" x14ac:dyDescent="0.25">
      <c r="B235" s="45" t="s">
        <v>101</v>
      </c>
      <c r="C235" s="45">
        <v>5</v>
      </c>
      <c r="D235" s="2"/>
      <c r="E235" s="45" t="s">
        <v>70</v>
      </c>
      <c r="F235" s="45">
        <v>9</v>
      </c>
      <c r="H235" s="45" t="s">
        <v>70</v>
      </c>
      <c r="I235" s="45">
        <v>10</v>
      </c>
      <c r="K235" s="46" t="s">
        <v>70</v>
      </c>
      <c r="L235" s="46">
        <v>12</v>
      </c>
      <c r="M235" s="2"/>
      <c r="N235" s="46" t="s">
        <v>70</v>
      </c>
      <c r="O235" s="46">
        <v>9</v>
      </c>
    </row>
    <row r="236" spans="2:15" x14ac:dyDescent="0.25">
      <c r="B236" s="45" t="s">
        <v>71</v>
      </c>
      <c r="C236" s="45">
        <v>12</v>
      </c>
      <c r="D236" s="2"/>
      <c r="E236" s="45" t="s">
        <v>71</v>
      </c>
      <c r="F236" s="45">
        <v>12</v>
      </c>
      <c r="H236" s="45" t="s">
        <v>71</v>
      </c>
      <c r="I236" s="45">
        <v>11</v>
      </c>
    </row>
    <row r="237" spans="2:15" x14ac:dyDescent="0.25">
      <c r="B237" s="45" t="s">
        <v>72</v>
      </c>
      <c r="C237" s="45">
        <v>11</v>
      </c>
      <c r="D237" s="2"/>
      <c r="E237" s="45" t="s">
        <v>72</v>
      </c>
      <c r="F237" s="45">
        <v>10</v>
      </c>
      <c r="H237" s="45" t="s">
        <v>72</v>
      </c>
      <c r="I237" s="45">
        <v>9</v>
      </c>
    </row>
    <row r="239" spans="2:15" x14ac:dyDescent="0.25">
      <c r="K239" s="46" t="s">
        <v>62</v>
      </c>
      <c r="L239" s="46">
        <v>4</v>
      </c>
      <c r="M239" s="2"/>
      <c r="N239" s="46" t="s">
        <v>62</v>
      </c>
      <c r="O239" s="46">
        <v>3</v>
      </c>
    </row>
    <row r="240" spans="2:15" x14ac:dyDescent="0.25">
      <c r="K240" s="46" t="s">
        <v>63</v>
      </c>
      <c r="L240" s="46">
        <v>3</v>
      </c>
      <c r="M240" s="2"/>
      <c r="N240" s="46" t="s">
        <v>63</v>
      </c>
      <c r="O240" s="46">
        <v>2</v>
      </c>
    </row>
    <row r="241" spans="2:30" x14ac:dyDescent="0.25">
      <c r="K241" s="46" t="s">
        <v>65</v>
      </c>
      <c r="L241" s="46">
        <v>8</v>
      </c>
      <c r="M241" s="2"/>
      <c r="N241" s="46" t="s">
        <v>65</v>
      </c>
      <c r="O241" s="46">
        <v>7</v>
      </c>
    </row>
    <row r="242" spans="2:30" x14ac:dyDescent="0.25">
      <c r="K242" s="46" t="s">
        <v>67</v>
      </c>
      <c r="L242" s="46">
        <v>7</v>
      </c>
      <c r="M242" s="2"/>
      <c r="N242" s="46" t="s">
        <v>67</v>
      </c>
      <c r="O242" s="46">
        <v>6</v>
      </c>
    </row>
    <row r="243" spans="2:30" x14ac:dyDescent="0.25">
      <c r="K243" s="46" t="s">
        <v>69</v>
      </c>
      <c r="L243" s="46">
        <v>12</v>
      </c>
      <c r="M243" s="2"/>
      <c r="N243" s="46" t="s">
        <v>69</v>
      </c>
      <c r="O243" s="46">
        <v>11</v>
      </c>
    </row>
    <row r="244" spans="2:30" x14ac:dyDescent="0.25">
      <c r="K244" s="46" t="s">
        <v>70</v>
      </c>
      <c r="L244" s="46">
        <v>11</v>
      </c>
      <c r="M244" s="2"/>
      <c r="N244" s="46" t="s">
        <v>70</v>
      </c>
      <c r="O244" s="46">
        <v>10</v>
      </c>
    </row>
    <row r="246" spans="2:30" ht="26.25" x14ac:dyDescent="0.25">
      <c r="B246" s="101" t="s">
        <v>111</v>
      </c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  <c r="AA246" s="101"/>
      <c r="AB246" s="101"/>
      <c r="AC246" s="101"/>
      <c r="AD246" s="101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62</v>
      </c>
      <c r="C248" s="46">
        <v>1</v>
      </c>
      <c r="D248" s="2"/>
      <c r="E248" s="46" t="s">
        <v>62</v>
      </c>
      <c r="F248" s="46">
        <v>2</v>
      </c>
      <c r="H248" s="46" t="s">
        <v>62</v>
      </c>
      <c r="I248" s="46">
        <v>3</v>
      </c>
      <c r="J248" s="2"/>
      <c r="K248" s="46" t="s">
        <v>62</v>
      </c>
      <c r="L248" s="46">
        <v>4</v>
      </c>
      <c r="N248" s="58" t="s">
        <v>62</v>
      </c>
      <c r="O248" s="58">
        <v>1</v>
      </c>
      <c r="P248" s="2"/>
      <c r="Q248" s="58" t="s">
        <v>62</v>
      </c>
      <c r="R248" s="58">
        <v>2</v>
      </c>
      <c r="T248" s="58" t="s">
        <v>62</v>
      </c>
      <c r="U248" s="58">
        <v>3</v>
      </c>
      <c r="W248" s="61" t="s">
        <v>62</v>
      </c>
      <c r="X248" s="61">
        <v>1</v>
      </c>
      <c r="Y248" s="2"/>
      <c r="Z248" s="61" t="s">
        <v>62</v>
      </c>
      <c r="AA248" s="61">
        <v>2</v>
      </c>
      <c r="AC248" s="61" t="s">
        <v>62</v>
      </c>
      <c r="AD248" s="61">
        <v>3</v>
      </c>
    </row>
    <row r="249" spans="2:30" x14ac:dyDescent="0.25">
      <c r="B249" s="46" t="s">
        <v>63</v>
      </c>
      <c r="C249" s="46">
        <v>3</v>
      </c>
      <c r="D249" s="2"/>
      <c r="E249" s="46" t="s">
        <v>63</v>
      </c>
      <c r="F249" s="46">
        <v>4</v>
      </c>
      <c r="H249" s="46" t="s">
        <v>63</v>
      </c>
      <c r="I249" s="46">
        <v>2</v>
      </c>
      <c r="J249" s="2"/>
      <c r="K249" s="46" t="s">
        <v>63</v>
      </c>
      <c r="L249" s="46">
        <v>1</v>
      </c>
      <c r="N249" s="58" t="s">
        <v>104</v>
      </c>
      <c r="O249" s="58">
        <v>2</v>
      </c>
      <c r="P249" s="2"/>
      <c r="Q249" s="58" t="s">
        <v>104</v>
      </c>
      <c r="R249" s="58">
        <v>3</v>
      </c>
      <c r="T249" s="58" t="s">
        <v>63</v>
      </c>
      <c r="U249" s="58">
        <v>5</v>
      </c>
      <c r="W249" s="61" t="s">
        <v>63</v>
      </c>
      <c r="X249" s="61">
        <v>5</v>
      </c>
      <c r="Y249" s="2"/>
      <c r="Z249" s="61" t="s">
        <v>104</v>
      </c>
      <c r="AA249" s="61">
        <v>3</v>
      </c>
      <c r="AC249" s="61" t="s">
        <v>63</v>
      </c>
      <c r="AD249" s="61">
        <v>6</v>
      </c>
    </row>
    <row r="250" spans="2:30" x14ac:dyDescent="0.25">
      <c r="B250" s="46" t="s">
        <v>65</v>
      </c>
      <c r="C250" s="46">
        <v>5</v>
      </c>
      <c r="D250" s="2"/>
      <c r="E250" s="46" t="s">
        <v>65</v>
      </c>
      <c r="F250" s="46">
        <v>6</v>
      </c>
      <c r="H250" s="46" t="s">
        <v>65</v>
      </c>
      <c r="I250" s="46">
        <v>7</v>
      </c>
      <c r="J250" s="2"/>
      <c r="K250" s="46" t="s">
        <v>65</v>
      </c>
      <c r="L250" s="46">
        <v>8</v>
      </c>
      <c r="N250" s="58" t="s">
        <v>65</v>
      </c>
      <c r="O250" s="58">
        <v>7</v>
      </c>
      <c r="P250" s="2"/>
      <c r="Q250" s="58" t="s">
        <v>65</v>
      </c>
      <c r="R250" s="58">
        <v>8</v>
      </c>
      <c r="T250" s="58" t="s">
        <v>65</v>
      </c>
      <c r="U250" s="58">
        <v>6</v>
      </c>
      <c r="W250" s="61" t="s">
        <v>91</v>
      </c>
      <c r="X250" s="61">
        <v>6</v>
      </c>
      <c r="Y250" s="2"/>
      <c r="Z250" s="61" t="s">
        <v>91</v>
      </c>
      <c r="AA250" s="61">
        <v>5</v>
      </c>
      <c r="AC250" s="61" t="s">
        <v>65</v>
      </c>
      <c r="AD250" s="61">
        <v>9</v>
      </c>
    </row>
    <row r="251" spans="2:30" x14ac:dyDescent="0.25">
      <c r="B251" s="46" t="s">
        <v>67</v>
      </c>
      <c r="C251" s="46">
        <v>7</v>
      </c>
      <c r="D251" s="2"/>
      <c r="E251" s="46" t="s">
        <v>67</v>
      </c>
      <c r="F251" s="46">
        <v>8</v>
      </c>
      <c r="H251" s="46" t="s">
        <v>67</v>
      </c>
      <c r="I251" s="46">
        <v>6</v>
      </c>
      <c r="J251" s="2"/>
      <c r="K251" s="46" t="s">
        <v>67</v>
      </c>
      <c r="L251" s="46">
        <v>5</v>
      </c>
      <c r="N251" s="58" t="s">
        <v>67</v>
      </c>
      <c r="O251" s="58">
        <v>8</v>
      </c>
      <c r="P251" s="2"/>
      <c r="Q251" s="58" t="s">
        <v>67</v>
      </c>
      <c r="R251" s="58">
        <v>9</v>
      </c>
      <c r="T251" s="58" t="s">
        <v>67</v>
      </c>
      <c r="U251" s="58">
        <v>9</v>
      </c>
      <c r="W251" s="61" t="s">
        <v>67</v>
      </c>
      <c r="X251" s="61">
        <v>11</v>
      </c>
      <c r="Y251" s="2"/>
      <c r="Z251" s="61" t="s">
        <v>67</v>
      </c>
      <c r="AA251" s="61">
        <v>12</v>
      </c>
      <c r="AC251" s="61" t="s">
        <v>67</v>
      </c>
      <c r="AD251" s="61">
        <v>11</v>
      </c>
    </row>
    <row r="252" spans="2:30" x14ac:dyDescent="0.25">
      <c r="B252" s="46" t="s">
        <v>69</v>
      </c>
      <c r="C252" s="46">
        <v>9</v>
      </c>
      <c r="D252" s="2"/>
      <c r="E252" s="46" t="s">
        <v>69</v>
      </c>
      <c r="F252" s="46">
        <v>10</v>
      </c>
      <c r="H252" s="46" t="s">
        <v>69</v>
      </c>
      <c r="I252" s="46">
        <v>11</v>
      </c>
      <c r="J252" s="2"/>
      <c r="K252" s="46" t="s">
        <v>69</v>
      </c>
      <c r="L252" s="46">
        <v>12</v>
      </c>
      <c r="N252" s="58" t="s">
        <v>69</v>
      </c>
      <c r="O252" s="58">
        <v>11</v>
      </c>
      <c r="P252" s="2"/>
      <c r="Q252" s="58" t="s">
        <v>69</v>
      </c>
      <c r="R252" s="58">
        <v>12</v>
      </c>
      <c r="T252" s="58" t="s">
        <v>69</v>
      </c>
      <c r="U252" s="58">
        <v>1</v>
      </c>
      <c r="W252" s="61" t="s">
        <v>69</v>
      </c>
      <c r="X252" s="61">
        <v>12</v>
      </c>
    </row>
    <row r="253" spans="2:30" x14ac:dyDescent="0.25">
      <c r="B253" s="46" t="s">
        <v>70</v>
      </c>
      <c r="C253" s="46">
        <v>11</v>
      </c>
      <c r="D253" s="2"/>
      <c r="E253" s="46" t="s">
        <v>70</v>
      </c>
      <c r="F253" s="46">
        <v>12</v>
      </c>
      <c r="H253" s="46" t="s">
        <v>70</v>
      </c>
      <c r="I253" s="46">
        <v>10</v>
      </c>
      <c r="J253" s="2"/>
      <c r="K253" s="46" t="s">
        <v>70</v>
      </c>
      <c r="L253" s="46">
        <v>9</v>
      </c>
    </row>
    <row r="254" spans="2:30" x14ac:dyDescent="0.25">
      <c r="B254" s="46" t="s">
        <v>99</v>
      </c>
      <c r="C254" s="46">
        <v>13</v>
      </c>
      <c r="D254" s="2"/>
      <c r="E254" s="2"/>
      <c r="F254" s="2"/>
      <c r="H254" s="2"/>
      <c r="I254" s="2"/>
      <c r="J254" s="2"/>
      <c r="N254" s="58" t="s">
        <v>62</v>
      </c>
      <c r="O254" s="58">
        <v>4</v>
      </c>
      <c r="P254" s="2"/>
      <c r="Q254" s="58" t="s">
        <v>62</v>
      </c>
      <c r="R254" s="58">
        <v>1</v>
      </c>
      <c r="W254" s="61" t="s">
        <v>62</v>
      </c>
      <c r="X254" s="61">
        <v>4</v>
      </c>
      <c r="Y254" s="2"/>
      <c r="Z254" s="61" t="s">
        <v>62</v>
      </c>
      <c r="AA254" s="61">
        <v>1</v>
      </c>
      <c r="AC254" s="61" t="s">
        <v>62</v>
      </c>
      <c r="AD254" s="61">
        <v>2</v>
      </c>
    </row>
    <row r="255" spans="2:30" x14ac:dyDescent="0.25">
      <c r="N255" s="58" t="s">
        <v>63</v>
      </c>
      <c r="O255" s="58">
        <v>6</v>
      </c>
      <c r="P255" s="2"/>
      <c r="Q255" s="58" t="s">
        <v>104</v>
      </c>
      <c r="R255" s="58">
        <v>4</v>
      </c>
      <c r="W255" s="61" t="s">
        <v>63</v>
      </c>
      <c r="X255" s="61">
        <v>7</v>
      </c>
      <c r="Y255" s="2"/>
      <c r="Z255" s="61" t="s">
        <v>104</v>
      </c>
      <c r="AA255" s="61">
        <v>4</v>
      </c>
      <c r="AC255" s="61" t="s">
        <v>63</v>
      </c>
      <c r="AD255" s="61">
        <v>8</v>
      </c>
    </row>
    <row r="256" spans="2:30" x14ac:dyDescent="0.25">
      <c r="N256" s="58" t="s">
        <v>65</v>
      </c>
      <c r="O256" s="58">
        <v>5</v>
      </c>
      <c r="P256" s="2"/>
      <c r="Q256" s="58" t="s">
        <v>65</v>
      </c>
      <c r="R256" s="58">
        <v>7</v>
      </c>
      <c r="W256" s="61" t="s">
        <v>91</v>
      </c>
      <c r="X256" s="61">
        <v>8</v>
      </c>
      <c r="Y256" s="2"/>
      <c r="Z256" s="61" t="s">
        <v>91</v>
      </c>
      <c r="AA256" s="61">
        <v>7</v>
      </c>
      <c r="AC256" s="61" t="s">
        <v>65</v>
      </c>
      <c r="AD256" s="61">
        <v>10</v>
      </c>
    </row>
    <row r="257" spans="2:30" x14ac:dyDescent="0.25">
      <c r="N257" s="58" t="s">
        <v>67</v>
      </c>
      <c r="O257" s="58">
        <v>10</v>
      </c>
      <c r="P257" s="2"/>
      <c r="Q257" s="58" t="s">
        <v>67</v>
      </c>
      <c r="R257" s="58">
        <v>10</v>
      </c>
      <c r="W257" s="61" t="s">
        <v>67</v>
      </c>
      <c r="X257" s="61">
        <v>10</v>
      </c>
      <c r="Y257" s="2"/>
      <c r="Z257" s="61" t="s">
        <v>67</v>
      </c>
      <c r="AA257" s="61">
        <v>9</v>
      </c>
      <c r="AC257" s="61" t="s">
        <v>112</v>
      </c>
      <c r="AD257" s="61">
        <v>13</v>
      </c>
    </row>
    <row r="258" spans="2:30" x14ac:dyDescent="0.25">
      <c r="N258" s="58" t="s">
        <v>69</v>
      </c>
      <c r="O258" s="58">
        <v>12</v>
      </c>
      <c r="P258" s="2"/>
      <c r="Q258" s="58" t="s">
        <v>74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01" t="s">
        <v>113</v>
      </c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  <c r="AA261" s="101"/>
      <c r="AB261" s="101"/>
      <c r="AC261" s="101"/>
      <c r="AD261" s="101"/>
    </row>
    <row r="263" spans="2:30" x14ac:dyDescent="0.25">
      <c r="B263" s="46" t="s">
        <v>62</v>
      </c>
      <c r="C263" s="46">
        <v>1</v>
      </c>
      <c r="D263" s="2"/>
      <c r="E263" s="46" t="s">
        <v>62</v>
      </c>
      <c r="F263" s="46">
        <v>2</v>
      </c>
      <c r="H263" s="46" t="s">
        <v>62</v>
      </c>
      <c r="I263" s="46">
        <v>3</v>
      </c>
      <c r="J263" s="2"/>
      <c r="K263" s="46" t="s">
        <v>62</v>
      </c>
      <c r="L263" s="46">
        <v>4</v>
      </c>
      <c r="N263" s="58" t="s">
        <v>62</v>
      </c>
      <c r="O263" s="58">
        <v>1</v>
      </c>
      <c r="Q263" s="58" t="s">
        <v>62</v>
      </c>
      <c r="R263" s="58">
        <v>2</v>
      </c>
      <c r="T263" s="58" t="s">
        <v>62</v>
      </c>
      <c r="U263" s="58">
        <v>3</v>
      </c>
      <c r="W263" s="61" t="s">
        <v>62</v>
      </c>
      <c r="X263" s="61">
        <v>1</v>
      </c>
      <c r="Y263" s="2"/>
      <c r="Z263" s="61" t="s">
        <v>62</v>
      </c>
      <c r="AA263" s="61">
        <v>2</v>
      </c>
      <c r="AC263" s="61" t="s">
        <v>62</v>
      </c>
      <c r="AD263" s="61">
        <v>3</v>
      </c>
    </row>
    <row r="264" spans="2:30" x14ac:dyDescent="0.25">
      <c r="B264" s="46" t="s">
        <v>63</v>
      </c>
      <c r="C264" s="46">
        <v>3</v>
      </c>
      <c r="D264" s="2"/>
      <c r="E264" s="46" t="s">
        <v>63</v>
      </c>
      <c r="F264" s="46">
        <v>4</v>
      </c>
      <c r="H264" s="46" t="s">
        <v>63</v>
      </c>
      <c r="I264" s="46">
        <v>2</v>
      </c>
      <c r="J264" s="2"/>
      <c r="K264" s="46" t="s">
        <v>63</v>
      </c>
      <c r="L264" s="46">
        <v>1</v>
      </c>
      <c r="N264" s="58" t="s">
        <v>63</v>
      </c>
      <c r="O264" s="58">
        <v>2</v>
      </c>
      <c r="Q264" s="58" t="s">
        <v>63</v>
      </c>
      <c r="R264" s="58">
        <v>3</v>
      </c>
      <c r="T264" s="58" t="s">
        <v>63</v>
      </c>
      <c r="U264" s="58">
        <v>5</v>
      </c>
      <c r="W264" s="61" t="s">
        <v>63</v>
      </c>
      <c r="X264" s="61">
        <v>5</v>
      </c>
      <c r="Y264" s="2"/>
      <c r="Z264" s="61" t="s">
        <v>63</v>
      </c>
      <c r="AA264" s="61">
        <v>3</v>
      </c>
      <c r="AC264" s="61" t="s">
        <v>63</v>
      </c>
      <c r="AD264" s="61">
        <v>6</v>
      </c>
    </row>
    <row r="265" spans="2:30" x14ac:dyDescent="0.25">
      <c r="B265" s="46" t="s">
        <v>65</v>
      </c>
      <c r="C265" s="46">
        <v>5</v>
      </c>
      <c r="D265" s="2"/>
      <c r="E265" s="46" t="s">
        <v>65</v>
      </c>
      <c r="F265" s="46">
        <v>6</v>
      </c>
      <c r="H265" s="46" t="s">
        <v>65</v>
      </c>
      <c r="I265" s="46">
        <v>7</v>
      </c>
      <c r="J265" s="2"/>
      <c r="K265" s="46" t="s">
        <v>65</v>
      </c>
      <c r="L265" s="46">
        <v>8</v>
      </c>
      <c r="N265" s="58" t="s">
        <v>65</v>
      </c>
      <c r="O265" s="58">
        <v>7</v>
      </c>
      <c r="Q265" s="58" t="s">
        <v>65</v>
      </c>
      <c r="R265" s="58">
        <v>8</v>
      </c>
      <c r="T265" s="58" t="s">
        <v>65</v>
      </c>
      <c r="U265" s="58">
        <v>6</v>
      </c>
      <c r="W265" s="61" t="s">
        <v>65</v>
      </c>
      <c r="X265" s="61">
        <v>6</v>
      </c>
      <c r="Y265" s="2"/>
      <c r="Z265" s="61" t="s">
        <v>65</v>
      </c>
      <c r="AA265" s="61">
        <v>5</v>
      </c>
      <c r="AC265" s="61" t="s">
        <v>65</v>
      </c>
      <c r="AD265" s="61">
        <v>9</v>
      </c>
    </row>
    <row r="266" spans="2:30" x14ac:dyDescent="0.25">
      <c r="B266" s="46" t="s">
        <v>67</v>
      </c>
      <c r="C266" s="46">
        <v>7</v>
      </c>
      <c r="D266" s="2"/>
      <c r="E266" s="46" t="s">
        <v>67</v>
      </c>
      <c r="F266" s="46">
        <v>8</v>
      </c>
      <c r="H266" s="46" t="s">
        <v>67</v>
      </c>
      <c r="I266" s="46">
        <v>6</v>
      </c>
      <c r="J266" s="2"/>
      <c r="K266" s="46" t="s">
        <v>67</v>
      </c>
      <c r="L266" s="46">
        <v>5</v>
      </c>
      <c r="N266" s="58" t="s">
        <v>67</v>
      </c>
      <c r="O266" s="58">
        <v>8</v>
      </c>
      <c r="Q266" s="58" t="s">
        <v>67</v>
      </c>
      <c r="R266" s="58">
        <v>9</v>
      </c>
      <c r="T266" s="58" t="s">
        <v>67</v>
      </c>
      <c r="U266" s="58">
        <v>9</v>
      </c>
      <c r="W266" s="61" t="s">
        <v>67</v>
      </c>
      <c r="X266" s="61">
        <v>11</v>
      </c>
      <c r="Y266" s="2"/>
      <c r="Z266" s="61" t="s">
        <v>67</v>
      </c>
      <c r="AA266" s="61">
        <v>12</v>
      </c>
      <c r="AC266" s="61" t="s">
        <v>67</v>
      </c>
      <c r="AD266" s="61">
        <v>11</v>
      </c>
    </row>
    <row r="267" spans="2:30" x14ac:dyDescent="0.25">
      <c r="B267" s="46" t="s">
        <v>69</v>
      </c>
      <c r="C267" s="46">
        <v>9</v>
      </c>
      <c r="D267" s="2"/>
      <c r="E267" s="46" t="s">
        <v>69</v>
      </c>
      <c r="F267" s="46">
        <v>10</v>
      </c>
      <c r="H267" s="46" t="s">
        <v>69</v>
      </c>
      <c r="I267" s="46">
        <v>11</v>
      </c>
      <c r="J267" s="2"/>
      <c r="K267" s="46" t="s">
        <v>69</v>
      </c>
      <c r="L267" s="46">
        <v>12</v>
      </c>
      <c r="N267" s="58" t="s">
        <v>69</v>
      </c>
      <c r="O267" s="58">
        <v>11</v>
      </c>
      <c r="Q267" s="58" t="s">
        <v>69</v>
      </c>
      <c r="R267" s="58">
        <v>12</v>
      </c>
      <c r="T267" s="58" t="s">
        <v>69</v>
      </c>
      <c r="U267" s="58">
        <v>1</v>
      </c>
      <c r="W267" s="61" t="s">
        <v>69</v>
      </c>
      <c r="X267" s="61">
        <v>12</v>
      </c>
      <c r="Z267" s="61" t="s">
        <v>69</v>
      </c>
      <c r="AA267" s="61">
        <v>13</v>
      </c>
    </row>
    <row r="268" spans="2:30" x14ac:dyDescent="0.25">
      <c r="B268" s="46" t="s">
        <v>70</v>
      </c>
      <c r="C268" s="46">
        <v>11</v>
      </c>
      <c r="D268" s="2"/>
      <c r="E268" s="46" t="s">
        <v>70</v>
      </c>
      <c r="F268" s="46">
        <v>12</v>
      </c>
      <c r="H268" s="46" t="s">
        <v>70</v>
      </c>
      <c r="I268" s="46">
        <v>10</v>
      </c>
      <c r="J268" s="2"/>
      <c r="K268" s="46" t="s">
        <v>70</v>
      </c>
      <c r="L268" s="46">
        <v>9</v>
      </c>
      <c r="N268" s="58" t="s">
        <v>70</v>
      </c>
      <c r="O268" s="58">
        <v>13</v>
      </c>
    </row>
    <row r="269" spans="2:30" x14ac:dyDescent="0.25">
      <c r="B269" s="46" t="s">
        <v>71</v>
      </c>
      <c r="C269" s="46">
        <v>13</v>
      </c>
      <c r="D269" s="2"/>
      <c r="E269" s="46" t="s">
        <v>71</v>
      </c>
      <c r="F269" s="46">
        <v>13</v>
      </c>
      <c r="H269" s="2"/>
      <c r="I269" s="2"/>
      <c r="J269" s="2"/>
      <c r="W269" s="61" t="s">
        <v>62</v>
      </c>
      <c r="X269" s="61">
        <v>4</v>
      </c>
      <c r="Y269" s="2"/>
      <c r="Z269" s="61" t="s">
        <v>62</v>
      </c>
      <c r="AA269" s="61">
        <v>1</v>
      </c>
      <c r="AC269" s="61" t="s">
        <v>62</v>
      </c>
      <c r="AD269" s="61">
        <v>2</v>
      </c>
    </row>
    <row r="270" spans="2:30" x14ac:dyDescent="0.25">
      <c r="W270" s="61" t="s">
        <v>63</v>
      </c>
      <c r="X270" s="61">
        <v>7</v>
      </c>
      <c r="Y270" s="2"/>
      <c r="Z270" s="61" t="s">
        <v>63</v>
      </c>
      <c r="AA270" s="61">
        <v>4</v>
      </c>
      <c r="AC270" s="61" t="s">
        <v>63</v>
      </c>
      <c r="AD270" s="61">
        <v>8</v>
      </c>
    </row>
    <row r="271" spans="2:30" x14ac:dyDescent="0.25">
      <c r="N271" s="58" t="s">
        <v>62</v>
      </c>
      <c r="O271" s="58">
        <v>4</v>
      </c>
      <c r="P271" s="2"/>
      <c r="Q271" s="58" t="s">
        <v>62</v>
      </c>
      <c r="R271" s="58">
        <v>1</v>
      </c>
      <c r="W271" s="61" t="s">
        <v>65</v>
      </c>
      <c r="X271" s="61">
        <v>8</v>
      </c>
      <c r="Y271" s="2"/>
      <c r="Z271" s="61" t="s">
        <v>65</v>
      </c>
      <c r="AA271" s="61">
        <v>7</v>
      </c>
      <c r="AC271" s="61" t="s">
        <v>65</v>
      </c>
      <c r="AD271" s="61">
        <v>10</v>
      </c>
    </row>
    <row r="272" spans="2:30" x14ac:dyDescent="0.25">
      <c r="N272" s="58" t="s">
        <v>63</v>
      </c>
      <c r="O272" s="58">
        <v>6</v>
      </c>
      <c r="P272" s="2"/>
      <c r="Q272" s="58" t="s">
        <v>63</v>
      </c>
      <c r="R272" s="58">
        <v>4</v>
      </c>
      <c r="W272" s="61" t="s">
        <v>67</v>
      </c>
      <c r="X272" s="61">
        <v>10</v>
      </c>
      <c r="Y272" s="2"/>
      <c r="Z272" s="61" t="s">
        <v>67</v>
      </c>
      <c r="AA272" s="61">
        <v>9</v>
      </c>
      <c r="AC272" s="61" t="s">
        <v>67</v>
      </c>
      <c r="AD272" s="61">
        <v>13</v>
      </c>
    </row>
    <row r="273" spans="2:30" x14ac:dyDescent="0.25">
      <c r="N273" s="58" t="s">
        <v>65</v>
      </c>
      <c r="O273" s="58">
        <v>5</v>
      </c>
      <c r="P273" s="2"/>
      <c r="Q273" s="58" t="s">
        <v>65</v>
      </c>
      <c r="R273" s="58">
        <v>7</v>
      </c>
    </row>
    <row r="274" spans="2:30" x14ac:dyDescent="0.25">
      <c r="N274" s="58" t="s">
        <v>67</v>
      </c>
      <c r="O274" s="58">
        <v>10</v>
      </c>
      <c r="P274" s="2"/>
      <c r="Q274" s="58" t="s">
        <v>67</v>
      </c>
      <c r="R274" s="58">
        <v>10</v>
      </c>
    </row>
    <row r="275" spans="2:30" x14ac:dyDescent="0.25">
      <c r="N275" s="58" t="s">
        <v>69</v>
      </c>
      <c r="O275" s="58">
        <v>12</v>
      </c>
      <c r="P275" s="2"/>
      <c r="Q275" s="58" t="s">
        <v>69</v>
      </c>
      <c r="R275" s="58">
        <v>13</v>
      </c>
    </row>
    <row r="277" spans="2:30" ht="26.25" x14ac:dyDescent="0.25">
      <c r="B277" s="101" t="s">
        <v>114</v>
      </c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  <c r="AA277" s="101"/>
      <c r="AB277" s="101"/>
      <c r="AC277" s="101"/>
      <c r="AD277" s="101"/>
    </row>
    <row r="279" spans="2:30" x14ac:dyDescent="0.25">
      <c r="B279" s="46" t="s">
        <v>62</v>
      </c>
      <c r="C279" s="46">
        <v>1</v>
      </c>
      <c r="D279" s="2"/>
      <c r="E279" s="46" t="s">
        <v>62</v>
      </c>
      <c r="F279" s="46">
        <v>2</v>
      </c>
      <c r="H279" s="46" t="s">
        <v>62</v>
      </c>
      <c r="I279" s="46">
        <v>3</v>
      </c>
      <c r="J279" s="2"/>
      <c r="K279" s="46" t="s">
        <v>62</v>
      </c>
      <c r="L279" s="46">
        <v>4</v>
      </c>
      <c r="N279" s="58" t="s">
        <v>62</v>
      </c>
      <c r="O279" s="58">
        <v>1</v>
      </c>
      <c r="P279" s="2"/>
      <c r="Q279" s="58" t="s">
        <v>62</v>
      </c>
      <c r="R279" s="58">
        <v>2</v>
      </c>
      <c r="T279" s="58" t="s">
        <v>62</v>
      </c>
      <c r="U279" s="58">
        <v>3</v>
      </c>
      <c r="W279" s="61" t="s">
        <v>62</v>
      </c>
      <c r="X279" s="61">
        <v>1</v>
      </c>
      <c r="Y279" s="2"/>
      <c r="Z279" s="61" t="s">
        <v>62</v>
      </c>
      <c r="AA279" s="61">
        <v>2</v>
      </c>
      <c r="AC279" s="61" t="s">
        <v>62</v>
      </c>
      <c r="AD279" s="61">
        <v>3</v>
      </c>
    </row>
    <row r="280" spans="2:30" x14ac:dyDescent="0.25">
      <c r="B280" s="46" t="s">
        <v>63</v>
      </c>
      <c r="C280" s="46">
        <v>4</v>
      </c>
      <c r="D280" s="2"/>
      <c r="E280" s="46" t="s">
        <v>63</v>
      </c>
      <c r="F280" s="46">
        <v>1</v>
      </c>
      <c r="H280" s="46" t="s">
        <v>63</v>
      </c>
      <c r="I280" s="46">
        <v>2</v>
      </c>
      <c r="J280" s="2"/>
      <c r="K280" s="46" t="s">
        <v>63</v>
      </c>
      <c r="L280" s="46">
        <v>3</v>
      </c>
      <c r="N280" s="58" t="s">
        <v>63</v>
      </c>
      <c r="O280" s="58">
        <v>2</v>
      </c>
      <c r="P280" s="2"/>
      <c r="Q280" s="58" t="s">
        <v>63</v>
      </c>
      <c r="R280" s="58">
        <v>3</v>
      </c>
      <c r="T280" s="58" t="s">
        <v>63</v>
      </c>
      <c r="U280" s="58">
        <v>5</v>
      </c>
      <c r="W280" s="61" t="s">
        <v>63</v>
      </c>
      <c r="X280" s="61">
        <v>5</v>
      </c>
      <c r="Y280" s="2"/>
      <c r="Z280" s="61" t="s">
        <v>63</v>
      </c>
      <c r="AA280" s="61">
        <v>3</v>
      </c>
      <c r="AC280" s="61" t="s">
        <v>63</v>
      </c>
      <c r="AD280" s="61">
        <v>6</v>
      </c>
    </row>
    <row r="281" spans="2:30" x14ac:dyDescent="0.25">
      <c r="B281" s="46" t="s">
        <v>65</v>
      </c>
      <c r="C281" s="46">
        <v>5</v>
      </c>
      <c r="D281" s="2"/>
      <c r="E281" s="46" t="s">
        <v>65</v>
      </c>
      <c r="F281" s="46">
        <v>6</v>
      </c>
      <c r="H281" s="46" t="s">
        <v>65</v>
      </c>
      <c r="I281" s="46">
        <v>7</v>
      </c>
      <c r="J281" s="2"/>
      <c r="K281" s="46" t="s">
        <v>65</v>
      </c>
      <c r="L281" s="46">
        <v>8</v>
      </c>
      <c r="N281" s="58" t="s">
        <v>65</v>
      </c>
      <c r="O281" s="58">
        <v>7</v>
      </c>
      <c r="P281" s="2"/>
      <c r="Q281" s="58" t="s">
        <v>65</v>
      </c>
      <c r="R281" s="58">
        <v>8</v>
      </c>
      <c r="T281" s="58" t="s">
        <v>65</v>
      </c>
      <c r="U281" s="58">
        <v>6</v>
      </c>
      <c r="W281" s="61" t="s">
        <v>65</v>
      </c>
      <c r="X281" s="61">
        <v>6</v>
      </c>
      <c r="Y281" s="2"/>
      <c r="Z281" s="61" t="s">
        <v>65</v>
      </c>
      <c r="AA281" s="61">
        <v>5</v>
      </c>
      <c r="AC281" s="61" t="s">
        <v>65</v>
      </c>
      <c r="AD281" s="61">
        <v>9</v>
      </c>
    </row>
    <row r="282" spans="2:30" x14ac:dyDescent="0.25">
      <c r="B282" s="46" t="s">
        <v>67</v>
      </c>
      <c r="C282" s="46">
        <v>8</v>
      </c>
      <c r="D282" s="2"/>
      <c r="E282" s="46" t="s">
        <v>67</v>
      </c>
      <c r="F282" s="46">
        <v>5</v>
      </c>
      <c r="H282" s="46" t="s">
        <v>67</v>
      </c>
      <c r="I282" s="46">
        <v>6</v>
      </c>
      <c r="J282" s="2"/>
      <c r="K282" s="46" t="s">
        <v>67</v>
      </c>
      <c r="L282" s="46">
        <v>7</v>
      </c>
      <c r="N282" s="58" t="s">
        <v>67</v>
      </c>
      <c r="O282" s="58">
        <v>8</v>
      </c>
      <c r="P282" s="2"/>
      <c r="Q282" s="58" t="s">
        <v>67</v>
      </c>
      <c r="R282" s="58">
        <v>9</v>
      </c>
      <c r="T282" s="58" t="s">
        <v>67</v>
      </c>
      <c r="U282" s="58">
        <v>9</v>
      </c>
      <c r="W282" s="61" t="s">
        <v>67</v>
      </c>
      <c r="X282" s="61">
        <v>11</v>
      </c>
      <c r="Y282" s="2"/>
      <c r="Z282" s="61" t="s">
        <v>67</v>
      </c>
      <c r="AA282" s="61">
        <v>12</v>
      </c>
      <c r="AC282" s="61" t="s">
        <v>67</v>
      </c>
      <c r="AD282" s="61">
        <v>11</v>
      </c>
    </row>
    <row r="283" spans="2:30" x14ac:dyDescent="0.25">
      <c r="B283" s="46" t="s">
        <v>69</v>
      </c>
      <c r="C283" s="46">
        <v>9</v>
      </c>
      <c r="D283" s="2"/>
      <c r="E283" s="46" t="s">
        <v>69</v>
      </c>
      <c r="F283" s="46">
        <v>10</v>
      </c>
      <c r="H283" s="46" t="s">
        <v>69</v>
      </c>
      <c r="I283" s="46">
        <v>11</v>
      </c>
      <c r="J283" s="2"/>
      <c r="K283" s="46" t="s">
        <v>69</v>
      </c>
      <c r="L283" s="46">
        <v>12</v>
      </c>
      <c r="N283" s="58" t="s">
        <v>69</v>
      </c>
      <c r="O283" s="58">
        <v>11</v>
      </c>
      <c r="P283" s="2"/>
      <c r="Q283" s="58" t="s">
        <v>69</v>
      </c>
      <c r="R283" s="58">
        <v>12</v>
      </c>
      <c r="T283" s="58" t="s">
        <v>69</v>
      </c>
      <c r="U283" s="58">
        <v>11</v>
      </c>
      <c r="W283" s="61" t="s">
        <v>69</v>
      </c>
      <c r="X283" s="61">
        <v>12</v>
      </c>
      <c r="Y283" s="2"/>
      <c r="Z283" s="61" t="s">
        <v>69</v>
      </c>
      <c r="AA283" s="61">
        <v>13</v>
      </c>
      <c r="AC283" s="61" t="s">
        <v>74</v>
      </c>
      <c r="AD283" s="61">
        <v>14</v>
      </c>
    </row>
    <row r="284" spans="2:30" x14ac:dyDescent="0.25">
      <c r="B284" s="46" t="s">
        <v>70</v>
      </c>
      <c r="C284" s="46">
        <v>12</v>
      </c>
      <c r="D284" s="2"/>
      <c r="E284" s="46" t="s">
        <v>70</v>
      </c>
      <c r="F284" s="46">
        <v>9</v>
      </c>
      <c r="H284" s="46" t="s">
        <v>70</v>
      </c>
      <c r="I284" s="46">
        <v>10</v>
      </c>
      <c r="J284" s="2"/>
      <c r="K284" s="46" t="s">
        <v>70</v>
      </c>
      <c r="L284" s="46">
        <v>11</v>
      </c>
      <c r="N284" s="58" t="s">
        <v>70</v>
      </c>
      <c r="O284" s="58">
        <v>12</v>
      </c>
      <c r="P284" s="2"/>
      <c r="Q284" s="58" t="s">
        <v>70</v>
      </c>
      <c r="R284" s="58">
        <v>13</v>
      </c>
    </row>
    <row r="285" spans="2:30" x14ac:dyDescent="0.25">
      <c r="B285" s="46" t="s">
        <v>71</v>
      </c>
      <c r="C285" s="46">
        <v>13</v>
      </c>
      <c r="D285" s="2"/>
      <c r="E285" s="46" t="s">
        <v>99</v>
      </c>
      <c r="F285" s="46">
        <v>14</v>
      </c>
      <c r="H285" s="46" t="s">
        <v>71</v>
      </c>
      <c r="I285" s="46">
        <v>13</v>
      </c>
      <c r="J285" s="2"/>
      <c r="K285" s="2"/>
      <c r="L285" s="2"/>
    </row>
    <row r="287" spans="2:30" x14ac:dyDescent="0.25">
      <c r="N287" s="58" t="s">
        <v>62</v>
      </c>
      <c r="O287" s="58">
        <v>4</v>
      </c>
      <c r="P287" s="2"/>
      <c r="Q287" s="58" t="s">
        <v>62</v>
      </c>
      <c r="R287" s="58">
        <v>1</v>
      </c>
      <c r="W287" s="61" t="s">
        <v>62</v>
      </c>
      <c r="X287" s="61">
        <v>4</v>
      </c>
      <c r="Y287" s="2"/>
      <c r="Z287" s="61" t="s">
        <v>62</v>
      </c>
      <c r="AA287" s="61">
        <v>1</v>
      </c>
      <c r="AC287" s="61" t="s">
        <v>62</v>
      </c>
      <c r="AD287" s="61">
        <v>2</v>
      </c>
    </row>
    <row r="288" spans="2:30" x14ac:dyDescent="0.25">
      <c r="N288" s="58" t="s">
        <v>63</v>
      </c>
      <c r="O288" s="58">
        <v>6</v>
      </c>
      <c r="P288" s="2"/>
      <c r="Q288" s="58" t="s">
        <v>63</v>
      </c>
      <c r="R288" s="58">
        <v>4</v>
      </c>
      <c r="W288" s="61" t="s">
        <v>63</v>
      </c>
      <c r="X288" s="61">
        <v>7</v>
      </c>
      <c r="Y288" s="2"/>
      <c r="Z288" s="61" t="s">
        <v>63</v>
      </c>
      <c r="AA288" s="61">
        <v>4</v>
      </c>
      <c r="AC288" s="61" t="s">
        <v>63</v>
      </c>
      <c r="AD288" s="61">
        <v>8</v>
      </c>
    </row>
    <row r="289" spans="2:30" x14ac:dyDescent="0.25">
      <c r="N289" s="58" t="s">
        <v>65</v>
      </c>
      <c r="O289" s="58">
        <v>5</v>
      </c>
      <c r="P289" s="2"/>
      <c r="Q289" s="58" t="s">
        <v>65</v>
      </c>
      <c r="R289" s="58">
        <v>7</v>
      </c>
      <c r="W289" s="61" t="s">
        <v>65</v>
      </c>
      <c r="X289" s="61">
        <v>8</v>
      </c>
      <c r="Y289" s="2"/>
      <c r="Z289" s="61" t="s">
        <v>65</v>
      </c>
      <c r="AA289" s="61">
        <v>7</v>
      </c>
      <c r="AC289" s="61" t="s">
        <v>65</v>
      </c>
      <c r="AD289" s="61">
        <v>10</v>
      </c>
    </row>
    <row r="290" spans="2:30" x14ac:dyDescent="0.25">
      <c r="N290" s="58" t="s">
        <v>67</v>
      </c>
      <c r="O290" s="58">
        <v>10</v>
      </c>
      <c r="P290" s="2"/>
      <c r="Q290" s="58" t="s">
        <v>67</v>
      </c>
      <c r="R290" s="58">
        <v>10</v>
      </c>
      <c r="W290" s="61" t="s">
        <v>67</v>
      </c>
      <c r="X290" s="61">
        <v>10</v>
      </c>
      <c r="Y290" s="2"/>
      <c r="Z290" s="61" t="s">
        <v>67</v>
      </c>
      <c r="AA290" s="61">
        <v>9</v>
      </c>
      <c r="AC290" s="61" t="s">
        <v>67</v>
      </c>
      <c r="AD290" s="61">
        <v>13</v>
      </c>
    </row>
    <row r="291" spans="2:30" x14ac:dyDescent="0.25">
      <c r="N291" s="58" t="s">
        <v>69</v>
      </c>
      <c r="O291" s="58">
        <v>13</v>
      </c>
      <c r="P291" s="2"/>
      <c r="Q291" s="58" t="s">
        <v>74</v>
      </c>
      <c r="R291" s="58">
        <v>14</v>
      </c>
    </row>
    <row r="294" spans="2:30" ht="26.25" x14ac:dyDescent="0.25">
      <c r="B294" s="101" t="s">
        <v>115</v>
      </c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  <c r="AA294" s="101"/>
      <c r="AB294" s="101"/>
      <c r="AC294" s="101"/>
      <c r="AD294" s="101"/>
    </row>
    <row r="296" spans="2:30" x14ac:dyDescent="0.25">
      <c r="B296" s="46" t="s">
        <v>62</v>
      </c>
      <c r="C296" s="46">
        <v>1</v>
      </c>
      <c r="D296" s="2"/>
      <c r="E296" s="46" t="s">
        <v>62</v>
      </c>
      <c r="F296" s="46">
        <v>2</v>
      </c>
      <c r="H296" s="46" t="s">
        <v>62</v>
      </c>
      <c r="I296" s="46">
        <v>3</v>
      </c>
      <c r="J296" s="2"/>
      <c r="K296" s="46" t="s">
        <v>62</v>
      </c>
      <c r="L296" s="46">
        <v>4</v>
      </c>
      <c r="N296" s="58" t="s">
        <v>62</v>
      </c>
      <c r="O296" s="58">
        <v>1</v>
      </c>
      <c r="P296" s="2"/>
      <c r="Q296" s="58" t="s">
        <v>62</v>
      </c>
      <c r="R296" s="58">
        <v>2</v>
      </c>
      <c r="T296" s="58" t="s">
        <v>62</v>
      </c>
      <c r="U296" s="58">
        <v>3</v>
      </c>
      <c r="W296" s="61" t="s">
        <v>62</v>
      </c>
      <c r="X296" s="61">
        <v>1</v>
      </c>
      <c r="Y296" s="2"/>
      <c r="Z296" s="61" t="s">
        <v>62</v>
      </c>
      <c r="AA296" s="61">
        <v>2</v>
      </c>
      <c r="AC296" s="61" t="s">
        <v>62</v>
      </c>
      <c r="AD296" s="61">
        <v>3</v>
      </c>
    </row>
    <row r="297" spans="2:30" x14ac:dyDescent="0.25">
      <c r="B297" s="46" t="s">
        <v>63</v>
      </c>
      <c r="C297" s="46">
        <v>4</v>
      </c>
      <c r="D297" s="2"/>
      <c r="E297" s="46" t="s">
        <v>63</v>
      </c>
      <c r="F297" s="46">
        <v>1</v>
      </c>
      <c r="H297" s="46" t="s">
        <v>63</v>
      </c>
      <c r="I297" s="46">
        <v>2</v>
      </c>
      <c r="J297" s="2"/>
      <c r="K297" s="46" t="s">
        <v>63</v>
      </c>
      <c r="L297" s="46">
        <v>3</v>
      </c>
      <c r="N297" s="58" t="s">
        <v>63</v>
      </c>
      <c r="O297" s="58">
        <v>2</v>
      </c>
      <c r="P297" s="2"/>
      <c r="Q297" s="58" t="s">
        <v>63</v>
      </c>
      <c r="R297" s="58">
        <v>3</v>
      </c>
      <c r="T297" s="58" t="s">
        <v>63</v>
      </c>
      <c r="U297" s="58">
        <v>5</v>
      </c>
      <c r="W297" s="61" t="s">
        <v>63</v>
      </c>
      <c r="X297" s="61">
        <v>5</v>
      </c>
      <c r="Y297" s="2"/>
      <c r="Z297" s="61" t="s">
        <v>63</v>
      </c>
      <c r="AA297" s="61">
        <v>3</v>
      </c>
      <c r="AC297" s="61" t="s">
        <v>63</v>
      </c>
      <c r="AD297" s="61">
        <v>6</v>
      </c>
    </row>
    <row r="298" spans="2:30" x14ac:dyDescent="0.25">
      <c r="B298" s="46" t="s">
        <v>65</v>
      </c>
      <c r="C298" s="46">
        <v>5</v>
      </c>
      <c r="D298" s="2"/>
      <c r="E298" s="46" t="s">
        <v>65</v>
      </c>
      <c r="F298" s="46">
        <v>6</v>
      </c>
      <c r="H298" s="46" t="s">
        <v>65</v>
      </c>
      <c r="I298" s="46">
        <v>7</v>
      </c>
      <c r="J298" s="2"/>
      <c r="K298" s="46" t="s">
        <v>65</v>
      </c>
      <c r="L298" s="46">
        <v>8</v>
      </c>
      <c r="N298" s="58" t="s">
        <v>65</v>
      </c>
      <c r="O298" s="58">
        <v>7</v>
      </c>
      <c r="P298" s="2"/>
      <c r="Q298" s="58" t="s">
        <v>65</v>
      </c>
      <c r="R298" s="58">
        <v>8</v>
      </c>
      <c r="T298" s="58" t="s">
        <v>65</v>
      </c>
      <c r="U298" s="58">
        <v>6</v>
      </c>
      <c r="W298" s="61" t="s">
        <v>65</v>
      </c>
      <c r="X298" s="61">
        <v>6</v>
      </c>
      <c r="Y298" s="2"/>
      <c r="Z298" s="61" t="s">
        <v>65</v>
      </c>
      <c r="AA298" s="61">
        <v>5</v>
      </c>
      <c r="AC298" s="61" t="s">
        <v>65</v>
      </c>
      <c r="AD298" s="61">
        <v>9</v>
      </c>
    </row>
    <row r="299" spans="2:30" x14ac:dyDescent="0.25">
      <c r="B299" s="46" t="s">
        <v>67</v>
      </c>
      <c r="C299" s="46">
        <v>8</v>
      </c>
      <c r="D299" s="2"/>
      <c r="E299" s="46" t="s">
        <v>67</v>
      </c>
      <c r="F299" s="46">
        <v>5</v>
      </c>
      <c r="H299" s="46" t="s">
        <v>67</v>
      </c>
      <c r="I299" s="46">
        <v>6</v>
      </c>
      <c r="J299" s="2"/>
      <c r="K299" s="46" t="s">
        <v>67</v>
      </c>
      <c r="L299" s="46">
        <v>7</v>
      </c>
      <c r="N299" s="58" t="s">
        <v>67</v>
      </c>
      <c r="O299" s="58">
        <v>8</v>
      </c>
      <c r="P299" s="2"/>
      <c r="Q299" s="58" t="s">
        <v>67</v>
      </c>
      <c r="R299" s="58">
        <v>9</v>
      </c>
      <c r="T299" s="58" t="s">
        <v>67</v>
      </c>
      <c r="U299" s="58">
        <v>9</v>
      </c>
      <c r="W299" s="61" t="s">
        <v>67</v>
      </c>
      <c r="X299" s="61">
        <v>11</v>
      </c>
      <c r="Y299" s="2"/>
      <c r="Z299" s="61" t="s">
        <v>67</v>
      </c>
      <c r="AA299" s="61">
        <v>12</v>
      </c>
      <c r="AC299" s="61" t="s">
        <v>67</v>
      </c>
      <c r="AD299" s="61">
        <v>11</v>
      </c>
    </row>
    <row r="300" spans="2:30" x14ac:dyDescent="0.25">
      <c r="B300" s="46" t="s">
        <v>69</v>
      </c>
      <c r="C300" s="46">
        <v>9</v>
      </c>
      <c r="D300" s="2"/>
      <c r="E300" s="46" t="s">
        <v>69</v>
      </c>
      <c r="F300" s="46">
        <v>10</v>
      </c>
      <c r="H300" s="46" t="s">
        <v>69</v>
      </c>
      <c r="I300" s="46">
        <v>11</v>
      </c>
      <c r="J300" s="2"/>
      <c r="K300" s="46" t="s">
        <v>69</v>
      </c>
      <c r="L300" s="46">
        <v>12</v>
      </c>
      <c r="N300" s="58" t="s">
        <v>69</v>
      </c>
      <c r="O300" s="58">
        <v>11</v>
      </c>
      <c r="P300" s="2"/>
      <c r="Q300" s="58" t="s">
        <v>69</v>
      </c>
      <c r="R300" s="58">
        <v>12</v>
      </c>
      <c r="T300" s="58" t="s">
        <v>69</v>
      </c>
      <c r="U300" s="58">
        <v>11</v>
      </c>
      <c r="W300" s="61" t="s">
        <v>69</v>
      </c>
      <c r="X300" s="61">
        <v>12</v>
      </c>
      <c r="Y300" s="2"/>
      <c r="Z300" s="61" t="s">
        <v>69</v>
      </c>
      <c r="AA300" s="61">
        <v>13</v>
      </c>
      <c r="AC300" s="61" t="s">
        <v>69</v>
      </c>
      <c r="AD300" s="61">
        <v>14</v>
      </c>
    </row>
    <row r="301" spans="2:30" x14ac:dyDescent="0.25">
      <c r="B301" s="46" t="s">
        <v>70</v>
      </c>
      <c r="C301" s="46">
        <v>12</v>
      </c>
      <c r="D301" s="2"/>
      <c r="E301" s="46" t="s">
        <v>70</v>
      </c>
      <c r="F301" s="46">
        <v>9</v>
      </c>
      <c r="H301" s="46" t="s">
        <v>70</v>
      </c>
      <c r="I301" s="46">
        <v>10</v>
      </c>
      <c r="J301" s="2"/>
      <c r="K301" s="46" t="s">
        <v>70</v>
      </c>
      <c r="L301" s="46">
        <v>11</v>
      </c>
      <c r="N301" s="58" t="s">
        <v>70</v>
      </c>
      <c r="O301" s="58">
        <v>12</v>
      </c>
      <c r="P301" s="2"/>
      <c r="Q301" s="58" t="s">
        <v>70</v>
      </c>
      <c r="R301" s="58">
        <v>13</v>
      </c>
      <c r="T301" s="58" t="s">
        <v>70</v>
      </c>
      <c r="U301" s="58">
        <v>14</v>
      </c>
    </row>
    <row r="302" spans="2:30" x14ac:dyDescent="0.25">
      <c r="B302" s="46" t="s">
        <v>71</v>
      </c>
      <c r="C302" s="46">
        <v>13</v>
      </c>
      <c r="D302" s="2"/>
      <c r="E302" s="46" t="s">
        <v>71</v>
      </c>
      <c r="F302" s="46">
        <v>14</v>
      </c>
      <c r="H302" s="46" t="s">
        <v>71</v>
      </c>
      <c r="I302" s="46">
        <v>13</v>
      </c>
      <c r="J302" s="2"/>
      <c r="K302" s="46" t="s">
        <v>71</v>
      </c>
      <c r="L302" s="46">
        <v>14</v>
      </c>
    </row>
    <row r="304" spans="2:30" x14ac:dyDescent="0.25">
      <c r="N304" s="58" t="s">
        <v>62</v>
      </c>
      <c r="O304" s="58">
        <v>4</v>
      </c>
      <c r="P304" s="2"/>
      <c r="Q304" s="58" t="s">
        <v>62</v>
      </c>
      <c r="R304" s="58">
        <v>1</v>
      </c>
      <c r="W304" s="61" t="s">
        <v>62</v>
      </c>
      <c r="X304" s="61">
        <v>4</v>
      </c>
      <c r="Y304" s="2"/>
      <c r="Z304" s="61" t="s">
        <v>62</v>
      </c>
      <c r="AA304" s="61">
        <v>1</v>
      </c>
      <c r="AC304" s="61" t="s">
        <v>62</v>
      </c>
      <c r="AD304" s="61">
        <v>2</v>
      </c>
    </row>
    <row r="305" spans="2:30" x14ac:dyDescent="0.25">
      <c r="N305" s="58" t="s">
        <v>63</v>
      </c>
      <c r="O305" s="58">
        <v>6</v>
      </c>
      <c r="P305" s="2"/>
      <c r="Q305" s="58" t="s">
        <v>63</v>
      </c>
      <c r="R305" s="58">
        <v>4</v>
      </c>
      <c r="W305" s="61" t="s">
        <v>63</v>
      </c>
      <c r="X305" s="61">
        <v>7</v>
      </c>
      <c r="Y305" s="2"/>
      <c r="Z305" s="61" t="s">
        <v>63</v>
      </c>
      <c r="AA305" s="61">
        <v>4</v>
      </c>
      <c r="AC305" s="61" t="s">
        <v>63</v>
      </c>
      <c r="AD305" s="61">
        <v>8</v>
      </c>
    </row>
    <row r="306" spans="2:30" x14ac:dyDescent="0.25">
      <c r="N306" s="58" t="s">
        <v>65</v>
      </c>
      <c r="O306" s="58">
        <v>5</v>
      </c>
      <c r="P306" s="2"/>
      <c r="Q306" s="58" t="s">
        <v>65</v>
      </c>
      <c r="R306" s="58">
        <v>7</v>
      </c>
      <c r="W306" s="61" t="s">
        <v>65</v>
      </c>
      <c r="X306" s="61">
        <v>8</v>
      </c>
      <c r="Y306" s="2"/>
      <c r="Z306" s="61" t="s">
        <v>65</v>
      </c>
      <c r="AA306" s="61">
        <v>7</v>
      </c>
      <c r="AC306" s="61" t="s">
        <v>65</v>
      </c>
      <c r="AD306" s="61">
        <v>10</v>
      </c>
    </row>
    <row r="307" spans="2:30" x14ac:dyDescent="0.25">
      <c r="N307" s="58" t="s">
        <v>67</v>
      </c>
      <c r="O307" s="58">
        <v>10</v>
      </c>
      <c r="P307" s="2"/>
      <c r="Q307" s="58" t="s">
        <v>67</v>
      </c>
      <c r="R307" s="58">
        <v>10</v>
      </c>
      <c r="W307" s="61" t="s">
        <v>67</v>
      </c>
      <c r="X307" s="61">
        <v>10</v>
      </c>
      <c r="Y307" s="2"/>
      <c r="Z307" s="61" t="s">
        <v>67</v>
      </c>
      <c r="AA307" s="61">
        <v>9</v>
      </c>
      <c r="AC307" s="61" t="s">
        <v>67</v>
      </c>
      <c r="AD307" s="61">
        <v>13</v>
      </c>
    </row>
    <row r="308" spans="2:30" x14ac:dyDescent="0.25">
      <c r="N308" s="58" t="s">
        <v>69</v>
      </c>
      <c r="O308" s="58">
        <v>13</v>
      </c>
      <c r="P308" s="2"/>
      <c r="Q308" s="58" t="s">
        <v>69</v>
      </c>
      <c r="R308" s="58">
        <v>14</v>
      </c>
      <c r="W308" s="61" t="s">
        <v>69</v>
      </c>
      <c r="X308" s="61">
        <v>14</v>
      </c>
    </row>
    <row r="311" spans="2:30" ht="26.25" x14ac:dyDescent="0.25">
      <c r="B311" s="101" t="s">
        <v>116</v>
      </c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  <c r="AA311" s="101"/>
      <c r="AB311" s="101"/>
      <c r="AC311" s="101"/>
      <c r="AD311" s="101"/>
    </row>
    <row r="313" spans="2:30" x14ac:dyDescent="0.25">
      <c r="B313" s="46" t="s">
        <v>62</v>
      </c>
      <c r="C313" s="46">
        <v>1</v>
      </c>
      <c r="D313" s="2"/>
      <c r="E313" s="46" t="s">
        <v>62</v>
      </c>
      <c r="F313" s="46">
        <v>2</v>
      </c>
      <c r="H313" s="46" t="s">
        <v>62</v>
      </c>
      <c r="I313" s="46">
        <v>3</v>
      </c>
      <c r="J313" s="2"/>
      <c r="K313" s="46" t="s">
        <v>62</v>
      </c>
      <c r="L313" s="46">
        <v>4</v>
      </c>
      <c r="N313" s="58" t="s">
        <v>62</v>
      </c>
      <c r="O313" s="58">
        <v>1</v>
      </c>
      <c r="P313" s="2"/>
      <c r="Q313" s="58" t="s">
        <v>62</v>
      </c>
      <c r="R313" s="58">
        <v>2</v>
      </c>
      <c r="S313" s="2"/>
      <c r="T313" s="58" t="s">
        <v>62</v>
      </c>
      <c r="U313" s="58">
        <v>3</v>
      </c>
      <c r="W313" s="61" t="s">
        <v>62</v>
      </c>
      <c r="X313" s="61">
        <v>1</v>
      </c>
      <c r="Y313" s="2"/>
      <c r="Z313" s="61" t="s">
        <v>62</v>
      </c>
      <c r="AA313" s="61">
        <v>2</v>
      </c>
      <c r="AC313" s="61" t="s">
        <v>62</v>
      </c>
      <c r="AD313" s="61">
        <v>3</v>
      </c>
    </row>
    <row r="314" spans="2:30" x14ac:dyDescent="0.25">
      <c r="B314" s="46" t="s">
        <v>63</v>
      </c>
      <c r="C314" s="46">
        <v>3</v>
      </c>
      <c r="D314" s="2"/>
      <c r="E314" s="46" t="s">
        <v>63</v>
      </c>
      <c r="F314" s="46">
        <v>4</v>
      </c>
      <c r="H314" s="46" t="s">
        <v>63</v>
      </c>
      <c r="I314" s="46">
        <v>2</v>
      </c>
      <c r="J314" s="2"/>
      <c r="K314" s="46" t="s">
        <v>63</v>
      </c>
      <c r="L314" s="46">
        <v>1</v>
      </c>
      <c r="N314" s="58" t="s">
        <v>63</v>
      </c>
      <c r="O314" s="58">
        <v>2</v>
      </c>
      <c r="P314" s="2"/>
      <c r="Q314" s="58" t="s">
        <v>63</v>
      </c>
      <c r="R314" s="58">
        <v>3</v>
      </c>
      <c r="S314" s="2"/>
      <c r="T314" s="58" t="s">
        <v>63</v>
      </c>
      <c r="U314" s="58">
        <v>5</v>
      </c>
      <c r="W314" s="61" t="s">
        <v>63</v>
      </c>
      <c r="X314" s="61">
        <v>5</v>
      </c>
      <c r="Y314" s="2"/>
      <c r="Z314" s="61" t="s">
        <v>63</v>
      </c>
      <c r="AA314" s="61">
        <v>3</v>
      </c>
      <c r="AC314" s="61" t="s">
        <v>63</v>
      </c>
      <c r="AD314" s="61">
        <v>6</v>
      </c>
    </row>
    <row r="315" spans="2:30" x14ac:dyDescent="0.25">
      <c r="B315" s="46" t="s">
        <v>65</v>
      </c>
      <c r="C315" s="46">
        <v>5</v>
      </c>
      <c r="D315" s="2"/>
      <c r="E315" s="46" t="s">
        <v>65</v>
      </c>
      <c r="F315" s="46">
        <v>6</v>
      </c>
      <c r="H315" s="46" t="s">
        <v>65</v>
      </c>
      <c r="I315" s="46">
        <v>7</v>
      </c>
      <c r="J315" s="2"/>
      <c r="K315" s="46" t="s">
        <v>65</v>
      </c>
      <c r="L315" s="46">
        <v>8</v>
      </c>
      <c r="N315" s="58" t="s">
        <v>65</v>
      </c>
      <c r="O315" s="58">
        <v>7</v>
      </c>
      <c r="P315" s="2"/>
      <c r="Q315" s="58" t="s">
        <v>65</v>
      </c>
      <c r="R315" s="58">
        <v>8</v>
      </c>
      <c r="S315" s="2"/>
      <c r="T315" s="58" t="s">
        <v>65</v>
      </c>
      <c r="U315" s="58">
        <v>6</v>
      </c>
      <c r="W315" s="61" t="s">
        <v>65</v>
      </c>
      <c r="X315" s="61">
        <v>6</v>
      </c>
      <c r="Y315" s="2"/>
      <c r="Z315" s="61" t="s">
        <v>65</v>
      </c>
      <c r="AA315" s="61">
        <v>5</v>
      </c>
      <c r="AC315" s="61" t="s">
        <v>65</v>
      </c>
      <c r="AD315" s="61">
        <v>9</v>
      </c>
    </row>
    <row r="316" spans="2:30" x14ac:dyDescent="0.25">
      <c r="B316" s="46" t="s">
        <v>67</v>
      </c>
      <c r="C316" s="46">
        <v>7</v>
      </c>
      <c r="D316" s="2"/>
      <c r="E316" s="46" t="s">
        <v>67</v>
      </c>
      <c r="F316" s="46">
        <v>8</v>
      </c>
      <c r="H316" s="46" t="s">
        <v>67</v>
      </c>
      <c r="I316" s="46">
        <v>6</v>
      </c>
      <c r="J316" s="2"/>
      <c r="K316" s="46" t="s">
        <v>67</v>
      </c>
      <c r="L316" s="46">
        <v>5</v>
      </c>
      <c r="N316" s="58" t="s">
        <v>67</v>
      </c>
      <c r="O316" s="58">
        <v>8</v>
      </c>
      <c r="P316" s="2"/>
      <c r="Q316" s="58" t="s">
        <v>67</v>
      </c>
      <c r="R316" s="58">
        <v>9</v>
      </c>
      <c r="S316" s="2"/>
      <c r="T316" s="58" t="s">
        <v>67</v>
      </c>
      <c r="U316" s="58">
        <v>9</v>
      </c>
      <c r="W316" s="61" t="s">
        <v>67</v>
      </c>
      <c r="X316" s="61">
        <v>11</v>
      </c>
      <c r="Y316" s="2"/>
      <c r="Z316" s="61" t="s">
        <v>67</v>
      </c>
      <c r="AA316" s="61">
        <v>12</v>
      </c>
      <c r="AC316" s="61" t="s">
        <v>67</v>
      </c>
      <c r="AD316" s="61">
        <v>11</v>
      </c>
    </row>
    <row r="317" spans="2:30" x14ac:dyDescent="0.25">
      <c r="B317" s="46" t="s">
        <v>69</v>
      </c>
      <c r="C317" s="46">
        <v>9</v>
      </c>
      <c r="D317" s="2"/>
      <c r="E317" s="46" t="s">
        <v>69</v>
      </c>
      <c r="F317" s="46">
        <v>10</v>
      </c>
      <c r="H317" s="46" t="s">
        <v>69</v>
      </c>
      <c r="I317" s="46">
        <v>11</v>
      </c>
      <c r="J317" s="2"/>
      <c r="K317" s="46" t="s">
        <v>69</v>
      </c>
      <c r="L317" s="46">
        <v>12</v>
      </c>
      <c r="N317" s="58" t="s">
        <v>69</v>
      </c>
      <c r="O317" s="58">
        <v>11</v>
      </c>
      <c r="P317" s="2"/>
      <c r="Q317" s="58" t="s">
        <v>69</v>
      </c>
      <c r="R317" s="58">
        <v>12</v>
      </c>
      <c r="S317" s="2"/>
      <c r="T317" s="58" t="s">
        <v>69</v>
      </c>
      <c r="U317" s="58">
        <v>11</v>
      </c>
      <c r="W317" s="61" t="s">
        <v>69</v>
      </c>
      <c r="X317" s="61">
        <v>12</v>
      </c>
      <c r="Y317" s="2"/>
      <c r="Z317" s="61" t="s">
        <v>69</v>
      </c>
      <c r="AA317" s="61">
        <v>13</v>
      </c>
      <c r="AC317" s="61" t="s">
        <v>69</v>
      </c>
      <c r="AD317" s="61">
        <v>14</v>
      </c>
    </row>
    <row r="318" spans="2:30" x14ac:dyDescent="0.25">
      <c r="B318" s="46" t="s">
        <v>70</v>
      </c>
      <c r="C318" s="46">
        <v>11</v>
      </c>
      <c r="D318" s="2"/>
      <c r="E318" s="46" t="s">
        <v>70</v>
      </c>
      <c r="F318" s="46">
        <v>12</v>
      </c>
      <c r="H318" s="46" t="s">
        <v>70</v>
      </c>
      <c r="I318" s="46">
        <v>10</v>
      </c>
      <c r="J318" s="2"/>
      <c r="K318" s="46" t="s">
        <v>70</v>
      </c>
      <c r="L318" s="46">
        <v>9</v>
      </c>
      <c r="N318" s="58" t="s">
        <v>70</v>
      </c>
      <c r="O318" s="58">
        <v>12</v>
      </c>
      <c r="P318" s="2"/>
      <c r="Q318" s="58" t="s">
        <v>70</v>
      </c>
      <c r="R318" s="58">
        <v>13</v>
      </c>
      <c r="S318" s="2"/>
      <c r="T318" s="58" t="s">
        <v>70</v>
      </c>
      <c r="U318" s="58">
        <v>14</v>
      </c>
    </row>
    <row r="319" spans="2:30" x14ac:dyDescent="0.25">
      <c r="B319" s="46" t="s">
        <v>71</v>
      </c>
      <c r="C319" s="46">
        <v>13</v>
      </c>
      <c r="D319" s="2"/>
      <c r="E319" s="46" t="s">
        <v>71</v>
      </c>
      <c r="F319" s="46">
        <v>14</v>
      </c>
      <c r="H319" s="46" t="s">
        <v>71</v>
      </c>
      <c r="I319" s="46">
        <v>13</v>
      </c>
      <c r="J319" s="2"/>
      <c r="K319" s="46" t="s">
        <v>74</v>
      </c>
      <c r="L319" s="46">
        <v>15</v>
      </c>
      <c r="O319" s="2"/>
      <c r="R319" s="2"/>
    </row>
    <row r="320" spans="2:30" x14ac:dyDescent="0.25">
      <c r="B320" s="46" t="s">
        <v>72</v>
      </c>
      <c r="C320" s="46">
        <v>14</v>
      </c>
      <c r="D320" s="2"/>
      <c r="H320" s="2"/>
      <c r="I320" s="2"/>
      <c r="O320" s="2"/>
      <c r="R320" s="2"/>
      <c r="W320" s="61" t="s">
        <v>62</v>
      </c>
      <c r="X320" s="61">
        <v>4</v>
      </c>
      <c r="Y320" s="2"/>
      <c r="Z320" s="61" t="s">
        <v>62</v>
      </c>
      <c r="AA320" s="61">
        <v>1</v>
      </c>
      <c r="AC320" s="61" t="s">
        <v>62</v>
      </c>
      <c r="AD320" s="61">
        <v>2</v>
      </c>
    </row>
    <row r="321" spans="2:30" x14ac:dyDescent="0.25">
      <c r="N321" s="58" t="s">
        <v>62</v>
      </c>
      <c r="O321" s="58">
        <v>4</v>
      </c>
      <c r="P321" s="2"/>
      <c r="Q321" s="58" t="s">
        <v>62</v>
      </c>
      <c r="R321" s="58">
        <v>1</v>
      </c>
      <c r="W321" s="61" t="s">
        <v>63</v>
      </c>
      <c r="X321" s="61">
        <v>7</v>
      </c>
      <c r="Y321" s="2"/>
      <c r="Z321" s="61" t="s">
        <v>63</v>
      </c>
      <c r="AA321" s="61">
        <v>4</v>
      </c>
      <c r="AC321" s="61" t="s">
        <v>63</v>
      </c>
      <c r="AD321" s="61">
        <v>8</v>
      </c>
    </row>
    <row r="322" spans="2:30" x14ac:dyDescent="0.25">
      <c r="N322" s="58" t="s">
        <v>63</v>
      </c>
      <c r="O322" s="58">
        <v>6</v>
      </c>
      <c r="P322" s="2"/>
      <c r="Q322" s="58" t="s">
        <v>63</v>
      </c>
      <c r="R322" s="58">
        <v>4</v>
      </c>
      <c r="W322" s="61" t="s">
        <v>65</v>
      </c>
      <c r="X322" s="61">
        <v>8</v>
      </c>
      <c r="Y322" s="2"/>
      <c r="Z322" s="61" t="s">
        <v>65</v>
      </c>
      <c r="AA322" s="61">
        <v>7</v>
      </c>
      <c r="AC322" s="61" t="s">
        <v>65</v>
      </c>
      <c r="AD322" s="61">
        <v>10</v>
      </c>
    </row>
    <row r="323" spans="2:30" x14ac:dyDescent="0.25">
      <c r="N323" s="58" t="s">
        <v>65</v>
      </c>
      <c r="O323" s="58">
        <v>5</v>
      </c>
      <c r="P323" s="2"/>
      <c r="Q323" s="58" t="s">
        <v>65</v>
      </c>
      <c r="R323" s="58">
        <v>7</v>
      </c>
      <c r="W323" s="61" t="s">
        <v>67</v>
      </c>
      <c r="X323" s="61">
        <v>10</v>
      </c>
      <c r="Y323" s="2"/>
      <c r="Z323" s="61" t="s">
        <v>67</v>
      </c>
      <c r="AA323" s="61">
        <v>9</v>
      </c>
      <c r="AC323" s="61" t="s">
        <v>67</v>
      </c>
      <c r="AD323" s="61">
        <v>13</v>
      </c>
    </row>
    <row r="324" spans="2:30" x14ac:dyDescent="0.25">
      <c r="N324" s="58" t="s">
        <v>67</v>
      </c>
      <c r="O324" s="58">
        <v>10</v>
      </c>
      <c r="P324" s="2"/>
      <c r="Q324" s="58" t="s">
        <v>67</v>
      </c>
      <c r="R324" s="58">
        <v>10</v>
      </c>
      <c r="W324" s="61" t="s">
        <v>69</v>
      </c>
      <c r="X324" s="61">
        <v>14</v>
      </c>
      <c r="Y324" s="2"/>
      <c r="Z324" s="61" t="s">
        <v>74</v>
      </c>
      <c r="AA324" s="61">
        <v>15</v>
      </c>
      <c r="AC324" s="2"/>
      <c r="AD324" s="2"/>
    </row>
    <row r="325" spans="2:30" x14ac:dyDescent="0.25">
      <c r="N325" s="58" t="s">
        <v>69</v>
      </c>
      <c r="O325" s="58">
        <v>13</v>
      </c>
      <c r="P325" s="2"/>
      <c r="Q325" s="58" t="s">
        <v>69</v>
      </c>
      <c r="R325" s="58">
        <v>14</v>
      </c>
    </row>
    <row r="326" spans="2:30" x14ac:dyDescent="0.25">
      <c r="N326" s="58" t="s">
        <v>70</v>
      </c>
      <c r="O326" s="58">
        <v>15</v>
      </c>
      <c r="P326" s="2"/>
      <c r="Q326" s="2"/>
      <c r="R326" s="2"/>
    </row>
    <row r="329" spans="2:30" ht="26.25" x14ac:dyDescent="0.25">
      <c r="B329" s="101" t="s">
        <v>117</v>
      </c>
      <c r="C329" s="101"/>
      <c r="D329" s="101"/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  <c r="AA329" s="101"/>
      <c r="AB329" s="101"/>
      <c r="AC329" s="101"/>
      <c r="AD329" s="101"/>
    </row>
    <row r="331" spans="2:30" x14ac:dyDescent="0.25">
      <c r="B331" s="46" t="s">
        <v>62</v>
      </c>
      <c r="C331" s="46">
        <v>1</v>
      </c>
      <c r="D331" s="2"/>
      <c r="E331" s="46" t="s">
        <v>62</v>
      </c>
      <c r="F331" s="46">
        <v>2</v>
      </c>
      <c r="H331" s="46" t="s">
        <v>62</v>
      </c>
      <c r="I331" s="46">
        <v>3</v>
      </c>
      <c r="J331" s="2"/>
      <c r="K331" s="46" t="s">
        <v>62</v>
      </c>
      <c r="L331" s="46">
        <v>4</v>
      </c>
      <c r="N331" s="58" t="s">
        <v>62</v>
      </c>
      <c r="O331" s="58">
        <v>1</v>
      </c>
      <c r="P331" s="2"/>
      <c r="Q331" s="58" t="s">
        <v>62</v>
      </c>
      <c r="R331" s="58">
        <v>2</v>
      </c>
      <c r="T331" s="58" t="s">
        <v>62</v>
      </c>
      <c r="U331" s="58">
        <v>3</v>
      </c>
      <c r="W331" s="61" t="s">
        <v>62</v>
      </c>
      <c r="X331" s="61">
        <v>1</v>
      </c>
      <c r="Y331" s="2"/>
      <c r="Z331" s="61" t="s">
        <v>62</v>
      </c>
      <c r="AA331" s="61">
        <v>2</v>
      </c>
      <c r="AC331" s="61" t="s">
        <v>62</v>
      </c>
      <c r="AD331" s="61">
        <v>3</v>
      </c>
    </row>
    <row r="332" spans="2:30" x14ac:dyDescent="0.25">
      <c r="B332" s="46" t="s">
        <v>63</v>
      </c>
      <c r="C332" s="46">
        <v>3</v>
      </c>
      <c r="D332" s="2"/>
      <c r="E332" s="46" t="s">
        <v>63</v>
      </c>
      <c r="F332" s="46">
        <v>4</v>
      </c>
      <c r="H332" s="46" t="s">
        <v>63</v>
      </c>
      <c r="I332" s="46">
        <v>2</v>
      </c>
      <c r="J332" s="2"/>
      <c r="K332" s="46" t="s">
        <v>63</v>
      </c>
      <c r="L332" s="46">
        <v>1</v>
      </c>
      <c r="N332" s="58" t="s">
        <v>63</v>
      </c>
      <c r="O332" s="58">
        <v>2</v>
      </c>
      <c r="P332" s="2"/>
      <c r="Q332" s="58" t="s">
        <v>63</v>
      </c>
      <c r="R332" s="58">
        <v>3</v>
      </c>
      <c r="T332" s="58" t="s">
        <v>63</v>
      </c>
      <c r="U332" s="58">
        <v>5</v>
      </c>
      <c r="W332" s="61" t="s">
        <v>63</v>
      </c>
      <c r="X332" s="61">
        <v>5</v>
      </c>
      <c r="Y332" s="2"/>
      <c r="Z332" s="61" t="s">
        <v>63</v>
      </c>
      <c r="AA332" s="61">
        <v>3</v>
      </c>
      <c r="AC332" s="61" t="s">
        <v>63</v>
      </c>
      <c r="AD332" s="61">
        <v>6</v>
      </c>
    </row>
    <row r="333" spans="2:30" x14ac:dyDescent="0.25">
      <c r="B333" s="46" t="s">
        <v>65</v>
      </c>
      <c r="C333" s="46">
        <v>5</v>
      </c>
      <c r="D333" s="2"/>
      <c r="E333" s="46" t="s">
        <v>65</v>
      </c>
      <c r="F333" s="46">
        <v>6</v>
      </c>
      <c r="H333" s="46" t="s">
        <v>65</v>
      </c>
      <c r="I333" s="46">
        <v>7</v>
      </c>
      <c r="J333" s="2"/>
      <c r="K333" s="46" t="s">
        <v>65</v>
      </c>
      <c r="L333" s="46">
        <v>8</v>
      </c>
      <c r="N333" s="58" t="s">
        <v>65</v>
      </c>
      <c r="O333" s="58">
        <v>7</v>
      </c>
      <c r="P333" s="2"/>
      <c r="Q333" s="58" t="s">
        <v>65</v>
      </c>
      <c r="R333" s="58">
        <v>8</v>
      </c>
      <c r="T333" s="58" t="s">
        <v>65</v>
      </c>
      <c r="U333" s="58">
        <v>6</v>
      </c>
      <c r="W333" s="61" t="s">
        <v>65</v>
      </c>
      <c r="X333" s="61">
        <v>6</v>
      </c>
      <c r="Y333" s="2"/>
      <c r="Z333" s="61" t="s">
        <v>65</v>
      </c>
      <c r="AA333" s="61">
        <v>5</v>
      </c>
      <c r="AC333" s="61" t="s">
        <v>65</v>
      </c>
      <c r="AD333" s="61">
        <v>9</v>
      </c>
    </row>
    <row r="334" spans="2:30" x14ac:dyDescent="0.25">
      <c r="B334" s="46" t="s">
        <v>67</v>
      </c>
      <c r="C334" s="46">
        <v>7</v>
      </c>
      <c r="D334" s="2"/>
      <c r="E334" s="46" t="s">
        <v>67</v>
      </c>
      <c r="F334" s="46">
        <v>8</v>
      </c>
      <c r="H334" s="46" t="s">
        <v>67</v>
      </c>
      <c r="I334" s="46">
        <v>6</v>
      </c>
      <c r="J334" s="2"/>
      <c r="K334" s="46" t="s">
        <v>67</v>
      </c>
      <c r="L334" s="46">
        <v>5</v>
      </c>
      <c r="N334" s="58" t="s">
        <v>67</v>
      </c>
      <c r="O334" s="58">
        <v>8</v>
      </c>
      <c r="P334" s="2"/>
      <c r="Q334" s="58" t="s">
        <v>67</v>
      </c>
      <c r="R334" s="58">
        <v>9</v>
      </c>
      <c r="T334" s="58" t="s">
        <v>67</v>
      </c>
      <c r="U334" s="58">
        <v>9</v>
      </c>
      <c r="W334" s="61" t="s">
        <v>67</v>
      </c>
      <c r="X334" s="61">
        <v>11</v>
      </c>
      <c r="Y334" s="2"/>
      <c r="Z334" s="61" t="s">
        <v>67</v>
      </c>
      <c r="AA334" s="61">
        <v>12</v>
      </c>
      <c r="AC334" s="61" t="s">
        <v>67</v>
      </c>
      <c r="AD334" s="61">
        <v>11</v>
      </c>
    </row>
    <row r="335" spans="2:30" x14ac:dyDescent="0.25">
      <c r="B335" s="46" t="s">
        <v>69</v>
      </c>
      <c r="C335" s="46">
        <v>9</v>
      </c>
      <c r="D335" s="2"/>
      <c r="E335" s="46" t="s">
        <v>69</v>
      </c>
      <c r="F335" s="46">
        <v>10</v>
      </c>
      <c r="H335" s="46" t="s">
        <v>69</v>
      </c>
      <c r="I335" s="46">
        <v>11</v>
      </c>
      <c r="J335" s="2"/>
      <c r="K335" s="46" t="s">
        <v>69</v>
      </c>
      <c r="L335" s="46">
        <v>12</v>
      </c>
      <c r="N335" s="58" t="s">
        <v>69</v>
      </c>
      <c r="O335" s="58">
        <v>11</v>
      </c>
      <c r="P335" s="2"/>
      <c r="Q335" s="58" t="s">
        <v>69</v>
      </c>
      <c r="R335" s="58">
        <v>12</v>
      </c>
      <c r="T335" s="58" t="s">
        <v>69</v>
      </c>
      <c r="U335" s="58">
        <v>11</v>
      </c>
      <c r="W335" s="61" t="s">
        <v>69</v>
      </c>
      <c r="X335" s="61">
        <v>12</v>
      </c>
      <c r="Y335" s="2"/>
      <c r="Z335" s="61" t="s">
        <v>69</v>
      </c>
      <c r="AA335" s="61">
        <v>13</v>
      </c>
      <c r="AC335" s="61" t="s">
        <v>69</v>
      </c>
      <c r="AD335" s="61">
        <v>14</v>
      </c>
    </row>
    <row r="336" spans="2:30" x14ac:dyDescent="0.25">
      <c r="B336" s="46" t="s">
        <v>70</v>
      </c>
      <c r="C336" s="46">
        <v>11</v>
      </c>
      <c r="D336" s="2"/>
      <c r="E336" s="46" t="s">
        <v>70</v>
      </c>
      <c r="F336" s="46">
        <v>12</v>
      </c>
      <c r="H336" s="46" t="s">
        <v>70</v>
      </c>
      <c r="I336" s="46">
        <v>10</v>
      </c>
      <c r="J336" s="2"/>
      <c r="K336" s="46" t="s">
        <v>70</v>
      </c>
      <c r="L336" s="46">
        <v>9</v>
      </c>
      <c r="N336" s="58" t="s">
        <v>70</v>
      </c>
      <c r="O336" s="58">
        <v>12</v>
      </c>
      <c r="P336" s="2"/>
      <c r="Q336" s="58" t="s">
        <v>70</v>
      </c>
      <c r="R336" s="58">
        <v>13</v>
      </c>
      <c r="T336" s="58" t="s">
        <v>70</v>
      </c>
      <c r="U336" s="58">
        <v>14</v>
      </c>
      <c r="X336" s="2"/>
      <c r="AA336" s="2"/>
      <c r="AD336" s="2"/>
    </row>
    <row r="337" spans="2:30" x14ac:dyDescent="0.25">
      <c r="B337" s="46" t="s">
        <v>71</v>
      </c>
      <c r="C337" s="46">
        <v>13</v>
      </c>
      <c r="D337" s="2"/>
      <c r="E337" s="46" t="s">
        <v>71</v>
      </c>
      <c r="F337" s="46">
        <v>14</v>
      </c>
      <c r="H337" s="46" t="s">
        <v>71</v>
      </c>
      <c r="I337" s="46">
        <v>15</v>
      </c>
      <c r="J337" s="2"/>
      <c r="K337" s="46" t="s">
        <v>71</v>
      </c>
      <c r="L337" s="46">
        <v>15</v>
      </c>
      <c r="X337" s="2"/>
      <c r="AA337" s="2"/>
      <c r="AD337" s="2"/>
    </row>
    <row r="338" spans="2:30" x14ac:dyDescent="0.25">
      <c r="B338" s="46" t="s">
        <v>72</v>
      </c>
      <c r="C338" s="46">
        <v>14</v>
      </c>
      <c r="D338" s="2"/>
      <c r="E338" s="46" t="s">
        <v>72</v>
      </c>
      <c r="F338" s="46">
        <v>13</v>
      </c>
      <c r="H338" s="2"/>
      <c r="I338" s="2"/>
      <c r="W338" s="61" t="s">
        <v>62</v>
      </c>
      <c r="X338" s="61">
        <v>4</v>
      </c>
      <c r="Y338" s="2"/>
      <c r="Z338" s="61" t="s">
        <v>62</v>
      </c>
      <c r="AA338" s="61">
        <v>1</v>
      </c>
      <c r="AC338" s="61" t="s">
        <v>62</v>
      </c>
      <c r="AD338" s="61">
        <v>2</v>
      </c>
    </row>
    <row r="339" spans="2:30" x14ac:dyDescent="0.25">
      <c r="N339" s="58" t="s">
        <v>62</v>
      </c>
      <c r="O339" s="58">
        <v>4</v>
      </c>
      <c r="P339" s="2"/>
      <c r="Q339" s="58" t="s">
        <v>62</v>
      </c>
      <c r="R339" s="58">
        <v>1</v>
      </c>
      <c r="W339" s="61" t="s">
        <v>63</v>
      </c>
      <c r="X339" s="61">
        <v>7</v>
      </c>
      <c r="Y339" s="2"/>
      <c r="Z339" s="61" t="s">
        <v>63</v>
      </c>
      <c r="AA339" s="61">
        <v>4</v>
      </c>
      <c r="AC339" s="61" t="s">
        <v>63</v>
      </c>
      <c r="AD339" s="61">
        <v>8</v>
      </c>
    </row>
    <row r="340" spans="2:30" x14ac:dyDescent="0.25">
      <c r="N340" s="58" t="s">
        <v>63</v>
      </c>
      <c r="O340" s="58">
        <v>6</v>
      </c>
      <c r="P340" s="2"/>
      <c r="Q340" s="58" t="s">
        <v>63</v>
      </c>
      <c r="R340" s="58">
        <v>4</v>
      </c>
      <c r="W340" s="61" t="s">
        <v>65</v>
      </c>
      <c r="X340" s="61">
        <v>8</v>
      </c>
      <c r="Y340" s="2"/>
      <c r="Z340" s="61" t="s">
        <v>65</v>
      </c>
      <c r="AA340" s="61">
        <v>7</v>
      </c>
      <c r="AC340" s="61" t="s">
        <v>65</v>
      </c>
      <c r="AD340" s="61">
        <v>10</v>
      </c>
    </row>
    <row r="341" spans="2:30" x14ac:dyDescent="0.25">
      <c r="N341" s="58" t="s">
        <v>65</v>
      </c>
      <c r="O341" s="58">
        <v>5</v>
      </c>
      <c r="P341" s="2"/>
      <c r="Q341" s="58" t="s">
        <v>65</v>
      </c>
      <c r="R341" s="58">
        <v>7</v>
      </c>
      <c r="W341" s="61" t="s">
        <v>67</v>
      </c>
      <c r="X341" s="61">
        <v>10</v>
      </c>
      <c r="Y341" s="2"/>
      <c r="Z341" s="61" t="s">
        <v>67</v>
      </c>
      <c r="AA341" s="61">
        <v>9</v>
      </c>
      <c r="AC341" s="61" t="s">
        <v>67</v>
      </c>
      <c r="AD341" s="61">
        <v>13</v>
      </c>
    </row>
    <row r="342" spans="2:30" x14ac:dyDescent="0.25">
      <c r="N342" s="58" t="s">
        <v>67</v>
      </c>
      <c r="O342" s="58">
        <v>10</v>
      </c>
      <c r="P342" s="2"/>
      <c r="Q342" s="58" t="s">
        <v>67</v>
      </c>
      <c r="R342" s="58">
        <v>10</v>
      </c>
      <c r="W342" s="61" t="s">
        <v>69</v>
      </c>
      <c r="X342" s="61">
        <v>14</v>
      </c>
      <c r="Y342" s="2"/>
      <c r="Z342" s="61" t="s">
        <v>69</v>
      </c>
      <c r="AA342" s="61">
        <v>15</v>
      </c>
      <c r="AC342" s="61" t="s">
        <v>69</v>
      </c>
      <c r="AD342" s="61">
        <v>15</v>
      </c>
    </row>
    <row r="343" spans="2:30" x14ac:dyDescent="0.25">
      <c r="N343" s="58" t="s">
        <v>69</v>
      </c>
      <c r="O343" s="58">
        <v>13</v>
      </c>
      <c r="P343" s="2"/>
      <c r="Q343" s="58" t="s">
        <v>69</v>
      </c>
      <c r="R343" s="58">
        <v>14</v>
      </c>
    </row>
    <row r="344" spans="2:30" x14ac:dyDescent="0.25">
      <c r="N344" s="58" t="s">
        <v>70</v>
      </c>
      <c r="O344" s="58">
        <v>15</v>
      </c>
      <c r="P344" s="2"/>
      <c r="Q344" s="58" t="s">
        <v>70</v>
      </c>
      <c r="R344" s="58">
        <v>15</v>
      </c>
    </row>
    <row r="346" spans="2:30" ht="26.25" x14ac:dyDescent="0.25">
      <c r="B346" s="101" t="s">
        <v>118</v>
      </c>
      <c r="C346" s="101"/>
      <c r="D346" s="101"/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  <c r="AA346" s="101"/>
      <c r="AB346" s="101"/>
      <c r="AC346" s="101"/>
      <c r="AD346" s="101"/>
    </row>
    <row r="348" spans="2:30" x14ac:dyDescent="0.25">
      <c r="B348" s="46" t="s">
        <v>62</v>
      </c>
      <c r="C348" s="46">
        <v>1</v>
      </c>
      <c r="D348" s="2"/>
      <c r="E348" s="46" t="s">
        <v>62</v>
      </c>
      <c r="F348" s="46">
        <v>2</v>
      </c>
      <c r="H348" s="46" t="s">
        <v>62</v>
      </c>
      <c r="I348" s="46">
        <v>3</v>
      </c>
      <c r="J348" s="2"/>
      <c r="K348" s="46" t="s">
        <v>62</v>
      </c>
      <c r="L348" s="46">
        <v>4</v>
      </c>
      <c r="N348" s="58" t="s">
        <v>62</v>
      </c>
      <c r="O348" s="58">
        <v>1</v>
      </c>
      <c r="P348" s="2"/>
      <c r="Q348" s="58" t="s">
        <v>62</v>
      </c>
      <c r="R348" s="58">
        <v>2</v>
      </c>
      <c r="S348" s="2"/>
      <c r="T348" s="58" t="s">
        <v>62</v>
      </c>
      <c r="U348" s="58">
        <v>3</v>
      </c>
      <c r="V348" s="2"/>
      <c r="W348" s="62" t="s">
        <v>62</v>
      </c>
      <c r="X348" s="63">
        <v>1</v>
      </c>
      <c r="Y348" s="2"/>
      <c r="Z348" s="63" t="s">
        <v>62</v>
      </c>
      <c r="AA348" s="63">
        <v>2</v>
      </c>
      <c r="AB348" s="2"/>
      <c r="AC348" s="63" t="s">
        <v>62</v>
      </c>
      <c r="AD348" s="64">
        <v>3</v>
      </c>
    </row>
    <row r="349" spans="2:30" x14ac:dyDescent="0.25">
      <c r="B349" s="46" t="s">
        <v>63</v>
      </c>
      <c r="C349" s="46">
        <v>3</v>
      </c>
      <c r="D349" s="2"/>
      <c r="E349" s="46" t="s">
        <v>63</v>
      </c>
      <c r="F349" s="46">
        <v>4</v>
      </c>
      <c r="H349" s="46" t="s">
        <v>63</v>
      </c>
      <c r="I349" s="46">
        <v>2</v>
      </c>
      <c r="J349" s="2"/>
      <c r="K349" s="46" t="s">
        <v>63</v>
      </c>
      <c r="L349" s="46">
        <v>1</v>
      </c>
      <c r="N349" s="58" t="s">
        <v>63</v>
      </c>
      <c r="O349" s="58">
        <v>2</v>
      </c>
      <c r="P349" s="2"/>
      <c r="Q349" s="58" t="s">
        <v>63</v>
      </c>
      <c r="R349" s="58">
        <v>3</v>
      </c>
      <c r="T349" s="58" t="s">
        <v>63</v>
      </c>
      <c r="U349" s="58">
        <v>5</v>
      </c>
      <c r="V349" s="2"/>
      <c r="W349" s="63" t="s">
        <v>63</v>
      </c>
      <c r="X349" s="63">
        <v>5</v>
      </c>
      <c r="Y349" s="2"/>
      <c r="Z349" s="63" t="s">
        <v>63</v>
      </c>
      <c r="AA349" s="63">
        <v>3</v>
      </c>
      <c r="AC349" s="63" t="s">
        <v>63</v>
      </c>
      <c r="AD349" s="63">
        <v>6</v>
      </c>
    </row>
    <row r="350" spans="2:30" x14ac:dyDescent="0.25">
      <c r="B350" s="46" t="s">
        <v>65</v>
      </c>
      <c r="C350" s="46">
        <v>5</v>
      </c>
      <c r="D350" s="2"/>
      <c r="E350" s="46" t="s">
        <v>65</v>
      </c>
      <c r="F350" s="46">
        <v>6</v>
      </c>
      <c r="H350" s="46" t="s">
        <v>65</v>
      </c>
      <c r="I350" s="46">
        <v>7</v>
      </c>
      <c r="J350" s="2"/>
      <c r="K350" s="46" t="s">
        <v>65</v>
      </c>
      <c r="L350" s="46">
        <v>8</v>
      </c>
      <c r="N350" s="58" t="s">
        <v>65</v>
      </c>
      <c r="O350" s="58">
        <v>7</v>
      </c>
      <c r="P350" s="2"/>
      <c r="Q350" s="58" t="s">
        <v>65</v>
      </c>
      <c r="R350" s="58">
        <v>8</v>
      </c>
      <c r="T350" s="58" t="s">
        <v>65</v>
      </c>
      <c r="U350" s="58">
        <v>6</v>
      </c>
      <c r="V350" s="2"/>
      <c r="W350" s="63" t="s">
        <v>65</v>
      </c>
      <c r="X350" s="63">
        <v>6</v>
      </c>
      <c r="Y350" s="2"/>
      <c r="Z350" s="63" t="s">
        <v>65</v>
      </c>
      <c r="AA350" s="63">
        <v>5</v>
      </c>
      <c r="AC350" s="63" t="s">
        <v>65</v>
      </c>
      <c r="AD350" s="63">
        <v>9</v>
      </c>
    </row>
    <row r="351" spans="2:30" x14ac:dyDescent="0.25">
      <c r="B351" s="46" t="s">
        <v>67</v>
      </c>
      <c r="C351" s="46">
        <v>7</v>
      </c>
      <c r="D351" s="2"/>
      <c r="E351" s="46" t="s">
        <v>67</v>
      </c>
      <c r="F351" s="46">
        <v>8</v>
      </c>
      <c r="H351" s="46" t="s">
        <v>67</v>
      </c>
      <c r="I351" s="46">
        <v>6</v>
      </c>
      <c r="J351" s="2"/>
      <c r="K351" s="46" t="s">
        <v>67</v>
      </c>
      <c r="L351" s="46">
        <v>5</v>
      </c>
      <c r="N351" s="58" t="s">
        <v>67</v>
      </c>
      <c r="O351" s="58">
        <v>8</v>
      </c>
      <c r="P351" s="2"/>
      <c r="Q351" s="58" t="s">
        <v>67</v>
      </c>
      <c r="R351" s="58">
        <v>9</v>
      </c>
      <c r="T351" s="58" t="s">
        <v>67</v>
      </c>
      <c r="U351" s="58">
        <v>9</v>
      </c>
      <c r="V351" s="2"/>
      <c r="W351" s="63" t="s">
        <v>67</v>
      </c>
      <c r="X351" s="63">
        <v>11</v>
      </c>
      <c r="Y351" s="2"/>
      <c r="Z351" s="63" t="s">
        <v>67</v>
      </c>
      <c r="AA351" s="63">
        <v>12</v>
      </c>
      <c r="AC351" s="63" t="s">
        <v>67</v>
      </c>
      <c r="AD351" s="63">
        <v>11</v>
      </c>
    </row>
    <row r="352" spans="2:30" x14ac:dyDescent="0.25">
      <c r="B352" s="46" t="s">
        <v>69</v>
      </c>
      <c r="C352" s="46">
        <v>9</v>
      </c>
      <c r="D352" s="2"/>
      <c r="E352" s="46" t="s">
        <v>69</v>
      </c>
      <c r="F352" s="46">
        <v>10</v>
      </c>
      <c r="H352" s="46" t="s">
        <v>69</v>
      </c>
      <c r="I352" s="46">
        <v>11</v>
      </c>
      <c r="J352" s="2"/>
      <c r="K352" s="46" t="s">
        <v>69</v>
      </c>
      <c r="L352" s="46">
        <v>12</v>
      </c>
      <c r="N352" s="58" t="s">
        <v>69</v>
      </c>
      <c r="O352" s="58">
        <v>11</v>
      </c>
      <c r="P352" s="2"/>
      <c r="Q352" s="58" t="s">
        <v>69</v>
      </c>
      <c r="R352" s="58">
        <v>12</v>
      </c>
      <c r="T352" s="58" t="s">
        <v>69</v>
      </c>
      <c r="U352" s="58">
        <v>11</v>
      </c>
      <c r="V352" s="2"/>
      <c r="W352" s="63" t="s">
        <v>69</v>
      </c>
      <c r="X352" s="63">
        <v>12</v>
      </c>
      <c r="Y352" s="2"/>
      <c r="Z352" s="63" t="s">
        <v>69</v>
      </c>
      <c r="AA352" s="63">
        <v>13</v>
      </c>
      <c r="AC352" s="63" t="s">
        <v>69</v>
      </c>
      <c r="AD352" s="63">
        <v>14</v>
      </c>
    </row>
    <row r="353" spans="2:30" x14ac:dyDescent="0.25">
      <c r="B353" s="46" t="s">
        <v>70</v>
      </c>
      <c r="C353" s="46">
        <v>11</v>
      </c>
      <c r="D353" s="2"/>
      <c r="E353" s="46" t="s">
        <v>70</v>
      </c>
      <c r="F353" s="46">
        <v>12</v>
      </c>
      <c r="H353" s="46" t="s">
        <v>70</v>
      </c>
      <c r="I353" s="46">
        <v>10</v>
      </c>
      <c r="J353" s="2"/>
      <c r="K353" s="46" t="s">
        <v>70</v>
      </c>
      <c r="L353" s="46">
        <v>9</v>
      </c>
      <c r="N353" s="58" t="s">
        <v>70</v>
      </c>
      <c r="O353" s="58">
        <v>12</v>
      </c>
      <c r="P353" s="2"/>
      <c r="Q353" s="58" t="s">
        <v>70</v>
      </c>
      <c r="R353" s="58">
        <v>13</v>
      </c>
      <c r="T353" s="58" t="s">
        <v>70</v>
      </c>
      <c r="U353" s="58">
        <v>14</v>
      </c>
      <c r="V353" s="2"/>
      <c r="W353" s="63" t="s">
        <v>70</v>
      </c>
      <c r="X353" s="63">
        <v>15</v>
      </c>
      <c r="Z353" s="2"/>
      <c r="AA353" s="2"/>
    </row>
    <row r="354" spans="2:30" x14ac:dyDescent="0.25">
      <c r="B354" s="46" t="s">
        <v>71</v>
      </c>
      <c r="C354" s="46">
        <v>13</v>
      </c>
      <c r="D354" s="2"/>
      <c r="E354" s="46" t="s">
        <v>71</v>
      </c>
      <c r="F354" s="46">
        <v>14</v>
      </c>
      <c r="H354" s="46" t="s">
        <v>71</v>
      </c>
      <c r="I354" s="46">
        <v>15</v>
      </c>
      <c r="J354" s="2"/>
      <c r="K354" s="46" t="s">
        <v>71</v>
      </c>
      <c r="L354" s="46">
        <v>16</v>
      </c>
      <c r="N354" s="58" t="s">
        <v>71</v>
      </c>
      <c r="O354" s="58">
        <v>15</v>
      </c>
      <c r="Q354" s="2"/>
      <c r="R354" s="2"/>
    </row>
    <row r="355" spans="2:30" x14ac:dyDescent="0.25">
      <c r="B355" s="46" t="s">
        <v>72</v>
      </c>
      <c r="C355" s="46">
        <v>15</v>
      </c>
      <c r="D355" s="2"/>
      <c r="E355" s="46" t="s">
        <v>72</v>
      </c>
      <c r="F355" s="46">
        <v>16</v>
      </c>
      <c r="H355" s="46" t="s">
        <v>72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62</v>
      </c>
      <c r="X356" s="63">
        <v>4</v>
      </c>
      <c r="Y356" s="2"/>
      <c r="Z356" s="63" t="s">
        <v>62</v>
      </c>
      <c r="AA356" s="63">
        <v>1</v>
      </c>
      <c r="AB356" s="2"/>
      <c r="AC356" s="63" t="s">
        <v>62</v>
      </c>
      <c r="AD356" s="64">
        <v>2</v>
      </c>
    </row>
    <row r="357" spans="2:30" x14ac:dyDescent="0.25">
      <c r="N357" s="58" t="s">
        <v>62</v>
      </c>
      <c r="O357" s="58">
        <v>4</v>
      </c>
      <c r="P357" s="2"/>
      <c r="Q357" s="58" t="s">
        <v>62</v>
      </c>
      <c r="R357" s="58">
        <v>1</v>
      </c>
      <c r="W357" s="63" t="s">
        <v>63</v>
      </c>
      <c r="X357" s="63">
        <v>7</v>
      </c>
      <c r="Y357" s="2"/>
      <c r="Z357" s="63" t="s">
        <v>63</v>
      </c>
      <c r="AA357" s="63">
        <v>4</v>
      </c>
      <c r="AC357" s="63" t="s">
        <v>63</v>
      </c>
      <c r="AD357" s="63">
        <v>8</v>
      </c>
    </row>
    <row r="358" spans="2:30" x14ac:dyDescent="0.25">
      <c r="N358" s="58" t="s">
        <v>63</v>
      </c>
      <c r="O358" s="58">
        <v>6</v>
      </c>
      <c r="Q358" s="58" t="s">
        <v>63</v>
      </c>
      <c r="R358" s="58">
        <v>4</v>
      </c>
      <c r="W358" s="63" t="s">
        <v>65</v>
      </c>
      <c r="X358" s="63">
        <v>8</v>
      </c>
      <c r="Y358" s="2"/>
      <c r="Z358" s="63" t="s">
        <v>65</v>
      </c>
      <c r="AA358" s="63">
        <v>7</v>
      </c>
      <c r="AC358" s="63" t="s">
        <v>65</v>
      </c>
      <c r="AD358" s="63">
        <v>10</v>
      </c>
    </row>
    <row r="359" spans="2:30" x14ac:dyDescent="0.25">
      <c r="N359" s="58" t="s">
        <v>65</v>
      </c>
      <c r="O359" s="58">
        <v>5</v>
      </c>
      <c r="Q359" s="58" t="s">
        <v>65</v>
      </c>
      <c r="R359" s="58">
        <v>7</v>
      </c>
      <c r="W359" s="63" t="s">
        <v>67</v>
      </c>
      <c r="X359" s="63">
        <v>10</v>
      </c>
      <c r="Y359" s="2"/>
      <c r="Z359" s="63" t="s">
        <v>67</v>
      </c>
      <c r="AA359" s="63">
        <v>9</v>
      </c>
      <c r="AC359" s="63" t="s">
        <v>67</v>
      </c>
      <c r="AD359" s="63">
        <v>13</v>
      </c>
    </row>
    <row r="360" spans="2:30" x14ac:dyDescent="0.25">
      <c r="N360" s="58" t="s">
        <v>67</v>
      </c>
      <c r="O360" s="58">
        <v>10</v>
      </c>
      <c r="Q360" s="58" t="s">
        <v>67</v>
      </c>
      <c r="R360" s="58">
        <v>10</v>
      </c>
      <c r="W360" s="63" t="s">
        <v>69</v>
      </c>
      <c r="X360" s="63">
        <v>14</v>
      </c>
      <c r="Y360" s="2"/>
      <c r="Z360" s="63" t="s">
        <v>69</v>
      </c>
      <c r="AA360" s="63">
        <v>15</v>
      </c>
      <c r="AC360" s="63" t="s">
        <v>74</v>
      </c>
      <c r="AD360" s="63">
        <v>16</v>
      </c>
    </row>
    <row r="361" spans="2:30" x14ac:dyDescent="0.25">
      <c r="N361" s="58" t="s">
        <v>69</v>
      </c>
      <c r="O361" s="58">
        <v>13</v>
      </c>
      <c r="Q361" s="58" t="s">
        <v>69</v>
      </c>
      <c r="R361" s="58">
        <v>14</v>
      </c>
    </row>
    <row r="362" spans="2:30" x14ac:dyDescent="0.25">
      <c r="N362" s="58" t="s">
        <v>70</v>
      </c>
      <c r="O362" s="58">
        <v>15</v>
      </c>
      <c r="Q362" s="58" t="s">
        <v>119</v>
      </c>
      <c r="R362" s="58">
        <v>16</v>
      </c>
    </row>
    <row r="365" spans="2:30" ht="26.25" x14ac:dyDescent="0.25">
      <c r="B365" s="101" t="s">
        <v>120</v>
      </c>
      <c r="C365" s="101"/>
      <c r="D365" s="101"/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  <c r="AA365" s="101"/>
      <c r="AB365" s="101"/>
      <c r="AC365" s="101"/>
      <c r="AD365" s="101"/>
    </row>
    <row r="367" spans="2:30" x14ac:dyDescent="0.25">
      <c r="B367" s="46" t="s">
        <v>62</v>
      </c>
      <c r="C367" s="46">
        <v>1</v>
      </c>
      <c r="D367" s="2"/>
      <c r="E367" s="46" t="s">
        <v>62</v>
      </c>
      <c r="F367" s="46">
        <v>2</v>
      </c>
      <c r="H367" s="46" t="s">
        <v>62</v>
      </c>
      <c r="I367" s="46">
        <v>3</v>
      </c>
      <c r="J367" s="2"/>
      <c r="K367" s="46" t="s">
        <v>62</v>
      </c>
      <c r="L367" s="46">
        <v>4</v>
      </c>
      <c r="N367" s="58" t="s">
        <v>62</v>
      </c>
      <c r="O367" s="58">
        <v>1</v>
      </c>
      <c r="P367" s="2"/>
      <c r="Q367" s="58" t="s">
        <v>62</v>
      </c>
      <c r="R367" s="58">
        <v>2</v>
      </c>
      <c r="T367" s="58" t="s">
        <v>62</v>
      </c>
      <c r="U367" s="58">
        <v>3</v>
      </c>
      <c r="V367" s="2"/>
      <c r="W367" s="62" t="s">
        <v>62</v>
      </c>
      <c r="X367" s="63">
        <v>1</v>
      </c>
      <c r="Y367" s="2"/>
      <c r="Z367" s="63" t="s">
        <v>62</v>
      </c>
      <c r="AA367" s="63">
        <v>2</v>
      </c>
      <c r="AB367" s="2"/>
      <c r="AC367" s="63" t="s">
        <v>62</v>
      </c>
      <c r="AD367" s="63">
        <v>3</v>
      </c>
    </row>
    <row r="368" spans="2:30" x14ac:dyDescent="0.25">
      <c r="B368" s="46" t="s">
        <v>63</v>
      </c>
      <c r="C368" s="46">
        <v>3</v>
      </c>
      <c r="D368" s="2"/>
      <c r="E368" s="46" t="s">
        <v>63</v>
      </c>
      <c r="F368" s="46">
        <v>4</v>
      </c>
      <c r="H368" s="46" t="s">
        <v>63</v>
      </c>
      <c r="I368" s="46">
        <v>2</v>
      </c>
      <c r="J368" s="2"/>
      <c r="K368" s="46" t="s">
        <v>63</v>
      </c>
      <c r="L368" s="46">
        <v>1</v>
      </c>
      <c r="N368" s="58" t="s">
        <v>63</v>
      </c>
      <c r="O368" s="58">
        <v>2</v>
      </c>
      <c r="P368" s="2"/>
      <c r="Q368" s="58" t="s">
        <v>63</v>
      </c>
      <c r="R368" s="58">
        <v>3</v>
      </c>
      <c r="T368" s="58" t="s">
        <v>63</v>
      </c>
      <c r="U368" s="58">
        <v>5</v>
      </c>
      <c r="V368" s="2"/>
      <c r="W368" s="62" t="s">
        <v>63</v>
      </c>
      <c r="X368" s="63">
        <v>5</v>
      </c>
      <c r="Y368" s="2"/>
      <c r="Z368" s="63" t="s">
        <v>63</v>
      </c>
      <c r="AA368" s="63">
        <v>3</v>
      </c>
      <c r="AC368" s="63" t="s">
        <v>63</v>
      </c>
      <c r="AD368" s="63">
        <v>6</v>
      </c>
    </row>
    <row r="369" spans="2:30" x14ac:dyDescent="0.25">
      <c r="B369" s="46" t="s">
        <v>65</v>
      </c>
      <c r="C369" s="46">
        <v>5</v>
      </c>
      <c r="D369" s="2"/>
      <c r="E369" s="46" t="s">
        <v>65</v>
      </c>
      <c r="F369" s="46">
        <v>6</v>
      </c>
      <c r="H369" s="46" t="s">
        <v>65</v>
      </c>
      <c r="I369" s="46">
        <v>7</v>
      </c>
      <c r="J369" s="2"/>
      <c r="K369" s="46" t="s">
        <v>65</v>
      </c>
      <c r="L369" s="46">
        <v>8</v>
      </c>
      <c r="N369" s="58" t="s">
        <v>65</v>
      </c>
      <c r="O369" s="58">
        <v>7</v>
      </c>
      <c r="P369" s="2"/>
      <c r="Q369" s="58" t="s">
        <v>65</v>
      </c>
      <c r="R369" s="58">
        <v>8</v>
      </c>
      <c r="T369" s="58" t="s">
        <v>65</v>
      </c>
      <c r="U369" s="58">
        <v>6</v>
      </c>
      <c r="V369" s="2"/>
      <c r="W369" s="62" t="s">
        <v>65</v>
      </c>
      <c r="X369" s="63">
        <v>6</v>
      </c>
      <c r="Y369" s="2"/>
      <c r="Z369" s="63" t="s">
        <v>65</v>
      </c>
      <c r="AA369" s="63">
        <v>5</v>
      </c>
      <c r="AC369" s="63" t="s">
        <v>65</v>
      </c>
      <c r="AD369" s="63">
        <v>9</v>
      </c>
    </row>
    <row r="370" spans="2:30" x14ac:dyDescent="0.25">
      <c r="B370" s="46" t="s">
        <v>67</v>
      </c>
      <c r="C370" s="46">
        <v>7</v>
      </c>
      <c r="D370" s="2"/>
      <c r="E370" s="46" t="s">
        <v>67</v>
      </c>
      <c r="F370" s="46">
        <v>8</v>
      </c>
      <c r="H370" s="46" t="s">
        <v>67</v>
      </c>
      <c r="I370" s="46">
        <v>6</v>
      </c>
      <c r="J370" s="2"/>
      <c r="K370" s="46" t="s">
        <v>67</v>
      </c>
      <c r="L370" s="46">
        <v>5</v>
      </c>
      <c r="N370" s="58" t="s">
        <v>67</v>
      </c>
      <c r="O370" s="58">
        <v>8</v>
      </c>
      <c r="P370" s="2"/>
      <c r="Q370" s="58" t="s">
        <v>67</v>
      </c>
      <c r="R370" s="58">
        <v>9</v>
      </c>
      <c r="T370" s="58" t="s">
        <v>67</v>
      </c>
      <c r="U370" s="58">
        <v>9</v>
      </c>
      <c r="V370" s="2"/>
      <c r="W370" s="62" t="s">
        <v>67</v>
      </c>
      <c r="X370" s="63">
        <v>11</v>
      </c>
      <c r="Y370" s="2"/>
      <c r="Z370" s="63" t="s">
        <v>67</v>
      </c>
      <c r="AA370" s="63">
        <v>12</v>
      </c>
      <c r="AC370" s="63" t="s">
        <v>67</v>
      </c>
      <c r="AD370" s="63">
        <v>11</v>
      </c>
    </row>
    <row r="371" spans="2:30" x14ac:dyDescent="0.25">
      <c r="B371" s="46" t="s">
        <v>69</v>
      </c>
      <c r="C371" s="46">
        <v>9</v>
      </c>
      <c r="D371" s="2"/>
      <c r="E371" s="46" t="s">
        <v>69</v>
      </c>
      <c r="F371" s="46">
        <v>10</v>
      </c>
      <c r="H371" s="46" t="s">
        <v>69</v>
      </c>
      <c r="I371" s="46">
        <v>11</v>
      </c>
      <c r="J371" s="2"/>
      <c r="K371" s="46" t="s">
        <v>69</v>
      </c>
      <c r="L371" s="46">
        <v>12</v>
      </c>
      <c r="N371" s="58" t="s">
        <v>69</v>
      </c>
      <c r="O371" s="58">
        <v>11</v>
      </c>
      <c r="P371" s="2"/>
      <c r="Q371" s="58" t="s">
        <v>69</v>
      </c>
      <c r="R371" s="58">
        <v>12</v>
      </c>
      <c r="T371" s="58" t="s">
        <v>69</v>
      </c>
      <c r="U371" s="58">
        <v>11</v>
      </c>
      <c r="V371" s="2"/>
      <c r="W371" s="62" t="s">
        <v>69</v>
      </c>
      <c r="X371" s="63">
        <v>12</v>
      </c>
      <c r="Y371" s="2"/>
      <c r="Z371" s="63" t="s">
        <v>69</v>
      </c>
      <c r="AA371" s="63">
        <v>13</v>
      </c>
      <c r="AC371" s="63" t="s">
        <v>69</v>
      </c>
      <c r="AD371" s="63">
        <v>14</v>
      </c>
    </row>
    <row r="372" spans="2:30" x14ac:dyDescent="0.25">
      <c r="B372" s="46" t="s">
        <v>70</v>
      </c>
      <c r="C372" s="46">
        <v>11</v>
      </c>
      <c r="D372" s="2"/>
      <c r="E372" s="46" t="s">
        <v>70</v>
      </c>
      <c r="F372" s="46">
        <v>12</v>
      </c>
      <c r="H372" s="46" t="s">
        <v>70</v>
      </c>
      <c r="I372" s="46">
        <v>10</v>
      </c>
      <c r="J372" s="2"/>
      <c r="K372" s="46" t="s">
        <v>70</v>
      </c>
      <c r="L372" s="46">
        <v>9</v>
      </c>
      <c r="N372" s="58" t="s">
        <v>70</v>
      </c>
      <c r="O372" s="58">
        <v>12</v>
      </c>
      <c r="P372" s="2"/>
      <c r="Q372" s="58" t="s">
        <v>70</v>
      </c>
      <c r="R372" s="58">
        <v>13</v>
      </c>
      <c r="T372" s="58" t="s">
        <v>70</v>
      </c>
      <c r="U372" s="58">
        <v>14</v>
      </c>
      <c r="V372" s="2"/>
      <c r="W372" s="62" t="s">
        <v>70</v>
      </c>
      <c r="X372" s="63">
        <v>15</v>
      </c>
      <c r="Z372" s="63" t="s">
        <v>70</v>
      </c>
      <c r="AA372" s="63">
        <v>16</v>
      </c>
      <c r="AD372" s="2"/>
    </row>
    <row r="373" spans="2:30" x14ac:dyDescent="0.25">
      <c r="B373" s="46" t="s">
        <v>71</v>
      </c>
      <c r="C373" s="46">
        <v>13</v>
      </c>
      <c r="D373" s="2"/>
      <c r="E373" s="46" t="s">
        <v>71</v>
      </c>
      <c r="F373" s="46">
        <v>14</v>
      </c>
      <c r="H373" s="46" t="s">
        <v>71</v>
      </c>
      <c r="I373" s="46">
        <v>15</v>
      </c>
      <c r="J373" s="2"/>
      <c r="K373" s="46" t="s">
        <v>71</v>
      </c>
      <c r="L373" s="46">
        <v>16</v>
      </c>
      <c r="N373" s="58" t="s">
        <v>71</v>
      </c>
      <c r="O373" s="58">
        <v>15</v>
      </c>
      <c r="Q373" s="58" t="s">
        <v>71</v>
      </c>
      <c r="R373" s="58">
        <v>16</v>
      </c>
      <c r="X373" s="2"/>
      <c r="AA373" s="2"/>
      <c r="AD373" s="2"/>
    </row>
    <row r="374" spans="2:30" x14ac:dyDescent="0.25">
      <c r="B374" s="46" t="s">
        <v>72</v>
      </c>
      <c r="C374" s="46">
        <v>15</v>
      </c>
      <c r="D374" s="2"/>
      <c r="E374" s="46" t="s">
        <v>72</v>
      </c>
      <c r="F374" s="46">
        <v>16</v>
      </c>
      <c r="H374" s="46" t="s">
        <v>72</v>
      </c>
      <c r="I374" s="46">
        <v>14</v>
      </c>
      <c r="J374" s="2"/>
      <c r="K374" s="46" t="s">
        <v>72</v>
      </c>
      <c r="L374" s="46">
        <v>13</v>
      </c>
      <c r="X374" s="2"/>
      <c r="AA374" s="2"/>
      <c r="AD374" s="2"/>
    </row>
    <row r="375" spans="2:30" x14ac:dyDescent="0.25">
      <c r="W375" s="62" t="s">
        <v>62</v>
      </c>
      <c r="X375" s="63">
        <v>4</v>
      </c>
      <c r="Y375" s="2"/>
      <c r="Z375" s="62" t="s">
        <v>62</v>
      </c>
      <c r="AA375" s="63">
        <v>1</v>
      </c>
      <c r="AC375" s="62" t="s">
        <v>62</v>
      </c>
      <c r="AD375" s="63">
        <v>2</v>
      </c>
    </row>
    <row r="376" spans="2:30" x14ac:dyDescent="0.25">
      <c r="N376" s="58" t="s">
        <v>62</v>
      </c>
      <c r="O376" s="58">
        <v>4</v>
      </c>
      <c r="Q376" s="58" t="s">
        <v>62</v>
      </c>
      <c r="R376" s="58">
        <v>1</v>
      </c>
      <c r="W376" s="63" t="s">
        <v>63</v>
      </c>
      <c r="X376" s="63">
        <v>7</v>
      </c>
      <c r="Y376" s="2"/>
      <c r="Z376" s="63" t="s">
        <v>63</v>
      </c>
      <c r="AA376" s="63">
        <v>4</v>
      </c>
      <c r="AC376" s="63" t="s">
        <v>63</v>
      </c>
      <c r="AD376" s="63">
        <v>8</v>
      </c>
    </row>
    <row r="377" spans="2:30" x14ac:dyDescent="0.25">
      <c r="N377" s="58" t="s">
        <v>63</v>
      </c>
      <c r="O377" s="58">
        <v>6</v>
      </c>
      <c r="Q377" s="58" t="s">
        <v>63</v>
      </c>
      <c r="R377" s="58">
        <v>4</v>
      </c>
      <c r="W377" s="63" t="s">
        <v>65</v>
      </c>
      <c r="X377" s="63">
        <v>8</v>
      </c>
      <c r="Y377" s="2"/>
      <c r="Z377" s="63" t="s">
        <v>65</v>
      </c>
      <c r="AA377" s="63">
        <v>7</v>
      </c>
      <c r="AC377" s="63" t="s">
        <v>65</v>
      </c>
      <c r="AD377" s="63">
        <v>10</v>
      </c>
    </row>
    <row r="378" spans="2:30" x14ac:dyDescent="0.25">
      <c r="N378" s="58" t="s">
        <v>65</v>
      </c>
      <c r="O378" s="58">
        <v>5</v>
      </c>
      <c r="Q378" s="58" t="s">
        <v>65</v>
      </c>
      <c r="R378" s="58">
        <v>7</v>
      </c>
      <c r="W378" s="63" t="s">
        <v>67</v>
      </c>
      <c r="X378" s="63">
        <v>10</v>
      </c>
      <c r="Y378" s="2"/>
      <c r="Z378" s="63" t="s">
        <v>67</v>
      </c>
      <c r="AA378" s="63">
        <v>9</v>
      </c>
      <c r="AC378" s="63" t="s">
        <v>67</v>
      </c>
      <c r="AD378" s="63">
        <v>13</v>
      </c>
    </row>
    <row r="379" spans="2:30" x14ac:dyDescent="0.25">
      <c r="N379" s="58" t="s">
        <v>67</v>
      </c>
      <c r="O379" s="58">
        <v>10</v>
      </c>
      <c r="Q379" s="58" t="s">
        <v>67</v>
      </c>
      <c r="R379" s="58">
        <v>10</v>
      </c>
      <c r="W379" s="63" t="s">
        <v>69</v>
      </c>
      <c r="X379" s="63">
        <v>14</v>
      </c>
      <c r="Y379" s="2"/>
      <c r="Z379" s="63" t="s">
        <v>69</v>
      </c>
      <c r="AA379" s="63">
        <v>15</v>
      </c>
      <c r="AC379" s="63" t="s">
        <v>69</v>
      </c>
      <c r="AD379" s="63">
        <v>16</v>
      </c>
    </row>
    <row r="380" spans="2:30" x14ac:dyDescent="0.25">
      <c r="N380" s="58" t="s">
        <v>69</v>
      </c>
      <c r="O380" s="58">
        <v>13</v>
      </c>
      <c r="Q380" s="58" t="s">
        <v>69</v>
      </c>
      <c r="R380" s="58">
        <v>14</v>
      </c>
    </row>
    <row r="381" spans="2:30" x14ac:dyDescent="0.25">
      <c r="N381" s="58" t="s">
        <v>70</v>
      </c>
      <c r="O381" s="58">
        <v>15</v>
      </c>
      <c r="Q381" s="58" t="s">
        <v>70</v>
      </c>
      <c r="R381" s="58">
        <v>16</v>
      </c>
    </row>
  </sheetData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Parametres</vt:lpstr>
      <vt:lpstr>CODE_MATCHS_SET</vt:lpstr>
      <vt:lpstr>NOTES</vt:lpstr>
      <vt:lpstr>TEMPLATE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2022-04-10T02:39:03Z</cp:lastPrinted>
  <dcterms:created xsi:type="dcterms:W3CDTF">2020-04-24T22:48:13Z</dcterms:created>
  <dcterms:modified xsi:type="dcterms:W3CDTF">2024-01-25T18:40:36Z</dcterms:modified>
</cp:coreProperties>
</file>